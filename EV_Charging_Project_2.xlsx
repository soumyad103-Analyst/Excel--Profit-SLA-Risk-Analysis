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soumy\OneDrive\Documents\BA\Excel\"/>
    </mc:Choice>
  </mc:AlternateContent>
  <xr:revisionPtr revIDLastSave="0" documentId="13_ncr:1_{61B8EDEF-5B72-4527-8B83-85368464D191}" xr6:coauthVersionLast="47" xr6:coauthVersionMax="47" xr10:uidLastSave="{00000000-0000-0000-0000-000000000000}"/>
  <bookViews>
    <workbookView xWindow="-110" yWindow="-110" windowWidth="19420" windowHeight="11020" activeTab="4" xr2:uid="{00000000-000D-0000-FFFF-FFFF00000000}"/>
  </bookViews>
  <sheets>
    <sheet name="Raw_Data" sheetId="1" r:id="rId1"/>
    <sheet name="Project_Blueprint" sheetId="2" r:id="rId2"/>
    <sheet name="Pivot_Calculations" sheetId="3" r:id="rId3"/>
    <sheet name="Dashboard" sheetId="5" r:id="rId4"/>
    <sheet name="Insights_Notes" sheetId="6" r:id="rId5"/>
  </sheets>
  <definedNames>
    <definedName name="Slicer_Charger_Type">#N/A</definedName>
    <definedName name="Slicer_City">#N/A</definedName>
    <definedName name="Slicer_Customer_Type">#N/A</definedName>
    <definedName name="Slicer_Region">#N/A</definedName>
    <definedName name="Slicer_Station_Type">#N/A</definedName>
  </definedNames>
  <calcPr calcId="191029"/>
  <pivotCaches>
    <pivotCache cacheId="3"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5" i="5" l="1"/>
  <c r="I5" i="5"/>
  <c r="E5" i="5"/>
  <c r="A5" i="5"/>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E1002" i="1"/>
  <c r="AE1003" i="1"/>
  <c r="AE1004" i="1"/>
  <c r="AE1005" i="1"/>
  <c r="AE1006" i="1"/>
  <c r="AE1007" i="1"/>
  <c r="AE1008" i="1"/>
  <c r="AE1009" i="1"/>
  <c r="AE1010" i="1"/>
  <c r="AE1011" i="1"/>
  <c r="AE1012" i="1"/>
  <c r="AE1013" i="1"/>
  <c r="AE1014" i="1"/>
  <c r="AE1015" i="1"/>
  <c r="AE1016" i="1"/>
  <c r="AE1017" i="1"/>
  <c r="AE1018" i="1"/>
  <c r="AE1019" i="1"/>
  <c r="AE1020" i="1"/>
  <c r="AE1021" i="1"/>
  <c r="AE1022" i="1"/>
  <c r="AE1023" i="1"/>
  <c r="AE1024" i="1"/>
  <c r="AE1025" i="1"/>
  <c r="AE1026" i="1"/>
  <c r="AE1027" i="1"/>
  <c r="AE1028" i="1"/>
  <c r="AE1029" i="1"/>
  <c r="AE1030" i="1"/>
  <c r="AE1031" i="1"/>
  <c r="AE1032" i="1"/>
  <c r="AE1033" i="1"/>
  <c r="AE1034" i="1"/>
  <c r="AE1035" i="1"/>
  <c r="AE1036" i="1"/>
  <c r="AE1037" i="1"/>
  <c r="AE1038" i="1"/>
  <c r="AE1039" i="1"/>
  <c r="AE1040" i="1"/>
  <c r="AE1041" i="1"/>
  <c r="AE1042" i="1"/>
  <c r="AE1043" i="1"/>
  <c r="AE1044" i="1"/>
  <c r="AE1045" i="1"/>
  <c r="AE1046" i="1"/>
  <c r="AE1047" i="1"/>
  <c r="AE1048" i="1"/>
  <c r="AE1049" i="1"/>
  <c r="AE1050" i="1"/>
  <c r="AE1051" i="1"/>
  <c r="AE1052" i="1"/>
  <c r="AE1053" i="1"/>
  <c r="AE1054" i="1"/>
  <c r="AE1055" i="1"/>
  <c r="AE1056" i="1"/>
  <c r="AE1057" i="1"/>
  <c r="AE1058" i="1"/>
  <c r="AE1059" i="1"/>
  <c r="AE1060" i="1"/>
  <c r="AE1061" i="1"/>
  <c r="AE1062" i="1"/>
  <c r="AE1063" i="1"/>
  <c r="AE1064" i="1"/>
  <c r="AE1065" i="1"/>
  <c r="AE1066" i="1"/>
  <c r="AE1067" i="1"/>
  <c r="AE1068" i="1"/>
  <c r="AE1069" i="1"/>
  <c r="AE1070" i="1"/>
  <c r="AE1071" i="1"/>
  <c r="AE1072" i="1"/>
  <c r="AE1073" i="1"/>
  <c r="AE1074" i="1"/>
  <c r="AE1075" i="1"/>
  <c r="AE1076" i="1"/>
  <c r="AE1077" i="1"/>
  <c r="AE1078" i="1"/>
  <c r="AE1079" i="1"/>
  <c r="AE1080" i="1"/>
  <c r="AE1081" i="1"/>
  <c r="AE1082" i="1"/>
  <c r="AE1083" i="1"/>
  <c r="AE1084" i="1"/>
  <c r="AE1085" i="1"/>
  <c r="AE1086" i="1"/>
  <c r="AE1087" i="1"/>
  <c r="AE1088" i="1"/>
  <c r="AE1089" i="1"/>
  <c r="AE1090" i="1"/>
  <c r="AE1091" i="1"/>
  <c r="AE1092" i="1"/>
  <c r="AE1093" i="1"/>
  <c r="AE1094" i="1"/>
  <c r="AE1095" i="1"/>
  <c r="AE1096" i="1"/>
  <c r="AE1097" i="1"/>
  <c r="AE1098" i="1"/>
  <c r="AE1099" i="1"/>
  <c r="AE1100" i="1"/>
  <c r="AE1101" i="1"/>
  <c r="AE1102" i="1"/>
  <c r="AE1103" i="1"/>
  <c r="AE1104" i="1"/>
  <c r="AE1105" i="1"/>
  <c r="AE1106" i="1"/>
  <c r="AE1107" i="1"/>
  <c r="AE1108" i="1"/>
  <c r="AE1109" i="1"/>
  <c r="AE1110" i="1"/>
  <c r="AE1111" i="1"/>
  <c r="AE1112" i="1"/>
  <c r="AE1113" i="1"/>
  <c r="AE1114" i="1"/>
  <c r="AE1115" i="1"/>
  <c r="AE1116" i="1"/>
  <c r="AE1117" i="1"/>
  <c r="AE1118" i="1"/>
  <c r="AE1119" i="1"/>
  <c r="AE1120" i="1"/>
  <c r="AE1121" i="1"/>
  <c r="AE1122" i="1"/>
  <c r="AE1123" i="1"/>
  <c r="AE1124" i="1"/>
  <c r="AE1125" i="1"/>
  <c r="AE1126" i="1"/>
  <c r="AE1127" i="1"/>
  <c r="AE1128" i="1"/>
  <c r="AE1129" i="1"/>
  <c r="AE1130" i="1"/>
  <c r="AE1131" i="1"/>
  <c r="AE1132" i="1"/>
  <c r="AE1133" i="1"/>
  <c r="AE1134" i="1"/>
  <c r="AE1135" i="1"/>
  <c r="AE1136" i="1"/>
  <c r="AE1137" i="1"/>
  <c r="AE1138" i="1"/>
  <c r="AE1139" i="1"/>
  <c r="AE1140" i="1"/>
  <c r="AE1141" i="1"/>
  <c r="AE1142" i="1"/>
  <c r="AE1143" i="1"/>
  <c r="AE1144" i="1"/>
  <c r="AE1145" i="1"/>
  <c r="AE1146" i="1"/>
  <c r="AE1147" i="1"/>
  <c r="AE1148" i="1"/>
  <c r="AE1149" i="1"/>
  <c r="AE1150" i="1"/>
  <c r="AE1151" i="1"/>
  <c r="AE1152" i="1"/>
  <c r="AE1153" i="1"/>
  <c r="AE1154" i="1"/>
  <c r="AE1155" i="1"/>
  <c r="AE1156" i="1"/>
  <c r="AE1157" i="1"/>
  <c r="AE1158" i="1"/>
  <c r="AE1159" i="1"/>
  <c r="AE1160" i="1"/>
  <c r="AE1161" i="1"/>
  <c r="AE1162" i="1"/>
  <c r="AE1163" i="1"/>
  <c r="AE1164" i="1"/>
  <c r="AE1165" i="1"/>
  <c r="AE1166" i="1"/>
  <c r="AE1167" i="1"/>
  <c r="AE1168" i="1"/>
  <c r="AE1169" i="1"/>
  <c r="AE1170" i="1"/>
  <c r="AE1171" i="1"/>
  <c r="AE1172" i="1"/>
  <c r="AE1173" i="1"/>
  <c r="AE1174" i="1"/>
  <c r="AE1175" i="1"/>
  <c r="AE1176" i="1"/>
  <c r="AE1177" i="1"/>
  <c r="AE1178" i="1"/>
  <c r="AE1179" i="1"/>
  <c r="AE1180" i="1"/>
  <c r="AE1181" i="1"/>
  <c r="AE1182" i="1"/>
  <c r="AE1183" i="1"/>
  <c r="AE1184" i="1"/>
  <c r="AE1185" i="1"/>
  <c r="AE1186" i="1"/>
  <c r="AE1187" i="1"/>
  <c r="AE1188" i="1"/>
  <c r="AE1189" i="1"/>
  <c r="AE1190" i="1"/>
  <c r="AE1191" i="1"/>
  <c r="AE1192" i="1"/>
  <c r="AE1193" i="1"/>
  <c r="AE1194" i="1"/>
  <c r="AE1195" i="1"/>
  <c r="AE1196" i="1"/>
  <c r="AE1197" i="1"/>
  <c r="AE1198" i="1"/>
  <c r="AE1199" i="1"/>
  <c r="AE1200" i="1"/>
  <c r="AE1201" i="1"/>
  <c r="AE1202" i="1"/>
  <c r="AE1203" i="1"/>
  <c r="AE1204" i="1"/>
  <c r="AE1205" i="1"/>
  <c r="AE1206" i="1"/>
  <c r="AE1207" i="1"/>
  <c r="AE1208" i="1"/>
  <c r="AE1209" i="1"/>
  <c r="AE1210" i="1"/>
  <c r="AE1211" i="1"/>
  <c r="AE1212" i="1"/>
  <c r="AE1213" i="1"/>
  <c r="AE1214" i="1"/>
  <c r="AE1215" i="1"/>
  <c r="AE1216" i="1"/>
  <c r="AE1217" i="1"/>
  <c r="AE1218" i="1"/>
  <c r="AE1219" i="1"/>
  <c r="AE1220" i="1"/>
  <c r="AE1221" i="1"/>
  <c r="AE1222" i="1"/>
  <c r="AE1223" i="1"/>
  <c r="AE1224" i="1"/>
  <c r="AE1225" i="1"/>
  <c r="AE1226" i="1"/>
  <c r="AE1227" i="1"/>
  <c r="AE1228" i="1"/>
  <c r="AE1229" i="1"/>
  <c r="AE1230" i="1"/>
  <c r="AE1231" i="1"/>
  <c r="AE1232" i="1"/>
  <c r="AE1233" i="1"/>
  <c r="AE1234" i="1"/>
  <c r="AE1235" i="1"/>
  <c r="AE1236" i="1"/>
  <c r="AE1237" i="1"/>
  <c r="AE1238" i="1"/>
  <c r="AE1239" i="1"/>
  <c r="AE1240" i="1"/>
  <c r="AE1241" i="1"/>
  <c r="AE1242" i="1"/>
  <c r="AE1243" i="1"/>
  <c r="AE1244" i="1"/>
  <c r="AE1245" i="1"/>
  <c r="AE1246" i="1"/>
  <c r="AE1247" i="1"/>
  <c r="AE1248" i="1"/>
  <c r="AE1249" i="1"/>
  <c r="AE1250" i="1"/>
  <c r="AE1251" i="1"/>
  <c r="AE1252" i="1"/>
  <c r="AE1253" i="1"/>
  <c r="AE1254" i="1"/>
  <c r="AE1255" i="1"/>
  <c r="AE1256" i="1"/>
  <c r="AE1257" i="1"/>
  <c r="AE1258" i="1"/>
  <c r="AE1259" i="1"/>
  <c r="AE1260" i="1"/>
  <c r="AE1261" i="1"/>
  <c r="AE1262" i="1"/>
  <c r="AE1263" i="1"/>
  <c r="AE1264" i="1"/>
  <c r="AE1265" i="1"/>
  <c r="AE1266" i="1"/>
  <c r="AE1267" i="1"/>
  <c r="AE1268" i="1"/>
  <c r="AE1269" i="1"/>
  <c r="AE1270" i="1"/>
  <c r="AE1271" i="1"/>
  <c r="AE1272" i="1"/>
  <c r="AE1273" i="1"/>
  <c r="AE1274" i="1"/>
  <c r="AE1275" i="1"/>
  <c r="AE1276" i="1"/>
  <c r="AE1277" i="1"/>
  <c r="AE1278" i="1"/>
  <c r="AE1279" i="1"/>
  <c r="AE1280" i="1"/>
  <c r="AE1281" i="1"/>
  <c r="AE1282" i="1"/>
  <c r="AE1283" i="1"/>
  <c r="AE1284" i="1"/>
  <c r="AE1285" i="1"/>
  <c r="AE1286" i="1"/>
  <c r="AE1287" i="1"/>
  <c r="AE1288" i="1"/>
  <c r="AE1289" i="1"/>
  <c r="AE1290" i="1"/>
  <c r="AE1291" i="1"/>
  <c r="AE1292" i="1"/>
  <c r="AE1293" i="1"/>
  <c r="AE1294" i="1"/>
  <c r="AE1295" i="1"/>
  <c r="AE1296" i="1"/>
  <c r="AE1297" i="1"/>
  <c r="AE1298" i="1"/>
  <c r="AE1299" i="1"/>
  <c r="AE1300" i="1"/>
  <c r="AE1301" i="1"/>
  <c r="AE1302" i="1"/>
  <c r="AE1303" i="1"/>
  <c r="AE1304" i="1"/>
  <c r="AE1305" i="1"/>
  <c r="AE1306" i="1"/>
  <c r="AE1307" i="1"/>
  <c r="AE1308" i="1"/>
  <c r="AE1309" i="1"/>
  <c r="AE1310" i="1"/>
  <c r="AE1311" i="1"/>
  <c r="AE1312" i="1"/>
  <c r="AE1313" i="1"/>
  <c r="AE1314" i="1"/>
  <c r="AE1315" i="1"/>
  <c r="AE1316" i="1"/>
  <c r="AE1317" i="1"/>
  <c r="AE1318" i="1"/>
  <c r="AE1319" i="1"/>
  <c r="AE1320" i="1"/>
  <c r="AE1321" i="1"/>
  <c r="AE1322" i="1"/>
  <c r="AE1323" i="1"/>
  <c r="AE1324" i="1"/>
  <c r="AE1325" i="1"/>
  <c r="AE1326" i="1"/>
  <c r="AE1327" i="1"/>
  <c r="AE1328" i="1"/>
  <c r="AE1329" i="1"/>
  <c r="AE1330" i="1"/>
  <c r="AE1331" i="1"/>
  <c r="AE1332" i="1"/>
  <c r="AE1333" i="1"/>
  <c r="AE1334" i="1"/>
  <c r="AE1335" i="1"/>
  <c r="AE1336" i="1"/>
  <c r="AE1337" i="1"/>
  <c r="AE1338" i="1"/>
  <c r="AE1339" i="1"/>
  <c r="AE1340" i="1"/>
  <c r="AE1341" i="1"/>
  <c r="AE1342" i="1"/>
  <c r="AE1343" i="1"/>
  <c r="AE1344" i="1"/>
  <c r="AE1345" i="1"/>
  <c r="AE1346" i="1"/>
  <c r="AE1347" i="1"/>
  <c r="AE1348" i="1"/>
  <c r="AE1349" i="1"/>
  <c r="AE1350" i="1"/>
  <c r="AE1351" i="1"/>
  <c r="AE1352" i="1"/>
  <c r="AE1353" i="1"/>
  <c r="AE1354" i="1"/>
  <c r="AE1355" i="1"/>
  <c r="AE1356" i="1"/>
  <c r="AE1357" i="1"/>
  <c r="AE1358" i="1"/>
  <c r="AE1359" i="1"/>
  <c r="AE1360" i="1"/>
  <c r="AE1361" i="1"/>
  <c r="AE1362" i="1"/>
  <c r="AE1363" i="1"/>
  <c r="AE1364" i="1"/>
  <c r="AE1365" i="1"/>
  <c r="AE1366" i="1"/>
  <c r="AE1367" i="1"/>
  <c r="AE1368" i="1"/>
  <c r="AE1369" i="1"/>
  <c r="AE1370" i="1"/>
  <c r="AE1371" i="1"/>
  <c r="AE1372" i="1"/>
  <c r="AE1373" i="1"/>
  <c r="AE1374" i="1"/>
  <c r="AE1375" i="1"/>
  <c r="AE1376" i="1"/>
  <c r="AE1377" i="1"/>
  <c r="AE1378" i="1"/>
  <c r="AE1379" i="1"/>
  <c r="AE1380" i="1"/>
  <c r="AE1381" i="1"/>
  <c r="AE1382" i="1"/>
  <c r="AE1383" i="1"/>
  <c r="AE1384" i="1"/>
  <c r="AE1385" i="1"/>
  <c r="AE1386" i="1"/>
  <c r="AE1387" i="1"/>
  <c r="AE1388" i="1"/>
  <c r="AE1389" i="1"/>
  <c r="AE1390" i="1"/>
  <c r="AE1391" i="1"/>
  <c r="AE1392" i="1"/>
  <c r="AE1393" i="1"/>
  <c r="AE1394" i="1"/>
  <c r="AE1395" i="1"/>
  <c r="AE1396" i="1"/>
  <c r="AE1397" i="1"/>
  <c r="AE1398" i="1"/>
  <c r="AE1399" i="1"/>
  <c r="AE1400" i="1"/>
  <c r="AE1401" i="1"/>
  <c r="AE1402" i="1"/>
  <c r="AE1403" i="1"/>
  <c r="AE1404" i="1"/>
  <c r="AE1405" i="1"/>
  <c r="AE1406" i="1"/>
  <c r="AE1407" i="1"/>
  <c r="AE1408" i="1"/>
  <c r="AE1409" i="1"/>
  <c r="AE1410" i="1"/>
  <c r="AE1411" i="1"/>
  <c r="AE1412" i="1"/>
  <c r="AE1413" i="1"/>
  <c r="AE1414" i="1"/>
  <c r="AE1415" i="1"/>
  <c r="AE1416" i="1"/>
  <c r="AE1417" i="1"/>
  <c r="AE1418" i="1"/>
  <c r="AE1419" i="1"/>
  <c r="AE1420" i="1"/>
  <c r="AE1421" i="1"/>
  <c r="AE1422" i="1"/>
  <c r="AE1423" i="1"/>
  <c r="AE1424" i="1"/>
  <c r="AE1425" i="1"/>
  <c r="AE1426" i="1"/>
  <c r="AE1427" i="1"/>
  <c r="AE1428" i="1"/>
  <c r="AE1429" i="1"/>
  <c r="AE1430" i="1"/>
  <c r="AE1431" i="1"/>
  <c r="AE1432" i="1"/>
  <c r="AE1433" i="1"/>
  <c r="AE1434" i="1"/>
  <c r="AE1435" i="1"/>
  <c r="AE1436" i="1"/>
  <c r="AE1437" i="1"/>
  <c r="AE1438" i="1"/>
  <c r="AE1439" i="1"/>
  <c r="AE1440" i="1"/>
  <c r="AE1441" i="1"/>
  <c r="AE1442" i="1"/>
  <c r="AE1443" i="1"/>
  <c r="AE1444" i="1"/>
  <c r="AE1445" i="1"/>
  <c r="AE1446" i="1"/>
  <c r="AE1447" i="1"/>
  <c r="AE1448" i="1"/>
  <c r="AE1449" i="1"/>
  <c r="AE1450" i="1"/>
  <c r="AE1451" i="1"/>
  <c r="AE1452" i="1"/>
  <c r="AE1453" i="1"/>
  <c r="AE1454" i="1"/>
  <c r="AE1455" i="1"/>
  <c r="AE1456" i="1"/>
  <c r="AE1457" i="1"/>
  <c r="AE1458" i="1"/>
  <c r="AE1459" i="1"/>
  <c r="AE1460" i="1"/>
  <c r="AE1461" i="1"/>
  <c r="AE1462" i="1"/>
  <c r="AE1463" i="1"/>
  <c r="AE1464" i="1"/>
  <c r="AE1465" i="1"/>
  <c r="AE1466" i="1"/>
  <c r="AE1467" i="1"/>
  <c r="AE1468" i="1"/>
  <c r="AE1469" i="1"/>
  <c r="AE1470" i="1"/>
  <c r="AE1471" i="1"/>
  <c r="AE1472" i="1"/>
  <c r="AE1473" i="1"/>
  <c r="AE1474" i="1"/>
  <c r="AE1475" i="1"/>
  <c r="AE1476" i="1"/>
  <c r="AE1477" i="1"/>
  <c r="AE1478" i="1"/>
  <c r="AE1479" i="1"/>
  <c r="AE1480" i="1"/>
  <c r="AE1481" i="1"/>
  <c r="AE1482" i="1"/>
  <c r="AE1483" i="1"/>
  <c r="AE1484" i="1"/>
  <c r="AE1485" i="1"/>
  <c r="AE1486" i="1"/>
  <c r="AE1487" i="1"/>
  <c r="AE1488" i="1"/>
  <c r="AE1489" i="1"/>
  <c r="AE1490" i="1"/>
  <c r="AE1491" i="1"/>
  <c r="AE1492" i="1"/>
  <c r="AE1493" i="1"/>
  <c r="AE1494" i="1"/>
  <c r="AE1495" i="1"/>
  <c r="AE1496" i="1"/>
  <c r="AE1497" i="1"/>
  <c r="AE1498" i="1"/>
  <c r="AE1499" i="1"/>
  <c r="AE1500" i="1"/>
  <c r="AE1501" i="1"/>
  <c r="AE1502" i="1"/>
  <c r="AE1503" i="1"/>
  <c r="AE1504" i="1"/>
  <c r="AE1505" i="1"/>
  <c r="AE1506" i="1"/>
  <c r="AE1507" i="1"/>
  <c r="AE1508" i="1"/>
  <c r="AE1509" i="1"/>
  <c r="AE1510" i="1"/>
  <c r="AE1511" i="1"/>
  <c r="AE1512" i="1"/>
  <c r="AE1513" i="1"/>
  <c r="AE1514" i="1"/>
  <c r="AE1515" i="1"/>
  <c r="AE1516" i="1"/>
  <c r="AE1517" i="1"/>
  <c r="AE1518" i="1"/>
  <c r="AE1519" i="1"/>
  <c r="AE1520" i="1"/>
  <c r="AE1521" i="1"/>
  <c r="AE1522" i="1"/>
  <c r="AE1523" i="1"/>
  <c r="AE1524" i="1"/>
  <c r="AE1525" i="1"/>
  <c r="AE1526" i="1"/>
  <c r="AE1527" i="1"/>
  <c r="AE1528" i="1"/>
  <c r="AE1529" i="1"/>
  <c r="AE1530" i="1"/>
  <c r="AE1531" i="1"/>
  <c r="AE1532" i="1"/>
  <c r="AE1533" i="1"/>
  <c r="AE1534" i="1"/>
  <c r="AE1535" i="1"/>
  <c r="AE1536" i="1"/>
  <c r="AE1537" i="1"/>
  <c r="AE1538" i="1"/>
  <c r="AE1539" i="1"/>
  <c r="AE1540" i="1"/>
  <c r="AE1541" i="1"/>
  <c r="AE1542" i="1"/>
  <c r="AE1543" i="1"/>
  <c r="AE1544" i="1"/>
  <c r="AE1545" i="1"/>
  <c r="AE1546" i="1"/>
  <c r="AE1547" i="1"/>
  <c r="AE1548" i="1"/>
  <c r="AE1549" i="1"/>
  <c r="AE1550" i="1"/>
  <c r="AE1551" i="1"/>
  <c r="AE1552" i="1"/>
  <c r="AE1553" i="1"/>
  <c r="AE1554" i="1"/>
  <c r="AE1555" i="1"/>
  <c r="AE1556" i="1"/>
  <c r="AE1557" i="1"/>
  <c r="AE1558" i="1"/>
  <c r="AE1559" i="1"/>
  <c r="AE1560" i="1"/>
  <c r="AE1561" i="1"/>
  <c r="AE1562" i="1"/>
  <c r="AE1563" i="1"/>
  <c r="AE1564" i="1"/>
  <c r="AE1565" i="1"/>
  <c r="AE1566" i="1"/>
  <c r="AE1567" i="1"/>
  <c r="AE1568" i="1"/>
  <c r="AE1569" i="1"/>
  <c r="AE1570" i="1"/>
  <c r="AE1571" i="1"/>
  <c r="AE1572" i="1"/>
  <c r="AE1573" i="1"/>
  <c r="AE1574" i="1"/>
  <c r="AE1575" i="1"/>
  <c r="AE1576" i="1"/>
  <c r="AE1577" i="1"/>
  <c r="AE1578" i="1"/>
  <c r="AE1579" i="1"/>
  <c r="AE1580" i="1"/>
  <c r="AE1581" i="1"/>
  <c r="AE1582" i="1"/>
  <c r="AE1583" i="1"/>
  <c r="AE1584" i="1"/>
  <c r="AE1585" i="1"/>
  <c r="AE1586" i="1"/>
  <c r="AE1587" i="1"/>
  <c r="AE1588" i="1"/>
  <c r="AE1589" i="1"/>
  <c r="AE1590" i="1"/>
  <c r="AE1591" i="1"/>
  <c r="AE1592" i="1"/>
  <c r="AE1593" i="1"/>
  <c r="AE1594" i="1"/>
  <c r="AE1595" i="1"/>
  <c r="AE1596" i="1"/>
  <c r="AE1597" i="1"/>
  <c r="AE1598" i="1"/>
  <c r="AE1599" i="1"/>
  <c r="AE1600" i="1"/>
  <c r="AE1601" i="1"/>
  <c r="AE1602" i="1"/>
  <c r="AE1603" i="1"/>
  <c r="AE1604" i="1"/>
  <c r="AE1605" i="1"/>
  <c r="AE1606" i="1"/>
  <c r="AE1607" i="1"/>
  <c r="AE1608" i="1"/>
  <c r="AE1609" i="1"/>
  <c r="AE1610" i="1"/>
  <c r="AE1611" i="1"/>
  <c r="AE1612" i="1"/>
  <c r="AE1613" i="1"/>
  <c r="AE1614" i="1"/>
  <c r="AE1615" i="1"/>
  <c r="AE1616" i="1"/>
  <c r="AE1617" i="1"/>
  <c r="AE1618" i="1"/>
  <c r="AE1619" i="1"/>
  <c r="AE1620" i="1"/>
  <c r="AE1621" i="1"/>
  <c r="AE1622" i="1"/>
  <c r="AE1623" i="1"/>
  <c r="AE1624" i="1"/>
  <c r="AE1625" i="1"/>
  <c r="AE1626" i="1"/>
  <c r="AE1627" i="1"/>
  <c r="AE1628" i="1"/>
  <c r="AE1629" i="1"/>
  <c r="AE1630" i="1"/>
  <c r="AE1631" i="1"/>
  <c r="AE1632" i="1"/>
  <c r="AE1633" i="1"/>
  <c r="AE1634" i="1"/>
  <c r="AE1635" i="1"/>
  <c r="AE1636" i="1"/>
  <c r="AE1637" i="1"/>
  <c r="AE1638" i="1"/>
  <c r="AE1639" i="1"/>
  <c r="AE1640" i="1"/>
  <c r="AE1641" i="1"/>
  <c r="AE1642" i="1"/>
  <c r="AE1643" i="1"/>
  <c r="AE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74" i="1"/>
  <c r="AE1675" i="1"/>
  <c r="AE1676" i="1"/>
  <c r="AE1677" i="1"/>
  <c r="AE1678" i="1"/>
  <c r="AE1679" i="1"/>
  <c r="AE1680" i="1"/>
  <c r="AE1681" i="1"/>
  <c r="AE1682" i="1"/>
  <c r="AE1683" i="1"/>
  <c r="AE1684" i="1"/>
  <c r="AE1685" i="1"/>
  <c r="AE1686" i="1"/>
  <c r="AE1687" i="1"/>
  <c r="AE1688" i="1"/>
  <c r="AE1689" i="1"/>
  <c r="AE1690" i="1"/>
  <c r="AE1691" i="1"/>
  <c r="AE1692" i="1"/>
  <c r="AE1693" i="1"/>
  <c r="AE1694" i="1"/>
  <c r="AE1695" i="1"/>
  <c r="AE1696" i="1"/>
  <c r="AE1697" i="1"/>
  <c r="AE1698" i="1"/>
  <c r="AE1699" i="1"/>
  <c r="AE1700" i="1"/>
  <c r="AE1701" i="1"/>
  <c r="AE1702" i="1"/>
  <c r="AE1703" i="1"/>
  <c r="AE1704" i="1"/>
  <c r="AE1705" i="1"/>
  <c r="AE1706" i="1"/>
  <c r="AE1707" i="1"/>
  <c r="AE1708" i="1"/>
  <c r="AE1709" i="1"/>
  <c r="AE1710" i="1"/>
  <c r="AE1711" i="1"/>
  <c r="AE1712" i="1"/>
  <c r="AE1713" i="1"/>
  <c r="AE1714" i="1"/>
  <c r="AE1715" i="1"/>
  <c r="AE1716" i="1"/>
  <c r="AE1717" i="1"/>
  <c r="AE1718" i="1"/>
  <c r="AE1719" i="1"/>
  <c r="AE1720" i="1"/>
  <c r="AE1721" i="1"/>
  <c r="AE1722" i="1"/>
  <c r="AE1723" i="1"/>
  <c r="AE1724" i="1"/>
  <c r="AE1725" i="1"/>
  <c r="AE1726" i="1"/>
  <c r="AE1727" i="1"/>
  <c r="AE1728" i="1"/>
  <c r="AE1729" i="1"/>
  <c r="AE1730" i="1"/>
  <c r="AE1731" i="1"/>
  <c r="AE1732" i="1"/>
  <c r="AE1733" i="1"/>
  <c r="AE1734" i="1"/>
  <c r="AE1735" i="1"/>
  <c r="AE1736" i="1"/>
  <c r="AE1737" i="1"/>
  <c r="AE1738" i="1"/>
  <c r="AE1739" i="1"/>
  <c r="AE1740" i="1"/>
  <c r="AE1741" i="1"/>
  <c r="AE1742" i="1"/>
  <c r="AE1743" i="1"/>
  <c r="AE1744" i="1"/>
  <c r="AE1745" i="1"/>
  <c r="AE1746" i="1"/>
  <c r="AE1747" i="1"/>
  <c r="AE1748" i="1"/>
  <c r="AE1749" i="1"/>
  <c r="AE1750" i="1"/>
  <c r="AE1751" i="1"/>
  <c r="AE1752" i="1"/>
  <c r="AE1753" i="1"/>
  <c r="AE1754" i="1"/>
  <c r="AE1755" i="1"/>
  <c r="AE1756" i="1"/>
  <c r="AE1757" i="1"/>
  <c r="AE1758" i="1"/>
  <c r="AE1759" i="1"/>
  <c r="AE1760" i="1"/>
  <c r="AE1761" i="1"/>
  <c r="AE1762" i="1"/>
  <c r="AE1763" i="1"/>
  <c r="AE1764" i="1"/>
  <c r="AE1765" i="1"/>
  <c r="AE1766" i="1"/>
  <c r="AE1767" i="1"/>
  <c r="AE1768" i="1"/>
  <c r="AE1769" i="1"/>
  <c r="AE1770" i="1"/>
  <c r="AE1771" i="1"/>
  <c r="AE1772" i="1"/>
  <c r="AE1773" i="1"/>
  <c r="AE1774" i="1"/>
  <c r="AE1775" i="1"/>
  <c r="AE1776" i="1"/>
  <c r="AE1777" i="1"/>
  <c r="AE1778" i="1"/>
  <c r="AE1779" i="1"/>
  <c r="AE1780" i="1"/>
  <c r="AE1781" i="1"/>
  <c r="AE1782" i="1"/>
  <c r="AE1783" i="1"/>
  <c r="AE1784" i="1"/>
  <c r="AE1785" i="1"/>
  <c r="AE1786" i="1"/>
  <c r="AE1787" i="1"/>
  <c r="AE1788" i="1"/>
  <c r="AE1789" i="1"/>
  <c r="AE1790" i="1"/>
  <c r="AE1791" i="1"/>
  <c r="AE1792" i="1"/>
  <c r="AE1793" i="1"/>
  <c r="AE1794" i="1"/>
  <c r="AE1795" i="1"/>
  <c r="AE1796" i="1"/>
  <c r="AE1797" i="1"/>
  <c r="AE1798" i="1"/>
  <c r="AE1799" i="1"/>
  <c r="AE1800" i="1"/>
  <c r="AE1801" i="1"/>
  <c r="AE1802" i="1"/>
  <c r="AE1803" i="1"/>
  <c r="AE1804" i="1"/>
  <c r="AE1805" i="1"/>
  <c r="AE1806" i="1"/>
  <c r="AE1807" i="1"/>
  <c r="AE1808" i="1"/>
  <c r="AE1809" i="1"/>
  <c r="AE1810" i="1"/>
  <c r="AE1811" i="1"/>
  <c r="AE1812" i="1"/>
  <c r="AE1813" i="1"/>
  <c r="AE1814" i="1"/>
  <c r="AE1815" i="1"/>
  <c r="AE1816" i="1"/>
  <c r="AE1817" i="1"/>
  <c r="AE1818" i="1"/>
  <c r="AE1819" i="1"/>
  <c r="AE1820" i="1"/>
  <c r="AE1821" i="1"/>
  <c r="AE1822" i="1"/>
  <c r="AE1823" i="1"/>
  <c r="AE1824" i="1"/>
  <c r="AE1825" i="1"/>
  <c r="AE1826" i="1"/>
  <c r="AE1827" i="1"/>
  <c r="AE1828" i="1"/>
  <c r="AE1829" i="1"/>
  <c r="AE1830" i="1"/>
  <c r="AE1831" i="1"/>
  <c r="AE1832" i="1"/>
  <c r="AE1833" i="1"/>
  <c r="AE1834" i="1"/>
  <c r="AE1835" i="1"/>
  <c r="AE1836" i="1"/>
  <c r="AE1837" i="1"/>
  <c r="AE1838" i="1"/>
  <c r="AE1839" i="1"/>
  <c r="AE1840" i="1"/>
  <c r="AE1841" i="1"/>
  <c r="AE1842" i="1"/>
  <c r="AE1843" i="1"/>
  <c r="AE1844" i="1"/>
  <c r="AE1845" i="1"/>
  <c r="AE1846" i="1"/>
  <c r="AE1847" i="1"/>
  <c r="AE1848" i="1"/>
  <c r="AE1849" i="1"/>
  <c r="AE1850" i="1"/>
  <c r="AE1851" i="1"/>
  <c r="AE1852" i="1"/>
  <c r="AE1853" i="1"/>
  <c r="AE1854" i="1"/>
  <c r="AE1855" i="1"/>
  <c r="AE1856" i="1"/>
  <c r="AE1857" i="1"/>
  <c r="AE1858" i="1"/>
  <c r="AE1859" i="1"/>
  <c r="AE1860" i="1"/>
  <c r="AE1861" i="1"/>
  <c r="AE1862" i="1"/>
  <c r="AE1863" i="1"/>
  <c r="AE1864" i="1"/>
  <c r="AE1865" i="1"/>
  <c r="AE1866" i="1"/>
  <c r="AE1867" i="1"/>
  <c r="AE1868" i="1"/>
  <c r="AE1869" i="1"/>
  <c r="AE1870" i="1"/>
  <c r="AE1871" i="1"/>
  <c r="AE1872" i="1"/>
  <c r="AE1873" i="1"/>
  <c r="AE1874" i="1"/>
  <c r="AE1875" i="1"/>
  <c r="AE1876" i="1"/>
  <c r="AE1877" i="1"/>
  <c r="AE1878" i="1"/>
  <c r="AE1879" i="1"/>
  <c r="AE1880" i="1"/>
  <c r="AE1881" i="1"/>
  <c r="AE1882" i="1"/>
  <c r="AE1883" i="1"/>
  <c r="AE1884" i="1"/>
  <c r="AE1885" i="1"/>
  <c r="AE1886" i="1"/>
  <c r="AE1887" i="1"/>
  <c r="AE1888" i="1"/>
  <c r="AE1889" i="1"/>
  <c r="AE1890" i="1"/>
  <c r="AE1891" i="1"/>
  <c r="AE1892" i="1"/>
  <c r="AE1893" i="1"/>
  <c r="AE1894" i="1"/>
  <c r="AE1895" i="1"/>
  <c r="AE1896" i="1"/>
  <c r="AE1897" i="1"/>
  <c r="AE1898" i="1"/>
  <c r="AE1899" i="1"/>
  <c r="AE1900" i="1"/>
  <c r="AE1901" i="1"/>
  <c r="AE1902" i="1"/>
  <c r="AE1903" i="1"/>
  <c r="AE1904" i="1"/>
  <c r="AE1905" i="1"/>
  <c r="AE1906" i="1"/>
  <c r="AE1907" i="1"/>
  <c r="AE1908" i="1"/>
  <c r="AE1909" i="1"/>
  <c r="AE1910" i="1"/>
  <c r="AE1911" i="1"/>
  <c r="AE1912" i="1"/>
  <c r="AE1913" i="1"/>
  <c r="AE1914" i="1"/>
  <c r="AE1915" i="1"/>
  <c r="AE1916" i="1"/>
  <c r="AE1917" i="1"/>
  <c r="AE1918" i="1"/>
  <c r="AE1919" i="1"/>
  <c r="AE1920" i="1"/>
  <c r="AE1921" i="1"/>
  <c r="AE1922" i="1"/>
  <c r="AE1923" i="1"/>
  <c r="AE1924" i="1"/>
  <c r="AE1925" i="1"/>
  <c r="AE1926" i="1"/>
  <c r="AE1927" i="1"/>
  <c r="AE1928" i="1"/>
  <c r="AE1929" i="1"/>
  <c r="AE1930" i="1"/>
  <c r="AE1931" i="1"/>
  <c r="AE1932" i="1"/>
  <c r="AE1933" i="1"/>
  <c r="AE1934" i="1"/>
  <c r="AE1935" i="1"/>
  <c r="AE1936" i="1"/>
  <c r="AE1937" i="1"/>
  <c r="AE1938" i="1"/>
  <c r="AE1939" i="1"/>
  <c r="AE1940" i="1"/>
  <c r="AE1941" i="1"/>
  <c r="AE1942" i="1"/>
  <c r="AE1943" i="1"/>
  <c r="AE1944" i="1"/>
  <c r="AE1945" i="1"/>
  <c r="AE1946" i="1"/>
  <c r="AE1947" i="1"/>
  <c r="AE1948" i="1"/>
  <c r="AE1949" i="1"/>
  <c r="AE1950" i="1"/>
  <c r="AE1951" i="1"/>
  <c r="AE1952" i="1"/>
  <c r="AE1953" i="1"/>
  <c r="AE1954" i="1"/>
  <c r="AE1955" i="1"/>
  <c r="AE1956" i="1"/>
  <c r="AE1957" i="1"/>
  <c r="AE1958" i="1"/>
  <c r="AE1959" i="1"/>
  <c r="AE1960" i="1"/>
  <c r="AE1961" i="1"/>
  <c r="AE1962" i="1"/>
  <c r="AE1963" i="1"/>
  <c r="AE1964" i="1"/>
  <c r="AE1965" i="1"/>
  <c r="AE1966" i="1"/>
  <c r="AE1967" i="1"/>
  <c r="AE1968" i="1"/>
  <c r="AE1969" i="1"/>
  <c r="AE1970" i="1"/>
  <c r="AE1971" i="1"/>
  <c r="AE1972" i="1"/>
  <c r="AE1973" i="1"/>
  <c r="AE1974" i="1"/>
  <c r="AE1975" i="1"/>
  <c r="AE1976" i="1"/>
  <c r="AE1977" i="1"/>
  <c r="AE1978" i="1"/>
  <c r="AE1979" i="1"/>
  <c r="AE1980" i="1"/>
  <c r="AE1981" i="1"/>
  <c r="AE1982" i="1"/>
  <c r="AE1983" i="1"/>
  <c r="AE1984" i="1"/>
  <c r="AE1985" i="1"/>
  <c r="AE1986" i="1"/>
  <c r="AE1987" i="1"/>
  <c r="AE1988" i="1"/>
  <c r="AE1989" i="1"/>
  <c r="AE1990" i="1"/>
  <c r="AE1991" i="1"/>
  <c r="AE1992" i="1"/>
  <c r="AE1993" i="1"/>
  <c r="AE1994" i="1"/>
  <c r="AE1995" i="1"/>
  <c r="AE1996" i="1"/>
  <c r="AE1997" i="1"/>
  <c r="AE1998" i="1"/>
  <c r="AE1999" i="1"/>
  <c r="AE2000" i="1"/>
  <c r="AE2001" i="1"/>
  <c r="AE2002" i="1"/>
  <c r="AE2003" i="1"/>
  <c r="AE2004" i="1"/>
  <c r="AE2005" i="1"/>
  <c r="AE2006" i="1"/>
  <c r="AE2007" i="1"/>
  <c r="AE2008" i="1"/>
  <c r="AE2009" i="1"/>
  <c r="AE2010" i="1"/>
  <c r="AE2011" i="1"/>
  <c r="AE2012" i="1"/>
  <c r="AE2013" i="1"/>
  <c r="AE2014" i="1"/>
  <c r="AE2015" i="1"/>
  <c r="AE2016" i="1"/>
  <c r="AE2017" i="1"/>
  <c r="AE2018" i="1"/>
  <c r="AE2019" i="1"/>
  <c r="AE2020" i="1"/>
  <c r="AE2021" i="1"/>
  <c r="AE2022" i="1"/>
  <c r="AE2023" i="1"/>
  <c r="AE2024" i="1"/>
  <c r="AE2025" i="1"/>
  <c r="AE2026" i="1"/>
  <c r="AE2027" i="1"/>
  <c r="AE2028" i="1"/>
  <c r="AE2029" i="1"/>
  <c r="AE2030" i="1"/>
  <c r="AE2031" i="1"/>
  <c r="AE2032" i="1"/>
  <c r="AE2033" i="1"/>
  <c r="AE2034" i="1"/>
  <c r="AE2035" i="1"/>
  <c r="AE2036" i="1"/>
  <c r="AE2037" i="1"/>
  <c r="AE2038" i="1"/>
  <c r="AE2039" i="1"/>
  <c r="AE2040" i="1"/>
  <c r="AE2041" i="1"/>
  <c r="AE2042" i="1"/>
  <c r="AE2043" i="1"/>
  <c r="AE2044" i="1"/>
  <c r="AE2045" i="1"/>
  <c r="AE2046" i="1"/>
  <c r="AE2047" i="1"/>
  <c r="AE2048" i="1"/>
  <c r="AE2049" i="1"/>
  <c r="AE2050" i="1"/>
  <c r="AE2051" i="1"/>
  <c r="AE2052" i="1"/>
  <c r="AE2053" i="1"/>
  <c r="AE2054" i="1"/>
  <c r="AE2055" i="1"/>
  <c r="AE2056" i="1"/>
  <c r="AE2057" i="1"/>
  <c r="AE2058" i="1"/>
  <c r="AE2059" i="1"/>
  <c r="AE2060" i="1"/>
  <c r="AE2061" i="1"/>
  <c r="AE2062" i="1"/>
  <c r="AE2063" i="1"/>
  <c r="AE2064" i="1"/>
  <c r="AE2065" i="1"/>
  <c r="AE2066" i="1"/>
  <c r="AE2067" i="1"/>
  <c r="AE2068" i="1"/>
  <c r="AE2069" i="1"/>
  <c r="AE2070" i="1"/>
  <c r="AE2071" i="1"/>
  <c r="AE2072" i="1"/>
  <c r="AE2073" i="1"/>
  <c r="AE2074" i="1"/>
  <c r="AE2075" i="1"/>
  <c r="AE2076" i="1"/>
  <c r="AE2077" i="1"/>
  <c r="AE2078" i="1"/>
  <c r="AE2079" i="1"/>
  <c r="AE2080" i="1"/>
  <c r="AE2081" i="1"/>
  <c r="AE2082" i="1"/>
  <c r="AE2083" i="1"/>
  <c r="AE2084" i="1"/>
  <c r="AE2085" i="1"/>
  <c r="AE2086" i="1"/>
  <c r="AE2087" i="1"/>
  <c r="AE2088" i="1"/>
  <c r="AE2089" i="1"/>
  <c r="AE2090" i="1"/>
  <c r="AE2091" i="1"/>
  <c r="AE2092" i="1"/>
  <c r="AE2093" i="1"/>
  <c r="AE2094" i="1"/>
  <c r="AE2095" i="1"/>
  <c r="AE2096" i="1"/>
  <c r="AE2097" i="1"/>
  <c r="AE2098" i="1"/>
  <c r="AE2099" i="1"/>
  <c r="AE2100" i="1"/>
  <c r="AE2101" i="1"/>
  <c r="AE2102" i="1"/>
  <c r="AE2103" i="1"/>
  <c r="AE2104" i="1"/>
  <c r="AE2105" i="1"/>
  <c r="AE2106" i="1"/>
  <c r="AE2107" i="1"/>
  <c r="AE2108" i="1"/>
  <c r="AE2109" i="1"/>
  <c r="AE2110" i="1"/>
  <c r="AE2111" i="1"/>
  <c r="AE2112" i="1"/>
  <c r="AE2113" i="1"/>
  <c r="AE2114" i="1"/>
  <c r="AE2115" i="1"/>
  <c r="AE2116" i="1"/>
  <c r="AE2117" i="1"/>
  <c r="AE2118" i="1"/>
  <c r="AE2119" i="1"/>
  <c r="AE2120" i="1"/>
  <c r="AE2121" i="1"/>
  <c r="AE2122" i="1"/>
  <c r="AE2123" i="1"/>
  <c r="AE2124" i="1"/>
  <c r="AE2125" i="1"/>
  <c r="AE2126" i="1"/>
  <c r="AE2127" i="1"/>
  <c r="AE2128" i="1"/>
  <c r="AE2129" i="1"/>
  <c r="AE2130" i="1"/>
  <c r="AE2131" i="1"/>
  <c r="AE2132" i="1"/>
  <c r="AE2133" i="1"/>
  <c r="AE2134" i="1"/>
  <c r="AE2135" i="1"/>
  <c r="AE2136" i="1"/>
  <c r="AE2137" i="1"/>
  <c r="AE2138" i="1"/>
  <c r="AE2139" i="1"/>
  <c r="AE2140" i="1"/>
  <c r="AE2141" i="1"/>
  <c r="AE2142" i="1"/>
  <c r="AE2143" i="1"/>
  <c r="AE2144" i="1"/>
  <c r="AE2145" i="1"/>
  <c r="AE2146" i="1"/>
  <c r="AE2147" i="1"/>
  <c r="AE2148" i="1"/>
  <c r="AE2149" i="1"/>
  <c r="AE2150" i="1"/>
  <c r="AE2151" i="1"/>
  <c r="AE2152" i="1"/>
  <c r="AE2153" i="1"/>
  <c r="AE2154" i="1"/>
  <c r="AE2155" i="1"/>
  <c r="AE2156" i="1"/>
  <c r="AE2157" i="1"/>
  <c r="AE2158" i="1"/>
  <c r="AE2159" i="1"/>
  <c r="AE2160" i="1"/>
  <c r="AE2161" i="1"/>
  <c r="AE2162" i="1"/>
  <c r="AE2163" i="1"/>
  <c r="AE2164" i="1"/>
  <c r="AE2165" i="1"/>
  <c r="AE2166" i="1"/>
  <c r="AE2167" i="1"/>
  <c r="AE2168" i="1"/>
  <c r="AE2169" i="1"/>
  <c r="AE2170" i="1"/>
  <c r="AE2171" i="1"/>
  <c r="AE2172" i="1"/>
  <c r="AE2173" i="1"/>
  <c r="AE2174" i="1"/>
  <c r="AE2175" i="1"/>
  <c r="AE2176" i="1"/>
  <c r="AE2177" i="1"/>
  <c r="AE2178" i="1"/>
  <c r="AE2179" i="1"/>
  <c r="AE2180" i="1"/>
  <c r="AE2181" i="1"/>
  <c r="AE2182" i="1"/>
  <c r="AE2183" i="1"/>
  <c r="AE2184" i="1"/>
  <c r="AE2185" i="1"/>
  <c r="AE2186" i="1"/>
  <c r="AE2187" i="1"/>
  <c r="AE2188" i="1"/>
  <c r="AE2189" i="1"/>
  <c r="AE2190" i="1"/>
  <c r="AE2191" i="1"/>
  <c r="AE2192" i="1"/>
  <c r="AE2193" i="1"/>
  <c r="AE2194" i="1"/>
  <c r="AE2195" i="1"/>
  <c r="AE2196" i="1"/>
  <c r="AE2197" i="1"/>
  <c r="AE2198" i="1"/>
  <c r="AE2199" i="1"/>
  <c r="AE2200" i="1"/>
  <c r="AE2201" i="1"/>
  <c r="AE2202" i="1"/>
  <c r="AE2203" i="1"/>
  <c r="AE2204" i="1"/>
  <c r="AE2205" i="1"/>
  <c r="AE2206" i="1"/>
  <c r="AE2207" i="1"/>
  <c r="AE2208" i="1"/>
  <c r="AE2209" i="1"/>
  <c r="AE2210" i="1"/>
  <c r="AE2211" i="1"/>
  <c r="AE2212" i="1"/>
  <c r="AE2213" i="1"/>
  <c r="AE2214" i="1"/>
  <c r="AE2215" i="1"/>
  <c r="AE2216" i="1"/>
  <c r="AE2217" i="1"/>
  <c r="AE2218" i="1"/>
  <c r="AE2219" i="1"/>
  <c r="AE2220" i="1"/>
  <c r="AE2221" i="1"/>
  <c r="AE2222" i="1"/>
  <c r="AE2223" i="1"/>
  <c r="AE2224" i="1"/>
  <c r="AE2225" i="1"/>
  <c r="AE2226" i="1"/>
  <c r="AE2227" i="1"/>
  <c r="AE2228" i="1"/>
  <c r="AE2229" i="1"/>
  <c r="AE2230" i="1"/>
  <c r="AE2231" i="1"/>
  <c r="AE2232" i="1"/>
  <c r="AE2233" i="1"/>
  <c r="AE2234" i="1"/>
  <c r="AE2235" i="1"/>
  <c r="AE2236" i="1"/>
  <c r="AE2237" i="1"/>
  <c r="AE2238" i="1"/>
  <c r="AE2239" i="1"/>
  <c r="AE2240" i="1"/>
  <c r="AE2241" i="1"/>
  <c r="AE2242" i="1"/>
  <c r="AE2243" i="1"/>
  <c r="AE2244" i="1"/>
  <c r="AE2245" i="1"/>
  <c r="AE2246" i="1"/>
  <c r="AE2247" i="1"/>
  <c r="AE2248" i="1"/>
  <c r="AE2249" i="1"/>
  <c r="AE2250" i="1"/>
  <c r="AE2251" i="1"/>
  <c r="AE2252" i="1"/>
  <c r="AE2253" i="1"/>
  <c r="AE2254" i="1"/>
  <c r="AE2255" i="1"/>
  <c r="AE2256" i="1"/>
  <c r="AE2257" i="1"/>
  <c r="AE2258" i="1"/>
  <c r="AE2259" i="1"/>
  <c r="AE2260" i="1"/>
  <c r="AE2261" i="1"/>
  <c r="AE2262" i="1"/>
  <c r="AE2263" i="1"/>
  <c r="AE2264" i="1"/>
  <c r="AE2265" i="1"/>
  <c r="AE2266" i="1"/>
  <c r="AE2267" i="1"/>
  <c r="AE2268" i="1"/>
  <c r="AE2269" i="1"/>
  <c r="AE2270" i="1"/>
  <c r="AE2271" i="1"/>
  <c r="AE2272" i="1"/>
  <c r="AE2273" i="1"/>
  <c r="AE2274" i="1"/>
  <c r="AE2275" i="1"/>
  <c r="AE2276" i="1"/>
  <c r="AE2277" i="1"/>
  <c r="AE2278" i="1"/>
  <c r="AE2279" i="1"/>
  <c r="AE2280" i="1"/>
  <c r="AE2281" i="1"/>
  <c r="AE2282" i="1"/>
  <c r="AE2283" i="1"/>
  <c r="AE2284" i="1"/>
  <c r="AE2285" i="1"/>
  <c r="AE2286" i="1"/>
  <c r="AE2287" i="1"/>
  <c r="AE2288" i="1"/>
  <c r="AE2289" i="1"/>
  <c r="AE2290" i="1"/>
  <c r="AE2291" i="1"/>
  <c r="AE2292" i="1"/>
  <c r="AE2293" i="1"/>
  <c r="AE2294" i="1"/>
  <c r="AE2295" i="1"/>
  <c r="AE2296" i="1"/>
  <c r="AE2297" i="1"/>
  <c r="AE2298" i="1"/>
  <c r="AE2299" i="1"/>
  <c r="AE2300" i="1"/>
  <c r="AE2301" i="1"/>
  <c r="AE2302" i="1"/>
  <c r="AE2303" i="1"/>
  <c r="AE2304" i="1"/>
  <c r="AE2305" i="1"/>
  <c r="AE2306" i="1"/>
  <c r="AE2307" i="1"/>
  <c r="AE2308" i="1"/>
  <c r="AE2309" i="1"/>
  <c r="AE2310" i="1"/>
  <c r="AE2311" i="1"/>
  <c r="AE2312" i="1"/>
  <c r="AE2313" i="1"/>
  <c r="AE2314" i="1"/>
  <c r="AE2315" i="1"/>
  <c r="AE2316" i="1"/>
  <c r="AE2317" i="1"/>
  <c r="AE2318" i="1"/>
  <c r="AE2319" i="1"/>
  <c r="AE2320" i="1"/>
  <c r="AE2321" i="1"/>
  <c r="AE2322" i="1"/>
  <c r="AE2323" i="1"/>
  <c r="AE2324" i="1"/>
  <c r="AE2325" i="1"/>
  <c r="AE2326" i="1"/>
  <c r="AE2327" i="1"/>
  <c r="AE2328" i="1"/>
  <c r="AE2329" i="1"/>
  <c r="AE2330" i="1"/>
  <c r="AE2331" i="1"/>
  <c r="AE2332" i="1"/>
  <c r="AE2333" i="1"/>
  <c r="AE2334" i="1"/>
  <c r="AE2335" i="1"/>
  <c r="AE2336" i="1"/>
  <c r="AE2337" i="1"/>
  <c r="AE2338" i="1"/>
  <c r="AE2339" i="1"/>
  <c r="AE2340" i="1"/>
  <c r="AE2341" i="1"/>
  <c r="AE2342" i="1"/>
  <c r="AE2343" i="1"/>
  <c r="AE2344" i="1"/>
  <c r="AE2345" i="1"/>
  <c r="AE2346" i="1"/>
  <c r="AE2347" i="1"/>
  <c r="AE2348" i="1"/>
  <c r="AE2349" i="1"/>
  <c r="AE2350" i="1"/>
  <c r="AE2351" i="1"/>
  <c r="AE2352" i="1"/>
  <c r="AE2353" i="1"/>
  <c r="AE2354" i="1"/>
  <c r="AE2355" i="1"/>
  <c r="AE2356" i="1"/>
  <c r="AE2357" i="1"/>
  <c r="AE2358" i="1"/>
  <c r="AE2359" i="1"/>
  <c r="AE2360" i="1"/>
  <c r="AE2361" i="1"/>
  <c r="AE2362" i="1"/>
  <c r="AE2363" i="1"/>
  <c r="AE2364" i="1"/>
  <c r="AE2365" i="1"/>
  <c r="AE2366" i="1"/>
  <c r="AE2367" i="1"/>
  <c r="AE2368" i="1"/>
  <c r="AE2369" i="1"/>
  <c r="AE2370" i="1"/>
  <c r="AE2371" i="1"/>
  <c r="AE2372" i="1"/>
  <c r="AE2373" i="1"/>
  <c r="AE2374" i="1"/>
  <c r="AE2375" i="1"/>
  <c r="AE2376" i="1"/>
  <c r="AE2377" i="1"/>
  <c r="AE2378" i="1"/>
  <c r="AE2379" i="1"/>
  <c r="AE2380" i="1"/>
  <c r="AE2381" i="1"/>
  <c r="AE2382" i="1"/>
  <c r="AE2383" i="1"/>
  <c r="AE2384" i="1"/>
  <c r="AE2385" i="1"/>
  <c r="AE2386" i="1"/>
  <c r="AE2387" i="1"/>
  <c r="AE2388" i="1"/>
  <c r="AE2389" i="1"/>
  <c r="AE2390" i="1"/>
  <c r="AE2391" i="1"/>
  <c r="AE2392" i="1"/>
  <c r="AE2393" i="1"/>
  <c r="AE2394" i="1"/>
  <c r="AE2395" i="1"/>
  <c r="AE2396" i="1"/>
  <c r="AE2397" i="1"/>
  <c r="AE2398" i="1"/>
  <c r="AE2399" i="1"/>
  <c r="AE2400" i="1"/>
  <c r="AE2401" i="1"/>
  <c r="AE2402" i="1"/>
  <c r="AE2403" i="1"/>
  <c r="AE2404" i="1"/>
  <c r="AE2405" i="1"/>
  <c r="AE2406" i="1"/>
  <c r="AE2407" i="1"/>
  <c r="AE2408" i="1"/>
  <c r="AE2409" i="1"/>
  <c r="AE2410" i="1"/>
  <c r="AE2411" i="1"/>
  <c r="AE2412" i="1"/>
  <c r="AE2413" i="1"/>
  <c r="AE2414" i="1"/>
  <c r="AE2415" i="1"/>
  <c r="AE2416" i="1"/>
  <c r="AE2417" i="1"/>
  <c r="AE2418" i="1"/>
  <c r="AE2419" i="1"/>
  <c r="AE2420" i="1"/>
  <c r="AE2421" i="1"/>
  <c r="AE2422" i="1"/>
  <c r="AE2423" i="1"/>
  <c r="AE2424" i="1"/>
  <c r="AE2425" i="1"/>
  <c r="AE2426" i="1"/>
  <c r="AE2427" i="1"/>
  <c r="AE2428" i="1"/>
  <c r="AE2429" i="1"/>
  <c r="AE2430" i="1"/>
  <c r="AE2431" i="1"/>
  <c r="AE2432" i="1"/>
  <c r="AE2433" i="1"/>
  <c r="AE2434" i="1"/>
  <c r="AE2435" i="1"/>
  <c r="AE2436" i="1"/>
  <c r="AE2437" i="1"/>
  <c r="AE2438" i="1"/>
  <c r="AE2439" i="1"/>
  <c r="AE2440" i="1"/>
  <c r="AE2441" i="1"/>
  <c r="AE2442" i="1"/>
  <c r="AE2443" i="1"/>
  <c r="AE2444" i="1"/>
  <c r="AE2445" i="1"/>
  <c r="AE2446" i="1"/>
  <c r="AE2447" i="1"/>
  <c r="AE2448" i="1"/>
  <c r="AE2449" i="1"/>
  <c r="AE2450" i="1"/>
  <c r="AE2451" i="1"/>
  <c r="AE2452" i="1"/>
  <c r="AE2453" i="1"/>
  <c r="AE2454" i="1"/>
  <c r="AE2455" i="1"/>
  <c r="AE2456" i="1"/>
  <c r="AE2457" i="1"/>
  <c r="AE2458" i="1"/>
  <c r="AE2459" i="1"/>
  <c r="AE2460" i="1"/>
  <c r="AE2461" i="1"/>
  <c r="AE2462" i="1"/>
  <c r="AE2463" i="1"/>
  <c r="AE2464" i="1"/>
  <c r="AE2465" i="1"/>
  <c r="AE2466" i="1"/>
  <c r="AE2467" i="1"/>
  <c r="AE2468" i="1"/>
  <c r="AE2469" i="1"/>
  <c r="AE2470" i="1"/>
  <c r="AE2471" i="1"/>
  <c r="AE2472" i="1"/>
  <c r="AE2473" i="1"/>
  <c r="AE2474" i="1"/>
  <c r="AE2475" i="1"/>
  <c r="AE2476" i="1"/>
  <c r="AE2477" i="1"/>
  <c r="AE2478" i="1"/>
  <c r="AE2479" i="1"/>
  <c r="AE2480" i="1"/>
  <c r="AE2481" i="1"/>
  <c r="AE2482" i="1"/>
  <c r="AE2483" i="1"/>
  <c r="AE2484" i="1"/>
  <c r="AE2485" i="1"/>
  <c r="AE2486" i="1"/>
  <c r="AE2487" i="1"/>
  <c r="AE2488" i="1"/>
  <c r="AE2489" i="1"/>
  <c r="AE2490" i="1"/>
  <c r="AE2491" i="1"/>
  <c r="AE2492" i="1"/>
  <c r="AE2493" i="1"/>
  <c r="AE2494" i="1"/>
  <c r="AE2495" i="1"/>
  <c r="AE2496" i="1"/>
  <c r="AE2497" i="1"/>
  <c r="AE2498" i="1"/>
  <c r="AE2499" i="1"/>
  <c r="AE2500" i="1"/>
  <c r="AE2501" i="1"/>
  <c r="AE2502" i="1"/>
  <c r="AE2503" i="1"/>
  <c r="AE2504" i="1"/>
  <c r="AE2505" i="1"/>
  <c r="AE2506" i="1"/>
  <c r="AE2507" i="1"/>
  <c r="AE2508" i="1"/>
  <c r="AE2509" i="1"/>
  <c r="AE2510" i="1"/>
  <c r="AE2511" i="1"/>
  <c r="AE2512" i="1"/>
  <c r="AE2513" i="1"/>
  <c r="AE2514" i="1"/>
  <c r="AE2515" i="1"/>
  <c r="AE2516" i="1"/>
  <c r="AE2517" i="1"/>
  <c r="AE2518" i="1"/>
  <c r="AE2519" i="1"/>
  <c r="AE2520" i="1"/>
  <c r="AE2521" i="1"/>
  <c r="AE2522" i="1"/>
  <c r="AE2523" i="1"/>
  <c r="AE2524" i="1"/>
  <c r="AE2525" i="1"/>
  <c r="AE2526" i="1"/>
  <c r="AE2527" i="1"/>
  <c r="AE2528" i="1"/>
  <c r="AE2529" i="1"/>
  <c r="AE2530" i="1"/>
  <c r="AE2531" i="1"/>
  <c r="AE2532" i="1"/>
  <c r="AE2533" i="1"/>
  <c r="AE2534" i="1"/>
  <c r="AE2535" i="1"/>
  <c r="AE2536" i="1"/>
  <c r="AE2537" i="1"/>
  <c r="AE2538" i="1"/>
  <c r="AE2539" i="1"/>
  <c r="AE2540" i="1"/>
  <c r="AE2541" i="1"/>
  <c r="AE2542" i="1"/>
  <c r="AE2543" i="1"/>
  <c r="AE2544" i="1"/>
  <c r="AE2545" i="1"/>
  <c r="AE2546" i="1"/>
  <c r="AE2547" i="1"/>
  <c r="AE2548" i="1"/>
  <c r="AE2549" i="1"/>
  <c r="AE2550" i="1"/>
  <c r="AE2551" i="1"/>
  <c r="AE2552" i="1"/>
  <c r="AE2553" i="1"/>
  <c r="AE2554" i="1"/>
  <c r="AE2555" i="1"/>
  <c r="AE2556" i="1"/>
  <c r="AE2557" i="1"/>
  <c r="AE2558" i="1"/>
  <c r="AE2559" i="1"/>
  <c r="AE2560" i="1"/>
  <c r="AE2561" i="1"/>
  <c r="AE2562" i="1"/>
  <c r="AE2563" i="1"/>
  <c r="AE2564" i="1"/>
  <c r="AE2565" i="1"/>
  <c r="AE2566" i="1"/>
  <c r="AE2567" i="1"/>
  <c r="AE2568" i="1"/>
  <c r="AE2569" i="1"/>
  <c r="AE2570" i="1"/>
  <c r="AE2571" i="1"/>
  <c r="AE2572" i="1"/>
  <c r="AE2573" i="1"/>
  <c r="AE2574" i="1"/>
  <c r="AE2575" i="1"/>
  <c r="AE2576" i="1"/>
  <c r="AE2577" i="1"/>
  <c r="AE2578" i="1"/>
  <c r="AE2579" i="1"/>
  <c r="AE2580" i="1"/>
  <c r="AE2581" i="1"/>
  <c r="AE2582" i="1"/>
  <c r="AE2583" i="1"/>
  <c r="AE2584" i="1"/>
  <c r="AE2585" i="1"/>
  <c r="AE2586" i="1"/>
  <c r="AE2587" i="1"/>
  <c r="AE2588" i="1"/>
  <c r="AE2589" i="1"/>
  <c r="AE2590" i="1"/>
  <c r="AE2591" i="1"/>
  <c r="AE2592" i="1"/>
  <c r="AE2593" i="1"/>
  <c r="AE2594" i="1"/>
  <c r="AE2595" i="1"/>
  <c r="AE2596" i="1"/>
  <c r="AE2597" i="1"/>
  <c r="AE2598" i="1"/>
  <c r="AE2599" i="1"/>
  <c r="AE2600" i="1"/>
  <c r="AE2601" i="1"/>
  <c r="AE2602" i="1"/>
  <c r="AE2603" i="1"/>
  <c r="AE2604" i="1"/>
  <c r="AE2605" i="1"/>
  <c r="AE2606" i="1"/>
  <c r="AE2607" i="1"/>
  <c r="AE2608" i="1"/>
  <c r="AE2609" i="1"/>
  <c r="AE2610" i="1"/>
  <c r="AE2611" i="1"/>
  <c r="AE2612" i="1"/>
  <c r="AE2613" i="1"/>
  <c r="AE2614" i="1"/>
  <c r="AE2615" i="1"/>
  <c r="AE2616" i="1"/>
  <c r="AE2617" i="1"/>
  <c r="AE2618" i="1"/>
  <c r="AE2619" i="1"/>
  <c r="AE2620" i="1"/>
  <c r="AE2621" i="1"/>
  <c r="AE2622" i="1"/>
  <c r="AE2623" i="1"/>
  <c r="AE2624" i="1"/>
  <c r="AE2625" i="1"/>
  <c r="AE2626" i="1"/>
  <c r="AE2627" i="1"/>
  <c r="AE2628" i="1"/>
  <c r="AE2629" i="1"/>
  <c r="AE2630" i="1"/>
  <c r="AE2631" i="1"/>
  <c r="AE2632" i="1"/>
  <c r="AE2633" i="1"/>
  <c r="AE2634" i="1"/>
  <c r="AE2635" i="1"/>
  <c r="AE2636" i="1"/>
  <c r="AE2637" i="1"/>
  <c r="AE2638" i="1"/>
  <c r="AE2639" i="1"/>
  <c r="AE2640" i="1"/>
  <c r="AE2641" i="1"/>
  <c r="AE2642" i="1"/>
  <c r="AE2643" i="1"/>
  <c r="AE2644" i="1"/>
  <c r="AE2645" i="1"/>
  <c r="AE2646" i="1"/>
  <c r="AE2647" i="1"/>
  <c r="AE2648" i="1"/>
  <c r="AE2649" i="1"/>
  <c r="AE2650" i="1"/>
  <c r="AE2651" i="1"/>
  <c r="AE2652" i="1"/>
  <c r="AE2653" i="1"/>
  <c r="AE2654" i="1"/>
  <c r="AE2655" i="1"/>
  <c r="AE2656" i="1"/>
  <c r="AE2657" i="1"/>
  <c r="AE2658" i="1"/>
  <c r="AE2659" i="1"/>
  <c r="AE2660" i="1"/>
  <c r="AE2661" i="1"/>
  <c r="AE2662" i="1"/>
  <c r="AE2663" i="1"/>
  <c r="AE2664" i="1"/>
  <c r="AE2665" i="1"/>
  <c r="AE2666" i="1"/>
  <c r="AE2667" i="1"/>
  <c r="AE2668" i="1"/>
  <c r="AE2669" i="1"/>
  <c r="AE2670" i="1"/>
  <c r="AE2671" i="1"/>
  <c r="AE2672" i="1"/>
  <c r="AE2673" i="1"/>
  <c r="AE2674" i="1"/>
  <c r="AE2675" i="1"/>
  <c r="AE2676" i="1"/>
  <c r="AE2677" i="1"/>
  <c r="AE2678" i="1"/>
  <c r="AE2679" i="1"/>
  <c r="AE2680" i="1"/>
  <c r="AE2681" i="1"/>
  <c r="AE2682" i="1"/>
  <c r="AE2683" i="1"/>
  <c r="AE2684" i="1"/>
  <c r="AE2685" i="1"/>
  <c r="AE2686" i="1"/>
  <c r="AE2687" i="1"/>
  <c r="AE2688" i="1"/>
  <c r="AE2689" i="1"/>
  <c r="AE2690" i="1"/>
  <c r="AE2691" i="1"/>
  <c r="AE2692" i="1"/>
  <c r="AE2693" i="1"/>
  <c r="AE2694" i="1"/>
  <c r="AE2695" i="1"/>
  <c r="AE2696" i="1"/>
  <c r="AE2697" i="1"/>
  <c r="AE2698" i="1"/>
  <c r="AE2699" i="1"/>
  <c r="AE2700" i="1"/>
  <c r="AE2701" i="1"/>
  <c r="AE2702" i="1"/>
  <c r="AE2703" i="1"/>
  <c r="AE2704" i="1"/>
  <c r="AE2705" i="1"/>
  <c r="AE2706" i="1"/>
  <c r="AE2707" i="1"/>
  <c r="AE2708" i="1"/>
  <c r="AE2709" i="1"/>
  <c r="AE2710" i="1"/>
  <c r="AE2711" i="1"/>
  <c r="AE2712" i="1"/>
  <c r="AE2713" i="1"/>
  <c r="AE2714" i="1"/>
  <c r="AE2715" i="1"/>
  <c r="AE2716" i="1"/>
  <c r="AE2717" i="1"/>
  <c r="AE2718" i="1"/>
  <c r="AE2719" i="1"/>
  <c r="AE2720" i="1"/>
  <c r="AE2721" i="1"/>
  <c r="AE2722" i="1"/>
  <c r="AE2723" i="1"/>
  <c r="AE2724" i="1"/>
  <c r="AE2725" i="1"/>
  <c r="AE2726" i="1"/>
  <c r="AE2727" i="1"/>
  <c r="AE2728" i="1"/>
  <c r="AE2729" i="1"/>
  <c r="AE2730" i="1"/>
  <c r="AE2731" i="1"/>
  <c r="AE2732" i="1"/>
  <c r="AE2733" i="1"/>
  <c r="AE2734" i="1"/>
  <c r="AE2735" i="1"/>
  <c r="AE2736" i="1"/>
  <c r="AE2737" i="1"/>
  <c r="AE2738" i="1"/>
  <c r="AE2739" i="1"/>
  <c r="AE2740" i="1"/>
  <c r="AE2741" i="1"/>
  <c r="AE2742" i="1"/>
  <c r="AE2743" i="1"/>
  <c r="AE2744" i="1"/>
  <c r="AE2745" i="1"/>
  <c r="AE2746" i="1"/>
  <c r="AE2747" i="1"/>
  <c r="AE2748" i="1"/>
  <c r="AE2749" i="1"/>
  <c r="AE2750" i="1"/>
  <c r="AE2751" i="1"/>
  <c r="AE2752" i="1"/>
  <c r="AE2753" i="1"/>
  <c r="AE2754" i="1"/>
  <c r="AE2755" i="1"/>
  <c r="AE2756" i="1"/>
  <c r="AE2757" i="1"/>
  <c r="AE2758" i="1"/>
  <c r="AE2759" i="1"/>
  <c r="AE2760" i="1"/>
  <c r="AE2761" i="1"/>
  <c r="AE2762" i="1"/>
  <c r="AE2763" i="1"/>
  <c r="AE2764" i="1"/>
  <c r="AE2765" i="1"/>
  <c r="AE2766" i="1"/>
  <c r="AE2767" i="1"/>
  <c r="AE2768" i="1"/>
  <c r="AE2769" i="1"/>
  <c r="AE2770" i="1"/>
  <c r="AE2771" i="1"/>
  <c r="AE2772" i="1"/>
  <c r="AE2773" i="1"/>
  <c r="AE2774" i="1"/>
  <c r="AE2775" i="1"/>
  <c r="AE2776" i="1"/>
  <c r="AE2777" i="1"/>
  <c r="AE2778" i="1"/>
  <c r="AE2779" i="1"/>
  <c r="AE2780" i="1"/>
  <c r="AE2781"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2804" i="1"/>
  <c r="AE2805" i="1"/>
  <c r="AE2806" i="1"/>
  <c r="AE2807" i="1"/>
  <c r="AE2808" i="1"/>
  <c r="AE2809" i="1"/>
  <c r="AE2810" i="1"/>
  <c r="AE2811" i="1"/>
  <c r="AE2812" i="1"/>
  <c r="AE2813" i="1"/>
  <c r="AE2814" i="1"/>
  <c r="AE2815" i="1"/>
  <c r="AE2816" i="1"/>
  <c r="AE2817" i="1"/>
  <c r="AE2818" i="1"/>
  <c r="AE2819" i="1"/>
  <c r="AE2820" i="1"/>
  <c r="AE2821" i="1"/>
  <c r="AE2822" i="1"/>
  <c r="AE2823" i="1"/>
  <c r="AE2824" i="1"/>
  <c r="AE2825" i="1"/>
  <c r="AE2826" i="1"/>
  <c r="AE2827" i="1"/>
  <c r="AE2828" i="1"/>
  <c r="AE2829" i="1"/>
  <c r="AE2830" i="1"/>
  <c r="AE2831" i="1"/>
  <c r="AE2832" i="1"/>
  <c r="AE2833" i="1"/>
  <c r="AE2834"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2859" i="1"/>
  <c r="AE2860" i="1"/>
  <c r="AE2861" i="1"/>
  <c r="AE2862" i="1"/>
  <c r="AE2863" i="1"/>
  <c r="AE2864" i="1"/>
  <c r="AE2865" i="1"/>
  <c r="AE2866" i="1"/>
  <c r="AE2867" i="1"/>
  <c r="AE2868" i="1"/>
  <c r="AE2869" i="1"/>
  <c r="AE2870" i="1"/>
  <c r="AE2871" i="1"/>
  <c r="AE2872" i="1"/>
  <c r="AE2873" i="1"/>
  <c r="AE2874" i="1"/>
  <c r="AE2875" i="1"/>
  <c r="AE2876" i="1"/>
  <c r="AE2877" i="1"/>
  <c r="AE2878" i="1"/>
  <c r="AE2879" i="1"/>
  <c r="AE2880" i="1"/>
  <c r="AE2881" i="1"/>
  <c r="AE2882" i="1"/>
  <c r="AE2883" i="1"/>
  <c r="AE2884" i="1"/>
  <c r="AE2885" i="1"/>
  <c r="AE2886" i="1"/>
  <c r="AE2887" i="1"/>
  <c r="AE2888" i="1"/>
  <c r="AE2889" i="1"/>
  <c r="AE2890" i="1"/>
  <c r="AE2891" i="1"/>
  <c r="AE2892" i="1"/>
  <c r="AE2893" i="1"/>
  <c r="AE2894" i="1"/>
  <c r="AE2895" i="1"/>
  <c r="AE2896" i="1"/>
  <c r="AE2897" i="1"/>
  <c r="AE2898" i="1"/>
  <c r="AE2899" i="1"/>
  <c r="AE2900" i="1"/>
  <c r="AE2901" i="1"/>
  <c r="AE2902" i="1"/>
  <c r="AE2903" i="1"/>
  <c r="AE2904" i="1"/>
  <c r="AE2905"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2929" i="1"/>
  <c r="AE2930" i="1"/>
  <c r="AE2931" i="1"/>
  <c r="AE2932" i="1"/>
  <c r="AE2933" i="1"/>
  <c r="AE2934" i="1"/>
  <c r="AE2935" i="1"/>
  <c r="AE2936" i="1"/>
  <c r="AE2937" i="1"/>
  <c r="AE2938" i="1"/>
  <c r="AE2939" i="1"/>
  <c r="AE2940" i="1"/>
  <c r="AE2941" i="1"/>
  <c r="AE2942" i="1"/>
  <c r="AE2943" i="1"/>
  <c r="AE2944" i="1"/>
  <c r="AE2945" i="1"/>
  <c r="AE2946" i="1"/>
  <c r="AE2947" i="1"/>
  <c r="AE2948" i="1"/>
  <c r="AE2949" i="1"/>
  <c r="AE2950" i="1"/>
  <c r="AE2951" i="1"/>
  <c r="AE2952" i="1"/>
  <c r="AE2953" i="1"/>
  <c r="AE2954" i="1"/>
  <c r="AE2955" i="1"/>
  <c r="AE2956" i="1"/>
  <c r="AE2957" i="1"/>
  <c r="AE2958" i="1"/>
  <c r="AE2959" i="1"/>
  <c r="AE2960" i="1"/>
  <c r="AE2961" i="1"/>
  <c r="AE2962" i="1"/>
  <c r="AE2963" i="1"/>
  <c r="AE2964" i="1"/>
  <c r="AE2965" i="1"/>
  <c r="AE2966" i="1"/>
  <c r="AE2967" i="1"/>
  <c r="AE2968" i="1"/>
  <c r="AE2969" i="1"/>
  <c r="AE2970" i="1"/>
  <c r="AE2971" i="1"/>
  <c r="AE2972" i="1"/>
  <c r="AE2973" i="1"/>
  <c r="AE2974" i="1"/>
  <c r="AE2975" i="1"/>
  <c r="AE2976" i="1"/>
  <c r="AE2977" i="1"/>
  <c r="AE2978" i="1"/>
  <c r="AE2979" i="1"/>
  <c r="AE2980" i="1"/>
  <c r="AE2981" i="1"/>
  <c r="AE2982" i="1"/>
  <c r="AE2983" i="1"/>
  <c r="AE2984" i="1"/>
  <c r="AE2985" i="1"/>
  <c r="AE2986" i="1"/>
  <c r="AE2987" i="1"/>
  <c r="AE2988" i="1"/>
  <c r="AE2989" i="1"/>
  <c r="AE2990" i="1"/>
  <c r="AE2991" i="1"/>
  <c r="AE2992" i="1"/>
  <c r="AE2993" i="1"/>
  <c r="AE2994" i="1"/>
  <c r="AE2995" i="1"/>
  <c r="AE2996" i="1"/>
  <c r="AE2997" i="1"/>
  <c r="AE2998" i="1"/>
  <c r="AE2999" i="1"/>
  <c r="AE3000" i="1"/>
  <c r="AE3001" i="1"/>
  <c r="AE2" i="1"/>
  <c r="T15" i="3"/>
  <c r="T13" i="3"/>
  <c r="U5" i="5"/>
  <c r="U13" i="3"/>
  <c r="M5" i="5" l="1"/>
</calcChain>
</file>

<file path=xl/sharedStrings.xml><?xml version="1.0" encoding="utf-8"?>
<sst xmlns="http://schemas.openxmlformats.org/spreadsheetml/2006/main" count="33242" uniqueCount="153">
  <si>
    <t>Session_ID</t>
  </si>
  <si>
    <t>Session_Date</t>
  </si>
  <si>
    <t>Station_ID</t>
  </si>
  <si>
    <t>Region</t>
  </si>
  <si>
    <t>City</t>
  </si>
  <si>
    <t>Station_Type</t>
  </si>
  <si>
    <t>Charger_Type</t>
  </si>
  <si>
    <t>Customer_Type</t>
  </si>
  <si>
    <t>Payment_Mode</t>
  </si>
  <si>
    <t>Energy_kWh</t>
  </si>
  <si>
    <t>Price_per_kWh</t>
  </si>
  <si>
    <t>Discount_%</t>
  </si>
  <si>
    <t>Discount_Amount</t>
  </si>
  <si>
    <t>Revenue</t>
  </si>
  <si>
    <t>Electricity_Cost</t>
  </si>
  <si>
    <t>Network_Cost</t>
  </si>
  <si>
    <t>Payment_Fee</t>
  </si>
  <si>
    <t>Maintenance_Cost</t>
  </si>
  <si>
    <t>Refund_Amount</t>
  </si>
  <si>
    <t>SLA_Penalty</t>
  </si>
  <si>
    <t>Total_Cost</t>
  </si>
  <si>
    <t>Profit</t>
  </si>
  <si>
    <t>Profit_Flag</t>
  </si>
  <si>
    <t>Session_Status</t>
  </si>
  <si>
    <t>Downtime_Min</t>
  </si>
  <si>
    <t>Queue_Min</t>
  </si>
  <si>
    <t>Downtime_Bucket</t>
  </si>
  <si>
    <t>SLA_Breached</t>
  </si>
  <si>
    <t>Support_Tickets</t>
  </si>
  <si>
    <t>Risk_Flag</t>
  </si>
  <si>
    <t>North</t>
  </si>
  <si>
    <t>Noida</t>
  </si>
  <si>
    <t>Mall</t>
  </si>
  <si>
    <t>DC_120kW</t>
  </si>
  <si>
    <t>Retail</t>
  </si>
  <si>
    <t>UPI</t>
  </si>
  <si>
    <t>Completed</t>
  </si>
  <si>
    <t>0-15</t>
  </si>
  <si>
    <t>No</t>
  </si>
  <si>
    <t>Healthy</t>
  </si>
  <si>
    <t>Delhi</t>
  </si>
  <si>
    <t>Residential</t>
  </si>
  <si>
    <t>Card</t>
  </si>
  <si>
    <t>30+</t>
  </si>
  <si>
    <t>Yes</t>
  </si>
  <si>
    <t>At Risk</t>
  </si>
  <si>
    <t>DC_30kW</t>
  </si>
  <si>
    <t>South</t>
  </si>
  <si>
    <t>Hyderabad</t>
  </si>
  <si>
    <t>Office Park</t>
  </si>
  <si>
    <t>DC_60kW</t>
  </si>
  <si>
    <t>RideShare</t>
  </si>
  <si>
    <t>16-30</t>
  </si>
  <si>
    <t>Bengaluru</t>
  </si>
  <si>
    <t>Wallet</t>
  </si>
  <si>
    <t>Failed</t>
  </si>
  <si>
    <t>Kochi</t>
  </si>
  <si>
    <t>Fleet</t>
  </si>
  <si>
    <t>Loss</t>
  </si>
  <si>
    <t>West</t>
  </si>
  <si>
    <t>Ahmedabad</t>
  </si>
  <si>
    <t>Highway Hub</t>
  </si>
  <si>
    <t>Chandigarh</t>
  </si>
  <si>
    <t>AC_7kW</t>
  </si>
  <si>
    <t>East</t>
  </si>
  <si>
    <t>Bhubaneswar</t>
  </si>
  <si>
    <t>Cancelled</t>
  </si>
  <si>
    <t>Guwahati</t>
  </si>
  <si>
    <t>Jaipur</t>
  </si>
  <si>
    <t>Fleet_Invoice</t>
  </si>
  <si>
    <t>Mumbai</t>
  </si>
  <si>
    <t>Fuel Station</t>
  </si>
  <si>
    <t>Gurugram</t>
  </si>
  <si>
    <t>Pune</t>
  </si>
  <si>
    <t>Chennai</t>
  </si>
  <si>
    <t>Kolkata</t>
  </si>
  <si>
    <t>Patna</t>
  </si>
  <si>
    <t>Section</t>
  </si>
  <si>
    <t>Item</t>
  </si>
  <si>
    <t>Notes</t>
  </si>
  <si>
    <t>Context</t>
  </si>
  <si>
    <t>Business</t>
  </si>
  <si>
    <t>EV charging network operations analytics</t>
  </si>
  <si>
    <t>Time period</t>
  </si>
  <si>
    <t>Oct-Dec 2025 (92 days)</t>
  </si>
  <si>
    <t>Granularity</t>
  </si>
  <si>
    <t>Each row = charging session</t>
  </si>
  <si>
    <t>KPIs</t>
  </si>
  <si>
    <t>Total Revenue</t>
  </si>
  <si>
    <t>Sum Revenue</t>
  </si>
  <si>
    <t>Total Profit</t>
  </si>
  <si>
    <t>Sum Profit</t>
  </si>
  <si>
    <t>Profit Margin %</t>
  </si>
  <si>
    <t>Profit/Revenue</t>
  </si>
  <si>
    <t>Sessions</t>
  </si>
  <si>
    <t>Count of Session_ID</t>
  </si>
  <si>
    <t>% SLA Breached</t>
  </si>
  <si>
    <t>% Yes in SLA_Breached</t>
  </si>
  <si>
    <t>Revenue at Risk (Refunds+Failed)</t>
  </si>
  <si>
    <t>Revenue linked to Failed/Cancelled + Refunds</t>
  </si>
  <si>
    <t>Segments</t>
  </si>
  <si>
    <t>Use slicers</t>
  </si>
  <si>
    <t>Station Type</t>
  </si>
  <si>
    <t>Charger Type</t>
  </si>
  <si>
    <t>Customer Type</t>
  </si>
  <si>
    <t>Core Questions</t>
  </si>
  <si>
    <t>Where are SLA breaches highest?</t>
  </si>
  <si>
    <t>By region/city/station type</t>
  </si>
  <si>
    <t>Is downtime driving loss-making sessions?</t>
  </si>
  <si>
    <t>Downtime_Bucket vs Profit</t>
  </si>
  <si>
    <t>Which station types need capacity expansion?</t>
  </si>
  <si>
    <t>Queue + tickets vs SLA</t>
  </si>
  <si>
    <t>Are discounts improving or hurting profit?</t>
  </si>
  <si>
    <t>Discount_% vs Profit Margin</t>
  </si>
  <si>
    <t>What should Ops Head fix in 7 days?</t>
  </si>
  <si>
    <t>Top 3 actions + owners</t>
  </si>
  <si>
    <t>Sum of Revenue</t>
  </si>
  <si>
    <t>Sum of Total_Cost</t>
  </si>
  <si>
    <t>Sum of Profit</t>
  </si>
  <si>
    <t>Sum of % SLA_Breached</t>
  </si>
  <si>
    <t>Grand Total</t>
  </si>
  <si>
    <t>SLA_Breached_Flag</t>
  </si>
  <si>
    <t>Sum of Profit_Margin %</t>
  </si>
  <si>
    <t>Station_type</t>
  </si>
  <si>
    <t>Charger_type</t>
  </si>
  <si>
    <t>Customer_type</t>
  </si>
  <si>
    <t>Discount %</t>
  </si>
  <si>
    <t>charger_type</t>
  </si>
  <si>
    <t xml:space="preserve">Region </t>
  </si>
  <si>
    <t>Station</t>
  </si>
  <si>
    <t>Charger</t>
  </si>
  <si>
    <t>Discount and Customer</t>
  </si>
  <si>
    <t>Sum of Downtime_Min</t>
  </si>
  <si>
    <t>Profit and Ops Performance Dashboard- EV Charging Network and Operations</t>
  </si>
  <si>
    <t>Total Cost</t>
  </si>
  <si>
    <t>Root Cause Hypotheses</t>
  </si>
  <si>
    <t>CEO Recommendations</t>
  </si>
  <si>
    <t>Recommendation | KPI Impact | Priority | Owner</t>
  </si>
  <si>
    <t>Revenue at Risk</t>
  </si>
  <si>
    <t>Session_status</t>
  </si>
  <si>
    <t>14.22 % Revenue is at risk due to Failed and Cancelled sessions.</t>
  </si>
  <si>
    <t>Charger AC_7kW at Residental and Fuel Station has highest Downtime.</t>
  </si>
  <si>
    <t>Discount rise from 10 to 20, erased profit from 68,000 to 15,000</t>
  </si>
  <si>
    <t>Insights</t>
  </si>
  <si>
    <t>High vehicle density leads to poor availibilty and failed/cancellations.</t>
  </si>
  <si>
    <t>Conduct Maintainance in phases |1.5 lakh revenue recovery | High | Ops Head</t>
  </si>
  <si>
    <t>Re-structure Pricing |Upto 50,000 profit increase | High | Finance Head</t>
  </si>
  <si>
    <t>Expand charging stations and manage sessions | Reduce Risk Revenue and SLA Breaches | High | Ops Head</t>
  </si>
  <si>
    <t>Conduct Maintanance for AC_7kW Charger | Adds 36,805 to Revenue | Medium| Ops Head</t>
  </si>
  <si>
    <t>Customers,after a certain point, don’t focus on discounts.</t>
  </si>
  <si>
    <t>System or maintainance issue leads to charger being unavailable</t>
  </si>
  <si>
    <t>Charging Stations may lack maintainance and purchase system may have error leading to failure/cancellations.</t>
  </si>
  <si>
    <t>Delhi and Mumbai have Highest SLA Breachesat 2.87 and 2.90 %.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</si>
</sst>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9" x14ac:knownFonts="1">
    <font>
      <sz val="11"/>
      <color theme="1"/>
      <name val="Calibri"/>
      <family val="2"/>
      <scheme val="minor"/>
    </font>
    <font>
      <b/>
      <sz val="11"/>
      <name val="Calibri"/>
    </font>
    <font>
      <sz val="11"/>
      <color theme="1"/>
      <name val="Calibri"/>
      <family val="2"/>
      <scheme val="minor"/>
    </font>
    <font>
      <b/>
      <sz val="11"/>
      <name val="Calibri"/>
      <family val="2"/>
    </font>
    <font>
      <b/>
      <sz val="14"/>
      <color theme="1"/>
      <name val="Calibri"/>
      <family val="2"/>
      <scheme val="minor"/>
    </font>
    <font>
      <b/>
      <sz val="16"/>
      <color theme="1"/>
      <name val="Calibri"/>
      <family val="2"/>
      <scheme val="minor"/>
    </font>
    <font>
      <b/>
      <sz val="11"/>
      <color theme="1"/>
      <name val="Calibri"/>
      <family val="2"/>
      <scheme val="minor"/>
    </font>
    <font>
      <b/>
      <i/>
      <sz val="22"/>
      <color theme="1"/>
      <name val="Calibri"/>
      <family val="2"/>
      <scheme val="minor"/>
    </font>
    <font>
      <sz val="24"/>
      <color theme="1"/>
      <name val="Calibri"/>
      <family val="2"/>
      <scheme val="minor"/>
    </font>
  </fonts>
  <fills count="5">
    <fill>
      <patternFill patternType="none"/>
    </fill>
    <fill>
      <patternFill patternType="gray125"/>
    </fill>
    <fill>
      <patternFill patternType="solid">
        <fgColor theme="6" tint="0.59999389629810485"/>
        <bgColor indexed="64"/>
      </patternFill>
    </fill>
    <fill>
      <patternFill patternType="solid">
        <fgColor theme="8" tint="0.59999389629810485"/>
        <bgColor indexed="64"/>
      </patternFill>
    </fill>
    <fill>
      <patternFill patternType="solid">
        <fgColor theme="9" tint="0.59999389629810485"/>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4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0" fillId="0" borderId="0" xfId="0" applyNumberFormat="1"/>
    <xf numFmtId="2" fontId="1" fillId="0" borderId="1" xfId="0" applyNumberFormat="1" applyFont="1" applyBorder="1" applyAlignment="1">
      <alignment horizontal="center" vertical="top"/>
    </xf>
    <xf numFmtId="1" fontId="1" fillId="0" borderId="1" xfId="0" applyNumberFormat="1" applyFont="1" applyBorder="1" applyAlignment="1">
      <alignment horizontal="center" vertical="top"/>
    </xf>
    <xf numFmtId="1" fontId="0" fillId="0" borderId="0" xfId="0" applyNumberFormat="1"/>
    <xf numFmtId="10"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0" fontId="3" fillId="0" borderId="2" xfId="0" applyFont="1" applyBorder="1" applyAlignment="1">
      <alignment horizontal="center" vertical="top"/>
    </xf>
    <xf numFmtId="10" fontId="0" fillId="0" borderId="0" xfId="0" applyNumberFormat="1"/>
    <xf numFmtId="164" fontId="0" fillId="0" borderId="0" xfId="0" pivotButton="1" applyNumberFormat="1"/>
    <xf numFmtId="164" fontId="0" fillId="0" borderId="0" xfId="0" applyNumberFormat="1" applyAlignment="1">
      <alignment horizontal="left"/>
    </xf>
    <xf numFmtId="0" fontId="4" fillId="0" borderId="0" xfId="0" applyFont="1"/>
    <xf numFmtId="0" fontId="0" fillId="0" borderId="0" xfId="0" applyAlignment="1">
      <alignment horizontal="center"/>
    </xf>
    <xf numFmtId="10" fontId="8" fillId="0" borderId="0" xfId="1" applyNumberFormat="1" applyFont="1" applyAlignment="1"/>
    <xf numFmtId="0" fontId="0" fillId="0" borderId="0" xfId="0" applyNumberFormat="1"/>
    <xf numFmtId="0" fontId="4" fillId="0" borderId="0" xfId="0" applyFont="1" applyAlignment="1">
      <alignment horizontal="center"/>
    </xf>
    <xf numFmtId="10" fontId="4" fillId="0" borderId="0" xfId="0" applyNumberFormat="1" applyFont="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7" fillId="3" borderId="7" xfId="0" applyFont="1" applyFill="1" applyBorder="1" applyAlignment="1">
      <alignment horizontal="center"/>
    </xf>
    <xf numFmtId="0" fontId="7" fillId="3" borderId="0" xfId="0" applyFont="1" applyFill="1" applyAlignment="1">
      <alignment horizontal="center"/>
    </xf>
    <xf numFmtId="164" fontId="5" fillId="3" borderId="7" xfId="2" applyNumberFormat="1" applyFont="1" applyFill="1" applyBorder="1" applyAlignment="1">
      <alignment horizontal="left" vertical="center" indent="1"/>
    </xf>
    <xf numFmtId="164" fontId="5" fillId="3" borderId="8" xfId="2" applyNumberFormat="1" applyFont="1" applyFill="1" applyBorder="1" applyAlignment="1">
      <alignment horizontal="left" vertical="center" indent="1"/>
    </xf>
    <xf numFmtId="164" fontId="5" fillId="3" borderId="5" xfId="2" applyNumberFormat="1" applyFont="1" applyFill="1" applyBorder="1" applyAlignment="1">
      <alignment horizontal="left" vertical="center" indent="1"/>
    </xf>
    <xf numFmtId="164" fontId="5" fillId="3" borderId="6" xfId="2" applyNumberFormat="1" applyFont="1" applyFill="1" applyBorder="1" applyAlignment="1">
      <alignment horizontal="left" vertical="center" indent="1"/>
    </xf>
    <xf numFmtId="164" fontId="5" fillId="4" borderId="7" xfId="2" applyNumberFormat="1" applyFont="1" applyFill="1" applyBorder="1" applyAlignment="1">
      <alignment horizontal="center" vertical="center"/>
    </xf>
    <xf numFmtId="164" fontId="5" fillId="4" borderId="8" xfId="2" applyNumberFormat="1" applyFont="1" applyFill="1" applyBorder="1" applyAlignment="1">
      <alignment horizontal="center" vertical="center"/>
    </xf>
    <xf numFmtId="164" fontId="5" fillId="4" borderId="5" xfId="2" applyNumberFormat="1" applyFont="1" applyFill="1" applyBorder="1" applyAlignment="1">
      <alignment horizontal="center" vertical="center"/>
    </xf>
    <xf numFmtId="164" fontId="5" fillId="4" borderId="6" xfId="2" applyNumberFormat="1" applyFont="1" applyFill="1" applyBorder="1" applyAlignment="1">
      <alignment horizontal="center" vertical="center"/>
    </xf>
    <xf numFmtId="10" fontId="5" fillId="3" borderId="7" xfId="1" applyNumberFormat="1" applyFont="1" applyFill="1" applyBorder="1" applyAlignment="1">
      <alignment horizontal="center" vertical="center"/>
    </xf>
    <xf numFmtId="10" fontId="5" fillId="3" borderId="8" xfId="1" applyNumberFormat="1" applyFont="1" applyFill="1" applyBorder="1" applyAlignment="1">
      <alignment horizontal="center" vertical="center"/>
    </xf>
    <xf numFmtId="10" fontId="5" fillId="3" borderId="5" xfId="1" applyNumberFormat="1" applyFont="1" applyFill="1" applyBorder="1" applyAlignment="1">
      <alignment horizontal="center" vertical="center"/>
    </xf>
    <xf numFmtId="10" fontId="5" fillId="3" borderId="6" xfId="1" applyNumberFormat="1" applyFont="1" applyFill="1" applyBorder="1" applyAlignment="1">
      <alignment horizontal="center" vertical="center"/>
    </xf>
    <xf numFmtId="10" fontId="5" fillId="3" borderId="7" xfId="0" applyNumberFormat="1" applyFont="1" applyFill="1" applyBorder="1" applyAlignment="1">
      <alignment horizontal="center" vertical="center"/>
    </xf>
    <xf numFmtId="10" fontId="5" fillId="3" borderId="8"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xf>
    <xf numFmtId="10" fontId="5" fillId="3" borderId="6" xfId="0" applyNumberFormat="1" applyFont="1" applyFill="1" applyBorder="1" applyAlignment="1">
      <alignment horizontal="center" vertical="center"/>
    </xf>
    <xf numFmtId="0" fontId="4" fillId="3" borderId="0" xfId="0" applyFont="1" applyFill="1" applyAlignment="1">
      <alignment horizontal="center"/>
    </xf>
    <xf numFmtId="0" fontId="6" fillId="0" borderId="0" xfId="0" applyFont="1" applyAlignment="1">
      <alignment horizontal="center"/>
    </xf>
  </cellXfs>
  <cellStyles count="3">
    <cellStyle name="Comma" xfId="2" builtinId="3"/>
    <cellStyle name="Normal" xfId="0" builtinId="0"/>
    <cellStyle name="Percent" xfId="1" builtinId="5"/>
  </cellStyles>
  <dxfs count="25">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
      <numFmt numFmtId="14" formatCode="0.00%"/>
    </dxf>
    <dxf>
      <numFmt numFmtId="14" formatCode="0.0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[EV_Charging_Ops_Project_2.xlsx]Pivot_Calculations!Region_revenue/profit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East is having lowest Profit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Pivot_Calculations!$C$7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Pivot_Calculations!$B$8:$B$12</c:f>
              <c:strCache>
                <c:ptCount val="4"/>
                <c:pt idx="0">
                  <c:v>East</c:v>
                </c:pt>
                <c:pt idx="1">
                  <c:v>North</c:v>
                </c:pt>
                <c:pt idx="2">
                  <c:v>South</c:v>
                </c:pt>
                <c:pt idx="3">
                  <c:v>West</c:v>
                </c:pt>
              </c:strCache>
            </c:strRef>
          </c:cat>
          <c:val>
            <c:numRef>
              <c:f>Pivot_Calculations!$C$8:$C$12</c:f>
              <c:numCache>
                <c:formatCode>_ * #,##0_ ;_ * \-#,##0_ ;_ * "-"??_ ;_ @_ </c:formatCode>
                <c:ptCount val="4"/>
                <c:pt idx="0">
                  <c:v>77356.240000000063</c:v>
                </c:pt>
                <c:pt idx="1">
                  <c:v>109143.89999999989</c:v>
                </c:pt>
                <c:pt idx="2">
                  <c:v>104354.0999999999</c:v>
                </c:pt>
                <c:pt idx="3">
                  <c:v>110269.73000000004</c:v>
                </c:pt>
              </c:numCache>
            </c:numRef>
          </c:val>
          <c:extLst>
            <c:ext xmlns:c16="http://schemas.microsoft.com/office/drawing/2014/chart" uri="{C3380CC4-5D6E-409C-BE32-E72D297353CC}">
              <c16:uniqueId val="{00000000-7DC4-4B34-823F-02801BC3717A}"/>
            </c:ext>
          </c:extLst>
        </c:ser>
        <c:dLbls>
          <c:dLblPos val="outEnd"/>
          <c:showLegendKey val="0"/>
          <c:showVal val="1"/>
          <c:showCatName val="0"/>
          <c:showSerName val="0"/>
          <c:showPercent val="0"/>
          <c:showBubbleSize val="0"/>
        </c:dLbls>
        <c:gapWidth val="219"/>
        <c:overlap val="-27"/>
        <c:axId val="2071025616"/>
        <c:axId val="2071026096"/>
      </c:barChart>
      <c:catAx>
        <c:axId val="207102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026096"/>
        <c:crosses val="autoZero"/>
        <c:auto val="1"/>
        <c:lblAlgn val="ctr"/>
        <c:lblOffset val="100"/>
        <c:noMultiLvlLbl val="0"/>
      </c:catAx>
      <c:valAx>
        <c:axId val="2071026096"/>
        <c:scaling>
          <c:orientation val="minMax"/>
        </c:scaling>
        <c:delete val="1"/>
        <c:axPos val="l"/>
        <c:numFmt formatCode="_ * #,##0_ ;_ * \-#,##0_ ;_ * &quot;-&quot;??_ ;_ @_ " sourceLinked="1"/>
        <c:majorTickMark val="none"/>
        <c:minorTickMark val="none"/>
        <c:tickLblPos val="nextTo"/>
        <c:crossAx val="207102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[EV_Charging_Ops_Project_2.xlsx]Pivot_Calculations!City_slabreached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Delhi</a:t>
            </a:r>
            <a:r>
              <a:rPr lang="en-US" baseline="0"/>
              <a:t> and Mumbai have highest SLA Breaches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088517190930366E-2"/>
          <c:y val="0.20682792138244718"/>
          <c:w val="0.90952910975893553"/>
          <c:h val="0.49265947999608345"/>
        </c:manualLayout>
      </c:layout>
      <c:barChart>
        <c:barDir val="col"/>
        <c:grouping val="clustered"/>
        <c:varyColors val="0"/>
        <c:ser>
          <c:idx val="0"/>
          <c:order val="0"/>
          <c:tx>
            <c:strRef>
              <c:f>Pivot_Calculations!$Q$26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Pivot_Calculations!$P$27:$P$43</c:f>
              <c:strCache>
                <c:ptCount val="16"/>
                <c:pt idx="0">
                  <c:v>Ahmedabad</c:v>
                </c:pt>
                <c:pt idx="1">
                  <c:v>Bengaluru</c:v>
                </c:pt>
                <c:pt idx="2">
                  <c:v>Bhubaneswar</c:v>
                </c:pt>
                <c:pt idx="3">
                  <c:v>Chandigarh</c:v>
                </c:pt>
                <c:pt idx="4">
                  <c:v>Chennai</c:v>
                </c:pt>
                <c:pt idx="5">
                  <c:v>Delhi</c:v>
                </c:pt>
                <c:pt idx="6">
                  <c:v>Gurugram</c:v>
                </c:pt>
                <c:pt idx="7">
                  <c:v>Guwahati</c:v>
                </c:pt>
                <c:pt idx="8">
                  <c:v>Hyderabad</c:v>
                </c:pt>
                <c:pt idx="9">
                  <c:v>Jaipur</c:v>
                </c:pt>
                <c:pt idx="10">
                  <c:v>Kochi</c:v>
                </c:pt>
                <c:pt idx="11">
                  <c:v>Kolkata</c:v>
                </c:pt>
                <c:pt idx="12">
                  <c:v>Mumbai</c:v>
                </c:pt>
                <c:pt idx="13">
                  <c:v>Noida</c:v>
                </c:pt>
                <c:pt idx="14">
                  <c:v>Patna</c:v>
                </c:pt>
                <c:pt idx="15">
                  <c:v>Pune</c:v>
                </c:pt>
              </c:strCache>
            </c:strRef>
          </c:cat>
          <c:val>
            <c:numRef>
              <c:f>Pivot_Calculations!$Q$27:$Q$43</c:f>
              <c:numCache>
                <c:formatCode>0.00%</c:formatCode>
                <c:ptCount val="16"/>
                <c:pt idx="0">
                  <c:v>2.2333333333333334E-2</c:v>
                </c:pt>
                <c:pt idx="1">
                  <c:v>2.5000000000000001E-2</c:v>
                </c:pt>
                <c:pt idx="2">
                  <c:v>1.8333333333333333E-2</c:v>
                </c:pt>
                <c:pt idx="3">
                  <c:v>2.0333333333333332E-2</c:v>
                </c:pt>
                <c:pt idx="4">
                  <c:v>2.2666666666666668E-2</c:v>
                </c:pt>
                <c:pt idx="5">
                  <c:v>2.8666666666666667E-2</c:v>
                </c:pt>
                <c:pt idx="6">
                  <c:v>2.9000000000000001E-2</c:v>
                </c:pt>
                <c:pt idx="7">
                  <c:v>1.6E-2</c:v>
                </c:pt>
                <c:pt idx="8">
                  <c:v>2.2333333333333334E-2</c:v>
                </c:pt>
                <c:pt idx="9">
                  <c:v>1.9666666666666666E-2</c:v>
                </c:pt>
                <c:pt idx="10">
                  <c:v>2.5333333333333333E-2</c:v>
                </c:pt>
                <c:pt idx="11">
                  <c:v>1.4333333333333333E-2</c:v>
                </c:pt>
                <c:pt idx="12">
                  <c:v>2.9000000000000001E-2</c:v>
                </c:pt>
                <c:pt idx="13">
                  <c:v>2.3E-2</c:v>
                </c:pt>
                <c:pt idx="14">
                  <c:v>2.1999999999999999E-2</c:v>
                </c:pt>
                <c:pt idx="15">
                  <c:v>2.3666666666666666E-2</c:v>
                </c:pt>
              </c:numCache>
            </c:numRef>
          </c:val>
          <c:extLst>
            <c:ext xmlns:c16="http://schemas.microsoft.com/office/drawing/2014/chart" uri="{C3380CC4-5D6E-409C-BE32-E72D297353CC}">
              <c16:uniqueId val="{00000000-84DD-4703-98B4-DC6C15963B50}"/>
            </c:ext>
          </c:extLst>
        </c:ser>
        <c:dLbls>
          <c:dLblPos val="outEnd"/>
          <c:showLegendKey val="0"/>
          <c:showVal val="1"/>
          <c:showCatName val="0"/>
          <c:showSerName val="0"/>
          <c:showPercent val="0"/>
          <c:showBubbleSize val="0"/>
        </c:dLbls>
        <c:gapWidth val="219"/>
        <c:overlap val="-27"/>
        <c:axId val="2068132208"/>
        <c:axId val="505381536"/>
      </c:barChart>
      <c:catAx>
        <c:axId val="2068132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381536"/>
        <c:crosses val="autoZero"/>
        <c:auto val="1"/>
        <c:lblAlgn val="ctr"/>
        <c:lblOffset val="100"/>
        <c:noMultiLvlLbl val="0"/>
      </c:catAx>
      <c:valAx>
        <c:axId val="505381536"/>
        <c:scaling>
          <c:orientation val="minMax"/>
        </c:scaling>
        <c:delete val="1"/>
        <c:axPos val="l"/>
        <c:numFmt formatCode="0.00%" sourceLinked="1"/>
        <c:majorTickMark val="none"/>
        <c:minorTickMark val="none"/>
        <c:tickLblPos val="nextTo"/>
        <c:crossAx val="2068132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[EV_Charging_Ops_Project_2.xlsx]Pivot_Calculations!station_downtime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Highway</a:t>
            </a:r>
            <a:r>
              <a:rPr lang="en-US" baseline="0"/>
              <a:t> Hub and Residential have highest Downtime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Pivot_Calculations!$F$24:$F$29</c:f>
              <c:strCache>
                <c:ptCount val="5"/>
                <c:pt idx="0">
                  <c:v>Fuel Station</c:v>
                </c:pt>
                <c:pt idx="1">
                  <c:v>Highway Hub</c:v>
                </c:pt>
                <c:pt idx="2">
                  <c:v>Mall</c:v>
                </c:pt>
                <c:pt idx="3">
                  <c:v>Office Park</c:v>
                </c:pt>
                <c:pt idx="4">
                  <c:v>Residential</c:v>
                </c:pt>
              </c:strCache>
            </c:strRef>
          </c:cat>
          <c:val>
            <c:numRef>
              <c:f>Pivot_Calculations!$G$24:$G$29</c:f>
              <c:numCache>
                <c:formatCode>_ * #,##0_ ;_ * \-#,##0_ ;_ * "-"??_ ;_ @_ </c:formatCode>
                <c:ptCount val="5"/>
                <c:pt idx="0">
                  <c:v>6842</c:v>
                </c:pt>
                <c:pt idx="1">
                  <c:v>7593</c:v>
                </c:pt>
                <c:pt idx="2">
                  <c:v>5879</c:v>
                </c:pt>
                <c:pt idx="3">
                  <c:v>5731</c:v>
                </c:pt>
                <c:pt idx="4">
                  <c:v>7903</c:v>
                </c:pt>
              </c:numCache>
            </c:numRef>
          </c:val>
          <c:extLst>
            <c:ext xmlns:c16="http://schemas.microsoft.com/office/drawing/2014/chart" uri="{C3380CC4-5D6E-409C-BE32-E72D297353CC}">
              <c16:uniqueId val="{00000000-FBDC-49D7-BDF3-B1D91C7004BD}"/>
            </c:ext>
          </c:extLst>
        </c:ser>
        <c:dLbls>
          <c:dLblPos val="outEnd"/>
          <c:showLegendKey val="0"/>
          <c:showVal val="1"/>
          <c:showCatName val="0"/>
          <c:showSerName val="0"/>
          <c:showPercent val="0"/>
          <c:showBubbleSize val="0"/>
        </c:dLbls>
        <c:gapWidth val="219"/>
        <c:overlap val="-27"/>
        <c:axId val="505264784"/>
        <c:axId val="505265744"/>
      </c:barChart>
      <c:catAx>
        <c:axId val="505264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265744"/>
        <c:crosses val="autoZero"/>
        <c:auto val="1"/>
        <c:lblAlgn val="ctr"/>
        <c:lblOffset val="100"/>
        <c:noMultiLvlLbl val="0"/>
      </c:catAx>
      <c:valAx>
        <c:axId val="505265744"/>
        <c:scaling>
          <c:orientation val="minMax"/>
        </c:scaling>
        <c:delete val="1"/>
        <c:axPos val="l"/>
        <c:numFmt formatCode="_ * #,##0_ ;_ * \-#,##0_ ;_ * &quot;-&quot;??_ ;_ @_ " sourceLinked="1"/>
        <c:majorTickMark val="none"/>
        <c:minorTickMark val="none"/>
        <c:tickLblPos val="nextTo"/>
        <c:crossAx val="50526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[EV_Charging_Ops_Project_2.xlsx]Pivot_Calculations!charger_profit/cost</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Pivot_Calculations!$J$7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Pivot_Calculations!$I$8:$I$12</c:f>
              <c:strCache>
                <c:ptCount val="4"/>
                <c:pt idx="0">
                  <c:v>AC_7kW</c:v>
                </c:pt>
                <c:pt idx="1">
                  <c:v>DC_120kW</c:v>
                </c:pt>
                <c:pt idx="2">
                  <c:v>DC_30kW</c:v>
                </c:pt>
                <c:pt idx="3">
                  <c:v>DC_60kW</c:v>
                </c:pt>
              </c:strCache>
            </c:strRef>
          </c:cat>
          <c:val>
            <c:numRef>
              <c:f>Pivot_Calculations!$J$8:$J$12</c:f>
              <c:numCache>
                <c:formatCode>_ * #,##0_ ;_ * \-#,##0_ ;_ * "-"??_ ;_ @_ </c:formatCode>
                <c:ptCount val="4"/>
                <c:pt idx="0">
                  <c:v>57301.060000000012</c:v>
                </c:pt>
                <c:pt idx="1">
                  <c:v>112145.84999999999</c:v>
                </c:pt>
                <c:pt idx="2">
                  <c:v>122058.19999999982</c:v>
                </c:pt>
                <c:pt idx="3">
                  <c:v>109618.85999999999</c:v>
                </c:pt>
              </c:numCache>
            </c:numRef>
          </c:val>
          <c:extLst>
            <c:ext xmlns:c16="http://schemas.microsoft.com/office/drawing/2014/chart" uri="{C3380CC4-5D6E-409C-BE32-E72D297353CC}">
              <c16:uniqueId val="{00000000-9A94-4558-A40B-9824E19471C1}"/>
            </c:ext>
          </c:extLst>
        </c:ser>
        <c:dLbls>
          <c:dLblPos val="outEnd"/>
          <c:showLegendKey val="0"/>
          <c:showVal val="1"/>
          <c:showCatName val="0"/>
          <c:showSerName val="0"/>
          <c:showPercent val="0"/>
          <c:showBubbleSize val="0"/>
        </c:dLbls>
        <c:gapWidth val="219"/>
        <c:overlap val="-27"/>
        <c:axId val="503520368"/>
        <c:axId val="2075349280"/>
      </c:barChart>
      <c:catAx>
        <c:axId val="503520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349280"/>
        <c:crosses val="autoZero"/>
        <c:auto val="1"/>
        <c:lblAlgn val="ctr"/>
        <c:lblOffset val="100"/>
        <c:noMultiLvlLbl val="0"/>
      </c:catAx>
      <c:valAx>
        <c:axId val="2075349280"/>
        <c:scaling>
          <c:orientation val="minMax"/>
        </c:scaling>
        <c:delete val="1"/>
        <c:axPos val="l"/>
        <c:numFmt formatCode="_ * #,##0_ ;_ * \-#,##0_ ;_ * &quot;-&quot;??_ ;_ @_ " sourceLinked="1"/>
        <c:majorTickMark val="none"/>
        <c:minorTickMark val="none"/>
        <c:tickLblPos val="nextTo"/>
        <c:crossAx val="503520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[EV_Charging_Ops_Project_2.xlsx]Pivot_Calculations!Discount_sessionCount/Profit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Disount leads to Low Customer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Pivot_Calculations!$M$7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Pivot_Calculations!$L$8:$L$13</c:f>
              <c:strCache>
                <c:ptCount val="5"/>
                <c:pt idx="0">
                  <c:v>0</c:v>
                </c:pt>
                <c:pt idx="1">
                  <c:v>5</c:v>
                </c:pt>
                <c:pt idx="2">
                  <c:v>10</c:v>
                </c:pt>
                <c:pt idx="3">
                  <c:v>15</c:v>
                </c:pt>
                <c:pt idx="4">
                  <c:v>20</c:v>
                </c:pt>
              </c:strCache>
            </c:strRef>
          </c:cat>
          <c:val>
            <c:numRef>
              <c:f>Pivot_Calculations!$M$8:$M$13</c:f>
              <c:numCache>
                <c:formatCode>_ * #,##0_ ;_ * \-#,##0_ ;_ * "-"??_ ;_ @_ </c:formatCode>
                <c:ptCount val="5"/>
                <c:pt idx="0">
                  <c:v>1257</c:v>
                </c:pt>
                <c:pt idx="1">
                  <c:v>629</c:v>
                </c:pt>
                <c:pt idx="2">
                  <c:v>566</c:v>
                </c:pt>
                <c:pt idx="3">
                  <c:v>373</c:v>
                </c:pt>
                <c:pt idx="4">
                  <c:v>175</c:v>
                </c:pt>
              </c:numCache>
            </c:numRef>
          </c:val>
          <c:extLst>
            <c:ext xmlns:c16="http://schemas.microsoft.com/office/drawing/2014/chart" uri="{C3380CC4-5D6E-409C-BE32-E72D297353CC}">
              <c16:uniqueId val="{00000000-E39F-415C-8EDE-E1132EED8807}"/>
            </c:ext>
          </c:extLst>
        </c:ser>
        <c:dLbls>
          <c:dLblPos val="outEnd"/>
          <c:showLegendKey val="0"/>
          <c:showVal val="1"/>
          <c:showCatName val="0"/>
          <c:showSerName val="0"/>
          <c:showPercent val="0"/>
          <c:showBubbleSize val="0"/>
        </c:dLbls>
        <c:gapWidth val="219"/>
        <c:overlap val="-27"/>
        <c:axId val="404628655"/>
        <c:axId val="404629135"/>
      </c:barChart>
      <c:catAx>
        <c:axId val="40462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29135"/>
        <c:crosses val="autoZero"/>
        <c:auto val="1"/>
        <c:lblAlgn val="ctr"/>
        <c:lblOffset val="100"/>
        <c:noMultiLvlLbl val="0"/>
      </c:catAx>
      <c:valAx>
        <c:axId val="404629135"/>
        <c:scaling>
          <c:orientation val="minMax"/>
        </c:scaling>
        <c:delete val="1"/>
        <c:axPos val="l"/>
        <c:numFmt formatCode="_ * #,##0_ ;_ * \-#,##0_ ;_ * &quot;-&quot;??_ ;_ @_ " sourceLinked="1"/>
        <c:majorTickMark val="none"/>
        <c:minorTickMark val="none"/>
        <c:tickLblPos val="nextTo"/>
        <c:crossAx val="40462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[EV_Charging_Ops_Project_2.xlsx]Pivot_Calculations!PivotTable2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Rise</a:t>
            </a:r>
            <a:r>
              <a:rPr lang="en-US" baseline="0"/>
              <a:t> in discount has reduced profit steadily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Pivot_Calculations!$M$21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Pivot_Calculations!$L$22:$L$27</c:f>
              <c:strCache>
                <c:ptCount val="5"/>
                <c:pt idx="0">
                  <c:v>0</c:v>
                </c:pt>
                <c:pt idx="1">
                  <c:v>5</c:v>
                </c:pt>
                <c:pt idx="2">
                  <c:v>10</c:v>
                </c:pt>
                <c:pt idx="3">
                  <c:v>15</c:v>
                </c:pt>
                <c:pt idx="4">
                  <c:v>20</c:v>
                </c:pt>
              </c:strCache>
            </c:strRef>
          </c:cat>
          <c:val>
            <c:numRef>
              <c:f>Pivot_Calculations!$M$22:$M$27</c:f>
              <c:numCache>
                <c:formatCode>_ * #,##0_ ;_ * \-#,##0_ ;_ * "-"??_ ;_ @_ </c:formatCode>
                <c:ptCount val="5"/>
                <c:pt idx="0">
                  <c:v>196091.42999999985</c:v>
                </c:pt>
                <c:pt idx="1">
                  <c:v>83359.100000000006</c:v>
                </c:pt>
                <c:pt idx="2">
                  <c:v>68047.72000000003</c:v>
                </c:pt>
                <c:pt idx="3">
                  <c:v>37879.229999999989</c:v>
                </c:pt>
                <c:pt idx="4">
                  <c:v>15746.489999999998</c:v>
                </c:pt>
              </c:numCache>
            </c:numRef>
          </c:val>
          <c:extLst>
            <c:ext xmlns:c16="http://schemas.microsoft.com/office/drawing/2014/chart" uri="{C3380CC4-5D6E-409C-BE32-E72D297353CC}">
              <c16:uniqueId val="{00000000-0C0F-45EF-A81E-0242E1AC034B}"/>
            </c:ext>
          </c:extLst>
        </c:ser>
        <c:dLbls>
          <c:dLblPos val="outEnd"/>
          <c:showLegendKey val="0"/>
          <c:showVal val="1"/>
          <c:showCatName val="0"/>
          <c:showSerName val="0"/>
          <c:showPercent val="0"/>
          <c:showBubbleSize val="0"/>
        </c:dLbls>
        <c:gapWidth val="219"/>
        <c:overlap val="-27"/>
        <c:axId val="404639215"/>
        <c:axId val="404638255"/>
      </c:barChart>
      <c:catAx>
        <c:axId val="404639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38255"/>
        <c:crosses val="autoZero"/>
        <c:auto val="1"/>
        <c:lblAlgn val="ctr"/>
        <c:lblOffset val="100"/>
        <c:noMultiLvlLbl val="0"/>
      </c:catAx>
      <c:valAx>
        <c:axId val="404638255"/>
        <c:scaling>
          <c:orientation val="minMax"/>
        </c:scaling>
        <c:delete val="1"/>
        <c:axPos val="l"/>
        <c:numFmt formatCode="_ * #,##0_ ;_ * \-#,##0_ ;_ * &quot;-&quot;??_ ;_ @_ " sourceLinked="1"/>
        <c:majorTickMark val="none"/>
        <c:minorTickMark val="none"/>
        <c:tickLblPos val="nextTo"/>
        <c:crossAx val="40463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10</xdr:col>
      <xdr:colOff>64547</xdr:colOff>
      <xdr:row>14</xdr:row>
      <xdr:rowOff>79785</xdr:rowOff>
    </xdr:from>
    <xdr:to>
      <xdr:col>13</xdr:col>
      <xdr:colOff>604687</xdr:colOff>
      <xdr:row>24</xdr:row>
      <xdr:rowOff>17781</xdr:rowOff>
    </xdr:to>
    <mc:AlternateContent xmlns:mc="http://schemas.openxmlformats.org/markup-compatibility/2006" xmlns:a14="http://schemas.microsoft.com/office/drawing/2010/main">
      <mc:Choice Requires="a14">
        <xdr:graphicFrame macro="">
          <xdr:nvGraphicFramePr>
            <xdr:cNvPr id="4" name="Station_Type">
              <a:extLst>
                <a:ext uri="{FF2B5EF4-FFF2-40B4-BE49-F238E27FC236}">
                  <a16:creationId xmlns:a16="http://schemas.microsoft.com/office/drawing/2014/main" id="{E0FFC933-11A8-4A4D-B48E-1A461EE85EC5}"/>
                </a:ext>
              </a:extLst>
            </xdr:cNvPr>
            <xdr:cNvGraphicFramePr/>
          </xdr:nvGraphicFramePr>
          <xdr:xfrm>
            <a:off x="0" y="0"/>
            <a:ext cx="0" cy="0"/>
          </xdr:xfrm>
          <a:graphic>
            <a:graphicData uri="http://schemas.microsoft.com/office/drawing/2010/slicer">
              <sle:slicer xmlns:sle="http://schemas.microsoft.com/office/drawing/2010/slicer" name="Station_Type"/>
            </a:graphicData>
          </a:graphic>
        </xdr:graphicFrame>
      </mc:Choice>
      <mc:Fallback xmlns="">
        <xdr:sp macro="" textlink="">
          <xdr:nvSpPr>
            <xdr:cNvPr id="0" name=""/>
            <xdr:cNvSpPr>
              <a:spLocks noTextEdit="1"/>
            </xdr:cNvSpPr>
          </xdr:nvSpPr>
          <xdr:spPr>
            <a:xfrm>
              <a:off x="6355751" y="2807933"/>
              <a:ext cx="1692547" cy="1819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292825</xdr:colOff>
      <xdr:row>7</xdr:row>
      <xdr:rowOff>45837</xdr:rowOff>
    </xdr:from>
    <xdr:to>
      <xdr:col>10</xdr:col>
      <xdr:colOff>13547</xdr:colOff>
      <xdr:row>15</xdr:row>
      <xdr:rowOff>127459</xdr:rowOff>
    </xdr:to>
    <mc:AlternateContent xmlns:mc="http://schemas.openxmlformats.org/markup-compatibility/2006" xmlns:a14="http://schemas.microsoft.com/office/drawing/2010/main">
      <mc:Choice Requires="a14">
        <xdr:graphicFrame macro="">
          <xdr:nvGraphicFramePr>
            <xdr:cNvPr id="5" name="Charger_Type">
              <a:extLst>
                <a:ext uri="{FF2B5EF4-FFF2-40B4-BE49-F238E27FC236}">
                  <a16:creationId xmlns:a16="http://schemas.microsoft.com/office/drawing/2014/main" id="{6BB4E3CC-B53C-488F-8973-D8886F3895E3}"/>
                </a:ext>
              </a:extLst>
            </xdr:cNvPr>
            <xdr:cNvGraphicFramePr/>
          </xdr:nvGraphicFramePr>
          <xdr:xfrm>
            <a:off x="0" y="0"/>
            <a:ext cx="0" cy="0"/>
          </xdr:xfrm>
          <a:graphic>
            <a:graphicData uri="http://schemas.microsoft.com/office/drawing/2010/slicer">
              <sle:slicer xmlns:sle="http://schemas.microsoft.com/office/drawing/2010/slicer" name="Charger_Type"/>
            </a:graphicData>
          </a:graphic>
        </xdr:graphicFrame>
      </mc:Choice>
      <mc:Fallback xmlns="">
        <xdr:sp macro="" textlink="">
          <xdr:nvSpPr>
            <xdr:cNvPr id="0" name=""/>
            <xdr:cNvSpPr>
              <a:spLocks noTextEdit="1"/>
            </xdr:cNvSpPr>
          </xdr:nvSpPr>
          <xdr:spPr>
            <a:xfrm>
              <a:off x="4808381" y="1456948"/>
              <a:ext cx="1496370" cy="15868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36707</xdr:colOff>
      <xdr:row>7</xdr:row>
      <xdr:rowOff>43119</xdr:rowOff>
    </xdr:from>
    <xdr:to>
      <xdr:col>13</xdr:col>
      <xdr:colOff>534261</xdr:colOff>
      <xdr:row>13</xdr:row>
      <xdr:rowOff>169046</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AE5F9217-B8F1-403C-A891-5E2D557C2589}"/>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6327911" y="1454230"/>
              <a:ext cx="1649961" cy="12548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7</xdr:row>
      <xdr:rowOff>3323</xdr:rowOff>
    </xdr:from>
    <xdr:to>
      <xdr:col>7</xdr:col>
      <xdr:colOff>150812</xdr:colOff>
      <xdr:row>19</xdr:row>
      <xdr:rowOff>161503</xdr:rowOff>
    </xdr:to>
    <xdr:graphicFrame macro="">
      <xdr:nvGraphicFramePr>
        <xdr:cNvPr id="7" name="Chart 6">
          <a:extLst>
            <a:ext uri="{FF2B5EF4-FFF2-40B4-BE49-F238E27FC236}">
              <a16:creationId xmlns:a16="http://schemas.microsoft.com/office/drawing/2014/main" id="{1B1C6A1C-120C-4537-8659-8EA70B7E8D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690563</xdr:colOff>
      <xdr:row>7</xdr:row>
      <xdr:rowOff>0</xdr:rowOff>
    </xdr:from>
    <xdr:to>
      <xdr:col>22</xdr:col>
      <xdr:colOff>2626</xdr:colOff>
      <xdr:row>19</xdr:row>
      <xdr:rowOff>161724</xdr:rowOff>
    </xdr:to>
    <xdr:graphicFrame macro="">
      <xdr:nvGraphicFramePr>
        <xdr:cNvPr id="8" name="Chart 7">
          <a:extLst>
            <a:ext uri="{FF2B5EF4-FFF2-40B4-BE49-F238E27FC236}">
              <a16:creationId xmlns:a16="http://schemas.microsoft.com/office/drawing/2014/main" id="{6875D4C0-4E41-4604-9D04-64D0BEDBE2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114587</xdr:colOff>
      <xdr:row>20</xdr:row>
      <xdr:rowOff>90715</xdr:rowOff>
    </xdr:from>
    <xdr:to>
      <xdr:col>7</xdr:col>
      <xdr:colOff>142396</xdr:colOff>
      <xdr:row>35</xdr:row>
      <xdr:rowOff>78535</xdr:rowOff>
    </xdr:to>
    <xdr:graphicFrame macro="">
      <xdr:nvGraphicFramePr>
        <xdr:cNvPr id="9" name="Chart 8">
          <a:extLst>
            <a:ext uri="{FF2B5EF4-FFF2-40B4-BE49-F238E27FC236}">
              <a16:creationId xmlns:a16="http://schemas.microsoft.com/office/drawing/2014/main" id="{BD2F3153-70F4-421C-B724-4FA3485EF6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682685</xdr:colOff>
      <xdr:row>20</xdr:row>
      <xdr:rowOff>58005</xdr:rowOff>
    </xdr:from>
    <xdr:to>
      <xdr:col>21</xdr:col>
      <xdr:colOff>629325</xdr:colOff>
      <xdr:row>34</xdr:row>
      <xdr:rowOff>158232</xdr:rowOff>
    </xdr:to>
    <xdr:graphicFrame macro="">
      <xdr:nvGraphicFramePr>
        <xdr:cNvPr id="10" name="Chart 9">
          <a:extLst>
            <a:ext uri="{FF2B5EF4-FFF2-40B4-BE49-F238E27FC236}">
              <a16:creationId xmlns:a16="http://schemas.microsoft.com/office/drawing/2014/main" id="{514A886E-284E-46B1-84EA-7D4817CE9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270474</xdr:colOff>
      <xdr:row>16</xdr:row>
      <xdr:rowOff>60215</xdr:rowOff>
    </xdr:from>
    <xdr:to>
      <xdr:col>9</xdr:col>
      <xdr:colOff>693357</xdr:colOff>
      <xdr:row>24</xdr:row>
      <xdr:rowOff>43843</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5944B557-EBA5-4F65-97CA-BA1B40771C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86030" y="3164659"/>
              <a:ext cx="1363623" cy="1488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32624</xdr:colOff>
      <xdr:row>24</xdr:row>
      <xdr:rowOff>122367</xdr:rowOff>
    </xdr:from>
    <xdr:to>
      <xdr:col>13</xdr:col>
      <xdr:colOff>192871</xdr:colOff>
      <xdr:row>39</xdr:row>
      <xdr:rowOff>8772</xdr:rowOff>
    </xdr:to>
    <mc:AlternateContent xmlns:mc="http://schemas.openxmlformats.org/markup-compatibility/2006" xmlns:a14="http://schemas.microsoft.com/office/drawing/2010/main">
      <mc:Choice Requires="a14">
        <xdr:graphicFrame macro="">
          <xdr:nvGraphicFramePr>
            <xdr:cNvPr id="12" name="City">
              <a:extLst>
                <a:ext uri="{FF2B5EF4-FFF2-40B4-BE49-F238E27FC236}">
                  <a16:creationId xmlns:a16="http://schemas.microsoft.com/office/drawing/2014/main" id="{5F1F9DCB-36A6-431F-B8B7-1FC1E539F01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030309" y="4731997"/>
              <a:ext cx="2606173" cy="2708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719451</xdr:colOff>
      <xdr:row>20</xdr:row>
      <xdr:rowOff>58615</xdr:rowOff>
    </xdr:from>
    <xdr:to>
      <xdr:col>29</xdr:col>
      <xdr:colOff>324321</xdr:colOff>
      <xdr:row>34</xdr:row>
      <xdr:rowOff>162596</xdr:rowOff>
    </xdr:to>
    <xdr:graphicFrame macro="">
      <xdr:nvGraphicFramePr>
        <xdr:cNvPr id="13" name="Chart 12">
          <a:extLst>
            <a:ext uri="{FF2B5EF4-FFF2-40B4-BE49-F238E27FC236}">
              <a16:creationId xmlns:a16="http://schemas.microsoft.com/office/drawing/2014/main" id="{7A97EDBC-A9CE-43A3-B912-AFDDAD76F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60099</xdr:colOff>
      <xdr:row>6</xdr:row>
      <xdr:rowOff>172567</xdr:rowOff>
    </xdr:from>
    <xdr:to>
      <xdr:col>29</xdr:col>
      <xdr:colOff>401411</xdr:colOff>
      <xdr:row>19</xdr:row>
      <xdr:rowOff>167106</xdr:rowOff>
    </xdr:to>
    <xdr:graphicFrame macro="">
      <xdr:nvGraphicFramePr>
        <xdr:cNvPr id="14" name="Chart 13">
          <a:extLst>
            <a:ext uri="{FF2B5EF4-FFF2-40B4-BE49-F238E27FC236}">
              <a16:creationId xmlns:a16="http://schemas.microsoft.com/office/drawing/2014/main" id="{610AF5DB-51D5-46C3-8DCC-09FCBEE4F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mya das" refreshedDate="46044.632161111113" createdVersion="8" refreshedVersion="8" minRefreshableVersion="3" recordCount="3000" xr:uid="{7182D023-D6A6-48B7-8614-3295F4582E73}">
  <cacheSource type="worksheet">
    <worksheetSource ref="A1:AE3001" sheet="Raw_Data"/>
  </cacheSource>
  <cacheFields count="34">
    <cacheField name="Session_ID" numFmtId="0">
      <sharedItems containsSemiMixedTypes="0" containsString="0" containsNumber="1" containsInteger="1" minValue="100001" maxValue="103000"/>
    </cacheField>
    <cacheField name="Session_Date" numFmtId="14">
      <sharedItems containsSemiMixedTypes="0" containsNonDate="0" containsDate="1" containsString="0" minDate="2025-10-01T00:00:00" maxDate="2026-01-01T00:00:00"/>
    </cacheField>
    <cacheField name="Station_ID" numFmtId="0">
      <sharedItems containsSemiMixedTypes="0" containsString="0" containsNumber="1" containsInteger="1" minValue="1001" maxValue="1150"/>
    </cacheField>
    <cacheField name="Region" numFmtId="0">
      <sharedItems count="4">
        <s v="North"/>
        <s v="South"/>
        <s v="West"/>
        <s v="East"/>
      </sharedItems>
    </cacheField>
    <cacheField name="City" numFmtId="0">
      <sharedItems count="16">
        <s v="Noida"/>
        <s v="Delhi"/>
        <s v="Hyderabad"/>
        <s v="Bengaluru"/>
        <s v="Kochi"/>
        <s v="Ahmedabad"/>
        <s v="Chandigarh"/>
        <s v="Bhubaneswar"/>
        <s v="Guwahati"/>
        <s v="Jaipur"/>
        <s v="Mumbai"/>
        <s v="Gurugram"/>
        <s v="Pune"/>
        <s v="Chennai"/>
        <s v="Kolkata"/>
        <s v="Patna"/>
      </sharedItems>
    </cacheField>
    <cacheField name="Station_Type" numFmtId="0">
      <sharedItems count="5">
        <s v="Mall"/>
        <s v="Residential"/>
        <s v="Office Park"/>
        <s v="Highway Hub"/>
        <s v="Fuel Station"/>
      </sharedItems>
    </cacheField>
    <cacheField name="Charger_Type" numFmtId="0">
      <sharedItems count="4">
        <s v="DC_120kW"/>
        <s v="DC_30kW"/>
        <s v="DC_60kW"/>
        <s v="AC_7kW"/>
      </sharedItems>
    </cacheField>
    <cacheField name="Customer_Type" numFmtId="0">
      <sharedItems count="3">
        <s v="Retail"/>
        <s v="RideShare"/>
        <s v="Fleet"/>
      </sharedItems>
    </cacheField>
    <cacheField name="Payment_Mode" numFmtId="0">
      <sharedItems/>
    </cacheField>
    <cacheField name="Energy_kWh" numFmtId="2">
      <sharedItems containsSemiMixedTypes="0" containsString="0" containsNumber="1" minValue="3" maxValue="52.81"/>
    </cacheField>
    <cacheField name="Price_per_kWh" numFmtId="2">
      <sharedItems containsSemiMixedTypes="0" containsString="0" containsNumber="1" minValue="10.61" maxValue="22.55"/>
    </cacheField>
    <cacheField name="Discount_%" numFmtId="0">
      <sharedItems containsSemiMixedTypes="0" containsString="0" containsNumber="1" containsInteger="1" minValue="0" maxValue="20" count="5">
        <n v="15"/>
        <n v="20"/>
        <n v="10"/>
        <n v="0"/>
        <n v="5"/>
      </sharedItems>
    </cacheField>
    <cacheField name="Discount_Amount" numFmtId="2">
      <sharedItems containsSemiMixedTypes="0" containsString="0" containsNumber="1" minValue="0" maxValue="175.33"/>
    </cacheField>
    <cacheField name="Revenue" numFmtId="2">
      <sharedItems containsSemiMixedTypes="0" containsString="0" containsNumber="1" minValue="28.42" maxValue="992.29"/>
    </cacheField>
    <cacheField name="Electricity_Cost" numFmtId="2">
      <sharedItems containsSemiMixedTypes="0" containsString="0" containsNumber="1" minValue="15.86" maxValue="475.99"/>
    </cacheField>
    <cacheField name="Network_Cost" numFmtId="2">
      <sharedItems containsSemiMixedTypes="0" containsString="0" containsNumber="1" minValue="1" maxValue="19.14"/>
    </cacheField>
    <cacheField name="Payment_Fee" numFmtId="2">
      <sharedItems containsSemiMixedTypes="0" containsString="0" containsNumber="1" minValue="0.14000000000000001" maxValue="15.34"/>
    </cacheField>
    <cacheField name="Maintenance_Cost" numFmtId="2">
      <sharedItems containsSemiMixedTypes="0" containsString="0" containsNumber="1" minValue="0" maxValue="19.29"/>
    </cacheField>
    <cacheField name="Refund_Amount" numFmtId="2">
      <sharedItems containsSemiMixedTypes="0" containsString="0" containsNumber="1" minValue="0" maxValue="655.79"/>
    </cacheField>
    <cacheField name="SLA_Penalty" numFmtId="2">
      <sharedItems containsSemiMixedTypes="0" containsString="0" containsNumber="1" minValue="0" maxValue="24.66"/>
    </cacheField>
    <cacheField name="Total_Cost" numFmtId="2">
      <sharedItems containsSemiMixedTypes="0" containsString="0" containsNumber="1" minValue="22.36" maxValue="978.35"/>
    </cacheField>
    <cacheField name="Profit" numFmtId="2">
      <sharedItems containsSemiMixedTypes="0" containsString="0" containsNumber="1" minValue="-347.49" maxValue="648.96"/>
    </cacheField>
    <cacheField name="Profit_Flag" numFmtId="0">
      <sharedItems/>
    </cacheField>
    <cacheField name="Session_Status" numFmtId="0">
      <sharedItems count="3">
        <s v="Completed"/>
        <s v="Failed"/>
        <s v="Cancelled"/>
      </sharedItems>
    </cacheField>
    <cacheField name="Downtime_Min" numFmtId="2">
      <sharedItems containsSemiMixedTypes="0" containsString="0" containsNumber="1" containsInteger="1" minValue="0" maxValue="125"/>
    </cacheField>
    <cacheField name="Queue_Min" numFmtId="2">
      <sharedItems containsSemiMixedTypes="0" containsString="0" containsNumber="1" containsInteger="1" minValue="0" maxValue="78"/>
    </cacheField>
    <cacheField name="Downtime_Bucket" numFmtId="0">
      <sharedItems/>
    </cacheField>
    <cacheField name="SLA_Breached" numFmtId="0">
      <sharedItems/>
    </cacheField>
    <cacheField name="Support_Tickets" numFmtId="1">
      <sharedItems containsSemiMixedTypes="0" containsString="0" containsNumber="1" containsInteger="1" minValue="0" maxValue="4"/>
    </cacheField>
    <cacheField name="Risk_Flag" numFmtId="0">
      <sharedItems/>
    </cacheField>
    <cacheField name="SLA_Breached_Flag" numFmtId="0">
      <sharedItems containsSemiMixedTypes="0" containsString="0" containsNumber="1" containsInteger="1" minValue="0" maxValue="1"/>
    </cacheField>
    <cacheField name="SLA_Breached %" numFmtId="0" formula="SLA_Breached_Flag/Session_ID" databaseField="0"/>
    <cacheField name="Profit_Margin %" numFmtId="0" formula="Profit/Revenue" databaseField="0"/>
    <cacheField name="% SLA_Breached" numFmtId="0" formula="SLA_Breached_Flag/3000" databaseField="0"/>
  </cacheFields>
  <extLst>
    <ext xmlns:x14="http://schemas.microsoft.com/office/spreadsheetml/2009/9/main" uri="{725AE2AE-9491-48be-B2B4-4EB974FC3084}">
      <x14:pivotCacheDefinition pivotCacheId="837111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00001"/>
    <d v="2025-10-24T00:00:00"/>
    <n v="1073"/>
    <x v="0"/>
    <x v="0"/>
    <x v="0"/>
    <x v="0"/>
    <x v="0"/>
    <s v="UPI"/>
    <n v="26.73"/>
    <n v="18.510000000000002"/>
    <x v="0"/>
    <n v="74.22"/>
    <n v="420.55"/>
    <n v="215.87"/>
    <n v="8.25"/>
    <n v="3.46"/>
    <n v="1.91"/>
    <n v="0"/>
    <n v="0"/>
    <n v="229.49"/>
    <n v="191.06"/>
    <s v="Profit"/>
    <x v="0"/>
    <n v="13"/>
    <n v="10"/>
    <s v="0-15"/>
    <s v="No"/>
    <n v="0"/>
    <s v="Healthy"/>
    <n v="0"/>
  </r>
  <r>
    <n v="100002"/>
    <d v="2025-10-05T00:00:00"/>
    <n v="1138"/>
    <x v="0"/>
    <x v="1"/>
    <x v="1"/>
    <x v="0"/>
    <x v="0"/>
    <s v="Card"/>
    <n v="15.07"/>
    <n v="18.07"/>
    <x v="1"/>
    <n v="54.46"/>
    <n v="217.85"/>
    <n v="93.31"/>
    <n v="15.19"/>
    <n v="4.08"/>
    <n v="4.54"/>
    <n v="0"/>
    <n v="0"/>
    <n v="117.12"/>
    <n v="100.73"/>
    <s v="Profit"/>
    <x v="0"/>
    <n v="36"/>
    <n v="3"/>
    <s v="30+"/>
    <s v="Yes"/>
    <n v="1"/>
    <s v="At Risk"/>
    <n v="1"/>
  </r>
  <r>
    <n v="100003"/>
    <d v="2025-10-20T00:00:00"/>
    <n v="1005"/>
    <x v="0"/>
    <x v="1"/>
    <x v="0"/>
    <x v="1"/>
    <x v="0"/>
    <s v="Card"/>
    <n v="12.55"/>
    <n v="16.55"/>
    <x v="2"/>
    <n v="20.77"/>
    <n v="186.93"/>
    <n v="84.33"/>
    <n v="11.38"/>
    <n v="3.12"/>
    <n v="6.15"/>
    <n v="0"/>
    <n v="0"/>
    <n v="104.98"/>
    <n v="81.95"/>
    <s v="Profit"/>
    <x v="0"/>
    <n v="11"/>
    <n v="9"/>
    <s v="0-15"/>
    <s v="No"/>
    <n v="0"/>
    <s v="Healthy"/>
    <n v="0"/>
  </r>
  <r>
    <n v="100004"/>
    <d v="2025-10-16T00:00:00"/>
    <n v="1060"/>
    <x v="1"/>
    <x v="2"/>
    <x v="2"/>
    <x v="2"/>
    <x v="1"/>
    <s v="Card"/>
    <n v="12.67"/>
    <n v="16.64"/>
    <x v="2"/>
    <n v="21.08"/>
    <n v="189.75"/>
    <n v="96.31"/>
    <n v="7.72"/>
    <n v="3.16"/>
    <n v="10.77"/>
    <n v="0"/>
    <n v="0"/>
    <n v="117.96"/>
    <n v="71.790000000000006"/>
    <s v="Profit"/>
    <x v="0"/>
    <n v="22"/>
    <n v="1"/>
    <s v="16-30"/>
    <s v="Yes"/>
    <n v="2"/>
    <s v="At Risk"/>
    <n v="1"/>
  </r>
  <r>
    <n v="100005"/>
    <d v="2025-11-11T00:00:00"/>
    <n v="1030"/>
    <x v="1"/>
    <x v="3"/>
    <x v="1"/>
    <x v="1"/>
    <x v="0"/>
    <s v="Wallet"/>
    <n v="39.979999999999997"/>
    <n v="15.33"/>
    <x v="3"/>
    <n v="0"/>
    <n v="612.89"/>
    <n v="201.69"/>
    <n v="12.6"/>
    <n v="7.35"/>
    <n v="7.41"/>
    <n v="230.71"/>
    <n v="0"/>
    <n v="459.76"/>
    <n v="153.13"/>
    <s v="Profit"/>
    <x v="1"/>
    <n v="13"/>
    <n v="14"/>
    <s v="0-15"/>
    <s v="Yes"/>
    <n v="3"/>
    <s v="At Risk"/>
    <n v="1"/>
  </r>
  <r>
    <n v="100006"/>
    <d v="2025-12-15T00:00:00"/>
    <n v="1007"/>
    <x v="1"/>
    <x v="4"/>
    <x v="0"/>
    <x v="2"/>
    <x v="2"/>
    <s v="Card"/>
    <n v="30.03"/>
    <n v="17.91"/>
    <x v="4"/>
    <n v="26.89"/>
    <n v="510.95"/>
    <n v="215.26"/>
    <n v="8.25"/>
    <n v="8.07"/>
    <n v="12.5"/>
    <n v="262.68"/>
    <n v="20.329999999999998"/>
    <n v="527.09"/>
    <n v="-16.14"/>
    <s v="Loss"/>
    <x v="1"/>
    <n v="2"/>
    <n v="4"/>
    <s v="0-15"/>
    <s v="Yes"/>
    <n v="1"/>
    <s v="At Risk"/>
    <n v="1"/>
  </r>
  <r>
    <n v="100007"/>
    <d v="2025-12-31T00:00:00"/>
    <n v="1143"/>
    <x v="0"/>
    <x v="0"/>
    <x v="0"/>
    <x v="1"/>
    <x v="0"/>
    <s v="UPI"/>
    <n v="31.89"/>
    <n v="16.16"/>
    <x v="2"/>
    <n v="51.53"/>
    <n v="463.81"/>
    <n v="230.53"/>
    <n v="6.45"/>
    <n v="3.61"/>
    <n v="2.89"/>
    <n v="0"/>
    <n v="0"/>
    <n v="243.48"/>
    <n v="220.33"/>
    <s v="Profit"/>
    <x v="0"/>
    <n v="25"/>
    <n v="21"/>
    <s v="16-30"/>
    <s v="Yes"/>
    <n v="1"/>
    <s v="At Risk"/>
    <n v="1"/>
  </r>
  <r>
    <n v="100008"/>
    <d v="2025-12-29T00:00:00"/>
    <n v="1055"/>
    <x v="2"/>
    <x v="5"/>
    <x v="3"/>
    <x v="1"/>
    <x v="1"/>
    <s v="UPI"/>
    <n v="23.75"/>
    <n v="15.51"/>
    <x v="1"/>
    <n v="73.67"/>
    <n v="294.69"/>
    <n v="162.85"/>
    <n v="6.06"/>
    <n v="2.58"/>
    <n v="12.99"/>
    <n v="0"/>
    <n v="0"/>
    <n v="184.48"/>
    <n v="110.21"/>
    <s v="Profit"/>
    <x v="0"/>
    <n v="1"/>
    <n v="3"/>
    <s v="0-15"/>
    <s v="No"/>
    <n v="1"/>
    <s v="Healthy"/>
    <n v="0"/>
  </r>
  <r>
    <n v="100009"/>
    <d v="2025-10-08T00:00:00"/>
    <n v="1093"/>
    <x v="0"/>
    <x v="6"/>
    <x v="3"/>
    <x v="3"/>
    <x v="0"/>
    <s v="UPI"/>
    <n v="9.25"/>
    <n v="13.19"/>
    <x v="3"/>
    <n v="0"/>
    <n v="122.01"/>
    <n v="64.459999999999994"/>
    <n v="11.1"/>
    <n v="0.85"/>
    <n v="0"/>
    <n v="0"/>
    <n v="0"/>
    <n v="76.41"/>
    <n v="45.6"/>
    <s v="Profit"/>
    <x v="0"/>
    <n v="14"/>
    <n v="2"/>
    <s v="0-15"/>
    <s v="No"/>
    <n v="0"/>
    <s v="Healthy"/>
    <n v="0"/>
  </r>
  <r>
    <n v="100010"/>
    <d v="2025-10-27T00:00:00"/>
    <n v="1125"/>
    <x v="3"/>
    <x v="7"/>
    <x v="2"/>
    <x v="1"/>
    <x v="0"/>
    <s v="Wallet"/>
    <n v="43.43"/>
    <n v="14.75"/>
    <x v="0"/>
    <n v="96.09"/>
    <n v="544.5"/>
    <n v="294.81"/>
    <n v="7.18"/>
    <n v="7.69"/>
    <n v="2.71"/>
    <n v="0"/>
    <n v="0"/>
    <n v="312.39"/>
    <n v="232.11"/>
    <s v="Profit"/>
    <x v="0"/>
    <n v="3"/>
    <n v="5"/>
    <s v="0-15"/>
    <s v="No"/>
    <n v="0"/>
    <s v="Healthy"/>
    <n v="0"/>
  </r>
  <r>
    <n v="100011"/>
    <d v="2025-11-16T00:00:00"/>
    <n v="1069"/>
    <x v="1"/>
    <x v="4"/>
    <x v="3"/>
    <x v="1"/>
    <x v="0"/>
    <s v="UPI"/>
    <n v="15.55"/>
    <n v="15.96"/>
    <x v="2"/>
    <n v="24.82"/>
    <n v="223.36"/>
    <n v="123.78"/>
    <n v="11.86"/>
    <n v="1.74"/>
    <n v="5.63"/>
    <n v="218.94"/>
    <n v="0"/>
    <n v="361.95"/>
    <n v="-138.59"/>
    <s v="Loss"/>
    <x v="2"/>
    <n v="10"/>
    <n v="0"/>
    <s v="0-15"/>
    <s v="No"/>
    <n v="2"/>
    <s v="At Risk"/>
    <n v="0"/>
  </r>
  <r>
    <n v="100012"/>
    <d v="2025-10-22T00:00:00"/>
    <n v="1067"/>
    <x v="0"/>
    <x v="1"/>
    <x v="3"/>
    <x v="3"/>
    <x v="2"/>
    <s v="UPI"/>
    <n v="22.46"/>
    <n v="12.49"/>
    <x v="4"/>
    <n v="14.03"/>
    <n v="266.5"/>
    <n v="198.46"/>
    <n v="9.0399999999999991"/>
    <n v="1.96"/>
    <n v="11.88"/>
    <n v="0"/>
    <n v="0"/>
    <n v="221.34"/>
    <n v="45.16"/>
    <s v="Profit"/>
    <x v="0"/>
    <n v="4"/>
    <n v="5"/>
    <s v="0-15"/>
    <s v="No"/>
    <n v="0"/>
    <s v="Healthy"/>
    <n v="0"/>
  </r>
  <r>
    <n v="100013"/>
    <d v="2025-12-07T00:00:00"/>
    <n v="1125"/>
    <x v="2"/>
    <x v="5"/>
    <x v="2"/>
    <x v="0"/>
    <x v="2"/>
    <s v="UPI"/>
    <n v="36.659999999999997"/>
    <n v="18.52"/>
    <x v="0"/>
    <n v="101.84"/>
    <n v="577.1"/>
    <n v="291.87"/>
    <n v="7.69"/>
    <n v="4.75"/>
    <n v="6.35"/>
    <n v="0"/>
    <n v="0"/>
    <n v="310.66000000000003"/>
    <n v="266.44"/>
    <s v="Profit"/>
    <x v="0"/>
    <n v="4"/>
    <n v="0"/>
    <s v="0-15"/>
    <s v="No"/>
    <n v="0"/>
    <s v="Healthy"/>
    <n v="0"/>
  </r>
  <r>
    <n v="100014"/>
    <d v="2025-11-23T00:00:00"/>
    <n v="1080"/>
    <x v="3"/>
    <x v="8"/>
    <x v="0"/>
    <x v="2"/>
    <x v="1"/>
    <s v="UPI"/>
    <n v="22.66"/>
    <n v="18.23"/>
    <x v="4"/>
    <n v="20.65"/>
    <n v="392.44"/>
    <n v="200.03"/>
    <n v="12.46"/>
    <n v="2.89"/>
    <n v="9.85"/>
    <n v="0"/>
    <n v="0"/>
    <n v="225.23"/>
    <n v="167.21"/>
    <s v="Profit"/>
    <x v="0"/>
    <n v="6"/>
    <n v="1"/>
    <s v="0-15"/>
    <s v="No"/>
    <n v="0"/>
    <s v="Healthy"/>
    <n v="0"/>
  </r>
  <r>
    <n v="100015"/>
    <d v="2025-10-12T00:00:00"/>
    <n v="1027"/>
    <x v="2"/>
    <x v="9"/>
    <x v="0"/>
    <x v="0"/>
    <x v="0"/>
    <s v="Wallet"/>
    <n v="28.29"/>
    <n v="19.329999999999998"/>
    <x v="3"/>
    <n v="0"/>
    <n v="546.85"/>
    <n v="199.28"/>
    <n v="9.7799999999999994"/>
    <n v="6.56"/>
    <n v="6.71"/>
    <n v="0"/>
    <n v="0"/>
    <n v="222.33"/>
    <n v="324.52"/>
    <s v="Profit"/>
    <x v="0"/>
    <n v="1"/>
    <n v="1"/>
    <s v="0-15"/>
    <s v="No"/>
    <n v="0"/>
    <s v="Healthy"/>
    <n v="0"/>
  </r>
  <r>
    <n v="100016"/>
    <d v="2025-10-23T00:00:00"/>
    <n v="1115"/>
    <x v="0"/>
    <x v="0"/>
    <x v="3"/>
    <x v="1"/>
    <x v="1"/>
    <s v="Fleet_Invoice"/>
    <n v="41.92"/>
    <n v="15.42"/>
    <x v="0"/>
    <n v="96.96"/>
    <n v="549.45000000000005"/>
    <n v="284.41000000000003"/>
    <n v="10.92"/>
    <n v="2.59"/>
    <n v="6.39"/>
    <n v="0"/>
    <n v="0"/>
    <n v="304.31"/>
    <n v="245.14"/>
    <s v="Profit"/>
    <x v="0"/>
    <n v="20"/>
    <n v="8"/>
    <s v="16-30"/>
    <s v="No"/>
    <n v="0"/>
    <s v="Healthy"/>
    <n v="0"/>
  </r>
  <r>
    <n v="100017"/>
    <d v="2025-11-24T00:00:00"/>
    <n v="1137"/>
    <x v="2"/>
    <x v="10"/>
    <x v="4"/>
    <x v="3"/>
    <x v="0"/>
    <s v="UPI"/>
    <n v="8.8800000000000008"/>
    <n v="13.39"/>
    <x v="2"/>
    <n v="11.89"/>
    <n v="107.01"/>
    <n v="63.17"/>
    <n v="3.8"/>
    <n v="0.83"/>
    <n v="5.33"/>
    <n v="82.14"/>
    <n v="0"/>
    <n v="155.27000000000001"/>
    <n v="-48.26"/>
    <s v="Loss"/>
    <x v="1"/>
    <n v="32"/>
    <n v="3"/>
    <s v="30+"/>
    <s v="Yes"/>
    <n v="1"/>
    <s v="At Risk"/>
    <n v="1"/>
  </r>
  <r>
    <n v="100018"/>
    <d v="2025-12-29T00:00:00"/>
    <n v="1123"/>
    <x v="0"/>
    <x v="6"/>
    <x v="2"/>
    <x v="1"/>
    <x v="2"/>
    <s v="UPI"/>
    <n v="26.16"/>
    <n v="16.25"/>
    <x v="2"/>
    <n v="42.51"/>
    <n v="382.59"/>
    <n v="205.39"/>
    <n v="2.7"/>
    <n v="2.98"/>
    <n v="7.51"/>
    <n v="0"/>
    <n v="0"/>
    <n v="218.58"/>
    <n v="164.01"/>
    <s v="Profit"/>
    <x v="0"/>
    <n v="16"/>
    <n v="0"/>
    <s v="16-30"/>
    <s v="No"/>
    <n v="0"/>
    <s v="Healthy"/>
    <n v="0"/>
  </r>
  <r>
    <n v="100019"/>
    <d v="2025-10-19T00:00:00"/>
    <n v="1085"/>
    <x v="0"/>
    <x v="11"/>
    <x v="4"/>
    <x v="1"/>
    <x v="0"/>
    <s v="UPI"/>
    <n v="32.840000000000003"/>
    <n v="18.059999999999999"/>
    <x v="3"/>
    <n v="0"/>
    <n v="593.09"/>
    <n v="214.28"/>
    <n v="5.66"/>
    <n v="4.1500000000000004"/>
    <n v="6.52"/>
    <n v="0"/>
    <n v="0"/>
    <n v="230.61"/>
    <n v="362.48"/>
    <s v="Profit"/>
    <x v="0"/>
    <n v="6"/>
    <n v="3"/>
    <s v="0-15"/>
    <s v="No"/>
    <n v="0"/>
    <s v="Healthy"/>
    <n v="0"/>
  </r>
  <r>
    <n v="100020"/>
    <d v="2025-10-26T00:00:00"/>
    <n v="1031"/>
    <x v="1"/>
    <x v="4"/>
    <x v="4"/>
    <x v="3"/>
    <x v="0"/>
    <s v="UPI"/>
    <n v="8.69"/>
    <n v="12.8"/>
    <x v="2"/>
    <n v="11.12"/>
    <n v="100.11"/>
    <n v="62.36"/>
    <n v="11.85"/>
    <n v="0.78"/>
    <n v="2.2000000000000002"/>
    <n v="84.18"/>
    <n v="0"/>
    <n v="161.37"/>
    <n v="-61.26"/>
    <s v="Loss"/>
    <x v="2"/>
    <n v="22"/>
    <n v="4"/>
    <s v="16-30"/>
    <s v="Yes"/>
    <n v="2"/>
    <s v="At Risk"/>
    <n v="1"/>
  </r>
  <r>
    <n v="100021"/>
    <d v="2025-12-02T00:00:00"/>
    <n v="1001"/>
    <x v="1"/>
    <x v="4"/>
    <x v="0"/>
    <x v="1"/>
    <x v="0"/>
    <s v="Wallet"/>
    <n v="29.73"/>
    <n v="15.05"/>
    <x v="0"/>
    <n v="67.12"/>
    <n v="380.32"/>
    <n v="216.48"/>
    <n v="1"/>
    <n v="5.37"/>
    <n v="6.25"/>
    <n v="390.89"/>
    <n v="0"/>
    <n v="619.99"/>
    <n v="-239.67"/>
    <s v="Loss"/>
    <x v="1"/>
    <n v="37"/>
    <n v="9"/>
    <s v="30+"/>
    <s v="Yes"/>
    <n v="2"/>
    <s v="At Risk"/>
    <n v="1"/>
  </r>
  <r>
    <n v="100022"/>
    <d v="2025-11-07T00:00:00"/>
    <n v="1045"/>
    <x v="2"/>
    <x v="5"/>
    <x v="1"/>
    <x v="3"/>
    <x v="2"/>
    <s v="Fleet_Invoice"/>
    <n v="13.98"/>
    <n v="13.37"/>
    <x v="0"/>
    <n v="28.04"/>
    <n v="158.87"/>
    <n v="105.12"/>
    <n v="6.65"/>
    <n v="0.75"/>
    <n v="0"/>
    <n v="0"/>
    <n v="0"/>
    <n v="112.52"/>
    <n v="46.35"/>
    <s v="Profit"/>
    <x v="0"/>
    <n v="37"/>
    <n v="8"/>
    <s v="30+"/>
    <s v="Yes"/>
    <n v="1"/>
    <s v="At Risk"/>
    <n v="1"/>
  </r>
  <r>
    <n v="100023"/>
    <d v="2025-12-13T00:00:00"/>
    <n v="1087"/>
    <x v="2"/>
    <x v="12"/>
    <x v="0"/>
    <x v="3"/>
    <x v="2"/>
    <s v="UPI"/>
    <n v="23.52"/>
    <n v="13.57"/>
    <x v="0"/>
    <n v="47.88"/>
    <n v="271.29000000000002"/>
    <n v="167.48"/>
    <n v="7.59"/>
    <n v="2.23"/>
    <n v="13.13"/>
    <n v="0"/>
    <n v="0"/>
    <n v="190.43"/>
    <n v="80.86"/>
    <s v="Profit"/>
    <x v="0"/>
    <n v="5"/>
    <n v="2"/>
    <s v="0-15"/>
    <s v="No"/>
    <n v="0"/>
    <s v="Healthy"/>
    <n v="0"/>
  </r>
  <r>
    <n v="100024"/>
    <d v="2025-12-30T00:00:00"/>
    <n v="1133"/>
    <x v="3"/>
    <x v="7"/>
    <x v="0"/>
    <x v="0"/>
    <x v="0"/>
    <s v="UPI"/>
    <n v="19.48"/>
    <n v="18.95"/>
    <x v="2"/>
    <n v="36.92"/>
    <n v="332.23"/>
    <n v="141.38999999999999"/>
    <n v="1.1000000000000001"/>
    <n v="2.58"/>
    <n v="6.3"/>
    <n v="0"/>
    <n v="0"/>
    <n v="151.37"/>
    <n v="180.86"/>
    <s v="Profit"/>
    <x v="0"/>
    <n v="1"/>
    <n v="4"/>
    <s v="0-15"/>
    <s v="No"/>
    <n v="0"/>
    <s v="Healthy"/>
    <n v="0"/>
  </r>
  <r>
    <n v="100025"/>
    <d v="2025-11-20T00:00:00"/>
    <n v="1036"/>
    <x v="3"/>
    <x v="8"/>
    <x v="1"/>
    <x v="0"/>
    <x v="2"/>
    <s v="Wallet"/>
    <n v="26.83"/>
    <n v="19.12"/>
    <x v="0"/>
    <n v="76.95"/>
    <n v="436.04"/>
    <n v="194.88"/>
    <n v="9.57"/>
    <n v="6.16"/>
    <n v="3.75"/>
    <n v="0"/>
    <n v="0"/>
    <n v="214.36"/>
    <n v="221.68"/>
    <s v="Profit"/>
    <x v="0"/>
    <n v="3"/>
    <n v="7"/>
    <s v="0-15"/>
    <s v="No"/>
    <n v="0"/>
    <s v="Healthy"/>
    <n v="0"/>
  </r>
  <r>
    <n v="100026"/>
    <d v="2025-11-01T00:00:00"/>
    <n v="1034"/>
    <x v="0"/>
    <x v="1"/>
    <x v="1"/>
    <x v="0"/>
    <x v="0"/>
    <s v="UPI"/>
    <n v="10.29"/>
    <n v="19.3"/>
    <x v="1"/>
    <n v="39.72"/>
    <n v="158.88"/>
    <n v="58.07"/>
    <n v="7.32"/>
    <n v="1.39"/>
    <n v="0"/>
    <n v="0"/>
    <n v="0"/>
    <n v="66.78"/>
    <n v="92.1"/>
    <s v="Profit"/>
    <x v="0"/>
    <n v="7"/>
    <n v="0"/>
    <s v="0-15"/>
    <s v="No"/>
    <n v="0"/>
    <s v="Healthy"/>
    <n v="0"/>
  </r>
  <r>
    <n v="100027"/>
    <d v="2025-12-28T00:00:00"/>
    <n v="1055"/>
    <x v="2"/>
    <x v="10"/>
    <x v="3"/>
    <x v="2"/>
    <x v="0"/>
    <s v="UPI"/>
    <n v="29.05"/>
    <n v="17.170000000000002"/>
    <x v="3"/>
    <n v="0"/>
    <n v="498.79"/>
    <n v="217.42"/>
    <n v="1.8"/>
    <n v="3.49"/>
    <n v="1.05"/>
    <n v="0"/>
    <n v="0"/>
    <n v="223.76"/>
    <n v="275.02999999999997"/>
    <s v="Profit"/>
    <x v="0"/>
    <n v="6"/>
    <n v="7"/>
    <s v="0-15"/>
    <s v="No"/>
    <n v="2"/>
    <s v="Healthy"/>
    <n v="0"/>
  </r>
  <r>
    <n v="100028"/>
    <d v="2025-12-28T00:00:00"/>
    <n v="1033"/>
    <x v="1"/>
    <x v="3"/>
    <x v="3"/>
    <x v="3"/>
    <x v="2"/>
    <s v="UPI"/>
    <n v="3"/>
    <n v="12.96"/>
    <x v="3"/>
    <n v="0"/>
    <n v="38.880000000000003"/>
    <n v="22.32"/>
    <n v="7.01"/>
    <n v="0.27"/>
    <n v="3.5"/>
    <n v="0"/>
    <n v="0"/>
    <n v="33.1"/>
    <n v="5.78"/>
    <s v="Profit"/>
    <x v="0"/>
    <n v="5"/>
    <n v="21"/>
    <s v="0-15"/>
    <s v="Yes"/>
    <n v="1"/>
    <s v="At Risk"/>
    <n v="1"/>
  </r>
  <r>
    <n v="100029"/>
    <d v="2025-12-28T00:00:00"/>
    <n v="1122"/>
    <x v="0"/>
    <x v="11"/>
    <x v="3"/>
    <x v="2"/>
    <x v="2"/>
    <s v="Wallet"/>
    <n v="29.29"/>
    <n v="18.920000000000002"/>
    <x v="4"/>
    <n v="27.71"/>
    <n v="526.46"/>
    <n v="246.23"/>
    <n v="5.42"/>
    <n v="6.65"/>
    <n v="3.96"/>
    <n v="0"/>
    <n v="0"/>
    <n v="262.26"/>
    <n v="264.2"/>
    <s v="Profit"/>
    <x v="0"/>
    <n v="33"/>
    <n v="0"/>
    <s v="30+"/>
    <s v="Yes"/>
    <n v="1"/>
    <s v="At Risk"/>
    <n v="1"/>
  </r>
  <r>
    <n v="100030"/>
    <d v="2025-11-01T00:00:00"/>
    <n v="1024"/>
    <x v="3"/>
    <x v="7"/>
    <x v="4"/>
    <x v="3"/>
    <x v="0"/>
    <s v="Card"/>
    <n v="3"/>
    <n v="13.97"/>
    <x v="3"/>
    <n v="0"/>
    <n v="41.91"/>
    <n v="22.65"/>
    <n v="11.18"/>
    <n v="0.63"/>
    <n v="0"/>
    <n v="0"/>
    <n v="0"/>
    <n v="34.46"/>
    <n v="7.45"/>
    <s v="Profit"/>
    <x v="0"/>
    <n v="2"/>
    <n v="3"/>
    <s v="0-15"/>
    <s v="No"/>
    <n v="1"/>
    <s v="Healthy"/>
    <n v="0"/>
  </r>
  <r>
    <n v="100031"/>
    <d v="2025-12-22T00:00:00"/>
    <n v="1088"/>
    <x v="0"/>
    <x v="1"/>
    <x v="1"/>
    <x v="1"/>
    <x v="1"/>
    <s v="UPI"/>
    <n v="25.52"/>
    <n v="15.69"/>
    <x v="0"/>
    <n v="60.06"/>
    <n v="340.35"/>
    <n v="138.35"/>
    <n v="8.31"/>
    <n v="2.8"/>
    <n v="9.91"/>
    <n v="0"/>
    <n v="0"/>
    <n v="159.37"/>
    <n v="180.98"/>
    <s v="Profit"/>
    <x v="0"/>
    <n v="13"/>
    <n v="0"/>
    <s v="0-15"/>
    <s v="No"/>
    <n v="0"/>
    <s v="Healthy"/>
    <n v="0"/>
  </r>
  <r>
    <n v="100032"/>
    <d v="2025-11-08T00:00:00"/>
    <n v="1032"/>
    <x v="0"/>
    <x v="0"/>
    <x v="2"/>
    <x v="1"/>
    <x v="0"/>
    <s v="Wallet"/>
    <n v="22.03"/>
    <n v="15.05"/>
    <x v="3"/>
    <n v="0"/>
    <n v="331.55"/>
    <n v="150.19999999999999"/>
    <n v="9.11"/>
    <n v="3.98"/>
    <n v="2.11"/>
    <n v="174.77"/>
    <n v="0"/>
    <n v="340.17"/>
    <n v="-8.6199999999999992"/>
    <s v="Loss"/>
    <x v="1"/>
    <n v="3"/>
    <n v="15"/>
    <s v="0-15"/>
    <s v="Yes"/>
    <n v="2"/>
    <s v="At Risk"/>
    <n v="1"/>
  </r>
  <r>
    <n v="100033"/>
    <d v="2025-11-26T00:00:00"/>
    <n v="1121"/>
    <x v="0"/>
    <x v="6"/>
    <x v="2"/>
    <x v="3"/>
    <x v="0"/>
    <s v="UPI"/>
    <n v="15.41"/>
    <n v="12.59"/>
    <x v="1"/>
    <n v="38.799999999999997"/>
    <n v="155.21"/>
    <n v="101.2"/>
    <n v="4.3099999999999996"/>
    <n v="1.36"/>
    <n v="7.66"/>
    <n v="0"/>
    <n v="0"/>
    <n v="114.53"/>
    <n v="40.68"/>
    <s v="Profit"/>
    <x v="0"/>
    <n v="3"/>
    <n v="5"/>
    <s v="0-15"/>
    <s v="No"/>
    <n v="0"/>
    <s v="Healthy"/>
    <n v="0"/>
  </r>
  <r>
    <n v="100034"/>
    <d v="2025-12-16T00:00:00"/>
    <n v="1050"/>
    <x v="3"/>
    <x v="8"/>
    <x v="3"/>
    <x v="3"/>
    <x v="0"/>
    <s v="UPI"/>
    <n v="27.08"/>
    <n v="12.99"/>
    <x v="3"/>
    <n v="0"/>
    <n v="351.77"/>
    <n v="205.77"/>
    <n v="4.0999999999999996"/>
    <n v="2.46"/>
    <n v="7.19"/>
    <n v="149.72"/>
    <n v="0"/>
    <n v="369.24"/>
    <n v="-17.47"/>
    <s v="Loss"/>
    <x v="1"/>
    <n v="9"/>
    <n v="15"/>
    <s v="0-15"/>
    <s v="Yes"/>
    <n v="1"/>
    <s v="At Risk"/>
    <n v="1"/>
  </r>
  <r>
    <n v="100035"/>
    <d v="2025-12-20T00:00:00"/>
    <n v="1037"/>
    <x v="1"/>
    <x v="13"/>
    <x v="3"/>
    <x v="1"/>
    <x v="2"/>
    <s v="UPI"/>
    <n v="34.97"/>
    <n v="17.82"/>
    <x v="3"/>
    <n v="0"/>
    <n v="623.16999999999996"/>
    <n v="240.55"/>
    <n v="9.4700000000000006"/>
    <n v="4.3600000000000003"/>
    <n v="12.97"/>
    <n v="0"/>
    <n v="0"/>
    <n v="267.35000000000002"/>
    <n v="355.82"/>
    <s v="Profit"/>
    <x v="0"/>
    <n v="19"/>
    <n v="5"/>
    <s v="16-30"/>
    <s v="No"/>
    <n v="0"/>
    <s v="Healthy"/>
    <n v="0"/>
  </r>
  <r>
    <n v="100036"/>
    <d v="2025-10-26T00:00:00"/>
    <n v="1087"/>
    <x v="2"/>
    <x v="9"/>
    <x v="1"/>
    <x v="0"/>
    <x v="2"/>
    <s v="Fleet_Invoice"/>
    <n v="29.38"/>
    <n v="18.48"/>
    <x v="1"/>
    <n v="108.59"/>
    <n v="434.35"/>
    <n v="184.11"/>
    <n v="5.2"/>
    <n v="2.17"/>
    <n v="7.85"/>
    <n v="0"/>
    <n v="0"/>
    <n v="199.33"/>
    <n v="235.02"/>
    <s v="Profit"/>
    <x v="0"/>
    <n v="12"/>
    <n v="1"/>
    <s v="0-15"/>
    <s v="No"/>
    <n v="0"/>
    <s v="Healthy"/>
    <n v="0"/>
  </r>
  <r>
    <n v="100037"/>
    <d v="2025-10-07T00:00:00"/>
    <n v="1051"/>
    <x v="2"/>
    <x v="10"/>
    <x v="0"/>
    <x v="2"/>
    <x v="0"/>
    <s v="UPI"/>
    <n v="23.67"/>
    <n v="16.87"/>
    <x v="2"/>
    <n v="39.93"/>
    <n v="359.38"/>
    <n v="167.05"/>
    <n v="11.44"/>
    <n v="2.8"/>
    <n v="8.0399999999999991"/>
    <n v="0"/>
    <n v="0"/>
    <n v="189.33"/>
    <n v="170.05"/>
    <s v="Profit"/>
    <x v="0"/>
    <n v="8"/>
    <n v="10"/>
    <s v="0-15"/>
    <s v="No"/>
    <n v="0"/>
    <s v="Healthy"/>
    <n v="0"/>
  </r>
  <r>
    <n v="100038"/>
    <d v="2025-11-30T00:00:00"/>
    <n v="1086"/>
    <x v="1"/>
    <x v="13"/>
    <x v="3"/>
    <x v="1"/>
    <x v="0"/>
    <s v="Card"/>
    <n v="44.52"/>
    <n v="16.05"/>
    <x v="0"/>
    <n v="107.18"/>
    <n v="607.37"/>
    <n v="323.43"/>
    <n v="7.94"/>
    <n v="10.72"/>
    <n v="0"/>
    <n v="0"/>
    <n v="0"/>
    <n v="342.09"/>
    <n v="265.27999999999997"/>
    <s v="Profit"/>
    <x v="0"/>
    <n v="3"/>
    <n v="10"/>
    <s v="0-15"/>
    <s v="No"/>
    <n v="0"/>
    <s v="Healthy"/>
    <n v="0"/>
  </r>
  <r>
    <n v="100039"/>
    <d v="2025-12-02T00:00:00"/>
    <n v="1119"/>
    <x v="2"/>
    <x v="12"/>
    <x v="1"/>
    <x v="3"/>
    <x v="0"/>
    <s v="Card"/>
    <n v="28.12"/>
    <n v="12.68"/>
    <x v="3"/>
    <n v="0"/>
    <n v="356.56"/>
    <n v="225.55"/>
    <n v="2.38"/>
    <n v="5.35"/>
    <n v="8.6300000000000008"/>
    <n v="0"/>
    <n v="0"/>
    <n v="241.91"/>
    <n v="114.65"/>
    <s v="Profit"/>
    <x v="0"/>
    <n v="8"/>
    <n v="18"/>
    <s v="0-15"/>
    <s v="Yes"/>
    <n v="1"/>
    <s v="At Risk"/>
    <n v="1"/>
  </r>
  <r>
    <n v="100040"/>
    <d v="2025-10-18T00:00:00"/>
    <n v="1023"/>
    <x v="3"/>
    <x v="14"/>
    <x v="0"/>
    <x v="0"/>
    <x v="0"/>
    <s v="Wallet"/>
    <n v="31.08"/>
    <n v="19.28"/>
    <x v="0"/>
    <n v="89.88"/>
    <n v="509.34"/>
    <n v="194.52"/>
    <n v="11.38"/>
    <n v="7.19"/>
    <n v="11.69"/>
    <n v="0"/>
    <n v="0"/>
    <n v="224.78"/>
    <n v="284.56"/>
    <s v="Profit"/>
    <x v="0"/>
    <n v="16"/>
    <n v="5"/>
    <s v="16-30"/>
    <s v="No"/>
    <n v="0"/>
    <s v="Healthy"/>
    <n v="0"/>
  </r>
  <r>
    <n v="100041"/>
    <d v="2025-11-18T00:00:00"/>
    <n v="1040"/>
    <x v="1"/>
    <x v="4"/>
    <x v="1"/>
    <x v="3"/>
    <x v="2"/>
    <s v="Card"/>
    <n v="8.7100000000000009"/>
    <n v="11.87"/>
    <x v="4"/>
    <n v="5.17"/>
    <n v="98.22"/>
    <n v="44.17"/>
    <n v="6.53"/>
    <n v="1.55"/>
    <n v="10.77"/>
    <n v="0"/>
    <n v="0"/>
    <n v="63.02"/>
    <n v="35.200000000000003"/>
    <s v="Profit"/>
    <x v="0"/>
    <n v="0"/>
    <n v="11"/>
    <s v="0-15"/>
    <s v="No"/>
    <n v="0"/>
    <s v="Healthy"/>
    <n v="0"/>
  </r>
  <r>
    <n v="100042"/>
    <d v="2025-12-10T00:00:00"/>
    <n v="1122"/>
    <x v="0"/>
    <x v="0"/>
    <x v="1"/>
    <x v="3"/>
    <x v="0"/>
    <s v="Wallet"/>
    <n v="20.2"/>
    <n v="12.21"/>
    <x v="2"/>
    <n v="24.66"/>
    <n v="221.98"/>
    <n v="123.46"/>
    <n v="9.3800000000000008"/>
    <n v="2.96"/>
    <n v="7.64"/>
    <n v="0"/>
    <n v="0"/>
    <n v="143.44"/>
    <n v="78.540000000000006"/>
    <s v="Profit"/>
    <x v="0"/>
    <n v="2"/>
    <n v="5"/>
    <s v="0-15"/>
    <s v="No"/>
    <n v="0"/>
    <s v="Healthy"/>
    <n v="0"/>
  </r>
  <r>
    <n v="100043"/>
    <d v="2025-11-08T00:00:00"/>
    <n v="1001"/>
    <x v="1"/>
    <x v="2"/>
    <x v="4"/>
    <x v="1"/>
    <x v="1"/>
    <s v="Card"/>
    <n v="26.13"/>
    <n v="14.41"/>
    <x v="4"/>
    <n v="18.829999999999998"/>
    <n v="357.7"/>
    <n v="197.93"/>
    <n v="6.44"/>
    <n v="5.65"/>
    <n v="4.25"/>
    <n v="0"/>
    <n v="0"/>
    <n v="214.27"/>
    <n v="143.43"/>
    <s v="Profit"/>
    <x v="0"/>
    <n v="15"/>
    <n v="10"/>
    <s v="0-15"/>
    <s v="No"/>
    <n v="0"/>
    <s v="Healthy"/>
    <n v="0"/>
  </r>
  <r>
    <n v="100044"/>
    <d v="2025-12-26T00:00:00"/>
    <n v="1068"/>
    <x v="3"/>
    <x v="7"/>
    <x v="1"/>
    <x v="3"/>
    <x v="0"/>
    <s v="UPI"/>
    <n v="24.24"/>
    <n v="12.39"/>
    <x v="4"/>
    <n v="15.02"/>
    <n v="285.31"/>
    <n v="201.27"/>
    <n v="2.21"/>
    <n v="2.1"/>
    <n v="7.47"/>
    <n v="0"/>
    <n v="0"/>
    <n v="213.05"/>
    <n v="72.260000000000005"/>
    <s v="Profit"/>
    <x v="0"/>
    <n v="4"/>
    <n v="7"/>
    <s v="0-15"/>
    <s v="No"/>
    <n v="0"/>
    <s v="Healthy"/>
    <n v="0"/>
  </r>
  <r>
    <n v="100045"/>
    <d v="2025-10-30T00:00:00"/>
    <n v="1028"/>
    <x v="3"/>
    <x v="7"/>
    <x v="0"/>
    <x v="2"/>
    <x v="0"/>
    <s v="Wallet"/>
    <n v="19.739999999999998"/>
    <n v="17.47"/>
    <x v="2"/>
    <n v="34.49"/>
    <n v="310.37"/>
    <n v="142.79"/>
    <n v="9.4"/>
    <n v="4.1399999999999997"/>
    <n v="3.3"/>
    <n v="0"/>
    <n v="0"/>
    <n v="159.63"/>
    <n v="150.74"/>
    <s v="Profit"/>
    <x v="0"/>
    <n v="11"/>
    <n v="17"/>
    <s v="0-15"/>
    <s v="Yes"/>
    <n v="2"/>
    <s v="At Risk"/>
    <n v="1"/>
  </r>
  <r>
    <n v="100046"/>
    <d v="2025-12-28T00:00:00"/>
    <n v="1050"/>
    <x v="0"/>
    <x v="11"/>
    <x v="0"/>
    <x v="1"/>
    <x v="0"/>
    <s v="Fleet_Invoice"/>
    <n v="19.82"/>
    <n v="17.13"/>
    <x v="2"/>
    <n v="33.950000000000003"/>
    <n v="305.57"/>
    <n v="114.41"/>
    <n v="9.75"/>
    <n v="1.36"/>
    <n v="5.29"/>
    <n v="218.81"/>
    <n v="0"/>
    <n v="349.62"/>
    <n v="-44.05"/>
    <s v="Loss"/>
    <x v="1"/>
    <n v="11"/>
    <n v="11"/>
    <s v="0-15"/>
    <s v="Yes"/>
    <n v="2"/>
    <s v="At Risk"/>
    <n v="1"/>
  </r>
  <r>
    <n v="100047"/>
    <d v="2025-10-23T00:00:00"/>
    <n v="1071"/>
    <x v="0"/>
    <x v="6"/>
    <x v="3"/>
    <x v="2"/>
    <x v="2"/>
    <s v="Wallet"/>
    <n v="51.53"/>
    <n v="17.21"/>
    <x v="2"/>
    <n v="88.68"/>
    <n v="798.15"/>
    <n v="420.62"/>
    <n v="3.85"/>
    <n v="10.64"/>
    <n v="12.1"/>
    <n v="0"/>
    <n v="0"/>
    <n v="447.21"/>
    <n v="350.94"/>
    <s v="Profit"/>
    <x v="0"/>
    <n v="3"/>
    <n v="0"/>
    <s v="0-15"/>
    <s v="No"/>
    <n v="2"/>
    <s v="Healthy"/>
    <n v="0"/>
  </r>
  <r>
    <n v="100048"/>
    <d v="2025-11-19T00:00:00"/>
    <n v="1120"/>
    <x v="1"/>
    <x v="3"/>
    <x v="0"/>
    <x v="2"/>
    <x v="2"/>
    <s v="UPI"/>
    <n v="25.47"/>
    <n v="16.82"/>
    <x v="2"/>
    <n v="42.84"/>
    <n v="385.57"/>
    <n v="193.54"/>
    <n v="5.01"/>
    <n v="3"/>
    <n v="0"/>
    <n v="0"/>
    <n v="0"/>
    <n v="201.55"/>
    <n v="184.02"/>
    <s v="Profit"/>
    <x v="0"/>
    <n v="17"/>
    <n v="23"/>
    <s v="16-30"/>
    <s v="Yes"/>
    <n v="1"/>
    <s v="At Risk"/>
    <n v="1"/>
  </r>
  <r>
    <n v="100049"/>
    <d v="2025-10-06T00:00:00"/>
    <n v="1140"/>
    <x v="1"/>
    <x v="2"/>
    <x v="0"/>
    <x v="1"/>
    <x v="0"/>
    <s v="Wallet"/>
    <n v="23.89"/>
    <n v="14.9"/>
    <x v="3"/>
    <n v="0"/>
    <n v="355.96"/>
    <n v="175.13"/>
    <n v="11.31"/>
    <n v="4.2699999999999996"/>
    <n v="0"/>
    <n v="0"/>
    <n v="0"/>
    <n v="190.71"/>
    <n v="165.25"/>
    <s v="Profit"/>
    <x v="0"/>
    <n v="5"/>
    <n v="0"/>
    <s v="0-15"/>
    <s v="No"/>
    <n v="0"/>
    <s v="Healthy"/>
    <n v="0"/>
  </r>
  <r>
    <n v="100050"/>
    <d v="2025-11-22T00:00:00"/>
    <n v="1090"/>
    <x v="2"/>
    <x v="10"/>
    <x v="4"/>
    <x v="2"/>
    <x v="0"/>
    <s v="UPI"/>
    <n v="26.88"/>
    <n v="17.850000000000001"/>
    <x v="2"/>
    <n v="47.98"/>
    <n v="431.83"/>
    <n v="182.58"/>
    <n v="9.2899999999999991"/>
    <n v="3.36"/>
    <n v="8.7799999999999994"/>
    <n v="0"/>
    <n v="0"/>
    <n v="204.01"/>
    <n v="227.82"/>
    <s v="Profit"/>
    <x v="0"/>
    <n v="2"/>
    <n v="2"/>
    <s v="0-15"/>
    <s v="No"/>
    <n v="0"/>
    <s v="Healthy"/>
    <n v="0"/>
  </r>
  <r>
    <n v="100051"/>
    <d v="2025-12-31T00:00:00"/>
    <n v="1101"/>
    <x v="1"/>
    <x v="2"/>
    <x v="1"/>
    <x v="2"/>
    <x v="0"/>
    <s v="Fleet_Invoice"/>
    <n v="14.23"/>
    <n v="16.96"/>
    <x v="2"/>
    <n v="24.13"/>
    <n v="217.21"/>
    <n v="105.08"/>
    <n v="6.56"/>
    <n v="0.97"/>
    <n v="1.1499999999999999"/>
    <n v="0"/>
    <n v="0"/>
    <n v="113.76"/>
    <n v="103.45"/>
    <s v="Profit"/>
    <x v="0"/>
    <n v="0"/>
    <n v="1"/>
    <s v="0-15"/>
    <s v="No"/>
    <n v="0"/>
    <s v="Healthy"/>
    <n v="0"/>
  </r>
  <r>
    <n v="100052"/>
    <d v="2025-10-01T00:00:00"/>
    <n v="1025"/>
    <x v="2"/>
    <x v="5"/>
    <x v="1"/>
    <x v="3"/>
    <x v="0"/>
    <s v="Card"/>
    <n v="8.8800000000000008"/>
    <n v="12.5"/>
    <x v="0"/>
    <n v="16.649999999999999"/>
    <n v="94.35"/>
    <n v="56.49"/>
    <n v="6.44"/>
    <n v="1.66"/>
    <n v="7.8"/>
    <n v="0"/>
    <n v="0"/>
    <n v="72.39"/>
    <n v="21.96"/>
    <s v="Profit"/>
    <x v="0"/>
    <n v="26"/>
    <n v="6"/>
    <s v="16-30"/>
    <s v="Yes"/>
    <n v="3"/>
    <s v="At Risk"/>
    <n v="1"/>
  </r>
  <r>
    <n v="100053"/>
    <d v="2025-11-17T00:00:00"/>
    <n v="1024"/>
    <x v="0"/>
    <x v="1"/>
    <x v="3"/>
    <x v="1"/>
    <x v="0"/>
    <s v="UPI"/>
    <n v="32.380000000000003"/>
    <n v="18.07"/>
    <x v="4"/>
    <n v="29.26"/>
    <n v="555.85"/>
    <n v="189.72"/>
    <n v="9.41"/>
    <n v="4.0999999999999996"/>
    <n v="0"/>
    <n v="0"/>
    <n v="0"/>
    <n v="203.23"/>
    <n v="352.62"/>
    <s v="Profit"/>
    <x v="0"/>
    <n v="14"/>
    <n v="21"/>
    <s v="0-15"/>
    <s v="Yes"/>
    <n v="3"/>
    <s v="At Risk"/>
    <n v="1"/>
  </r>
  <r>
    <n v="100054"/>
    <d v="2025-11-17T00:00:00"/>
    <n v="1070"/>
    <x v="1"/>
    <x v="4"/>
    <x v="1"/>
    <x v="2"/>
    <x v="2"/>
    <s v="UPI"/>
    <n v="35.97"/>
    <n v="17.68"/>
    <x v="4"/>
    <n v="31.8"/>
    <n v="604.15"/>
    <n v="262.22000000000003"/>
    <n v="12.94"/>
    <n v="4.45"/>
    <n v="2.79"/>
    <n v="0"/>
    <n v="0"/>
    <n v="282.39999999999998"/>
    <n v="321.75"/>
    <s v="Profit"/>
    <x v="0"/>
    <n v="3"/>
    <n v="6"/>
    <s v="0-15"/>
    <s v="No"/>
    <n v="0"/>
    <s v="Healthy"/>
    <n v="0"/>
  </r>
  <r>
    <n v="100055"/>
    <d v="2025-12-09T00:00:00"/>
    <n v="1047"/>
    <x v="1"/>
    <x v="4"/>
    <x v="2"/>
    <x v="3"/>
    <x v="0"/>
    <s v="Card"/>
    <n v="16.25"/>
    <n v="12.24"/>
    <x v="2"/>
    <n v="19.89"/>
    <n v="179.01"/>
    <n v="117.44"/>
    <n v="12.86"/>
    <n v="2.98"/>
    <n v="8.2200000000000006"/>
    <n v="0"/>
    <n v="0"/>
    <n v="141.5"/>
    <n v="37.51"/>
    <s v="Profit"/>
    <x v="0"/>
    <n v="2"/>
    <n v="12"/>
    <s v="0-15"/>
    <s v="No"/>
    <n v="1"/>
    <s v="Healthy"/>
    <n v="0"/>
  </r>
  <r>
    <n v="100056"/>
    <d v="2025-10-27T00:00:00"/>
    <n v="1118"/>
    <x v="1"/>
    <x v="2"/>
    <x v="4"/>
    <x v="3"/>
    <x v="1"/>
    <s v="UPI"/>
    <n v="14.35"/>
    <n v="12.27"/>
    <x v="2"/>
    <n v="17.61"/>
    <n v="158.46"/>
    <n v="121.31"/>
    <n v="8.1"/>
    <n v="1.23"/>
    <n v="7.92"/>
    <n v="0"/>
    <n v="0"/>
    <n v="138.56"/>
    <n v="19.899999999999999"/>
    <s v="Profit"/>
    <x v="0"/>
    <n v="4"/>
    <n v="20"/>
    <s v="0-15"/>
    <s v="Yes"/>
    <n v="2"/>
    <s v="At Risk"/>
    <n v="1"/>
  </r>
  <r>
    <n v="100057"/>
    <d v="2025-12-13T00:00:00"/>
    <n v="1113"/>
    <x v="2"/>
    <x v="10"/>
    <x v="2"/>
    <x v="3"/>
    <x v="0"/>
    <s v="Wallet"/>
    <n v="14.67"/>
    <n v="12.43"/>
    <x v="3"/>
    <n v="0"/>
    <n v="182.35"/>
    <n v="91.81"/>
    <n v="3.81"/>
    <n v="2.19"/>
    <n v="0"/>
    <n v="0"/>
    <n v="0"/>
    <n v="97.81"/>
    <n v="84.54"/>
    <s v="Profit"/>
    <x v="0"/>
    <n v="37"/>
    <n v="1"/>
    <s v="30+"/>
    <s v="Yes"/>
    <n v="3"/>
    <s v="At Risk"/>
    <n v="1"/>
  </r>
  <r>
    <n v="100058"/>
    <d v="2025-11-20T00:00:00"/>
    <n v="1137"/>
    <x v="2"/>
    <x v="5"/>
    <x v="3"/>
    <x v="1"/>
    <x v="2"/>
    <s v="UPI"/>
    <n v="39.369999999999997"/>
    <n v="15.77"/>
    <x v="4"/>
    <n v="31.04"/>
    <n v="589.82000000000005"/>
    <n v="292.76"/>
    <n v="10.16"/>
    <n v="4.3499999999999996"/>
    <n v="12.34"/>
    <n v="0"/>
    <n v="0"/>
    <n v="319.61"/>
    <n v="270.20999999999998"/>
    <s v="Profit"/>
    <x v="0"/>
    <n v="5"/>
    <n v="2"/>
    <s v="0-15"/>
    <s v="No"/>
    <n v="0"/>
    <s v="Healthy"/>
    <n v="0"/>
  </r>
  <r>
    <n v="100059"/>
    <d v="2025-12-18T00:00:00"/>
    <n v="1011"/>
    <x v="1"/>
    <x v="3"/>
    <x v="3"/>
    <x v="3"/>
    <x v="0"/>
    <s v="UPI"/>
    <n v="15.63"/>
    <n v="12.96"/>
    <x v="2"/>
    <n v="20.260000000000002"/>
    <n v="182.3"/>
    <n v="107.66"/>
    <n v="2.75"/>
    <n v="1.42"/>
    <n v="7.74"/>
    <n v="0"/>
    <n v="0"/>
    <n v="119.57"/>
    <n v="62.73"/>
    <s v="Profit"/>
    <x v="0"/>
    <n v="23"/>
    <n v="13"/>
    <s v="16-30"/>
    <s v="Yes"/>
    <n v="1"/>
    <s v="At Risk"/>
    <n v="1"/>
  </r>
  <r>
    <n v="100060"/>
    <d v="2025-12-02T00:00:00"/>
    <n v="1135"/>
    <x v="2"/>
    <x v="9"/>
    <x v="4"/>
    <x v="1"/>
    <x v="0"/>
    <s v="Card"/>
    <n v="30.13"/>
    <n v="14.59"/>
    <x v="3"/>
    <n v="0"/>
    <n v="439.6"/>
    <n v="170.34"/>
    <n v="7.81"/>
    <n v="6.59"/>
    <n v="4.5599999999999996"/>
    <n v="0"/>
    <n v="0"/>
    <n v="189.3"/>
    <n v="250.3"/>
    <s v="Profit"/>
    <x v="0"/>
    <n v="2"/>
    <n v="1"/>
    <s v="0-15"/>
    <s v="No"/>
    <n v="0"/>
    <s v="Healthy"/>
    <n v="0"/>
  </r>
  <r>
    <n v="100061"/>
    <d v="2025-12-25T00:00:00"/>
    <n v="1068"/>
    <x v="3"/>
    <x v="8"/>
    <x v="3"/>
    <x v="1"/>
    <x v="0"/>
    <s v="Card"/>
    <n v="24.33"/>
    <n v="16.27"/>
    <x v="0"/>
    <n v="59.38"/>
    <n v="336.47"/>
    <n v="176.77"/>
    <n v="8.06"/>
    <n v="5.94"/>
    <n v="9.49"/>
    <n v="0"/>
    <n v="0"/>
    <n v="200.26"/>
    <n v="136.21"/>
    <s v="Profit"/>
    <x v="0"/>
    <n v="28"/>
    <n v="9"/>
    <s v="16-30"/>
    <s v="Yes"/>
    <n v="2"/>
    <s v="At Risk"/>
    <n v="1"/>
  </r>
  <r>
    <n v="100062"/>
    <d v="2025-11-06T00:00:00"/>
    <n v="1089"/>
    <x v="1"/>
    <x v="13"/>
    <x v="3"/>
    <x v="2"/>
    <x v="0"/>
    <s v="UPI"/>
    <n v="38.89"/>
    <n v="18.14"/>
    <x v="1"/>
    <n v="141.09"/>
    <n v="564.37"/>
    <n v="313.85000000000002"/>
    <n v="11.32"/>
    <n v="4.9400000000000004"/>
    <n v="8.9499999999999993"/>
    <n v="0"/>
    <n v="0"/>
    <n v="339.06"/>
    <n v="225.31"/>
    <s v="Profit"/>
    <x v="0"/>
    <n v="5"/>
    <n v="28"/>
    <s v="0-15"/>
    <s v="Yes"/>
    <n v="1"/>
    <s v="At Risk"/>
    <n v="1"/>
  </r>
  <r>
    <n v="100063"/>
    <d v="2025-12-08T00:00:00"/>
    <n v="1030"/>
    <x v="1"/>
    <x v="2"/>
    <x v="3"/>
    <x v="1"/>
    <x v="0"/>
    <s v="Fleet_Invoice"/>
    <n v="21.2"/>
    <n v="15.35"/>
    <x v="0"/>
    <n v="48.81"/>
    <n v="276.61"/>
    <n v="130.97"/>
    <n v="6.71"/>
    <n v="1.3"/>
    <n v="4.87"/>
    <n v="0"/>
    <n v="0"/>
    <n v="143.85"/>
    <n v="132.76"/>
    <s v="Profit"/>
    <x v="0"/>
    <n v="29"/>
    <n v="18"/>
    <s v="16-30"/>
    <s v="Yes"/>
    <n v="1"/>
    <s v="At Risk"/>
    <n v="1"/>
  </r>
  <r>
    <n v="100064"/>
    <d v="2025-12-15T00:00:00"/>
    <n v="1117"/>
    <x v="2"/>
    <x v="5"/>
    <x v="1"/>
    <x v="3"/>
    <x v="0"/>
    <s v="Fleet_Invoice"/>
    <n v="34.81"/>
    <n v="13.32"/>
    <x v="3"/>
    <n v="0"/>
    <n v="463.67"/>
    <n v="248.57"/>
    <n v="8.19"/>
    <n v="1.85"/>
    <n v="10.58"/>
    <n v="0"/>
    <n v="0"/>
    <n v="269.19"/>
    <n v="194.48"/>
    <s v="Profit"/>
    <x v="0"/>
    <n v="1"/>
    <n v="2"/>
    <s v="0-15"/>
    <s v="No"/>
    <n v="0"/>
    <s v="Healthy"/>
    <n v="0"/>
  </r>
  <r>
    <n v="100065"/>
    <d v="2025-12-14T00:00:00"/>
    <n v="1095"/>
    <x v="3"/>
    <x v="8"/>
    <x v="0"/>
    <x v="0"/>
    <x v="0"/>
    <s v="UPI"/>
    <n v="15.19"/>
    <n v="19.38"/>
    <x v="3"/>
    <n v="0"/>
    <n v="294.38"/>
    <n v="107.1"/>
    <n v="6.63"/>
    <n v="2.06"/>
    <n v="8.5399999999999991"/>
    <n v="0"/>
    <n v="0"/>
    <n v="124.33"/>
    <n v="170.05"/>
    <s v="Profit"/>
    <x v="0"/>
    <n v="1"/>
    <n v="1"/>
    <s v="0-15"/>
    <s v="No"/>
    <n v="0"/>
    <s v="Healthy"/>
    <n v="0"/>
  </r>
  <r>
    <n v="100066"/>
    <d v="2025-12-05T00:00:00"/>
    <n v="1009"/>
    <x v="1"/>
    <x v="3"/>
    <x v="0"/>
    <x v="0"/>
    <x v="1"/>
    <s v="Wallet"/>
    <n v="27.42"/>
    <n v="19.329999999999998"/>
    <x v="3"/>
    <n v="0"/>
    <n v="530.03"/>
    <n v="186.71"/>
    <n v="6.11"/>
    <n v="6.36"/>
    <n v="3.29"/>
    <n v="0"/>
    <n v="0"/>
    <n v="202.47"/>
    <n v="327.56"/>
    <s v="Profit"/>
    <x v="0"/>
    <n v="3"/>
    <n v="11"/>
    <s v="0-15"/>
    <s v="No"/>
    <n v="0"/>
    <s v="Healthy"/>
    <n v="0"/>
  </r>
  <r>
    <n v="100067"/>
    <d v="2025-12-13T00:00:00"/>
    <n v="1037"/>
    <x v="0"/>
    <x v="0"/>
    <x v="4"/>
    <x v="3"/>
    <x v="0"/>
    <s v="Fleet_Invoice"/>
    <n v="21.41"/>
    <n v="11.88"/>
    <x v="3"/>
    <n v="0"/>
    <n v="254.35"/>
    <n v="172.6"/>
    <n v="8.3699999999999992"/>
    <n v="1.02"/>
    <n v="3.55"/>
    <n v="0"/>
    <n v="0"/>
    <n v="185.54"/>
    <n v="68.81"/>
    <s v="Profit"/>
    <x v="0"/>
    <n v="10"/>
    <n v="9"/>
    <s v="0-15"/>
    <s v="No"/>
    <n v="0"/>
    <s v="Healthy"/>
    <n v="0"/>
  </r>
  <r>
    <n v="100068"/>
    <d v="2025-11-13T00:00:00"/>
    <n v="1039"/>
    <x v="2"/>
    <x v="5"/>
    <x v="0"/>
    <x v="1"/>
    <x v="2"/>
    <s v="UPI"/>
    <n v="16.149999999999999"/>
    <n v="15.45"/>
    <x v="4"/>
    <n v="12.48"/>
    <n v="237.04"/>
    <n v="97.02"/>
    <n v="6.91"/>
    <n v="1.75"/>
    <n v="6.24"/>
    <n v="239.75"/>
    <n v="6.59"/>
    <n v="358.26"/>
    <n v="-121.22"/>
    <s v="Loss"/>
    <x v="2"/>
    <n v="0"/>
    <n v="10"/>
    <s v="0-15"/>
    <s v="No"/>
    <n v="3"/>
    <s v="At Risk"/>
    <n v="0"/>
  </r>
  <r>
    <n v="100069"/>
    <d v="2025-10-11T00:00:00"/>
    <n v="1119"/>
    <x v="3"/>
    <x v="7"/>
    <x v="1"/>
    <x v="3"/>
    <x v="0"/>
    <s v="UPI"/>
    <n v="13.87"/>
    <n v="12.54"/>
    <x v="3"/>
    <n v="0"/>
    <n v="173.93"/>
    <n v="90.47"/>
    <n v="6.47"/>
    <n v="1.22"/>
    <n v="0"/>
    <n v="0"/>
    <n v="0"/>
    <n v="98.16"/>
    <n v="75.77"/>
    <s v="Profit"/>
    <x v="0"/>
    <n v="3"/>
    <n v="8"/>
    <s v="0-15"/>
    <s v="No"/>
    <n v="2"/>
    <s v="Healthy"/>
    <n v="0"/>
  </r>
  <r>
    <n v="100070"/>
    <d v="2025-12-17T00:00:00"/>
    <n v="1057"/>
    <x v="2"/>
    <x v="12"/>
    <x v="0"/>
    <x v="1"/>
    <x v="2"/>
    <s v="UPI"/>
    <n v="25.78"/>
    <n v="17.82"/>
    <x v="3"/>
    <n v="0"/>
    <n v="459.4"/>
    <n v="196.43"/>
    <n v="10.55"/>
    <n v="3.22"/>
    <n v="6.59"/>
    <n v="0"/>
    <n v="0"/>
    <n v="216.79"/>
    <n v="242.61"/>
    <s v="Profit"/>
    <x v="0"/>
    <n v="14"/>
    <n v="0"/>
    <s v="0-15"/>
    <s v="No"/>
    <n v="0"/>
    <s v="Healthy"/>
    <n v="0"/>
  </r>
  <r>
    <n v="100071"/>
    <d v="2025-12-26T00:00:00"/>
    <n v="1056"/>
    <x v="0"/>
    <x v="6"/>
    <x v="0"/>
    <x v="3"/>
    <x v="1"/>
    <s v="UPI"/>
    <n v="15.86"/>
    <n v="13.24"/>
    <x v="3"/>
    <n v="0"/>
    <n v="209.99"/>
    <n v="103.68"/>
    <n v="8.1300000000000008"/>
    <n v="1.47"/>
    <n v="10.67"/>
    <n v="0"/>
    <n v="0"/>
    <n v="123.95"/>
    <n v="86.04"/>
    <s v="Profit"/>
    <x v="0"/>
    <n v="9"/>
    <n v="4"/>
    <s v="0-15"/>
    <s v="No"/>
    <n v="0"/>
    <s v="Healthy"/>
    <n v="0"/>
  </r>
  <r>
    <n v="100072"/>
    <d v="2025-11-03T00:00:00"/>
    <n v="1108"/>
    <x v="1"/>
    <x v="2"/>
    <x v="0"/>
    <x v="0"/>
    <x v="1"/>
    <s v="Fleet_Invoice"/>
    <n v="28.24"/>
    <n v="19.11"/>
    <x v="3"/>
    <n v="0"/>
    <n v="539.66999999999996"/>
    <n v="194.43"/>
    <n v="9.68"/>
    <n v="2.16"/>
    <n v="6.24"/>
    <n v="0"/>
    <n v="0"/>
    <n v="212.51"/>
    <n v="327.16000000000003"/>
    <s v="Profit"/>
    <x v="0"/>
    <n v="1"/>
    <n v="4"/>
    <s v="0-15"/>
    <s v="No"/>
    <n v="0"/>
    <s v="Healthy"/>
    <n v="0"/>
  </r>
  <r>
    <n v="100073"/>
    <d v="2025-11-13T00:00:00"/>
    <n v="1114"/>
    <x v="3"/>
    <x v="8"/>
    <x v="3"/>
    <x v="3"/>
    <x v="0"/>
    <s v="Card"/>
    <n v="9.75"/>
    <n v="12.98"/>
    <x v="3"/>
    <n v="0"/>
    <n v="126.56"/>
    <n v="63.73"/>
    <n v="9.82"/>
    <n v="1.9"/>
    <n v="6.53"/>
    <n v="51.01"/>
    <n v="0"/>
    <n v="132.99"/>
    <n v="-6.43"/>
    <s v="Loss"/>
    <x v="1"/>
    <n v="4"/>
    <n v="10"/>
    <s v="0-15"/>
    <s v="Yes"/>
    <n v="3"/>
    <s v="At Risk"/>
    <n v="1"/>
  </r>
  <r>
    <n v="100074"/>
    <d v="2025-11-14T00:00:00"/>
    <n v="1041"/>
    <x v="3"/>
    <x v="14"/>
    <x v="4"/>
    <x v="2"/>
    <x v="2"/>
    <s v="Fleet_Invoice"/>
    <n v="35.89"/>
    <n v="17.93"/>
    <x v="3"/>
    <n v="0"/>
    <n v="643.51"/>
    <n v="278.89"/>
    <n v="7.57"/>
    <n v="2.57"/>
    <n v="8.92"/>
    <n v="0"/>
    <n v="0"/>
    <n v="297.95"/>
    <n v="345.56"/>
    <s v="Profit"/>
    <x v="0"/>
    <n v="0"/>
    <n v="11"/>
    <s v="0-15"/>
    <s v="No"/>
    <n v="0"/>
    <s v="Healthy"/>
    <n v="0"/>
  </r>
  <r>
    <n v="100075"/>
    <d v="2025-11-24T00:00:00"/>
    <n v="1018"/>
    <x v="1"/>
    <x v="4"/>
    <x v="4"/>
    <x v="1"/>
    <x v="0"/>
    <s v="UPI"/>
    <n v="30.57"/>
    <n v="18.84"/>
    <x v="2"/>
    <n v="57.59"/>
    <n v="518.35"/>
    <n v="241.5"/>
    <n v="4.92"/>
    <n v="4.03"/>
    <n v="6.87"/>
    <n v="306.16000000000003"/>
    <n v="0"/>
    <n v="563.48"/>
    <n v="-45.13"/>
    <s v="Loss"/>
    <x v="1"/>
    <n v="2"/>
    <n v="0"/>
    <s v="0-15"/>
    <s v="Yes"/>
    <n v="4"/>
    <s v="At Risk"/>
    <n v="1"/>
  </r>
  <r>
    <n v="100076"/>
    <d v="2025-12-07T00:00:00"/>
    <n v="1072"/>
    <x v="3"/>
    <x v="14"/>
    <x v="1"/>
    <x v="3"/>
    <x v="0"/>
    <s v="UPI"/>
    <n v="12.1"/>
    <n v="13.28"/>
    <x v="3"/>
    <n v="0"/>
    <n v="160.69"/>
    <n v="88.77"/>
    <n v="8.43"/>
    <n v="1.1200000000000001"/>
    <n v="6.55"/>
    <n v="0"/>
    <n v="0"/>
    <n v="104.87"/>
    <n v="55.82"/>
    <s v="Profit"/>
    <x v="0"/>
    <n v="0"/>
    <n v="4"/>
    <s v="0-15"/>
    <s v="No"/>
    <n v="0"/>
    <s v="Healthy"/>
    <n v="0"/>
  </r>
  <r>
    <n v="100077"/>
    <d v="2025-10-14T00:00:00"/>
    <n v="1069"/>
    <x v="3"/>
    <x v="8"/>
    <x v="3"/>
    <x v="0"/>
    <x v="1"/>
    <s v="UPI"/>
    <n v="32.299999999999997"/>
    <n v="19.739999999999998"/>
    <x v="3"/>
    <n v="0"/>
    <n v="637.6"/>
    <n v="273.66000000000003"/>
    <n v="10.61"/>
    <n v="4.46"/>
    <n v="7.05"/>
    <n v="0"/>
    <n v="0"/>
    <n v="295.77999999999997"/>
    <n v="341.82"/>
    <s v="Profit"/>
    <x v="0"/>
    <n v="6"/>
    <n v="0"/>
    <s v="0-15"/>
    <s v="No"/>
    <n v="0"/>
    <s v="Healthy"/>
    <n v="0"/>
  </r>
  <r>
    <n v="100078"/>
    <d v="2025-10-12T00:00:00"/>
    <n v="1044"/>
    <x v="1"/>
    <x v="4"/>
    <x v="2"/>
    <x v="0"/>
    <x v="0"/>
    <s v="UPI"/>
    <n v="17.8"/>
    <n v="19.309999999999999"/>
    <x v="2"/>
    <n v="34.369999999999997"/>
    <n v="309.35000000000002"/>
    <n v="143.33000000000001"/>
    <n v="11.11"/>
    <n v="2.41"/>
    <n v="5.98"/>
    <n v="0"/>
    <n v="0"/>
    <n v="162.83000000000001"/>
    <n v="146.52000000000001"/>
    <s v="Profit"/>
    <x v="0"/>
    <n v="22"/>
    <n v="5"/>
    <s v="16-30"/>
    <s v="Yes"/>
    <n v="3"/>
    <s v="At Risk"/>
    <n v="1"/>
  </r>
  <r>
    <n v="100079"/>
    <d v="2025-10-19T00:00:00"/>
    <n v="1132"/>
    <x v="0"/>
    <x v="11"/>
    <x v="2"/>
    <x v="2"/>
    <x v="1"/>
    <s v="Card"/>
    <n v="28.49"/>
    <n v="17.100000000000001"/>
    <x v="3"/>
    <n v="0"/>
    <n v="487.18"/>
    <n v="169.5"/>
    <n v="15.62"/>
    <n v="7.31"/>
    <n v="1.84"/>
    <n v="365.1"/>
    <n v="7.9"/>
    <n v="567.27"/>
    <n v="-80.09"/>
    <s v="Loss"/>
    <x v="2"/>
    <n v="2"/>
    <n v="0"/>
    <s v="0-15"/>
    <s v="No"/>
    <n v="2"/>
    <s v="At Risk"/>
    <n v="0"/>
  </r>
  <r>
    <n v="100080"/>
    <d v="2025-11-18T00:00:00"/>
    <n v="1057"/>
    <x v="1"/>
    <x v="3"/>
    <x v="0"/>
    <x v="3"/>
    <x v="0"/>
    <s v="Card"/>
    <n v="21.72"/>
    <n v="12.59"/>
    <x v="3"/>
    <n v="0"/>
    <n v="273.45"/>
    <n v="151.74"/>
    <n v="11.67"/>
    <n v="4.0999999999999996"/>
    <n v="7.04"/>
    <n v="0"/>
    <n v="0"/>
    <n v="174.55"/>
    <n v="98.9"/>
    <s v="Profit"/>
    <x v="0"/>
    <n v="12"/>
    <n v="1"/>
    <s v="0-15"/>
    <s v="No"/>
    <n v="0"/>
    <s v="Healthy"/>
    <n v="0"/>
  </r>
  <r>
    <n v="100081"/>
    <d v="2025-10-02T00:00:00"/>
    <n v="1103"/>
    <x v="2"/>
    <x v="9"/>
    <x v="4"/>
    <x v="0"/>
    <x v="2"/>
    <s v="Fleet_Invoice"/>
    <n v="28.7"/>
    <n v="18.93"/>
    <x v="3"/>
    <n v="0"/>
    <n v="543.29"/>
    <n v="199.5"/>
    <n v="3.94"/>
    <n v="2.17"/>
    <n v="7.59"/>
    <n v="0"/>
    <n v="0"/>
    <n v="213.2"/>
    <n v="330.09"/>
    <s v="Profit"/>
    <x v="0"/>
    <n v="13"/>
    <n v="25"/>
    <s v="0-15"/>
    <s v="Yes"/>
    <n v="3"/>
    <s v="At Risk"/>
    <n v="1"/>
  </r>
  <r>
    <n v="100082"/>
    <d v="2025-10-14T00:00:00"/>
    <n v="1063"/>
    <x v="2"/>
    <x v="9"/>
    <x v="3"/>
    <x v="2"/>
    <x v="0"/>
    <s v="UPI"/>
    <n v="26.62"/>
    <n v="18.18"/>
    <x v="2"/>
    <n v="48.4"/>
    <n v="435.55"/>
    <n v="201.61"/>
    <n v="2.71"/>
    <n v="3.39"/>
    <n v="6.62"/>
    <n v="0"/>
    <n v="0"/>
    <n v="214.33"/>
    <n v="221.22"/>
    <s v="Profit"/>
    <x v="0"/>
    <n v="5"/>
    <n v="13"/>
    <s v="0-15"/>
    <s v="No"/>
    <n v="0"/>
    <s v="Healthy"/>
    <n v="0"/>
  </r>
  <r>
    <n v="100083"/>
    <d v="2025-12-29T00:00:00"/>
    <n v="1033"/>
    <x v="1"/>
    <x v="3"/>
    <x v="2"/>
    <x v="3"/>
    <x v="2"/>
    <s v="Fleet_Invoice"/>
    <n v="27.63"/>
    <n v="13.9"/>
    <x v="3"/>
    <n v="0"/>
    <n v="384.06"/>
    <n v="183.2"/>
    <n v="7.31"/>
    <n v="1.54"/>
    <n v="6.66"/>
    <n v="0"/>
    <n v="0"/>
    <n v="198.71"/>
    <n v="185.35"/>
    <s v="Profit"/>
    <x v="0"/>
    <n v="7"/>
    <n v="8"/>
    <s v="0-15"/>
    <s v="No"/>
    <n v="0"/>
    <s v="Healthy"/>
    <n v="0"/>
  </r>
  <r>
    <n v="100084"/>
    <d v="2025-11-26T00:00:00"/>
    <n v="1135"/>
    <x v="1"/>
    <x v="4"/>
    <x v="1"/>
    <x v="3"/>
    <x v="0"/>
    <s v="Card"/>
    <n v="7.8"/>
    <n v="11.91"/>
    <x v="2"/>
    <n v="9.2899999999999991"/>
    <n v="83.61"/>
    <n v="49.81"/>
    <n v="10.37"/>
    <n v="1.39"/>
    <n v="6.56"/>
    <n v="0"/>
    <n v="0"/>
    <n v="68.13"/>
    <n v="15.48"/>
    <s v="Profit"/>
    <x v="0"/>
    <n v="44"/>
    <n v="7"/>
    <s v="30+"/>
    <s v="Yes"/>
    <n v="1"/>
    <s v="At Risk"/>
    <n v="1"/>
  </r>
  <r>
    <n v="100085"/>
    <d v="2025-12-04T00:00:00"/>
    <n v="1119"/>
    <x v="2"/>
    <x v="12"/>
    <x v="2"/>
    <x v="0"/>
    <x v="0"/>
    <s v="UPI"/>
    <n v="31.63"/>
    <n v="19.54"/>
    <x v="3"/>
    <n v="0"/>
    <n v="618.04999999999995"/>
    <n v="236.36"/>
    <n v="9.4600000000000009"/>
    <n v="4.33"/>
    <n v="0"/>
    <n v="0"/>
    <n v="0"/>
    <n v="250.15"/>
    <n v="367.9"/>
    <s v="Profit"/>
    <x v="0"/>
    <n v="41"/>
    <n v="2"/>
    <s v="30+"/>
    <s v="Yes"/>
    <n v="1"/>
    <s v="At Risk"/>
    <n v="1"/>
  </r>
  <r>
    <n v="100086"/>
    <d v="2025-10-08T00:00:00"/>
    <n v="1121"/>
    <x v="3"/>
    <x v="7"/>
    <x v="0"/>
    <x v="3"/>
    <x v="2"/>
    <s v="UPI"/>
    <n v="7.2"/>
    <n v="13.5"/>
    <x v="2"/>
    <n v="9.7200000000000006"/>
    <n v="87.48"/>
    <n v="47.97"/>
    <n v="11.66"/>
    <n v="0.68"/>
    <n v="6.85"/>
    <n v="0"/>
    <n v="0"/>
    <n v="67.16"/>
    <n v="20.32"/>
    <s v="Profit"/>
    <x v="0"/>
    <n v="3"/>
    <n v="10"/>
    <s v="0-15"/>
    <s v="No"/>
    <n v="0"/>
    <s v="Healthy"/>
    <n v="0"/>
  </r>
  <r>
    <n v="100087"/>
    <d v="2025-10-14T00:00:00"/>
    <n v="1129"/>
    <x v="0"/>
    <x v="6"/>
    <x v="2"/>
    <x v="0"/>
    <x v="0"/>
    <s v="Fleet_Invoice"/>
    <n v="33.85"/>
    <n v="19.2"/>
    <x v="3"/>
    <n v="0"/>
    <n v="649.91999999999996"/>
    <n v="252.19"/>
    <n v="11.28"/>
    <n v="2.6"/>
    <n v="5"/>
    <n v="0"/>
    <n v="0"/>
    <n v="271.07"/>
    <n v="378.85"/>
    <s v="Profit"/>
    <x v="0"/>
    <n v="13"/>
    <n v="4"/>
    <s v="0-15"/>
    <s v="No"/>
    <n v="0"/>
    <s v="Healthy"/>
    <n v="0"/>
  </r>
  <r>
    <n v="100088"/>
    <d v="2025-11-20T00:00:00"/>
    <n v="1045"/>
    <x v="0"/>
    <x v="11"/>
    <x v="4"/>
    <x v="3"/>
    <x v="0"/>
    <s v="UPI"/>
    <n v="17.21"/>
    <n v="12.21"/>
    <x v="4"/>
    <n v="10.51"/>
    <n v="199.62"/>
    <n v="142.88"/>
    <n v="9.3800000000000008"/>
    <n v="1.47"/>
    <n v="1.72"/>
    <n v="0"/>
    <n v="0"/>
    <n v="155.44999999999999"/>
    <n v="44.17"/>
    <s v="Profit"/>
    <x v="0"/>
    <n v="11"/>
    <n v="3"/>
    <s v="0-15"/>
    <s v="No"/>
    <n v="0"/>
    <s v="Healthy"/>
    <n v="0"/>
  </r>
  <r>
    <n v="100089"/>
    <d v="2025-10-22T00:00:00"/>
    <n v="1062"/>
    <x v="1"/>
    <x v="3"/>
    <x v="3"/>
    <x v="3"/>
    <x v="0"/>
    <s v="Wallet"/>
    <n v="12.85"/>
    <n v="12.1"/>
    <x v="3"/>
    <n v="0"/>
    <n v="155.47999999999999"/>
    <n v="94.59"/>
    <n v="10.85"/>
    <n v="1.87"/>
    <n v="6.43"/>
    <n v="0"/>
    <n v="0"/>
    <n v="113.74"/>
    <n v="41.74"/>
    <s v="Profit"/>
    <x v="0"/>
    <n v="1"/>
    <n v="4"/>
    <s v="0-15"/>
    <s v="No"/>
    <n v="0"/>
    <s v="Healthy"/>
    <n v="0"/>
  </r>
  <r>
    <n v="100090"/>
    <d v="2025-10-08T00:00:00"/>
    <n v="1006"/>
    <x v="0"/>
    <x v="0"/>
    <x v="1"/>
    <x v="2"/>
    <x v="0"/>
    <s v="UPI"/>
    <n v="34.33"/>
    <n v="17.43"/>
    <x v="2"/>
    <n v="59.84"/>
    <n v="538.53"/>
    <n v="259.83999999999997"/>
    <n v="8.1300000000000008"/>
    <n v="4.1900000000000004"/>
    <n v="0"/>
    <n v="0"/>
    <n v="0"/>
    <n v="272.16000000000003"/>
    <n v="266.37"/>
    <s v="Profit"/>
    <x v="0"/>
    <n v="1"/>
    <n v="1"/>
    <s v="0-15"/>
    <s v="No"/>
    <n v="0"/>
    <s v="Healthy"/>
    <n v="0"/>
  </r>
  <r>
    <n v="100091"/>
    <d v="2025-11-10T00:00:00"/>
    <n v="1018"/>
    <x v="0"/>
    <x v="6"/>
    <x v="2"/>
    <x v="3"/>
    <x v="0"/>
    <s v="UPI"/>
    <n v="25.1"/>
    <n v="13.06"/>
    <x v="3"/>
    <n v="0"/>
    <n v="327.81"/>
    <n v="138.49"/>
    <n v="9.5500000000000007"/>
    <n v="2.29"/>
    <n v="0.89"/>
    <n v="0"/>
    <n v="0"/>
    <n v="151.22"/>
    <n v="176.59"/>
    <s v="Profit"/>
    <x v="0"/>
    <n v="0"/>
    <n v="0"/>
    <s v="0-15"/>
    <s v="No"/>
    <n v="0"/>
    <s v="Healthy"/>
    <n v="0"/>
  </r>
  <r>
    <n v="100092"/>
    <d v="2025-10-05T00:00:00"/>
    <n v="1054"/>
    <x v="2"/>
    <x v="9"/>
    <x v="2"/>
    <x v="2"/>
    <x v="2"/>
    <s v="Card"/>
    <n v="30.54"/>
    <n v="16.649999999999999"/>
    <x v="2"/>
    <n v="50.85"/>
    <n v="457.64"/>
    <n v="230.79"/>
    <n v="8.15"/>
    <n v="7.63"/>
    <n v="6.54"/>
    <n v="335.64"/>
    <n v="23.44"/>
    <n v="612.19000000000005"/>
    <n v="-154.55000000000001"/>
    <s v="Loss"/>
    <x v="2"/>
    <n v="5"/>
    <n v="1"/>
    <s v="0-15"/>
    <s v="No"/>
    <n v="1"/>
    <s v="At Risk"/>
    <n v="0"/>
  </r>
  <r>
    <n v="100093"/>
    <d v="2025-10-19T00:00:00"/>
    <n v="1144"/>
    <x v="3"/>
    <x v="8"/>
    <x v="1"/>
    <x v="3"/>
    <x v="2"/>
    <s v="UPI"/>
    <n v="7.87"/>
    <n v="13.09"/>
    <x v="2"/>
    <n v="10.3"/>
    <n v="92.72"/>
    <n v="72.91"/>
    <n v="8.65"/>
    <n v="0.72"/>
    <n v="10"/>
    <n v="0"/>
    <n v="0"/>
    <n v="92.28"/>
    <n v="0.44"/>
    <s v="Profit"/>
    <x v="0"/>
    <n v="1"/>
    <n v="5"/>
    <s v="0-15"/>
    <s v="No"/>
    <n v="0"/>
    <s v="Healthy"/>
    <n v="0"/>
  </r>
  <r>
    <n v="100094"/>
    <d v="2025-10-11T00:00:00"/>
    <n v="1133"/>
    <x v="3"/>
    <x v="7"/>
    <x v="1"/>
    <x v="3"/>
    <x v="0"/>
    <s v="UPI"/>
    <n v="11.13"/>
    <n v="11.96"/>
    <x v="3"/>
    <n v="0"/>
    <n v="133.11000000000001"/>
    <n v="62.62"/>
    <n v="3.88"/>
    <n v="0.93"/>
    <n v="1.45"/>
    <n v="0"/>
    <n v="0"/>
    <n v="68.88"/>
    <n v="64.23"/>
    <s v="Profit"/>
    <x v="0"/>
    <n v="34"/>
    <n v="6"/>
    <s v="30+"/>
    <s v="Yes"/>
    <n v="1"/>
    <s v="At Risk"/>
    <n v="1"/>
  </r>
  <r>
    <n v="100095"/>
    <d v="2025-10-21T00:00:00"/>
    <n v="1075"/>
    <x v="0"/>
    <x v="11"/>
    <x v="3"/>
    <x v="3"/>
    <x v="0"/>
    <s v="UPI"/>
    <n v="16.489999999999998"/>
    <n v="11.42"/>
    <x v="0"/>
    <n v="28.25"/>
    <n v="160.07"/>
    <n v="124.38"/>
    <n v="10.38"/>
    <n v="1.32"/>
    <n v="0.8"/>
    <n v="0"/>
    <n v="0"/>
    <n v="136.88"/>
    <n v="23.19"/>
    <s v="Profit"/>
    <x v="0"/>
    <n v="32"/>
    <n v="17"/>
    <s v="30+"/>
    <s v="Yes"/>
    <n v="2"/>
    <s v="At Risk"/>
    <n v="1"/>
  </r>
  <r>
    <n v="100096"/>
    <d v="2025-11-12T00:00:00"/>
    <n v="1013"/>
    <x v="1"/>
    <x v="2"/>
    <x v="4"/>
    <x v="3"/>
    <x v="0"/>
    <s v="UPI"/>
    <n v="18.89"/>
    <n v="13.6"/>
    <x v="3"/>
    <n v="0"/>
    <n v="256.89999999999998"/>
    <n v="151.30000000000001"/>
    <n v="10.39"/>
    <n v="1.8"/>
    <n v="11.94"/>
    <n v="0"/>
    <n v="0"/>
    <n v="175.43"/>
    <n v="81.47"/>
    <s v="Profit"/>
    <x v="0"/>
    <n v="9"/>
    <n v="8"/>
    <s v="0-15"/>
    <s v="No"/>
    <n v="0"/>
    <s v="Healthy"/>
    <n v="0"/>
  </r>
  <r>
    <n v="100097"/>
    <d v="2025-11-30T00:00:00"/>
    <n v="1080"/>
    <x v="1"/>
    <x v="4"/>
    <x v="3"/>
    <x v="2"/>
    <x v="0"/>
    <s v="UPI"/>
    <n v="31.36"/>
    <n v="17.37"/>
    <x v="2"/>
    <n v="54.47"/>
    <n v="490.25"/>
    <n v="251.74"/>
    <n v="7.34"/>
    <n v="3.81"/>
    <n v="0"/>
    <n v="331.47"/>
    <n v="0"/>
    <n v="594.36"/>
    <n v="-104.11"/>
    <s v="Loss"/>
    <x v="2"/>
    <n v="8"/>
    <n v="20"/>
    <s v="0-15"/>
    <s v="Yes"/>
    <n v="2"/>
    <s v="At Risk"/>
    <n v="1"/>
  </r>
  <r>
    <n v="100098"/>
    <d v="2025-10-15T00:00:00"/>
    <n v="1073"/>
    <x v="1"/>
    <x v="4"/>
    <x v="0"/>
    <x v="3"/>
    <x v="0"/>
    <s v="Wallet"/>
    <n v="20.58"/>
    <n v="13.11"/>
    <x v="3"/>
    <n v="0"/>
    <n v="269.8"/>
    <n v="149.47"/>
    <n v="12.52"/>
    <n v="3.24"/>
    <n v="5.0599999999999996"/>
    <n v="252.62"/>
    <n v="0"/>
    <n v="422.91"/>
    <n v="-153.11000000000001"/>
    <s v="Loss"/>
    <x v="2"/>
    <n v="7"/>
    <n v="47"/>
    <s v="0-15"/>
    <s v="Yes"/>
    <n v="3"/>
    <s v="At Risk"/>
    <n v="1"/>
  </r>
  <r>
    <n v="100099"/>
    <d v="2025-12-31T00:00:00"/>
    <n v="1050"/>
    <x v="3"/>
    <x v="15"/>
    <x v="1"/>
    <x v="3"/>
    <x v="2"/>
    <s v="UPI"/>
    <n v="30.2"/>
    <n v="12.39"/>
    <x v="3"/>
    <n v="0"/>
    <n v="374.18"/>
    <n v="230.22"/>
    <n v="2.4"/>
    <n v="2.62"/>
    <n v="0"/>
    <n v="0"/>
    <n v="0"/>
    <n v="235.24"/>
    <n v="138.94"/>
    <s v="Profit"/>
    <x v="0"/>
    <n v="8"/>
    <n v="2"/>
    <s v="0-15"/>
    <s v="No"/>
    <n v="0"/>
    <s v="Healthy"/>
    <n v="0"/>
  </r>
  <r>
    <n v="100100"/>
    <d v="2025-12-08T00:00:00"/>
    <n v="1005"/>
    <x v="2"/>
    <x v="12"/>
    <x v="0"/>
    <x v="1"/>
    <x v="0"/>
    <s v="UPI"/>
    <n v="32.39"/>
    <n v="14.34"/>
    <x v="0"/>
    <n v="69.67"/>
    <n v="394.8"/>
    <n v="239.7"/>
    <n v="11.56"/>
    <n v="3.25"/>
    <n v="0.95"/>
    <n v="0"/>
    <n v="0"/>
    <n v="255.46"/>
    <n v="139.34"/>
    <s v="Profit"/>
    <x v="0"/>
    <n v="19"/>
    <n v="5"/>
    <s v="16-30"/>
    <s v="No"/>
    <n v="0"/>
    <s v="Healthy"/>
    <n v="0"/>
  </r>
  <r>
    <n v="100101"/>
    <d v="2025-12-16T00:00:00"/>
    <n v="1136"/>
    <x v="0"/>
    <x v="0"/>
    <x v="4"/>
    <x v="2"/>
    <x v="2"/>
    <s v="UPI"/>
    <n v="29.29"/>
    <n v="17.2"/>
    <x v="4"/>
    <n v="25.19"/>
    <n v="478.6"/>
    <n v="234.25"/>
    <n v="11.53"/>
    <n v="3.53"/>
    <n v="3.17"/>
    <n v="0"/>
    <n v="0"/>
    <n v="252.48"/>
    <n v="226.12"/>
    <s v="Profit"/>
    <x v="0"/>
    <n v="42"/>
    <n v="0"/>
    <s v="30+"/>
    <s v="Yes"/>
    <n v="2"/>
    <s v="At Risk"/>
    <n v="1"/>
  </r>
  <r>
    <n v="100102"/>
    <d v="2025-12-26T00:00:00"/>
    <n v="1005"/>
    <x v="2"/>
    <x v="5"/>
    <x v="4"/>
    <x v="3"/>
    <x v="0"/>
    <s v="Fleet_Invoice"/>
    <n v="15.08"/>
    <n v="12.86"/>
    <x v="3"/>
    <n v="0"/>
    <n v="193.93"/>
    <n v="122.28"/>
    <n v="7.03"/>
    <n v="0.78"/>
    <n v="5.5"/>
    <n v="0"/>
    <n v="0"/>
    <n v="135.59"/>
    <n v="58.34"/>
    <s v="Profit"/>
    <x v="0"/>
    <n v="11"/>
    <n v="0"/>
    <s v="0-15"/>
    <s v="No"/>
    <n v="0"/>
    <s v="Healthy"/>
    <n v="0"/>
  </r>
  <r>
    <n v="100103"/>
    <d v="2025-11-29T00:00:00"/>
    <n v="1089"/>
    <x v="3"/>
    <x v="15"/>
    <x v="3"/>
    <x v="0"/>
    <x v="2"/>
    <s v="UPI"/>
    <n v="22.97"/>
    <n v="19.05"/>
    <x v="4"/>
    <n v="21.88"/>
    <n v="415.7"/>
    <n v="174.82"/>
    <n v="8.25"/>
    <n v="3.06"/>
    <n v="6.51"/>
    <n v="0"/>
    <n v="0"/>
    <n v="192.64"/>
    <n v="223.06"/>
    <s v="Profit"/>
    <x v="0"/>
    <n v="7"/>
    <n v="9"/>
    <s v="0-15"/>
    <s v="No"/>
    <n v="0"/>
    <s v="Healthy"/>
    <n v="0"/>
  </r>
  <r>
    <n v="100104"/>
    <d v="2025-10-06T00:00:00"/>
    <n v="1142"/>
    <x v="0"/>
    <x v="0"/>
    <x v="1"/>
    <x v="1"/>
    <x v="0"/>
    <s v="Wallet"/>
    <n v="23.55"/>
    <n v="15.34"/>
    <x v="2"/>
    <n v="36.130000000000003"/>
    <n v="325.13"/>
    <n v="180.47"/>
    <n v="10.08"/>
    <n v="4.34"/>
    <n v="6.52"/>
    <n v="308.64"/>
    <n v="0"/>
    <n v="510.05"/>
    <n v="-184.92"/>
    <s v="Loss"/>
    <x v="2"/>
    <n v="36"/>
    <n v="10"/>
    <s v="30+"/>
    <s v="Yes"/>
    <n v="4"/>
    <s v="At Risk"/>
    <n v="1"/>
  </r>
  <r>
    <n v="100105"/>
    <d v="2025-10-24T00:00:00"/>
    <n v="1061"/>
    <x v="3"/>
    <x v="7"/>
    <x v="4"/>
    <x v="1"/>
    <x v="0"/>
    <s v="UPI"/>
    <n v="29.15"/>
    <n v="15.31"/>
    <x v="3"/>
    <n v="0"/>
    <n v="446.29"/>
    <n v="183.14"/>
    <n v="11.05"/>
    <n v="3.12"/>
    <n v="5.9"/>
    <n v="0"/>
    <n v="0"/>
    <n v="203.21"/>
    <n v="243.08"/>
    <s v="Profit"/>
    <x v="0"/>
    <n v="6"/>
    <n v="4"/>
    <s v="0-15"/>
    <s v="No"/>
    <n v="0"/>
    <s v="Healthy"/>
    <n v="0"/>
  </r>
  <r>
    <n v="100106"/>
    <d v="2025-11-12T00:00:00"/>
    <n v="1044"/>
    <x v="2"/>
    <x v="12"/>
    <x v="1"/>
    <x v="1"/>
    <x v="0"/>
    <s v="UPI"/>
    <n v="34.549999999999997"/>
    <n v="15.51"/>
    <x v="0"/>
    <n v="80.38"/>
    <n v="455.49"/>
    <n v="237.39"/>
    <n v="13.08"/>
    <n v="3.75"/>
    <n v="7.13"/>
    <n v="0"/>
    <n v="0"/>
    <n v="261.35000000000002"/>
    <n v="194.14"/>
    <s v="Profit"/>
    <x v="0"/>
    <n v="24"/>
    <n v="8"/>
    <s v="16-30"/>
    <s v="Yes"/>
    <n v="1"/>
    <s v="At Risk"/>
    <n v="1"/>
  </r>
  <r>
    <n v="100107"/>
    <d v="2025-11-27T00:00:00"/>
    <n v="1023"/>
    <x v="2"/>
    <x v="9"/>
    <x v="1"/>
    <x v="3"/>
    <x v="0"/>
    <s v="UPI"/>
    <n v="6.93"/>
    <n v="12.52"/>
    <x v="2"/>
    <n v="8.68"/>
    <n v="78.08"/>
    <n v="51.42"/>
    <n v="6.74"/>
    <n v="0.61"/>
    <n v="5.91"/>
    <n v="0"/>
    <n v="0"/>
    <n v="64.680000000000007"/>
    <n v="13.4"/>
    <s v="Profit"/>
    <x v="0"/>
    <n v="10"/>
    <n v="2"/>
    <s v="0-15"/>
    <s v="No"/>
    <n v="0"/>
    <s v="Healthy"/>
    <n v="0"/>
  </r>
  <r>
    <n v="100108"/>
    <d v="2025-10-20T00:00:00"/>
    <n v="1086"/>
    <x v="0"/>
    <x v="11"/>
    <x v="1"/>
    <x v="0"/>
    <x v="1"/>
    <s v="UPI"/>
    <n v="23.04"/>
    <n v="18.71"/>
    <x v="2"/>
    <n v="43.11"/>
    <n v="387.97"/>
    <n v="177.66"/>
    <n v="11.85"/>
    <n v="3.02"/>
    <n v="5.9"/>
    <n v="0"/>
    <n v="0"/>
    <n v="198.43"/>
    <n v="189.54"/>
    <s v="Profit"/>
    <x v="0"/>
    <n v="29"/>
    <n v="11"/>
    <s v="16-30"/>
    <s v="Yes"/>
    <n v="1"/>
    <s v="At Risk"/>
    <n v="1"/>
  </r>
  <r>
    <n v="100109"/>
    <d v="2025-11-18T00:00:00"/>
    <n v="1134"/>
    <x v="1"/>
    <x v="3"/>
    <x v="2"/>
    <x v="2"/>
    <x v="0"/>
    <s v="UPI"/>
    <n v="35.33"/>
    <n v="17"/>
    <x v="3"/>
    <n v="0"/>
    <n v="600.61"/>
    <n v="281.41000000000003"/>
    <n v="5.52"/>
    <n v="4.2"/>
    <n v="8.41"/>
    <n v="0"/>
    <n v="0"/>
    <n v="299.54000000000002"/>
    <n v="301.07"/>
    <s v="Profit"/>
    <x v="0"/>
    <n v="5"/>
    <n v="0"/>
    <s v="0-15"/>
    <s v="No"/>
    <n v="0"/>
    <s v="Healthy"/>
    <n v="0"/>
  </r>
  <r>
    <n v="100110"/>
    <d v="2025-10-02T00:00:00"/>
    <n v="1050"/>
    <x v="1"/>
    <x v="4"/>
    <x v="1"/>
    <x v="2"/>
    <x v="0"/>
    <s v="Card"/>
    <n v="21.34"/>
    <n v="17.95"/>
    <x v="3"/>
    <n v="0"/>
    <n v="383.05"/>
    <n v="133.25"/>
    <n v="7.51"/>
    <n v="5.75"/>
    <n v="15.06"/>
    <n v="0"/>
    <n v="0"/>
    <n v="161.57"/>
    <n v="221.48"/>
    <s v="Profit"/>
    <x v="0"/>
    <n v="25"/>
    <n v="4"/>
    <s v="16-30"/>
    <s v="Yes"/>
    <n v="2"/>
    <s v="At Risk"/>
    <n v="1"/>
  </r>
  <r>
    <n v="100111"/>
    <d v="2025-11-08T00:00:00"/>
    <n v="1102"/>
    <x v="1"/>
    <x v="4"/>
    <x v="3"/>
    <x v="1"/>
    <x v="2"/>
    <s v="Card"/>
    <n v="26.29"/>
    <n v="15.87"/>
    <x v="3"/>
    <n v="0"/>
    <n v="417.22"/>
    <n v="196.1"/>
    <n v="4.71"/>
    <n v="6.26"/>
    <n v="6.35"/>
    <n v="0"/>
    <n v="0"/>
    <n v="213.42"/>
    <n v="203.8"/>
    <s v="Profit"/>
    <x v="0"/>
    <n v="12"/>
    <n v="4"/>
    <s v="0-15"/>
    <s v="No"/>
    <n v="0"/>
    <s v="Healthy"/>
    <n v="0"/>
  </r>
  <r>
    <n v="100112"/>
    <d v="2025-11-28T00:00:00"/>
    <n v="1003"/>
    <x v="0"/>
    <x v="1"/>
    <x v="2"/>
    <x v="1"/>
    <x v="0"/>
    <s v="Card"/>
    <n v="22.62"/>
    <n v="14.83"/>
    <x v="2"/>
    <n v="33.54"/>
    <n v="301.91000000000003"/>
    <n v="173.41"/>
    <n v="7.33"/>
    <n v="5.03"/>
    <n v="10.08"/>
    <n v="0"/>
    <n v="0"/>
    <n v="195.85"/>
    <n v="106.06"/>
    <s v="Profit"/>
    <x v="0"/>
    <n v="32"/>
    <n v="0"/>
    <s v="30+"/>
    <s v="Yes"/>
    <n v="1"/>
    <s v="At Risk"/>
    <n v="1"/>
  </r>
  <r>
    <n v="100113"/>
    <d v="2025-12-03T00:00:00"/>
    <n v="1142"/>
    <x v="0"/>
    <x v="1"/>
    <x v="3"/>
    <x v="1"/>
    <x v="0"/>
    <s v="UPI"/>
    <n v="29.81"/>
    <n v="14.74"/>
    <x v="4"/>
    <n v="21.97"/>
    <n v="417.43"/>
    <n v="191.19"/>
    <n v="9.5299999999999994"/>
    <n v="3.08"/>
    <n v="1.9"/>
    <n v="0"/>
    <n v="0"/>
    <n v="205.7"/>
    <n v="211.73"/>
    <s v="Profit"/>
    <x v="0"/>
    <n v="10"/>
    <n v="4"/>
    <s v="0-15"/>
    <s v="No"/>
    <n v="0"/>
    <s v="Healthy"/>
    <n v="0"/>
  </r>
  <r>
    <n v="100114"/>
    <d v="2025-10-14T00:00:00"/>
    <n v="1134"/>
    <x v="0"/>
    <x v="11"/>
    <x v="4"/>
    <x v="1"/>
    <x v="0"/>
    <s v="UPI"/>
    <n v="22.52"/>
    <n v="17.7"/>
    <x v="2"/>
    <n v="39.86"/>
    <n v="358.74"/>
    <n v="151.49"/>
    <n v="7.78"/>
    <n v="2.79"/>
    <n v="10.87"/>
    <n v="0"/>
    <n v="0"/>
    <n v="172.93"/>
    <n v="185.81"/>
    <s v="Profit"/>
    <x v="0"/>
    <n v="52"/>
    <n v="5"/>
    <s v="30+"/>
    <s v="Yes"/>
    <n v="1"/>
    <s v="At Risk"/>
    <n v="1"/>
  </r>
  <r>
    <n v="100115"/>
    <d v="2025-10-25T00:00:00"/>
    <n v="1150"/>
    <x v="3"/>
    <x v="7"/>
    <x v="4"/>
    <x v="2"/>
    <x v="0"/>
    <s v="Wallet"/>
    <n v="33.94"/>
    <n v="17.54"/>
    <x v="2"/>
    <n v="59.53"/>
    <n v="535.78"/>
    <n v="213.82"/>
    <n v="6.53"/>
    <n v="7.14"/>
    <n v="9.65"/>
    <n v="284.14999999999998"/>
    <n v="0"/>
    <n v="521.29"/>
    <n v="14.49"/>
    <s v="Profit"/>
    <x v="1"/>
    <n v="40"/>
    <n v="1"/>
    <s v="30+"/>
    <s v="Yes"/>
    <n v="3"/>
    <s v="At Risk"/>
    <n v="1"/>
  </r>
  <r>
    <n v="100116"/>
    <d v="2025-10-20T00:00:00"/>
    <n v="1038"/>
    <x v="0"/>
    <x v="1"/>
    <x v="4"/>
    <x v="3"/>
    <x v="0"/>
    <s v="UPI"/>
    <n v="17.27"/>
    <n v="12.46"/>
    <x v="4"/>
    <n v="10.76"/>
    <n v="204.42"/>
    <n v="112.34"/>
    <n v="4.0199999999999996"/>
    <n v="1.51"/>
    <n v="7.12"/>
    <n v="0"/>
    <n v="0"/>
    <n v="124.99"/>
    <n v="79.430000000000007"/>
    <s v="Profit"/>
    <x v="0"/>
    <n v="17"/>
    <n v="0"/>
    <s v="16-30"/>
    <s v="No"/>
    <n v="0"/>
    <s v="Healthy"/>
    <n v="0"/>
  </r>
  <r>
    <n v="100117"/>
    <d v="2025-10-15T00:00:00"/>
    <n v="1066"/>
    <x v="0"/>
    <x v="11"/>
    <x v="1"/>
    <x v="3"/>
    <x v="1"/>
    <s v="UPI"/>
    <n v="12.5"/>
    <n v="15.02"/>
    <x v="4"/>
    <n v="9.39"/>
    <n v="178.36"/>
    <n v="77.819999999999993"/>
    <n v="6.59"/>
    <n v="1.31"/>
    <n v="5.32"/>
    <n v="0"/>
    <n v="0"/>
    <n v="91.04"/>
    <n v="87.32"/>
    <s v="Profit"/>
    <x v="0"/>
    <n v="1"/>
    <n v="23"/>
    <s v="0-15"/>
    <s v="Yes"/>
    <n v="1"/>
    <s v="At Risk"/>
    <n v="1"/>
  </r>
  <r>
    <n v="100118"/>
    <d v="2025-10-30T00:00:00"/>
    <n v="1022"/>
    <x v="1"/>
    <x v="3"/>
    <x v="2"/>
    <x v="0"/>
    <x v="0"/>
    <s v="Card"/>
    <n v="26.91"/>
    <n v="18.71"/>
    <x v="1"/>
    <n v="100.7"/>
    <n v="402.79"/>
    <n v="173.94"/>
    <n v="7.49"/>
    <n v="7.55"/>
    <n v="7.18"/>
    <n v="0"/>
    <n v="0"/>
    <n v="196.16"/>
    <n v="206.63"/>
    <s v="Profit"/>
    <x v="0"/>
    <n v="18"/>
    <n v="10"/>
    <s v="16-30"/>
    <s v="No"/>
    <n v="0"/>
    <s v="Healthy"/>
    <n v="0"/>
  </r>
  <r>
    <n v="100119"/>
    <d v="2025-12-14T00:00:00"/>
    <n v="1022"/>
    <x v="1"/>
    <x v="4"/>
    <x v="1"/>
    <x v="0"/>
    <x v="2"/>
    <s v="Fleet_Invoice"/>
    <n v="31.93"/>
    <n v="21.28"/>
    <x v="3"/>
    <n v="0"/>
    <n v="679.47"/>
    <n v="198.87"/>
    <n v="10.54"/>
    <n v="2.72"/>
    <n v="8.27"/>
    <n v="0"/>
    <n v="0"/>
    <n v="220.4"/>
    <n v="459.07"/>
    <s v="Profit"/>
    <x v="0"/>
    <n v="19"/>
    <n v="7"/>
    <s v="16-30"/>
    <s v="No"/>
    <n v="0"/>
    <s v="Healthy"/>
    <n v="0"/>
  </r>
  <r>
    <n v="100120"/>
    <d v="2025-10-01T00:00:00"/>
    <n v="1148"/>
    <x v="0"/>
    <x v="11"/>
    <x v="0"/>
    <x v="2"/>
    <x v="2"/>
    <s v="UPI"/>
    <n v="32.659999999999997"/>
    <n v="17.73"/>
    <x v="4"/>
    <n v="28.95"/>
    <n v="550.11"/>
    <n v="250.63"/>
    <n v="8.18"/>
    <n v="4.05"/>
    <n v="0"/>
    <n v="359.99"/>
    <n v="5.46"/>
    <n v="628.30999999999995"/>
    <n v="-78.2"/>
    <s v="Loss"/>
    <x v="2"/>
    <n v="1"/>
    <n v="0"/>
    <s v="0-15"/>
    <s v="No"/>
    <n v="3"/>
    <s v="At Risk"/>
    <n v="0"/>
  </r>
  <r>
    <n v="100121"/>
    <d v="2025-11-13T00:00:00"/>
    <n v="1127"/>
    <x v="3"/>
    <x v="7"/>
    <x v="0"/>
    <x v="2"/>
    <x v="2"/>
    <s v="Fleet_Invoice"/>
    <n v="31.38"/>
    <n v="18.46"/>
    <x v="3"/>
    <n v="0"/>
    <n v="579.27"/>
    <n v="196.38"/>
    <n v="13.32"/>
    <n v="2.3199999999999998"/>
    <n v="7"/>
    <n v="0"/>
    <n v="0"/>
    <n v="219.02"/>
    <n v="360.25"/>
    <s v="Profit"/>
    <x v="0"/>
    <n v="20"/>
    <n v="0"/>
    <s v="16-30"/>
    <s v="No"/>
    <n v="0"/>
    <s v="Healthy"/>
    <n v="0"/>
  </r>
  <r>
    <n v="100122"/>
    <d v="2025-12-26T00:00:00"/>
    <n v="1050"/>
    <x v="1"/>
    <x v="2"/>
    <x v="3"/>
    <x v="0"/>
    <x v="0"/>
    <s v="UPI"/>
    <n v="28.72"/>
    <n v="18.95"/>
    <x v="2"/>
    <n v="54.42"/>
    <n v="489.82"/>
    <n v="195.32"/>
    <n v="7.9"/>
    <n v="3.81"/>
    <n v="13.04"/>
    <n v="0"/>
    <n v="0"/>
    <n v="220.07"/>
    <n v="269.75"/>
    <s v="Profit"/>
    <x v="0"/>
    <n v="8"/>
    <n v="16"/>
    <s v="0-15"/>
    <s v="Yes"/>
    <n v="1"/>
    <s v="At Risk"/>
    <n v="1"/>
  </r>
  <r>
    <n v="100123"/>
    <d v="2025-12-18T00:00:00"/>
    <n v="1057"/>
    <x v="0"/>
    <x v="6"/>
    <x v="1"/>
    <x v="2"/>
    <x v="2"/>
    <s v="UPI"/>
    <n v="33.99"/>
    <n v="16.649999999999999"/>
    <x v="1"/>
    <n v="113.19"/>
    <n v="452.74"/>
    <n v="268.54000000000002"/>
    <n v="6.64"/>
    <n v="3.96"/>
    <n v="5.09"/>
    <n v="0"/>
    <n v="0"/>
    <n v="284.23"/>
    <n v="168.51"/>
    <s v="Profit"/>
    <x v="0"/>
    <n v="0"/>
    <n v="6"/>
    <s v="0-15"/>
    <s v="No"/>
    <n v="0"/>
    <s v="Healthy"/>
    <n v="0"/>
  </r>
  <r>
    <n v="100124"/>
    <d v="2025-12-27T00:00:00"/>
    <n v="1036"/>
    <x v="2"/>
    <x v="10"/>
    <x v="1"/>
    <x v="3"/>
    <x v="0"/>
    <s v="Fleet_Invoice"/>
    <n v="6.13"/>
    <n v="12.3"/>
    <x v="3"/>
    <n v="0"/>
    <n v="75.400000000000006"/>
    <n v="36.119999999999997"/>
    <n v="6.01"/>
    <n v="0.3"/>
    <n v="4.32"/>
    <n v="0"/>
    <n v="0"/>
    <n v="46.75"/>
    <n v="28.65"/>
    <s v="Profit"/>
    <x v="0"/>
    <n v="4"/>
    <n v="7"/>
    <s v="0-15"/>
    <s v="No"/>
    <n v="0"/>
    <s v="Healthy"/>
    <n v="0"/>
  </r>
  <r>
    <n v="100125"/>
    <d v="2025-10-09T00:00:00"/>
    <n v="1122"/>
    <x v="1"/>
    <x v="4"/>
    <x v="2"/>
    <x v="3"/>
    <x v="0"/>
    <s v="UPI"/>
    <n v="18.39"/>
    <n v="12.37"/>
    <x v="3"/>
    <n v="0"/>
    <n v="227.48"/>
    <n v="140.12"/>
    <n v="13.69"/>
    <n v="1.59"/>
    <n v="8.74"/>
    <n v="0"/>
    <n v="0"/>
    <n v="164.14"/>
    <n v="63.34"/>
    <s v="Profit"/>
    <x v="0"/>
    <n v="11"/>
    <n v="2"/>
    <s v="0-15"/>
    <s v="No"/>
    <n v="0"/>
    <s v="Healthy"/>
    <n v="0"/>
  </r>
  <r>
    <n v="100126"/>
    <d v="2025-10-09T00:00:00"/>
    <n v="1119"/>
    <x v="1"/>
    <x v="2"/>
    <x v="3"/>
    <x v="1"/>
    <x v="0"/>
    <s v="Fleet_Invoice"/>
    <n v="14.44"/>
    <n v="14.85"/>
    <x v="3"/>
    <n v="0"/>
    <n v="214.43"/>
    <n v="100.79"/>
    <n v="6.68"/>
    <n v="0.86"/>
    <n v="0.82"/>
    <n v="0"/>
    <n v="0"/>
    <n v="109.15"/>
    <n v="105.28"/>
    <s v="Profit"/>
    <x v="0"/>
    <n v="4"/>
    <n v="6"/>
    <s v="0-15"/>
    <s v="No"/>
    <n v="0"/>
    <s v="Healthy"/>
    <n v="0"/>
  </r>
  <r>
    <n v="100127"/>
    <d v="2025-12-30T00:00:00"/>
    <n v="1066"/>
    <x v="1"/>
    <x v="3"/>
    <x v="0"/>
    <x v="1"/>
    <x v="0"/>
    <s v="Fleet_Invoice"/>
    <n v="29.62"/>
    <n v="16.3"/>
    <x v="4"/>
    <n v="24.14"/>
    <n v="458.67"/>
    <n v="239.04"/>
    <n v="10.6"/>
    <n v="1.93"/>
    <n v="11.7"/>
    <n v="0"/>
    <n v="0"/>
    <n v="263.27"/>
    <n v="195.4"/>
    <s v="Profit"/>
    <x v="0"/>
    <n v="27"/>
    <n v="1"/>
    <s v="16-30"/>
    <s v="Yes"/>
    <n v="1"/>
    <s v="At Risk"/>
    <n v="1"/>
  </r>
  <r>
    <n v="100128"/>
    <d v="2025-10-17T00:00:00"/>
    <n v="1097"/>
    <x v="1"/>
    <x v="2"/>
    <x v="4"/>
    <x v="3"/>
    <x v="0"/>
    <s v="UPI"/>
    <n v="24.77"/>
    <n v="12.89"/>
    <x v="2"/>
    <n v="31.93"/>
    <n v="287.36"/>
    <n v="188.38"/>
    <n v="4.33"/>
    <n v="2.2400000000000002"/>
    <n v="0.95"/>
    <n v="0"/>
    <n v="0"/>
    <n v="195.9"/>
    <n v="91.46"/>
    <s v="Profit"/>
    <x v="0"/>
    <n v="40"/>
    <n v="1"/>
    <s v="30+"/>
    <s v="Yes"/>
    <n v="2"/>
    <s v="At Risk"/>
    <n v="1"/>
  </r>
  <r>
    <n v="100129"/>
    <d v="2025-11-05T00:00:00"/>
    <n v="1109"/>
    <x v="0"/>
    <x v="1"/>
    <x v="1"/>
    <x v="1"/>
    <x v="0"/>
    <s v="Card"/>
    <n v="18.11"/>
    <n v="16.899999999999999"/>
    <x v="3"/>
    <n v="0"/>
    <n v="306.06"/>
    <n v="122.28"/>
    <n v="7.12"/>
    <n v="4.59"/>
    <n v="9.51"/>
    <n v="0"/>
    <n v="0"/>
    <n v="143.5"/>
    <n v="162.56"/>
    <s v="Profit"/>
    <x v="0"/>
    <n v="29"/>
    <n v="31"/>
    <s v="16-30"/>
    <s v="Yes"/>
    <n v="1"/>
    <s v="At Risk"/>
    <n v="1"/>
  </r>
  <r>
    <n v="100130"/>
    <d v="2025-10-04T00:00:00"/>
    <n v="1037"/>
    <x v="1"/>
    <x v="4"/>
    <x v="0"/>
    <x v="0"/>
    <x v="0"/>
    <s v="UPI"/>
    <n v="18.57"/>
    <n v="18.95"/>
    <x v="4"/>
    <n v="17.600000000000001"/>
    <n v="334.3"/>
    <n v="143.05000000000001"/>
    <n v="15.71"/>
    <n v="2.46"/>
    <n v="2.84"/>
    <n v="0"/>
    <n v="0"/>
    <n v="164.06"/>
    <n v="170.24"/>
    <s v="Profit"/>
    <x v="0"/>
    <n v="13"/>
    <n v="5"/>
    <s v="0-15"/>
    <s v="No"/>
    <n v="0"/>
    <s v="Healthy"/>
    <n v="0"/>
  </r>
  <r>
    <n v="100131"/>
    <d v="2025-10-06T00:00:00"/>
    <n v="1016"/>
    <x v="2"/>
    <x v="9"/>
    <x v="2"/>
    <x v="3"/>
    <x v="2"/>
    <s v="UPI"/>
    <n v="31.56"/>
    <n v="13.22"/>
    <x v="3"/>
    <n v="0"/>
    <n v="417.22"/>
    <n v="243.72"/>
    <n v="9.4700000000000006"/>
    <n v="2.92"/>
    <n v="2.44"/>
    <n v="0"/>
    <n v="0"/>
    <n v="258.55"/>
    <n v="158.66999999999999"/>
    <s v="Profit"/>
    <x v="0"/>
    <n v="1"/>
    <n v="16"/>
    <s v="0-15"/>
    <s v="Yes"/>
    <n v="3"/>
    <s v="At Risk"/>
    <n v="1"/>
  </r>
  <r>
    <n v="100132"/>
    <d v="2025-10-18T00:00:00"/>
    <n v="1033"/>
    <x v="1"/>
    <x v="3"/>
    <x v="3"/>
    <x v="3"/>
    <x v="0"/>
    <s v="Fleet_Invoice"/>
    <n v="11.6"/>
    <n v="12.72"/>
    <x v="2"/>
    <n v="14.76"/>
    <n v="132.79"/>
    <n v="76.19"/>
    <n v="12.7"/>
    <n v="0.59"/>
    <n v="0.53"/>
    <n v="0"/>
    <n v="0"/>
    <n v="90.01"/>
    <n v="42.78"/>
    <s v="Profit"/>
    <x v="0"/>
    <n v="10"/>
    <n v="2"/>
    <s v="0-15"/>
    <s v="No"/>
    <n v="0"/>
    <s v="Healthy"/>
    <n v="0"/>
  </r>
  <r>
    <n v="100133"/>
    <d v="2025-12-16T00:00:00"/>
    <n v="1025"/>
    <x v="1"/>
    <x v="13"/>
    <x v="4"/>
    <x v="3"/>
    <x v="0"/>
    <s v="UPI"/>
    <n v="15.49"/>
    <n v="13.51"/>
    <x v="3"/>
    <n v="0"/>
    <n v="209.27"/>
    <n v="126.27"/>
    <n v="11.88"/>
    <n v="1.46"/>
    <n v="5.52"/>
    <n v="0"/>
    <n v="0"/>
    <n v="145.13"/>
    <n v="64.14"/>
    <s v="Profit"/>
    <x v="0"/>
    <n v="3"/>
    <n v="5"/>
    <s v="0-15"/>
    <s v="No"/>
    <n v="0"/>
    <s v="Healthy"/>
    <n v="0"/>
  </r>
  <r>
    <n v="100134"/>
    <d v="2025-11-07T00:00:00"/>
    <n v="1135"/>
    <x v="0"/>
    <x v="6"/>
    <x v="2"/>
    <x v="0"/>
    <x v="1"/>
    <s v="Card"/>
    <n v="13.46"/>
    <n v="21.35"/>
    <x v="2"/>
    <n v="28.74"/>
    <n v="258.63"/>
    <n v="106.17"/>
    <n v="6.14"/>
    <n v="4.3099999999999996"/>
    <n v="3.82"/>
    <n v="0"/>
    <n v="0"/>
    <n v="120.44"/>
    <n v="138.19"/>
    <s v="Profit"/>
    <x v="0"/>
    <n v="0"/>
    <n v="2"/>
    <s v="0-15"/>
    <s v="No"/>
    <n v="0"/>
    <s v="Healthy"/>
    <n v="0"/>
  </r>
  <r>
    <n v="100135"/>
    <d v="2025-12-29T00:00:00"/>
    <n v="1104"/>
    <x v="1"/>
    <x v="3"/>
    <x v="1"/>
    <x v="3"/>
    <x v="0"/>
    <s v="Card"/>
    <n v="9.58"/>
    <n v="12.79"/>
    <x v="3"/>
    <n v="0"/>
    <n v="122.53"/>
    <n v="68.180000000000007"/>
    <n v="15.02"/>
    <n v="1.84"/>
    <n v="3.51"/>
    <n v="117.69"/>
    <n v="0"/>
    <n v="206.24"/>
    <n v="-83.71"/>
    <s v="Loss"/>
    <x v="2"/>
    <n v="18"/>
    <n v="0"/>
    <s v="16-30"/>
    <s v="No"/>
    <n v="3"/>
    <s v="At Risk"/>
    <n v="0"/>
  </r>
  <r>
    <n v="100136"/>
    <d v="2025-12-14T00:00:00"/>
    <n v="1112"/>
    <x v="3"/>
    <x v="15"/>
    <x v="4"/>
    <x v="1"/>
    <x v="2"/>
    <s v="Fleet_Invoice"/>
    <n v="29.78"/>
    <n v="14.67"/>
    <x v="4"/>
    <n v="21.84"/>
    <n v="415.03"/>
    <n v="213.39"/>
    <n v="9.99"/>
    <n v="1.75"/>
    <n v="4.67"/>
    <n v="0"/>
    <n v="0"/>
    <n v="229.8"/>
    <n v="185.23"/>
    <s v="Profit"/>
    <x v="0"/>
    <n v="5"/>
    <n v="31"/>
    <s v="0-15"/>
    <s v="Yes"/>
    <n v="2"/>
    <s v="At Risk"/>
    <n v="1"/>
  </r>
  <r>
    <n v="100137"/>
    <d v="2025-10-07T00:00:00"/>
    <n v="1100"/>
    <x v="3"/>
    <x v="7"/>
    <x v="4"/>
    <x v="3"/>
    <x v="0"/>
    <s v="UPI"/>
    <n v="8.3800000000000008"/>
    <n v="12.71"/>
    <x v="3"/>
    <n v="0"/>
    <n v="106.51"/>
    <n v="63.99"/>
    <n v="10.85"/>
    <n v="0.75"/>
    <n v="5.66"/>
    <n v="0"/>
    <n v="0"/>
    <n v="81.25"/>
    <n v="25.26"/>
    <s v="Profit"/>
    <x v="0"/>
    <n v="11"/>
    <n v="21"/>
    <s v="0-15"/>
    <s v="Yes"/>
    <n v="1"/>
    <s v="At Risk"/>
    <n v="1"/>
  </r>
  <r>
    <n v="100138"/>
    <d v="2025-10-19T00:00:00"/>
    <n v="1137"/>
    <x v="2"/>
    <x v="5"/>
    <x v="3"/>
    <x v="3"/>
    <x v="0"/>
    <s v="Wallet"/>
    <n v="24.28"/>
    <n v="11.86"/>
    <x v="2"/>
    <n v="28.8"/>
    <n v="259.16000000000003"/>
    <n v="195.19"/>
    <n v="8.19"/>
    <n v="3.46"/>
    <n v="6.79"/>
    <n v="0"/>
    <n v="0"/>
    <n v="213.63"/>
    <n v="45.53"/>
    <s v="Profit"/>
    <x v="0"/>
    <n v="1"/>
    <n v="14"/>
    <s v="0-15"/>
    <s v="No"/>
    <n v="0"/>
    <s v="Healthy"/>
    <n v="0"/>
  </r>
  <r>
    <n v="100139"/>
    <d v="2025-10-31T00:00:00"/>
    <n v="1127"/>
    <x v="2"/>
    <x v="12"/>
    <x v="3"/>
    <x v="3"/>
    <x v="0"/>
    <s v="UPI"/>
    <n v="11.98"/>
    <n v="11.9"/>
    <x v="2"/>
    <n v="14.26"/>
    <n v="128.30000000000001"/>
    <n v="98.38"/>
    <n v="6.46"/>
    <n v="1"/>
    <n v="5.2"/>
    <n v="0"/>
    <n v="0"/>
    <n v="111.04"/>
    <n v="17.260000000000002"/>
    <s v="Profit"/>
    <x v="0"/>
    <n v="34"/>
    <n v="13"/>
    <s v="30+"/>
    <s v="Yes"/>
    <n v="1"/>
    <s v="At Risk"/>
    <n v="1"/>
  </r>
  <r>
    <n v="100140"/>
    <d v="2025-10-04T00:00:00"/>
    <n v="1052"/>
    <x v="0"/>
    <x v="11"/>
    <x v="4"/>
    <x v="3"/>
    <x v="2"/>
    <s v="Wallet"/>
    <n v="8.91"/>
    <n v="12.35"/>
    <x v="3"/>
    <n v="0"/>
    <n v="110.04"/>
    <n v="74.569999999999993"/>
    <n v="5.65"/>
    <n v="1.32"/>
    <n v="2.67"/>
    <n v="0"/>
    <n v="0"/>
    <n v="84.21"/>
    <n v="25.83"/>
    <s v="Profit"/>
    <x v="0"/>
    <n v="8"/>
    <n v="25"/>
    <s v="0-15"/>
    <s v="Yes"/>
    <n v="4"/>
    <s v="At Risk"/>
    <n v="1"/>
  </r>
  <r>
    <n v="100141"/>
    <d v="2025-11-30T00:00:00"/>
    <n v="1075"/>
    <x v="0"/>
    <x v="11"/>
    <x v="2"/>
    <x v="3"/>
    <x v="2"/>
    <s v="UPI"/>
    <n v="13.84"/>
    <n v="12.85"/>
    <x v="4"/>
    <n v="8.89"/>
    <n v="168.95"/>
    <n v="90.44"/>
    <n v="8"/>
    <n v="1.24"/>
    <n v="9.7100000000000009"/>
    <n v="0"/>
    <n v="0"/>
    <n v="109.39"/>
    <n v="59.56"/>
    <s v="Profit"/>
    <x v="0"/>
    <n v="15"/>
    <n v="18"/>
    <s v="0-15"/>
    <s v="Yes"/>
    <n v="1"/>
    <s v="At Risk"/>
    <n v="1"/>
  </r>
  <r>
    <n v="100142"/>
    <d v="2025-10-01T00:00:00"/>
    <n v="1105"/>
    <x v="2"/>
    <x v="10"/>
    <x v="2"/>
    <x v="2"/>
    <x v="2"/>
    <s v="UPI"/>
    <n v="32.799999999999997"/>
    <n v="18.100000000000001"/>
    <x v="0"/>
    <n v="89.05"/>
    <n v="504.63"/>
    <n v="223.77"/>
    <n v="9.7200000000000006"/>
    <n v="4.16"/>
    <n v="6.22"/>
    <n v="0"/>
    <n v="0"/>
    <n v="243.87"/>
    <n v="260.76"/>
    <s v="Profit"/>
    <x v="0"/>
    <n v="10"/>
    <n v="21"/>
    <s v="0-15"/>
    <s v="Yes"/>
    <n v="1"/>
    <s v="At Risk"/>
    <n v="1"/>
  </r>
  <r>
    <n v="100143"/>
    <d v="2025-12-30T00:00:00"/>
    <n v="1128"/>
    <x v="1"/>
    <x v="4"/>
    <x v="0"/>
    <x v="3"/>
    <x v="0"/>
    <s v="UPI"/>
    <n v="20.91"/>
    <n v="11.58"/>
    <x v="1"/>
    <n v="48.43"/>
    <n v="193.71"/>
    <n v="157.5"/>
    <n v="10.18"/>
    <n v="1.69"/>
    <n v="9.1999999999999993"/>
    <n v="0"/>
    <n v="0"/>
    <n v="178.57"/>
    <n v="15.14"/>
    <s v="Profit"/>
    <x v="0"/>
    <n v="15"/>
    <n v="36"/>
    <s v="0-15"/>
    <s v="Yes"/>
    <n v="1"/>
    <s v="At Risk"/>
    <n v="1"/>
  </r>
  <r>
    <n v="100144"/>
    <d v="2025-11-25T00:00:00"/>
    <n v="1035"/>
    <x v="3"/>
    <x v="14"/>
    <x v="0"/>
    <x v="0"/>
    <x v="0"/>
    <s v="UPI"/>
    <n v="24.06"/>
    <n v="19.18"/>
    <x v="4"/>
    <n v="23.07"/>
    <n v="438.4"/>
    <n v="223.05"/>
    <n v="9.3699999999999992"/>
    <n v="3.23"/>
    <n v="10.54"/>
    <n v="0"/>
    <n v="0"/>
    <n v="246.19"/>
    <n v="192.21"/>
    <s v="Profit"/>
    <x v="0"/>
    <n v="34"/>
    <n v="7"/>
    <s v="30+"/>
    <s v="Yes"/>
    <n v="2"/>
    <s v="At Risk"/>
    <n v="1"/>
  </r>
  <r>
    <n v="100145"/>
    <d v="2025-12-23T00:00:00"/>
    <n v="1145"/>
    <x v="0"/>
    <x v="1"/>
    <x v="3"/>
    <x v="3"/>
    <x v="0"/>
    <s v="UPI"/>
    <n v="17.86"/>
    <n v="13.86"/>
    <x v="2"/>
    <n v="24.75"/>
    <n v="222.79"/>
    <n v="116.86"/>
    <n v="8.74"/>
    <n v="1.73"/>
    <n v="6.68"/>
    <n v="0"/>
    <n v="0"/>
    <n v="134.01"/>
    <n v="88.78"/>
    <s v="Profit"/>
    <x v="0"/>
    <n v="13"/>
    <n v="9"/>
    <s v="0-15"/>
    <s v="No"/>
    <n v="0"/>
    <s v="Healthy"/>
    <n v="0"/>
  </r>
  <r>
    <n v="100146"/>
    <d v="2025-12-20T00:00:00"/>
    <n v="1103"/>
    <x v="3"/>
    <x v="14"/>
    <x v="4"/>
    <x v="3"/>
    <x v="2"/>
    <s v="UPI"/>
    <n v="12.44"/>
    <n v="13.05"/>
    <x v="1"/>
    <n v="32.47"/>
    <n v="129.87"/>
    <n v="98.13"/>
    <n v="9.1300000000000008"/>
    <n v="1.1399999999999999"/>
    <n v="7.53"/>
    <n v="0"/>
    <n v="0"/>
    <n v="115.93"/>
    <n v="13.94"/>
    <s v="Profit"/>
    <x v="0"/>
    <n v="52"/>
    <n v="7"/>
    <s v="30+"/>
    <s v="Yes"/>
    <n v="1"/>
    <s v="At Risk"/>
    <n v="1"/>
  </r>
  <r>
    <n v="100147"/>
    <d v="2025-11-07T00:00:00"/>
    <n v="1054"/>
    <x v="2"/>
    <x v="9"/>
    <x v="4"/>
    <x v="1"/>
    <x v="0"/>
    <s v="UPI"/>
    <n v="32.9"/>
    <n v="16.350000000000001"/>
    <x v="3"/>
    <n v="0"/>
    <n v="537.91999999999996"/>
    <n v="246.08"/>
    <n v="10.050000000000001"/>
    <n v="3.77"/>
    <n v="7.69"/>
    <n v="0"/>
    <n v="0"/>
    <n v="267.58999999999997"/>
    <n v="270.33"/>
    <s v="Profit"/>
    <x v="0"/>
    <n v="7"/>
    <n v="11"/>
    <s v="0-15"/>
    <s v="No"/>
    <n v="0"/>
    <s v="Healthy"/>
    <n v="0"/>
  </r>
  <r>
    <n v="100148"/>
    <d v="2025-11-22T00:00:00"/>
    <n v="1021"/>
    <x v="0"/>
    <x v="1"/>
    <x v="0"/>
    <x v="3"/>
    <x v="2"/>
    <s v="UPI"/>
    <n v="35.47"/>
    <n v="13.24"/>
    <x v="2"/>
    <n v="46.96"/>
    <n v="422.66"/>
    <n v="231.72"/>
    <n v="8.2100000000000009"/>
    <n v="3.29"/>
    <n v="4.95"/>
    <n v="0"/>
    <n v="0"/>
    <n v="248.17"/>
    <n v="174.49"/>
    <s v="Profit"/>
    <x v="0"/>
    <n v="30"/>
    <n v="0"/>
    <s v="16-30"/>
    <s v="Yes"/>
    <n v="1"/>
    <s v="At Risk"/>
    <n v="1"/>
  </r>
  <r>
    <n v="100149"/>
    <d v="2025-12-29T00:00:00"/>
    <n v="1074"/>
    <x v="1"/>
    <x v="13"/>
    <x v="4"/>
    <x v="1"/>
    <x v="0"/>
    <s v="Wallet"/>
    <n v="30.56"/>
    <n v="14.54"/>
    <x v="3"/>
    <n v="0"/>
    <n v="444.34"/>
    <n v="191.27"/>
    <n v="5.05"/>
    <n v="5.33"/>
    <n v="5.03"/>
    <n v="0"/>
    <n v="0"/>
    <n v="206.68"/>
    <n v="237.66"/>
    <s v="Profit"/>
    <x v="0"/>
    <n v="3"/>
    <n v="7"/>
    <s v="0-15"/>
    <s v="No"/>
    <n v="0"/>
    <s v="Healthy"/>
    <n v="0"/>
  </r>
  <r>
    <n v="100150"/>
    <d v="2025-10-04T00:00:00"/>
    <n v="1066"/>
    <x v="3"/>
    <x v="8"/>
    <x v="2"/>
    <x v="3"/>
    <x v="0"/>
    <s v="Card"/>
    <n v="31.54"/>
    <n v="13.09"/>
    <x v="3"/>
    <n v="0"/>
    <n v="412.86"/>
    <n v="215.87"/>
    <n v="3.31"/>
    <n v="6.19"/>
    <n v="1.55"/>
    <n v="0"/>
    <n v="0"/>
    <n v="226.92"/>
    <n v="185.94"/>
    <s v="Profit"/>
    <x v="0"/>
    <n v="16"/>
    <n v="1"/>
    <s v="16-30"/>
    <s v="No"/>
    <n v="0"/>
    <s v="Healthy"/>
    <n v="0"/>
  </r>
  <r>
    <n v="100151"/>
    <d v="2025-10-09T00:00:00"/>
    <n v="1075"/>
    <x v="3"/>
    <x v="8"/>
    <x v="0"/>
    <x v="0"/>
    <x v="0"/>
    <s v="Card"/>
    <n v="30.76"/>
    <n v="19.72"/>
    <x v="0"/>
    <n v="90.99"/>
    <n v="515.6"/>
    <n v="241.79"/>
    <n v="12.78"/>
    <n v="9.1"/>
    <n v="4.2300000000000004"/>
    <n v="0"/>
    <n v="0"/>
    <n v="267.89999999999998"/>
    <n v="247.7"/>
    <s v="Profit"/>
    <x v="0"/>
    <n v="27"/>
    <n v="4"/>
    <s v="16-30"/>
    <s v="Yes"/>
    <n v="2"/>
    <s v="At Risk"/>
    <n v="1"/>
  </r>
  <r>
    <n v="100152"/>
    <d v="2025-10-19T00:00:00"/>
    <n v="1002"/>
    <x v="3"/>
    <x v="15"/>
    <x v="2"/>
    <x v="0"/>
    <x v="0"/>
    <s v="UPI"/>
    <n v="24.2"/>
    <n v="19.239999999999998"/>
    <x v="4"/>
    <n v="23.28"/>
    <n v="442.33"/>
    <n v="194.9"/>
    <n v="7.73"/>
    <n v="3.26"/>
    <n v="6.89"/>
    <n v="0"/>
    <n v="0"/>
    <n v="212.78"/>
    <n v="229.55"/>
    <s v="Profit"/>
    <x v="0"/>
    <n v="23"/>
    <n v="0"/>
    <s v="16-30"/>
    <s v="Yes"/>
    <n v="1"/>
    <s v="At Risk"/>
    <n v="1"/>
  </r>
  <r>
    <n v="100153"/>
    <d v="2025-11-25T00:00:00"/>
    <n v="1023"/>
    <x v="2"/>
    <x v="9"/>
    <x v="1"/>
    <x v="3"/>
    <x v="0"/>
    <s v="Fleet_Invoice"/>
    <n v="20.48"/>
    <n v="12.92"/>
    <x v="0"/>
    <n v="39.69"/>
    <n v="224.91"/>
    <n v="154.29"/>
    <n v="11.22"/>
    <n v="1.06"/>
    <n v="12.61"/>
    <n v="0"/>
    <n v="0"/>
    <n v="179.18"/>
    <n v="45.73"/>
    <s v="Profit"/>
    <x v="0"/>
    <n v="24"/>
    <n v="20"/>
    <s v="16-30"/>
    <s v="Yes"/>
    <n v="3"/>
    <s v="At Risk"/>
    <n v="1"/>
  </r>
  <r>
    <n v="100154"/>
    <d v="2025-11-01T00:00:00"/>
    <n v="1080"/>
    <x v="1"/>
    <x v="13"/>
    <x v="1"/>
    <x v="1"/>
    <x v="2"/>
    <s v="UPI"/>
    <n v="24.48"/>
    <n v="16.059999999999999"/>
    <x v="2"/>
    <n v="39.32"/>
    <n v="353.83"/>
    <n v="176.08"/>
    <n v="7.56"/>
    <n v="2.75"/>
    <n v="5.24"/>
    <n v="0"/>
    <n v="0"/>
    <n v="191.63"/>
    <n v="162.19999999999999"/>
    <s v="Profit"/>
    <x v="0"/>
    <n v="7"/>
    <n v="20"/>
    <s v="0-15"/>
    <s v="Yes"/>
    <n v="2"/>
    <s v="At Risk"/>
    <n v="1"/>
  </r>
  <r>
    <n v="100155"/>
    <d v="2025-11-22T00:00:00"/>
    <n v="1090"/>
    <x v="1"/>
    <x v="4"/>
    <x v="1"/>
    <x v="0"/>
    <x v="0"/>
    <s v="UPI"/>
    <n v="32.799999999999997"/>
    <n v="17.79"/>
    <x v="3"/>
    <n v="0"/>
    <n v="583.51"/>
    <n v="262.55"/>
    <n v="6.43"/>
    <n v="4.08"/>
    <n v="5.71"/>
    <n v="0"/>
    <n v="0"/>
    <n v="278.77"/>
    <n v="304.74"/>
    <s v="Profit"/>
    <x v="0"/>
    <n v="17"/>
    <n v="6"/>
    <s v="16-30"/>
    <s v="No"/>
    <n v="0"/>
    <s v="Healthy"/>
    <n v="0"/>
  </r>
  <r>
    <n v="100156"/>
    <d v="2025-12-02T00:00:00"/>
    <n v="1080"/>
    <x v="0"/>
    <x v="6"/>
    <x v="0"/>
    <x v="1"/>
    <x v="0"/>
    <s v="UPI"/>
    <n v="29.56"/>
    <n v="17.78"/>
    <x v="1"/>
    <n v="105.12"/>
    <n v="420.46"/>
    <n v="229.1"/>
    <n v="7.7"/>
    <n v="3.68"/>
    <n v="1.9"/>
    <n v="0"/>
    <n v="0"/>
    <n v="242.38"/>
    <n v="178.08"/>
    <s v="Profit"/>
    <x v="0"/>
    <n v="12"/>
    <n v="0"/>
    <s v="0-15"/>
    <s v="No"/>
    <n v="0"/>
    <s v="Healthy"/>
    <n v="0"/>
  </r>
  <r>
    <n v="100157"/>
    <d v="2025-12-10T00:00:00"/>
    <n v="1120"/>
    <x v="1"/>
    <x v="13"/>
    <x v="2"/>
    <x v="3"/>
    <x v="2"/>
    <s v="UPI"/>
    <n v="19.329999999999998"/>
    <n v="12.84"/>
    <x v="2"/>
    <n v="24.82"/>
    <n v="223.38"/>
    <n v="129.05000000000001"/>
    <n v="7.54"/>
    <n v="1.74"/>
    <n v="7.18"/>
    <n v="0"/>
    <n v="0"/>
    <n v="145.51"/>
    <n v="77.87"/>
    <s v="Profit"/>
    <x v="0"/>
    <n v="32"/>
    <n v="1"/>
    <s v="30+"/>
    <s v="Yes"/>
    <n v="2"/>
    <s v="At Risk"/>
    <n v="1"/>
  </r>
  <r>
    <n v="100158"/>
    <d v="2025-11-14T00:00:00"/>
    <n v="1122"/>
    <x v="1"/>
    <x v="13"/>
    <x v="1"/>
    <x v="0"/>
    <x v="0"/>
    <s v="UPI"/>
    <n v="20.9"/>
    <n v="18.66"/>
    <x v="3"/>
    <n v="0"/>
    <n v="389.99"/>
    <n v="108.02"/>
    <n v="2.17"/>
    <n v="2.73"/>
    <n v="10.55"/>
    <n v="0"/>
    <n v="0"/>
    <n v="123.47"/>
    <n v="266.52"/>
    <s v="Profit"/>
    <x v="0"/>
    <n v="2"/>
    <n v="4"/>
    <s v="0-15"/>
    <s v="No"/>
    <n v="0"/>
    <s v="Healthy"/>
    <n v="0"/>
  </r>
  <r>
    <n v="100159"/>
    <d v="2025-10-03T00:00:00"/>
    <n v="1113"/>
    <x v="0"/>
    <x v="1"/>
    <x v="4"/>
    <x v="0"/>
    <x v="0"/>
    <s v="UPI"/>
    <n v="15.37"/>
    <n v="19.61"/>
    <x v="4"/>
    <n v="15.07"/>
    <n v="286.33999999999997"/>
    <n v="121.27"/>
    <n v="9.27"/>
    <n v="2.11"/>
    <n v="5.23"/>
    <n v="0"/>
    <n v="0"/>
    <n v="137.88"/>
    <n v="148.46"/>
    <s v="Profit"/>
    <x v="0"/>
    <n v="17"/>
    <n v="32"/>
    <s v="16-30"/>
    <s v="Yes"/>
    <n v="2"/>
    <s v="At Risk"/>
    <n v="1"/>
  </r>
  <r>
    <n v="100160"/>
    <d v="2025-12-13T00:00:00"/>
    <n v="1080"/>
    <x v="1"/>
    <x v="2"/>
    <x v="2"/>
    <x v="2"/>
    <x v="0"/>
    <s v="UPI"/>
    <n v="35.590000000000003"/>
    <n v="17.149999999999999"/>
    <x v="2"/>
    <n v="61.04"/>
    <n v="549.33000000000004"/>
    <n v="253.07"/>
    <n v="5.19"/>
    <n v="4.2699999999999996"/>
    <n v="0"/>
    <n v="0"/>
    <n v="0"/>
    <n v="262.52999999999997"/>
    <n v="286.8"/>
    <s v="Profit"/>
    <x v="0"/>
    <n v="4"/>
    <n v="21"/>
    <s v="0-15"/>
    <s v="Yes"/>
    <n v="4"/>
    <s v="At Risk"/>
    <n v="1"/>
  </r>
  <r>
    <n v="100161"/>
    <d v="2025-12-26T00:00:00"/>
    <n v="1049"/>
    <x v="0"/>
    <x v="6"/>
    <x v="0"/>
    <x v="0"/>
    <x v="2"/>
    <s v="UPI"/>
    <n v="36.06"/>
    <n v="18.73"/>
    <x v="1"/>
    <n v="135.08000000000001"/>
    <n v="540.32000000000005"/>
    <n v="208.23"/>
    <n v="9.94"/>
    <n v="4.7300000000000004"/>
    <n v="2.34"/>
    <n v="0"/>
    <n v="0"/>
    <n v="225.24"/>
    <n v="315.08"/>
    <s v="Profit"/>
    <x v="0"/>
    <n v="10"/>
    <n v="35"/>
    <s v="0-15"/>
    <s v="Yes"/>
    <n v="3"/>
    <s v="At Risk"/>
    <n v="1"/>
  </r>
  <r>
    <n v="100162"/>
    <d v="2025-12-28T00:00:00"/>
    <n v="1098"/>
    <x v="3"/>
    <x v="14"/>
    <x v="4"/>
    <x v="3"/>
    <x v="0"/>
    <s v="Card"/>
    <n v="23.46"/>
    <n v="11.96"/>
    <x v="2"/>
    <n v="28.06"/>
    <n v="252.52"/>
    <n v="196.04"/>
    <n v="4.25"/>
    <n v="4.21"/>
    <n v="4.59"/>
    <n v="0"/>
    <n v="0"/>
    <n v="209.09"/>
    <n v="43.43"/>
    <s v="Profit"/>
    <x v="0"/>
    <n v="18"/>
    <n v="1"/>
    <s v="16-30"/>
    <s v="No"/>
    <n v="0"/>
    <s v="Healthy"/>
    <n v="0"/>
  </r>
  <r>
    <n v="100163"/>
    <d v="2025-12-21T00:00:00"/>
    <n v="1121"/>
    <x v="0"/>
    <x v="6"/>
    <x v="0"/>
    <x v="1"/>
    <x v="0"/>
    <s v="UPI"/>
    <n v="31.01"/>
    <n v="15.17"/>
    <x v="4"/>
    <n v="23.52"/>
    <n v="446.9"/>
    <n v="214.04"/>
    <n v="6.39"/>
    <n v="3.29"/>
    <n v="5.23"/>
    <n v="0"/>
    <n v="0"/>
    <n v="228.95"/>
    <n v="217.95"/>
    <s v="Profit"/>
    <x v="0"/>
    <n v="28"/>
    <n v="0"/>
    <s v="16-30"/>
    <s v="Yes"/>
    <n v="2"/>
    <s v="At Risk"/>
    <n v="1"/>
  </r>
  <r>
    <n v="100164"/>
    <d v="2025-11-04T00:00:00"/>
    <n v="1053"/>
    <x v="2"/>
    <x v="10"/>
    <x v="4"/>
    <x v="3"/>
    <x v="0"/>
    <s v="Wallet"/>
    <n v="21.59"/>
    <n v="11.37"/>
    <x v="2"/>
    <n v="24.55"/>
    <n v="220.93"/>
    <n v="175.95"/>
    <n v="6.19"/>
    <n v="2.95"/>
    <n v="8.92"/>
    <n v="0"/>
    <n v="0"/>
    <n v="194.01"/>
    <n v="26.92"/>
    <s v="Profit"/>
    <x v="0"/>
    <n v="33"/>
    <n v="7"/>
    <s v="30+"/>
    <s v="Yes"/>
    <n v="1"/>
    <s v="At Risk"/>
    <n v="1"/>
  </r>
  <r>
    <n v="100165"/>
    <d v="2025-10-27T00:00:00"/>
    <n v="1035"/>
    <x v="2"/>
    <x v="12"/>
    <x v="1"/>
    <x v="3"/>
    <x v="2"/>
    <s v="Card"/>
    <n v="30.16"/>
    <n v="11.95"/>
    <x v="4"/>
    <n v="18.02"/>
    <n v="342.39"/>
    <n v="244.83"/>
    <n v="5.08"/>
    <n v="5.41"/>
    <n v="9.9499999999999993"/>
    <n v="0"/>
    <n v="0"/>
    <n v="265.27"/>
    <n v="77.12"/>
    <s v="Profit"/>
    <x v="0"/>
    <n v="28"/>
    <n v="5"/>
    <s v="16-30"/>
    <s v="Yes"/>
    <n v="1"/>
    <s v="At Risk"/>
    <n v="1"/>
  </r>
  <r>
    <n v="100166"/>
    <d v="2025-11-16T00:00:00"/>
    <n v="1052"/>
    <x v="1"/>
    <x v="3"/>
    <x v="1"/>
    <x v="0"/>
    <x v="0"/>
    <s v="UPI"/>
    <n v="21.64"/>
    <n v="18.02"/>
    <x v="2"/>
    <n v="39"/>
    <n v="350.95"/>
    <n v="133.87"/>
    <n v="9.15"/>
    <n v="2.73"/>
    <n v="8.35"/>
    <n v="0"/>
    <n v="0"/>
    <n v="154.1"/>
    <n v="196.85"/>
    <s v="Profit"/>
    <x v="0"/>
    <n v="37"/>
    <n v="16"/>
    <s v="30+"/>
    <s v="Yes"/>
    <n v="1"/>
    <s v="At Risk"/>
    <n v="1"/>
  </r>
  <r>
    <n v="100167"/>
    <d v="2025-10-12T00:00:00"/>
    <n v="1006"/>
    <x v="3"/>
    <x v="8"/>
    <x v="3"/>
    <x v="2"/>
    <x v="1"/>
    <s v="Card"/>
    <n v="37.01"/>
    <n v="18.29"/>
    <x v="4"/>
    <n v="33.85"/>
    <n v="643.05999999999995"/>
    <n v="258.97000000000003"/>
    <n v="9.83"/>
    <n v="10.15"/>
    <n v="7.15"/>
    <n v="0"/>
    <n v="0"/>
    <n v="286.10000000000002"/>
    <n v="356.96"/>
    <s v="Profit"/>
    <x v="0"/>
    <n v="65"/>
    <n v="8"/>
    <s v="30+"/>
    <s v="Yes"/>
    <n v="2"/>
    <s v="At Risk"/>
    <n v="1"/>
  </r>
  <r>
    <n v="100168"/>
    <d v="2025-11-21T00:00:00"/>
    <n v="1071"/>
    <x v="0"/>
    <x v="11"/>
    <x v="1"/>
    <x v="0"/>
    <x v="2"/>
    <s v="Fleet_Invoice"/>
    <n v="37.94"/>
    <n v="20.07"/>
    <x v="3"/>
    <n v="0"/>
    <n v="761.46"/>
    <n v="261.10000000000002"/>
    <n v="10.94"/>
    <n v="3.05"/>
    <n v="6.52"/>
    <n v="0"/>
    <n v="0"/>
    <n v="281.61"/>
    <n v="479.85"/>
    <s v="Profit"/>
    <x v="0"/>
    <n v="23"/>
    <n v="9"/>
    <s v="16-30"/>
    <s v="Yes"/>
    <n v="1"/>
    <s v="At Risk"/>
    <n v="1"/>
  </r>
  <r>
    <n v="100169"/>
    <d v="2025-10-10T00:00:00"/>
    <n v="1120"/>
    <x v="1"/>
    <x v="3"/>
    <x v="4"/>
    <x v="0"/>
    <x v="1"/>
    <s v="UPI"/>
    <n v="32.56"/>
    <n v="18.149999999999999"/>
    <x v="0"/>
    <n v="88.64"/>
    <n v="502.32"/>
    <n v="233.86"/>
    <n v="2.06"/>
    <n v="4.1399999999999997"/>
    <n v="11.59"/>
    <n v="0"/>
    <n v="0"/>
    <n v="251.65"/>
    <n v="250.67"/>
    <s v="Profit"/>
    <x v="0"/>
    <n v="24"/>
    <n v="3"/>
    <s v="16-30"/>
    <s v="Yes"/>
    <n v="1"/>
    <s v="At Risk"/>
    <n v="1"/>
  </r>
  <r>
    <n v="100170"/>
    <d v="2025-11-20T00:00:00"/>
    <n v="1122"/>
    <x v="3"/>
    <x v="15"/>
    <x v="4"/>
    <x v="2"/>
    <x v="0"/>
    <s v="Card"/>
    <n v="49.91"/>
    <n v="17.91"/>
    <x v="3"/>
    <n v="0"/>
    <n v="893.89"/>
    <n v="360.38"/>
    <n v="7.27"/>
    <n v="13.41"/>
    <n v="4.4000000000000004"/>
    <n v="0"/>
    <n v="0"/>
    <n v="385.46"/>
    <n v="508.43"/>
    <s v="Profit"/>
    <x v="0"/>
    <n v="3"/>
    <n v="12"/>
    <s v="0-15"/>
    <s v="No"/>
    <n v="0"/>
    <s v="Healthy"/>
    <n v="0"/>
  </r>
  <r>
    <n v="100171"/>
    <d v="2025-12-20T00:00:00"/>
    <n v="1121"/>
    <x v="1"/>
    <x v="4"/>
    <x v="2"/>
    <x v="0"/>
    <x v="2"/>
    <s v="UPI"/>
    <n v="27.95"/>
    <n v="19.600000000000001"/>
    <x v="3"/>
    <n v="0"/>
    <n v="547.82000000000005"/>
    <n v="212.89"/>
    <n v="4.6900000000000004"/>
    <n v="3.83"/>
    <n v="2.25"/>
    <n v="0"/>
    <n v="0"/>
    <n v="223.66"/>
    <n v="324.16000000000003"/>
    <s v="Profit"/>
    <x v="0"/>
    <n v="26"/>
    <n v="11"/>
    <s v="16-30"/>
    <s v="Yes"/>
    <n v="1"/>
    <s v="At Risk"/>
    <n v="1"/>
  </r>
  <r>
    <n v="100172"/>
    <d v="2025-11-19T00:00:00"/>
    <n v="1051"/>
    <x v="3"/>
    <x v="7"/>
    <x v="1"/>
    <x v="0"/>
    <x v="0"/>
    <s v="UPI"/>
    <n v="26.17"/>
    <n v="17.829999999999998"/>
    <x v="3"/>
    <n v="0"/>
    <n v="466.61"/>
    <n v="186.13"/>
    <n v="4.12"/>
    <n v="3.27"/>
    <n v="10.84"/>
    <n v="0"/>
    <n v="0"/>
    <n v="204.36"/>
    <n v="262.25"/>
    <s v="Profit"/>
    <x v="0"/>
    <n v="28"/>
    <n v="10"/>
    <s v="16-30"/>
    <s v="Yes"/>
    <n v="2"/>
    <s v="At Risk"/>
    <n v="1"/>
  </r>
  <r>
    <n v="100173"/>
    <d v="2025-11-27T00:00:00"/>
    <n v="1056"/>
    <x v="2"/>
    <x v="10"/>
    <x v="1"/>
    <x v="3"/>
    <x v="0"/>
    <s v="UPI"/>
    <n v="15.07"/>
    <n v="12.65"/>
    <x v="2"/>
    <n v="19.059999999999999"/>
    <n v="171.58"/>
    <n v="98.4"/>
    <n v="13.84"/>
    <n v="1.33"/>
    <n v="12.89"/>
    <n v="0"/>
    <n v="0"/>
    <n v="126.46"/>
    <n v="45.12"/>
    <s v="Profit"/>
    <x v="0"/>
    <n v="47"/>
    <n v="0"/>
    <s v="30+"/>
    <s v="Yes"/>
    <n v="1"/>
    <s v="At Risk"/>
    <n v="1"/>
  </r>
  <r>
    <n v="100174"/>
    <d v="2025-10-12T00:00:00"/>
    <n v="1064"/>
    <x v="1"/>
    <x v="4"/>
    <x v="1"/>
    <x v="2"/>
    <x v="0"/>
    <s v="UPI"/>
    <n v="31.86"/>
    <n v="17.97"/>
    <x v="0"/>
    <n v="85.88"/>
    <n v="486.64"/>
    <n v="224.26"/>
    <n v="10.130000000000001"/>
    <n v="4.01"/>
    <n v="11.76"/>
    <n v="0"/>
    <n v="0"/>
    <n v="250.16"/>
    <n v="236.48"/>
    <s v="Profit"/>
    <x v="0"/>
    <n v="9"/>
    <n v="0"/>
    <s v="0-15"/>
    <s v="No"/>
    <n v="0"/>
    <s v="Healthy"/>
    <n v="0"/>
  </r>
  <r>
    <n v="100175"/>
    <d v="2025-12-21T00:00:00"/>
    <n v="1006"/>
    <x v="0"/>
    <x v="1"/>
    <x v="0"/>
    <x v="2"/>
    <x v="2"/>
    <s v="UPI"/>
    <n v="25.3"/>
    <n v="17.27"/>
    <x v="0"/>
    <n v="65.540000000000006"/>
    <n v="371.39"/>
    <n v="177.06"/>
    <n v="5.16"/>
    <n v="3.06"/>
    <n v="6.99"/>
    <n v="0"/>
    <n v="0"/>
    <n v="192.27"/>
    <n v="179.12"/>
    <s v="Profit"/>
    <x v="0"/>
    <n v="1"/>
    <n v="6"/>
    <s v="0-15"/>
    <s v="No"/>
    <n v="0"/>
    <s v="Healthy"/>
    <n v="0"/>
  </r>
  <r>
    <n v="100176"/>
    <d v="2025-11-14T00:00:00"/>
    <n v="1051"/>
    <x v="2"/>
    <x v="9"/>
    <x v="0"/>
    <x v="0"/>
    <x v="0"/>
    <s v="UPI"/>
    <n v="31.98"/>
    <n v="19.899999999999999"/>
    <x v="3"/>
    <n v="0"/>
    <n v="636.4"/>
    <n v="257.08"/>
    <n v="6.22"/>
    <n v="4.45"/>
    <n v="2.06"/>
    <n v="0"/>
    <n v="0"/>
    <n v="269.81"/>
    <n v="366.59"/>
    <s v="Profit"/>
    <x v="0"/>
    <n v="10"/>
    <n v="2"/>
    <s v="0-15"/>
    <s v="No"/>
    <n v="0"/>
    <s v="Healthy"/>
    <n v="0"/>
  </r>
  <r>
    <n v="100177"/>
    <d v="2025-12-12T00:00:00"/>
    <n v="1092"/>
    <x v="3"/>
    <x v="7"/>
    <x v="2"/>
    <x v="3"/>
    <x v="0"/>
    <s v="Wallet"/>
    <n v="12.18"/>
    <n v="12.88"/>
    <x v="3"/>
    <n v="0"/>
    <n v="156.88"/>
    <n v="96.56"/>
    <n v="1.62"/>
    <n v="1.88"/>
    <n v="8.18"/>
    <n v="0"/>
    <n v="0"/>
    <n v="108.24"/>
    <n v="48.64"/>
    <s v="Profit"/>
    <x v="0"/>
    <n v="9"/>
    <n v="5"/>
    <s v="0-15"/>
    <s v="No"/>
    <n v="0"/>
    <s v="Healthy"/>
    <n v="0"/>
  </r>
  <r>
    <n v="100178"/>
    <d v="2025-11-13T00:00:00"/>
    <n v="1101"/>
    <x v="1"/>
    <x v="4"/>
    <x v="3"/>
    <x v="3"/>
    <x v="0"/>
    <s v="UPI"/>
    <n v="33.46"/>
    <n v="11.67"/>
    <x v="4"/>
    <n v="19.52"/>
    <n v="370.96"/>
    <n v="234.96"/>
    <n v="9.99"/>
    <n v="2.73"/>
    <n v="6.2"/>
    <n v="0"/>
    <n v="0"/>
    <n v="253.88"/>
    <n v="117.08"/>
    <s v="Profit"/>
    <x v="0"/>
    <n v="5"/>
    <n v="10"/>
    <s v="0-15"/>
    <s v="No"/>
    <n v="0"/>
    <s v="Healthy"/>
    <n v="0"/>
  </r>
  <r>
    <n v="100179"/>
    <d v="2025-11-05T00:00:00"/>
    <n v="1041"/>
    <x v="2"/>
    <x v="5"/>
    <x v="4"/>
    <x v="3"/>
    <x v="0"/>
    <s v="Wallet"/>
    <n v="16.02"/>
    <n v="12.26"/>
    <x v="3"/>
    <n v="0"/>
    <n v="196.41"/>
    <n v="126.58"/>
    <n v="4.04"/>
    <n v="2.36"/>
    <n v="3.93"/>
    <n v="0"/>
    <n v="0"/>
    <n v="136.91"/>
    <n v="59.5"/>
    <s v="Profit"/>
    <x v="0"/>
    <n v="7"/>
    <n v="3"/>
    <s v="0-15"/>
    <s v="No"/>
    <n v="0"/>
    <s v="Healthy"/>
    <n v="0"/>
  </r>
  <r>
    <n v="100180"/>
    <d v="2025-11-05T00:00:00"/>
    <n v="1026"/>
    <x v="3"/>
    <x v="15"/>
    <x v="4"/>
    <x v="2"/>
    <x v="2"/>
    <s v="UPI"/>
    <n v="39.58"/>
    <n v="17.53"/>
    <x v="4"/>
    <n v="34.69"/>
    <n v="659.15"/>
    <n v="330.87"/>
    <n v="3.14"/>
    <n v="4.8600000000000003"/>
    <n v="9.27"/>
    <n v="0"/>
    <n v="0"/>
    <n v="348.14"/>
    <n v="311.01"/>
    <s v="Profit"/>
    <x v="0"/>
    <n v="12"/>
    <n v="0"/>
    <s v="0-15"/>
    <s v="No"/>
    <n v="0"/>
    <s v="Healthy"/>
    <n v="0"/>
  </r>
  <r>
    <n v="100181"/>
    <d v="2025-12-21T00:00:00"/>
    <n v="1028"/>
    <x v="0"/>
    <x v="11"/>
    <x v="3"/>
    <x v="1"/>
    <x v="2"/>
    <s v="UPI"/>
    <n v="32.020000000000003"/>
    <n v="16.07"/>
    <x v="1"/>
    <n v="102.91"/>
    <n v="411.65"/>
    <n v="239.62"/>
    <n v="11.3"/>
    <n v="3.6"/>
    <n v="5.24"/>
    <n v="0"/>
    <n v="0"/>
    <n v="259.76"/>
    <n v="151.88999999999999"/>
    <s v="Profit"/>
    <x v="0"/>
    <n v="8"/>
    <n v="9"/>
    <s v="0-15"/>
    <s v="No"/>
    <n v="0"/>
    <s v="Healthy"/>
    <n v="0"/>
  </r>
  <r>
    <n v="100182"/>
    <d v="2025-10-31T00:00:00"/>
    <n v="1013"/>
    <x v="1"/>
    <x v="3"/>
    <x v="1"/>
    <x v="3"/>
    <x v="0"/>
    <s v="UPI"/>
    <n v="8.4499999999999993"/>
    <n v="11.97"/>
    <x v="3"/>
    <n v="0"/>
    <n v="101.15"/>
    <n v="56.61"/>
    <n v="7.91"/>
    <n v="0.71"/>
    <n v="8.7899999999999991"/>
    <n v="0"/>
    <n v="0"/>
    <n v="74.02"/>
    <n v="27.13"/>
    <s v="Profit"/>
    <x v="0"/>
    <n v="9"/>
    <n v="5"/>
    <s v="0-15"/>
    <s v="No"/>
    <n v="0"/>
    <s v="Healthy"/>
    <n v="0"/>
  </r>
  <r>
    <n v="100183"/>
    <d v="2025-11-12T00:00:00"/>
    <n v="1094"/>
    <x v="2"/>
    <x v="5"/>
    <x v="2"/>
    <x v="2"/>
    <x v="2"/>
    <s v="Wallet"/>
    <n v="29.36"/>
    <n v="18.010000000000002"/>
    <x v="3"/>
    <n v="0"/>
    <n v="528.77"/>
    <n v="195.73"/>
    <n v="10.38"/>
    <n v="6.35"/>
    <n v="2.4500000000000002"/>
    <n v="0"/>
    <n v="0"/>
    <n v="214.91"/>
    <n v="313.86"/>
    <s v="Profit"/>
    <x v="0"/>
    <n v="8"/>
    <n v="1"/>
    <s v="0-15"/>
    <s v="No"/>
    <n v="0"/>
    <s v="Healthy"/>
    <n v="0"/>
  </r>
  <r>
    <n v="100184"/>
    <d v="2025-12-14T00:00:00"/>
    <n v="1123"/>
    <x v="2"/>
    <x v="9"/>
    <x v="4"/>
    <x v="1"/>
    <x v="0"/>
    <s v="Card"/>
    <n v="13.81"/>
    <n v="15.41"/>
    <x v="3"/>
    <n v="0"/>
    <n v="212.81"/>
    <n v="100.9"/>
    <n v="14.41"/>
    <n v="3.19"/>
    <n v="7.76"/>
    <n v="0"/>
    <n v="0"/>
    <n v="126.26"/>
    <n v="86.55"/>
    <s v="Profit"/>
    <x v="0"/>
    <n v="24"/>
    <n v="11"/>
    <s v="16-30"/>
    <s v="Yes"/>
    <n v="1"/>
    <s v="At Risk"/>
    <n v="1"/>
  </r>
  <r>
    <n v="100185"/>
    <d v="2025-12-21T00:00:00"/>
    <n v="1065"/>
    <x v="0"/>
    <x v="11"/>
    <x v="0"/>
    <x v="2"/>
    <x v="0"/>
    <s v="Fleet_Invoice"/>
    <n v="5.76"/>
    <n v="16.96"/>
    <x v="1"/>
    <n v="19.54"/>
    <n v="78.150000000000006"/>
    <n v="40.6"/>
    <n v="5.94"/>
    <n v="0.39"/>
    <n v="7.8"/>
    <n v="43.62"/>
    <n v="0"/>
    <n v="98.35"/>
    <n v="-20.2"/>
    <s v="Loss"/>
    <x v="1"/>
    <n v="24"/>
    <n v="5"/>
    <s v="16-30"/>
    <s v="Yes"/>
    <n v="1"/>
    <s v="At Risk"/>
    <n v="1"/>
  </r>
  <r>
    <n v="100186"/>
    <d v="2025-11-08T00:00:00"/>
    <n v="1061"/>
    <x v="0"/>
    <x v="1"/>
    <x v="2"/>
    <x v="1"/>
    <x v="0"/>
    <s v="Fleet_Invoice"/>
    <n v="26.86"/>
    <n v="16.600000000000001"/>
    <x v="2"/>
    <n v="44.59"/>
    <n v="401.29"/>
    <n v="211.62"/>
    <n v="1.95"/>
    <n v="1.78"/>
    <n v="8.7799999999999994"/>
    <n v="418.37"/>
    <n v="0"/>
    <n v="642.5"/>
    <n v="-241.21"/>
    <s v="Loss"/>
    <x v="1"/>
    <n v="4"/>
    <n v="1"/>
    <s v="0-15"/>
    <s v="Yes"/>
    <n v="1"/>
    <s v="At Risk"/>
    <n v="1"/>
  </r>
  <r>
    <n v="100187"/>
    <d v="2025-11-02T00:00:00"/>
    <n v="1076"/>
    <x v="2"/>
    <x v="5"/>
    <x v="3"/>
    <x v="1"/>
    <x v="0"/>
    <s v="UPI"/>
    <n v="28.19"/>
    <n v="14.71"/>
    <x v="0"/>
    <n v="62.2"/>
    <n v="352.47"/>
    <n v="224.08"/>
    <n v="6.13"/>
    <n v="2.9"/>
    <n v="10.28"/>
    <n v="0"/>
    <n v="0"/>
    <n v="243.39"/>
    <n v="109.08"/>
    <s v="Profit"/>
    <x v="0"/>
    <n v="20"/>
    <n v="5"/>
    <s v="16-30"/>
    <s v="No"/>
    <n v="0"/>
    <s v="Healthy"/>
    <n v="0"/>
  </r>
  <r>
    <n v="100188"/>
    <d v="2025-10-04T00:00:00"/>
    <n v="1051"/>
    <x v="0"/>
    <x v="6"/>
    <x v="2"/>
    <x v="3"/>
    <x v="0"/>
    <s v="UPI"/>
    <n v="15.8"/>
    <n v="12.7"/>
    <x v="3"/>
    <n v="0"/>
    <n v="200.66"/>
    <n v="117.38"/>
    <n v="2.11"/>
    <n v="1.4"/>
    <n v="7.34"/>
    <n v="0"/>
    <n v="0"/>
    <n v="128.22999999999999"/>
    <n v="72.430000000000007"/>
    <s v="Profit"/>
    <x v="0"/>
    <n v="17"/>
    <n v="53"/>
    <s v="16-30"/>
    <s v="Yes"/>
    <n v="1"/>
    <s v="At Risk"/>
    <n v="1"/>
  </r>
  <r>
    <n v="100189"/>
    <d v="2025-11-27T00:00:00"/>
    <n v="1042"/>
    <x v="0"/>
    <x v="0"/>
    <x v="1"/>
    <x v="3"/>
    <x v="0"/>
    <s v="Wallet"/>
    <n v="15.73"/>
    <n v="13.55"/>
    <x v="4"/>
    <n v="10.66"/>
    <n v="202.48"/>
    <n v="103.78"/>
    <n v="8.98"/>
    <n v="2.56"/>
    <n v="0"/>
    <n v="0"/>
    <n v="0"/>
    <n v="115.32"/>
    <n v="87.16"/>
    <s v="Profit"/>
    <x v="0"/>
    <n v="5"/>
    <n v="13"/>
    <s v="0-15"/>
    <s v="No"/>
    <n v="0"/>
    <s v="Healthy"/>
    <n v="0"/>
  </r>
  <r>
    <n v="100190"/>
    <d v="2025-10-16T00:00:00"/>
    <n v="1038"/>
    <x v="2"/>
    <x v="12"/>
    <x v="2"/>
    <x v="2"/>
    <x v="1"/>
    <s v="Fleet_Invoice"/>
    <n v="23.12"/>
    <n v="18.059999999999999"/>
    <x v="2"/>
    <n v="41.76"/>
    <n v="375.79"/>
    <n v="163.99"/>
    <n v="4.1500000000000004"/>
    <n v="1.67"/>
    <n v="2.71"/>
    <n v="0"/>
    <n v="0"/>
    <n v="172.52"/>
    <n v="203.27"/>
    <s v="Profit"/>
    <x v="0"/>
    <n v="2"/>
    <n v="14"/>
    <s v="0-15"/>
    <s v="No"/>
    <n v="0"/>
    <s v="Healthy"/>
    <n v="0"/>
  </r>
  <r>
    <n v="100191"/>
    <d v="2025-12-31T00:00:00"/>
    <n v="1143"/>
    <x v="1"/>
    <x v="13"/>
    <x v="2"/>
    <x v="3"/>
    <x v="0"/>
    <s v="Card"/>
    <n v="27.17"/>
    <n v="11.42"/>
    <x v="4"/>
    <n v="15.51"/>
    <n v="294.77"/>
    <n v="175.25"/>
    <n v="8.1999999999999993"/>
    <n v="4.6500000000000004"/>
    <n v="9.7100000000000009"/>
    <n v="139.19999999999999"/>
    <n v="0"/>
    <n v="337.01"/>
    <n v="-42.24"/>
    <s v="Loss"/>
    <x v="2"/>
    <n v="17"/>
    <n v="5"/>
    <s v="16-30"/>
    <s v="No"/>
    <n v="1"/>
    <s v="At Risk"/>
    <n v="0"/>
  </r>
  <r>
    <n v="100192"/>
    <d v="2025-12-21T00:00:00"/>
    <n v="1094"/>
    <x v="1"/>
    <x v="4"/>
    <x v="4"/>
    <x v="2"/>
    <x v="1"/>
    <s v="UPI"/>
    <n v="21.53"/>
    <n v="19.03"/>
    <x v="2"/>
    <n v="40.97"/>
    <n v="368.75"/>
    <n v="148.80000000000001"/>
    <n v="4.28"/>
    <n v="2.87"/>
    <n v="12.2"/>
    <n v="0"/>
    <n v="0"/>
    <n v="168.15"/>
    <n v="200.6"/>
    <s v="Profit"/>
    <x v="0"/>
    <n v="4"/>
    <n v="0"/>
    <s v="0-15"/>
    <s v="No"/>
    <n v="0"/>
    <s v="Healthy"/>
    <n v="0"/>
  </r>
  <r>
    <n v="100193"/>
    <d v="2025-12-11T00:00:00"/>
    <n v="1108"/>
    <x v="1"/>
    <x v="4"/>
    <x v="4"/>
    <x v="2"/>
    <x v="0"/>
    <s v="UPI"/>
    <n v="27.04"/>
    <n v="17.88"/>
    <x v="4"/>
    <n v="24.17"/>
    <n v="459.31"/>
    <n v="180.63"/>
    <n v="11.4"/>
    <n v="3.38"/>
    <n v="0.39"/>
    <n v="477.07"/>
    <n v="0"/>
    <n v="672.87"/>
    <n v="-213.56"/>
    <s v="Loss"/>
    <x v="2"/>
    <n v="8"/>
    <n v="2"/>
    <s v="0-15"/>
    <s v="No"/>
    <n v="1"/>
    <s v="At Risk"/>
    <n v="0"/>
  </r>
  <r>
    <n v="100194"/>
    <d v="2025-10-27T00:00:00"/>
    <n v="1130"/>
    <x v="3"/>
    <x v="7"/>
    <x v="3"/>
    <x v="3"/>
    <x v="0"/>
    <s v="Card"/>
    <n v="10.199999999999999"/>
    <n v="13.72"/>
    <x v="2"/>
    <n v="13.99"/>
    <n v="125.95"/>
    <n v="80.14"/>
    <n v="5.25"/>
    <n v="2.1"/>
    <n v="1.64"/>
    <n v="0"/>
    <n v="0"/>
    <n v="89.13"/>
    <n v="36.82"/>
    <s v="Profit"/>
    <x v="0"/>
    <n v="3"/>
    <n v="0"/>
    <s v="0-15"/>
    <s v="No"/>
    <n v="0"/>
    <s v="Healthy"/>
    <n v="0"/>
  </r>
  <r>
    <n v="100195"/>
    <d v="2025-10-10T00:00:00"/>
    <n v="1082"/>
    <x v="1"/>
    <x v="3"/>
    <x v="2"/>
    <x v="3"/>
    <x v="0"/>
    <s v="Fleet_Invoice"/>
    <n v="8.1"/>
    <n v="12.47"/>
    <x v="2"/>
    <n v="10.1"/>
    <n v="90.91"/>
    <n v="49.32"/>
    <n v="9.8000000000000007"/>
    <n v="0.4"/>
    <n v="2.63"/>
    <n v="0"/>
    <n v="0"/>
    <n v="62.15"/>
    <n v="28.76"/>
    <s v="Profit"/>
    <x v="0"/>
    <n v="5"/>
    <n v="9"/>
    <s v="0-15"/>
    <s v="No"/>
    <n v="0"/>
    <s v="Healthy"/>
    <n v="0"/>
  </r>
  <r>
    <n v="100196"/>
    <d v="2025-11-29T00:00:00"/>
    <n v="1144"/>
    <x v="3"/>
    <x v="7"/>
    <x v="3"/>
    <x v="3"/>
    <x v="1"/>
    <s v="Card"/>
    <n v="24.09"/>
    <n v="13.09"/>
    <x v="3"/>
    <n v="0"/>
    <n v="315.33999999999997"/>
    <n v="157.1"/>
    <n v="10.01"/>
    <n v="4.7300000000000004"/>
    <n v="7.77"/>
    <n v="0"/>
    <n v="0"/>
    <n v="179.61"/>
    <n v="135.72999999999999"/>
    <s v="Profit"/>
    <x v="0"/>
    <n v="23"/>
    <n v="2"/>
    <s v="16-30"/>
    <s v="Yes"/>
    <n v="2"/>
    <s v="At Risk"/>
    <n v="1"/>
  </r>
  <r>
    <n v="100197"/>
    <d v="2025-11-20T00:00:00"/>
    <n v="1087"/>
    <x v="2"/>
    <x v="12"/>
    <x v="1"/>
    <x v="3"/>
    <x v="0"/>
    <s v="Fleet_Invoice"/>
    <n v="14.6"/>
    <n v="13.47"/>
    <x v="1"/>
    <n v="39.33"/>
    <n v="157.33000000000001"/>
    <n v="110.27"/>
    <n v="3.67"/>
    <n v="0.79"/>
    <n v="6.58"/>
    <n v="0"/>
    <n v="0"/>
    <n v="121.31"/>
    <n v="36.020000000000003"/>
    <s v="Profit"/>
    <x v="0"/>
    <n v="42"/>
    <n v="8"/>
    <s v="30+"/>
    <s v="Yes"/>
    <n v="1"/>
    <s v="At Risk"/>
    <n v="1"/>
  </r>
  <r>
    <n v="100198"/>
    <d v="2025-10-03T00:00:00"/>
    <n v="1089"/>
    <x v="2"/>
    <x v="10"/>
    <x v="3"/>
    <x v="3"/>
    <x v="0"/>
    <s v="UPI"/>
    <n v="29.17"/>
    <n v="12.93"/>
    <x v="2"/>
    <n v="37.72"/>
    <n v="339.45"/>
    <n v="244.16"/>
    <n v="10.27"/>
    <n v="2.64"/>
    <n v="4.96"/>
    <n v="0"/>
    <n v="0"/>
    <n v="262.02999999999997"/>
    <n v="77.42"/>
    <s v="Profit"/>
    <x v="0"/>
    <n v="3"/>
    <n v="6"/>
    <s v="0-15"/>
    <s v="No"/>
    <n v="0"/>
    <s v="Healthy"/>
    <n v="0"/>
  </r>
  <r>
    <n v="100199"/>
    <d v="2025-10-03T00:00:00"/>
    <n v="1107"/>
    <x v="1"/>
    <x v="13"/>
    <x v="1"/>
    <x v="3"/>
    <x v="2"/>
    <s v="Fleet_Invoice"/>
    <n v="18.600000000000001"/>
    <n v="12.64"/>
    <x v="4"/>
    <n v="11.76"/>
    <n v="223.34"/>
    <n v="123.2"/>
    <n v="11.05"/>
    <n v="0.94"/>
    <n v="6.89"/>
    <n v="0"/>
    <n v="0"/>
    <n v="142.08000000000001"/>
    <n v="81.260000000000005"/>
    <s v="Profit"/>
    <x v="0"/>
    <n v="12"/>
    <n v="5"/>
    <s v="0-15"/>
    <s v="No"/>
    <n v="0"/>
    <s v="Healthy"/>
    <n v="0"/>
  </r>
  <r>
    <n v="100200"/>
    <d v="2025-11-25T00:00:00"/>
    <n v="1043"/>
    <x v="1"/>
    <x v="3"/>
    <x v="1"/>
    <x v="3"/>
    <x v="0"/>
    <s v="Wallet"/>
    <n v="20.36"/>
    <n v="12.2"/>
    <x v="4"/>
    <n v="12.42"/>
    <n v="235.97"/>
    <n v="135.81"/>
    <n v="7.7"/>
    <n v="2.98"/>
    <n v="12.05"/>
    <n v="212.76"/>
    <n v="0"/>
    <n v="371.3"/>
    <n v="-135.33000000000001"/>
    <s v="Loss"/>
    <x v="1"/>
    <n v="34"/>
    <n v="2"/>
    <s v="30+"/>
    <s v="Yes"/>
    <n v="3"/>
    <s v="At Risk"/>
    <n v="1"/>
  </r>
  <r>
    <n v="100201"/>
    <d v="2025-12-21T00:00:00"/>
    <n v="1098"/>
    <x v="0"/>
    <x v="6"/>
    <x v="1"/>
    <x v="3"/>
    <x v="0"/>
    <s v="UPI"/>
    <n v="3.42"/>
    <n v="11.99"/>
    <x v="3"/>
    <n v="0"/>
    <n v="41.01"/>
    <n v="26.26"/>
    <n v="8.5299999999999994"/>
    <n v="0.28999999999999998"/>
    <n v="3.88"/>
    <n v="0"/>
    <n v="0"/>
    <n v="38.96"/>
    <n v="2.0499999999999998"/>
    <s v="Profit"/>
    <x v="0"/>
    <n v="1"/>
    <n v="20"/>
    <s v="0-15"/>
    <s v="Yes"/>
    <n v="1"/>
    <s v="At Risk"/>
    <n v="1"/>
  </r>
  <r>
    <n v="100202"/>
    <d v="2025-11-24T00:00:00"/>
    <n v="1061"/>
    <x v="1"/>
    <x v="13"/>
    <x v="4"/>
    <x v="2"/>
    <x v="0"/>
    <s v="Fleet_Invoice"/>
    <n v="26.8"/>
    <n v="16.23"/>
    <x v="0"/>
    <n v="65.239999999999995"/>
    <n v="369.72"/>
    <n v="187.57"/>
    <n v="6.95"/>
    <n v="1.74"/>
    <n v="8.4700000000000006"/>
    <n v="386.02"/>
    <n v="0"/>
    <n v="590.75"/>
    <n v="-221.03"/>
    <s v="Loss"/>
    <x v="1"/>
    <n v="18"/>
    <n v="0"/>
    <s v="16-30"/>
    <s v="Yes"/>
    <n v="2"/>
    <s v="At Risk"/>
    <n v="1"/>
  </r>
  <r>
    <n v="100203"/>
    <d v="2025-11-28T00:00:00"/>
    <n v="1076"/>
    <x v="2"/>
    <x v="12"/>
    <x v="4"/>
    <x v="3"/>
    <x v="0"/>
    <s v="UPI"/>
    <n v="10.98"/>
    <n v="12.99"/>
    <x v="3"/>
    <n v="0"/>
    <n v="142.63"/>
    <n v="74.650000000000006"/>
    <n v="4.91"/>
    <n v="1"/>
    <n v="2.71"/>
    <n v="0"/>
    <n v="0"/>
    <n v="83.27"/>
    <n v="59.36"/>
    <s v="Profit"/>
    <x v="0"/>
    <n v="13"/>
    <n v="9"/>
    <s v="0-15"/>
    <s v="No"/>
    <n v="0"/>
    <s v="Healthy"/>
    <n v="0"/>
  </r>
  <r>
    <n v="100204"/>
    <d v="2025-11-17T00:00:00"/>
    <n v="1007"/>
    <x v="1"/>
    <x v="13"/>
    <x v="4"/>
    <x v="0"/>
    <x v="0"/>
    <s v="Fleet_Invoice"/>
    <n v="41.47"/>
    <n v="18.87"/>
    <x v="3"/>
    <n v="0"/>
    <n v="782.54"/>
    <n v="346.17"/>
    <n v="6.69"/>
    <n v="3.13"/>
    <n v="6.49"/>
    <n v="0"/>
    <n v="0"/>
    <n v="362.48"/>
    <n v="420.06"/>
    <s v="Profit"/>
    <x v="0"/>
    <n v="9"/>
    <n v="36"/>
    <s v="0-15"/>
    <s v="Yes"/>
    <n v="1"/>
    <s v="At Risk"/>
    <n v="1"/>
  </r>
  <r>
    <n v="100205"/>
    <d v="2025-10-25T00:00:00"/>
    <n v="1094"/>
    <x v="2"/>
    <x v="5"/>
    <x v="0"/>
    <x v="1"/>
    <x v="0"/>
    <s v="Fleet_Invoice"/>
    <n v="20.38"/>
    <n v="15.41"/>
    <x v="0"/>
    <n v="47.11"/>
    <n v="266.95"/>
    <n v="150.94999999999999"/>
    <n v="11.05"/>
    <n v="1.26"/>
    <n v="2.91"/>
    <n v="189.85"/>
    <n v="0"/>
    <n v="356.02"/>
    <n v="-89.07"/>
    <s v="Loss"/>
    <x v="1"/>
    <n v="5"/>
    <n v="1"/>
    <s v="0-15"/>
    <s v="Yes"/>
    <n v="2"/>
    <s v="At Risk"/>
    <n v="1"/>
  </r>
  <r>
    <n v="100206"/>
    <d v="2025-10-04T00:00:00"/>
    <n v="1072"/>
    <x v="3"/>
    <x v="8"/>
    <x v="3"/>
    <x v="1"/>
    <x v="0"/>
    <s v="Card"/>
    <n v="28.83"/>
    <n v="16.22"/>
    <x v="0"/>
    <n v="70.14"/>
    <n v="397.48"/>
    <n v="220.19"/>
    <n v="13.92"/>
    <n v="7.01"/>
    <n v="6.1"/>
    <n v="0"/>
    <n v="0"/>
    <n v="247.22"/>
    <n v="150.26"/>
    <s v="Profit"/>
    <x v="0"/>
    <n v="7"/>
    <n v="0"/>
    <s v="0-15"/>
    <s v="No"/>
    <n v="0"/>
    <s v="Healthy"/>
    <n v="0"/>
  </r>
  <r>
    <n v="100207"/>
    <d v="2025-11-18T00:00:00"/>
    <n v="1101"/>
    <x v="2"/>
    <x v="5"/>
    <x v="2"/>
    <x v="1"/>
    <x v="0"/>
    <s v="Wallet"/>
    <n v="19.86"/>
    <n v="15.42"/>
    <x v="4"/>
    <n v="15.31"/>
    <n v="290.93"/>
    <n v="134.44999999999999"/>
    <n v="5.48"/>
    <n v="3.67"/>
    <n v="7.02"/>
    <n v="0"/>
    <n v="0"/>
    <n v="150.62"/>
    <n v="140.31"/>
    <s v="Profit"/>
    <x v="0"/>
    <n v="20"/>
    <n v="1"/>
    <s v="16-30"/>
    <s v="No"/>
    <n v="0"/>
    <s v="Healthy"/>
    <n v="0"/>
  </r>
  <r>
    <n v="100208"/>
    <d v="2025-12-21T00:00:00"/>
    <n v="1074"/>
    <x v="1"/>
    <x v="2"/>
    <x v="2"/>
    <x v="3"/>
    <x v="0"/>
    <s v="Wallet"/>
    <n v="4.2"/>
    <n v="14.24"/>
    <x v="4"/>
    <n v="2.99"/>
    <n v="56.82"/>
    <n v="28.19"/>
    <n v="9.44"/>
    <n v="0.72"/>
    <n v="7.44"/>
    <n v="0"/>
    <n v="0"/>
    <n v="45.79"/>
    <n v="11.03"/>
    <s v="Profit"/>
    <x v="0"/>
    <n v="2"/>
    <n v="2"/>
    <s v="0-15"/>
    <s v="No"/>
    <n v="0"/>
    <s v="Healthy"/>
    <n v="0"/>
  </r>
  <r>
    <n v="100209"/>
    <d v="2025-10-29T00:00:00"/>
    <n v="1061"/>
    <x v="2"/>
    <x v="5"/>
    <x v="1"/>
    <x v="0"/>
    <x v="0"/>
    <s v="Wallet"/>
    <n v="33.61"/>
    <n v="19.48"/>
    <x v="0"/>
    <n v="98.21"/>
    <n v="556.51"/>
    <n v="232.52"/>
    <n v="12.77"/>
    <n v="7.86"/>
    <n v="4.1399999999999997"/>
    <n v="255.93"/>
    <n v="0"/>
    <n v="513.22"/>
    <n v="43.29"/>
    <s v="Profit"/>
    <x v="1"/>
    <n v="6"/>
    <n v="22"/>
    <s v="0-15"/>
    <s v="Yes"/>
    <n v="2"/>
    <s v="At Risk"/>
    <n v="1"/>
  </r>
  <r>
    <n v="100210"/>
    <d v="2025-10-15T00:00:00"/>
    <n v="1056"/>
    <x v="2"/>
    <x v="10"/>
    <x v="4"/>
    <x v="3"/>
    <x v="0"/>
    <s v="Fleet_Invoice"/>
    <n v="10.5"/>
    <n v="13.75"/>
    <x v="4"/>
    <n v="7.22"/>
    <n v="137.16"/>
    <n v="83.25"/>
    <n v="6.71"/>
    <n v="0.57999999999999996"/>
    <n v="2.39"/>
    <n v="0"/>
    <n v="0"/>
    <n v="92.93"/>
    <n v="44.23"/>
    <s v="Profit"/>
    <x v="0"/>
    <n v="2"/>
    <n v="0"/>
    <s v="0-15"/>
    <s v="No"/>
    <n v="0"/>
    <s v="Healthy"/>
    <n v="0"/>
  </r>
  <r>
    <n v="100211"/>
    <d v="2025-12-16T00:00:00"/>
    <n v="1141"/>
    <x v="1"/>
    <x v="2"/>
    <x v="3"/>
    <x v="1"/>
    <x v="2"/>
    <s v="UPI"/>
    <n v="23.19"/>
    <n v="16.760000000000002"/>
    <x v="4"/>
    <n v="19.43"/>
    <n v="369.23"/>
    <n v="181.05"/>
    <n v="5.99"/>
    <n v="2.72"/>
    <n v="7.82"/>
    <n v="0"/>
    <n v="0"/>
    <n v="197.58"/>
    <n v="171.65"/>
    <s v="Profit"/>
    <x v="0"/>
    <n v="18"/>
    <n v="4"/>
    <s v="16-30"/>
    <s v="No"/>
    <n v="0"/>
    <s v="Healthy"/>
    <n v="0"/>
  </r>
  <r>
    <n v="100212"/>
    <d v="2025-11-09T00:00:00"/>
    <n v="1144"/>
    <x v="0"/>
    <x v="0"/>
    <x v="4"/>
    <x v="0"/>
    <x v="0"/>
    <s v="Wallet"/>
    <n v="9.9499999999999993"/>
    <n v="18.98"/>
    <x v="0"/>
    <n v="28.33"/>
    <n v="160.52000000000001"/>
    <n v="73.56"/>
    <n v="7.93"/>
    <n v="2.27"/>
    <n v="7.61"/>
    <n v="0"/>
    <n v="0"/>
    <n v="91.37"/>
    <n v="69.150000000000006"/>
    <s v="Profit"/>
    <x v="0"/>
    <n v="7"/>
    <n v="2"/>
    <s v="0-15"/>
    <s v="No"/>
    <n v="0"/>
    <s v="Healthy"/>
    <n v="0"/>
  </r>
  <r>
    <n v="100213"/>
    <d v="2025-11-29T00:00:00"/>
    <n v="1137"/>
    <x v="2"/>
    <x v="10"/>
    <x v="3"/>
    <x v="0"/>
    <x v="0"/>
    <s v="UPI"/>
    <n v="28.26"/>
    <n v="17.73"/>
    <x v="2"/>
    <n v="50.1"/>
    <n v="450.95"/>
    <n v="232.48"/>
    <n v="6.65"/>
    <n v="3.51"/>
    <n v="5.38"/>
    <n v="0"/>
    <n v="0"/>
    <n v="248.02"/>
    <n v="202.93"/>
    <s v="Profit"/>
    <x v="0"/>
    <n v="3"/>
    <n v="1"/>
    <s v="0-15"/>
    <s v="No"/>
    <n v="1"/>
    <s v="Healthy"/>
    <n v="0"/>
  </r>
  <r>
    <n v="100214"/>
    <d v="2025-10-20T00:00:00"/>
    <n v="1146"/>
    <x v="0"/>
    <x v="11"/>
    <x v="0"/>
    <x v="2"/>
    <x v="0"/>
    <s v="Wallet"/>
    <n v="10.74"/>
    <n v="18.16"/>
    <x v="0"/>
    <n v="29.26"/>
    <n v="165.78"/>
    <n v="69.73"/>
    <n v="5.66"/>
    <n v="2.34"/>
    <n v="2.63"/>
    <n v="0"/>
    <n v="0"/>
    <n v="80.36"/>
    <n v="85.42"/>
    <s v="Profit"/>
    <x v="0"/>
    <n v="31"/>
    <n v="19"/>
    <s v="30+"/>
    <s v="Yes"/>
    <n v="1"/>
    <s v="At Risk"/>
    <n v="1"/>
  </r>
  <r>
    <n v="100215"/>
    <d v="2025-10-23T00:00:00"/>
    <n v="1037"/>
    <x v="1"/>
    <x v="13"/>
    <x v="0"/>
    <x v="1"/>
    <x v="0"/>
    <s v="Card"/>
    <n v="25.91"/>
    <n v="15.84"/>
    <x v="4"/>
    <n v="20.52"/>
    <n v="389.89"/>
    <n v="207.24"/>
    <n v="11.34"/>
    <n v="6.16"/>
    <n v="8.84"/>
    <n v="0"/>
    <n v="0"/>
    <n v="233.58"/>
    <n v="156.31"/>
    <s v="Profit"/>
    <x v="0"/>
    <n v="9"/>
    <n v="12"/>
    <s v="0-15"/>
    <s v="No"/>
    <n v="0"/>
    <s v="Healthy"/>
    <n v="0"/>
  </r>
  <r>
    <n v="100216"/>
    <d v="2025-11-06T00:00:00"/>
    <n v="1045"/>
    <x v="0"/>
    <x v="6"/>
    <x v="4"/>
    <x v="3"/>
    <x v="0"/>
    <s v="Card"/>
    <n v="24.43"/>
    <n v="13.04"/>
    <x v="3"/>
    <n v="0"/>
    <n v="318.57"/>
    <n v="182.94"/>
    <n v="9.17"/>
    <n v="4.78"/>
    <n v="5.97"/>
    <n v="0"/>
    <n v="0"/>
    <n v="202.86"/>
    <n v="115.71"/>
    <s v="Profit"/>
    <x v="0"/>
    <n v="13"/>
    <n v="12"/>
    <s v="0-15"/>
    <s v="No"/>
    <n v="0"/>
    <s v="Healthy"/>
    <n v="0"/>
  </r>
  <r>
    <n v="100217"/>
    <d v="2025-11-11T00:00:00"/>
    <n v="1115"/>
    <x v="0"/>
    <x v="1"/>
    <x v="4"/>
    <x v="3"/>
    <x v="0"/>
    <s v="Card"/>
    <n v="22.99"/>
    <n v="12.2"/>
    <x v="3"/>
    <n v="0"/>
    <n v="280.48"/>
    <n v="139.15"/>
    <n v="7.95"/>
    <n v="4.21"/>
    <n v="6.93"/>
    <n v="0"/>
    <n v="0"/>
    <n v="158.24"/>
    <n v="122.24"/>
    <s v="Profit"/>
    <x v="0"/>
    <n v="17"/>
    <n v="0"/>
    <s v="16-30"/>
    <s v="No"/>
    <n v="2"/>
    <s v="Healthy"/>
    <n v="0"/>
  </r>
  <r>
    <n v="100218"/>
    <d v="2025-12-25T00:00:00"/>
    <n v="1077"/>
    <x v="0"/>
    <x v="6"/>
    <x v="0"/>
    <x v="3"/>
    <x v="0"/>
    <s v="Fleet_Invoice"/>
    <n v="28.69"/>
    <n v="12.48"/>
    <x v="3"/>
    <n v="0"/>
    <n v="358.05"/>
    <n v="220.44"/>
    <n v="6.59"/>
    <n v="1.43"/>
    <n v="6.16"/>
    <n v="0"/>
    <n v="0"/>
    <n v="234.62"/>
    <n v="123.43"/>
    <s v="Profit"/>
    <x v="0"/>
    <n v="4"/>
    <n v="1"/>
    <s v="0-15"/>
    <s v="No"/>
    <n v="0"/>
    <s v="Healthy"/>
    <n v="0"/>
  </r>
  <r>
    <n v="100219"/>
    <d v="2025-11-18T00:00:00"/>
    <n v="1143"/>
    <x v="2"/>
    <x v="5"/>
    <x v="4"/>
    <x v="3"/>
    <x v="0"/>
    <s v="Fleet_Invoice"/>
    <n v="3.65"/>
    <n v="13.16"/>
    <x v="3"/>
    <n v="0"/>
    <n v="48.03"/>
    <n v="24.72"/>
    <n v="15.06"/>
    <n v="0.19"/>
    <n v="12.9"/>
    <n v="0"/>
    <n v="0"/>
    <n v="52.87"/>
    <n v="-4.84"/>
    <s v="Loss"/>
    <x v="0"/>
    <n v="2"/>
    <n v="10"/>
    <s v="0-15"/>
    <s v="No"/>
    <n v="0"/>
    <s v="At Risk"/>
    <n v="0"/>
  </r>
  <r>
    <n v="100220"/>
    <d v="2025-11-14T00:00:00"/>
    <n v="1015"/>
    <x v="3"/>
    <x v="7"/>
    <x v="3"/>
    <x v="0"/>
    <x v="0"/>
    <s v="Card"/>
    <n v="27.83"/>
    <n v="18.78"/>
    <x v="3"/>
    <n v="0"/>
    <n v="522.65"/>
    <n v="226.3"/>
    <n v="12.32"/>
    <n v="7.84"/>
    <n v="6.68"/>
    <n v="0"/>
    <n v="0"/>
    <n v="253.14"/>
    <n v="269.51"/>
    <s v="Profit"/>
    <x v="0"/>
    <n v="12"/>
    <n v="21"/>
    <s v="0-15"/>
    <s v="Yes"/>
    <n v="1"/>
    <s v="At Risk"/>
    <n v="1"/>
  </r>
  <r>
    <n v="100221"/>
    <d v="2025-12-28T00:00:00"/>
    <n v="1033"/>
    <x v="1"/>
    <x v="13"/>
    <x v="4"/>
    <x v="0"/>
    <x v="0"/>
    <s v="Fleet_Invoice"/>
    <n v="25.1"/>
    <n v="19.46"/>
    <x v="3"/>
    <n v="0"/>
    <n v="488.45"/>
    <n v="180.9"/>
    <n v="10.47"/>
    <n v="1.95"/>
    <n v="3.62"/>
    <n v="420"/>
    <n v="0"/>
    <n v="616.94000000000005"/>
    <n v="-128.49"/>
    <s v="Loss"/>
    <x v="1"/>
    <n v="0"/>
    <n v="25"/>
    <s v="0-15"/>
    <s v="Yes"/>
    <n v="2"/>
    <s v="At Risk"/>
    <n v="1"/>
  </r>
  <r>
    <n v="100222"/>
    <d v="2025-10-07T00:00:00"/>
    <n v="1116"/>
    <x v="0"/>
    <x v="6"/>
    <x v="4"/>
    <x v="1"/>
    <x v="0"/>
    <s v="Wallet"/>
    <n v="33.01"/>
    <n v="15.43"/>
    <x v="0"/>
    <n v="76.400000000000006"/>
    <n v="432.94"/>
    <n v="224"/>
    <n v="5.56"/>
    <n v="6.11"/>
    <n v="10.42"/>
    <n v="0"/>
    <n v="0"/>
    <n v="246.09"/>
    <n v="186.85"/>
    <s v="Profit"/>
    <x v="0"/>
    <n v="27"/>
    <n v="0"/>
    <s v="16-30"/>
    <s v="Yes"/>
    <n v="2"/>
    <s v="At Risk"/>
    <n v="1"/>
  </r>
  <r>
    <n v="100223"/>
    <d v="2025-11-16T00:00:00"/>
    <n v="1099"/>
    <x v="3"/>
    <x v="7"/>
    <x v="2"/>
    <x v="1"/>
    <x v="0"/>
    <s v="Wallet"/>
    <n v="42.24"/>
    <n v="16.309999999999999"/>
    <x v="4"/>
    <n v="34.450000000000003"/>
    <n v="654.48"/>
    <n v="359.56"/>
    <n v="10.14"/>
    <n v="8.27"/>
    <n v="0"/>
    <n v="440.98"/>
    <n v="0"/>
    <n v="818.95"/>
    <n v="-164.47"/>
    <s v="Loss"/>
    <x v="1"/>
    <n v="17"/>
    <n v="5"/>
    <s v="16-30"/>
    <s v="Yes"/>
    <n v="1"/>
    <s v="At Risk"/>
    <n v="1"/>
  </r>
  <r>
    <n v="100224"/>
    <d v="2025-10-05T00:00:00"/>
    <n v="1020"/>
    <x v="1"/>
    <x v="13"/>
    <x v="1"/>
    <x v="2"/>
    <x v="0"/>
    <s v="UPI"/>
    <n v="24.62"/>
    <n v="18.16"/>
    <x v="3"/>
    <n v="0"/>
    <n v="447.1"/>
    <n v="156.99"/>
    <n v="5.91"/>
    <n v="3.13"/>
    <n v="9.74"/>
    <n v="0"/>
    <n v="0"/>
    <n v="175.77"/>
    <n v="271.33"/>
    <s v="Profit"/>
    <x v="0"/>
    <n v="1"/>
    <n v="2"/>
    <s v="0-15"/>
    <s v="No"/>
    <n v="0"/>
    <s v="Healthy"/>
    <n v="0"/>
  </r>
  <r>
    <n v="100225"/>
    <d v="2025-10-09T00:00:00"/>
    <n v="1106"/>
    <x v="0"/>
    <x v="11"/>
    <x v="3"/>
    <x v="2"/>
    <x v="0"/>
    <s v="UPI"/>
    <n v="22.24"/>
    <n v="17.04"/>
    <x v="3"/>
    <n v="0"/>
    <n v="378.97"/>
    <n v="176.57"/>
    <n v="4.5599999999999996"/>
    <n v="2.65"/>
    <n v="0"/>
    <n v="0"/>
    <n v="0"/>
    <n v="183.78"/>
    <n v="195.19"/>
    <s v="Profit"/>
    <x v="0"/>
    <n v="19"/>
    <n v="6"/>
    <s v="16-30"/>
    <s v="No"/>
    <n v="0"/>
    <s v="Healthy"/>
    <n v="0"/>
  </r>
  <r>
    <n v="100226"/>
    <d v="2025-10-31T00:00:00"/>
    <n v="1131"/>
    <x v="1"/>
    <x v="2"/>
    <x v="0"/>
    <x v="0"/>
    <x v="2"/>
    <s v="Fleet_Invoice"/>
    <n v="14.37"/>
    <n v="19.71"/>
    <x v="2"/>
    <n v="28.32"/>
    <n v="254.91"/>
    <n v="103.43"/>
    <n v="6.75"/>
    <n v="1.1299999999999999"/>
    <n v="2.91"/>
    <n v="218.57"/>
    <n v="6.42"/>
    <n v="339.21"/>
    <n v="-84.3"/>
    <s v="Loss"/>
    <x v="2"/>
    <n v="16"/>
    <n v="1"/>
    <s v="16-30"/>
    <s v="No"/>
    <n v="3"/>
    <s v="At Risk"/>
    <n v="0"/>
  </r>
  <r>
    <n v="100227"/>
    <d v="2025-11-24T00:00:00"/>
    <n v="1021"/>
    <x v="1"/>
    <x v="3"/>
    <x v="0"/>
    <x v="2"/>
    <x v="0"/>
    <s v="UPI"/>
    <n v="20.57"/>
    <n v="18.510000000000002"/>
    <x v="0"/>
    <n v="57.11"/>
    <n v="323.64"/>
    <n v="147.34"/>
    <n v="7.67"/>
    <n v="2.67"/>
    <n v="9.08"/>
    <n v="0"/>
    <n v="0"/>
    <n v="166.76"/>
    <n v="156.88"/>
    <s v="Profit"/>
    <x v="0"/>
    <n v="19"/>
    <n v="17"/>
    <s v="16-30"/>
    <s v="Yes"/>
    <n v="1"/>
    <s v="At Risk"/>
    <n v="1"/>
  </r>
  <r>
    <n v="100228"/>
    <d v="2025-11-15T00:00:00"/>
    <n v="1073"/>
    <x v="0"/>
    <x v="1"/>
    <x v="2"/>
    <x v="0"/>
    <x v="0"/>
    <s v="UPI"/>
    <n v="35.25"/>
    <n v="19.91"/>
    <x v="2"/>
    <n v="70.180000000000007"/>
    <n v="631.65"/>
    <n v="231.34"/>
    <n v="5.65"/>
    <n v="4.91"/>
    <n v="5.5"/>
    <n v="486.61"/>
    <n v="0"/>
    <n v="734.01"/>
    <n v="-102.36"/>
    <s v="Loss"/>
    <x v="2"/>
    <n v="4"/>
    <n v="11"/>
    <s v="0-15"/>
    <s v="No"/>
    <n v="2"/>
    <s v="At Risk"/>
    <n v="0"/>
  </r>
  <r>
    <n v="100229"/>
    <d v="2025-12-21T00:00:00"/>
    <n v="1127"/>
    <x v="2"/>
    <x v="9"/>
    <x v="3"/>
    <x v="3"/>
    <x v="2"/>
    <s v="UPI"/>
    <n v="14.82"/>
    <n v="11.44"/>
    <x v="2"/>
    <n v="16.95"/>
    <n v="152.59"/>
    <n v="106.4"/>
    <n v="5.0599999999999996"/>
    <n v="1.19"/>
    <n v="4.6900000000000004"/>
    <n v="0"/>
    <n v="0"/>
    <n v="117.34"/>
    <n v="35.25"/>
    <s v="Profit"/>
    <x v="0"/>
    <n v="6"/>
    <n v="14"/>
    <s v="0-15"/>
    <s v="No"/>
    <n v="0"/>
    <s v="Healthy"/>
    <n v="0"/>
  </r>
  <r>
    <n v="100230"/>
    <d v="2025-11-28T00:00:00"/>
    <n v="1107"/>
    <x v="2"/>
    <x v="10"/>
    <x v="1"/>
    <x v="0"/>
    <x v="1"/>
    <s v="Wallet"/>
    <n v="31.67"/>
    <n v="20.5"/>
    <x v="3"/>
    <n v="0"/>
    <n v="649.24"/>
    <n v="208.83"/>
    <n v="15.44"/>
    <n v="7.79"/>
    <n v="12.67"/>
    <n v="0"/>
    <n v="0"/>
    <n v="244.73"/>
    <n v="404.51"/>
    <s v="Profit"/>
    <x v="0"/>
    <n v="12"/>
    <n v="3"/>
    <s v="0-15"/>
    <s v="No"/>
    <n v="0"/>
    <s v="Healthy"/>
    <n v="0"/>
  </r>
  <r>
    <n v="100231"/>
    <d v="2025-10-22T00:00:00"/>
    <n v="1011"/>
    <x v="0"/>
    <x v="1"/>
    <x v="4"/>
    <x v="0"/>
    <x v="2"/>
    <s v="UPI"/>
    <n v="29.88"/>
    <n v="18.600000000000001"/>
    <x v="3"/>
    <n v="0"/>
    <n v="555.77"/>
    <n v="221.35"/>
    <n v="10.62"/>
    <n v="3.89"/>
    <n v="7.73"/>
    <n v="531.4"/>
    <n v="22.08"/>
    <n v="797.07"/>
    <n v="-241.3"/>
    <s v="Loss"/>
    <x v="2"/>
    <n v="6"/>
    <n v="5"/>
    <s v="0-15"/>
    <s v="No"/>
    <n v="2"/>
    <s v="At Risk"/>
    <n v="0"/>
  </r>
  <r>
    <n v="100232"/>
    <d v="2025-10-31T00:00:00"/>
    <n v="1072"/>
    <x v="0"/>
    <x v="11"/>
    <x v="3"/>
    <x v="2"/>
    <x v="2"/>
    <s v="Card"/>
    <n v="40.82"/>
    <n v="17.850000000000001"/>
    <x v="4"/>
    <n v="36.43"/>
    <n v="692.21"/>
    <n v="332.85"/>
    <n v="10.75"/>
    <n v="10.93"/>
    <n v="8.27"/>
    <n v="0"/>
    <n v="0"/>
    <n v="362.8"/>
    <n v="329.41"/>
    <s v="Profit"/>
    <x v="0"/>
    <n v="10"/>
    <n v="3"/>
    <s v="0-15"/>
    <s v="No"/>
    <n v="0"/>
    <s v="Healthy"/>
    <n v="0"/>
  </r>
  <r>
    <n v="100233"/>
    <d v="2025-10-23T00:00:00"/>
    <n v="1144"/>
    <x v="1"/>
    <x v="2"/>
    <x v="2"/>
    <x v="0"/>
    <x v="0"/>
    <s v="Fleet_Invoice"/>
    <n v="33.590000000000003"/>
    <n v="20.83"/>
    <x v="3"/>
    <n v="0"/>
    <n v="699.68"/>
    <n v="198.51"/>
    <n v="1.0900000000000001"/>
    <n v="2.8"/>
    <n v="3.59"/>
    <n v="0"/>
    <n v="0"/>
    <n v="205.99"/>
    <n v="493.69"/>
    <s v="Profit"/>
    <x v="0"/>
    <n v="10"/>
    <n v="6"/>
    <s v="0-15"/>
    <s v="No"/>
    <n v="0"/>
    <s v="Healthy"/>
    <n v="0"/>
  </r>
  <r>
    <n v="100234"/>
    <d v="2025-11-20T00:00:00"/>
    <n v="1029"/>
    <x v="2"/>
    <x v="10"/>
    <x v="4"/>
    <x v="3"/>
    <x v="0"/>
    <s v="UPI"/>
    <n v="14"/>
    <n v="12.41"/>
    <x v="3"/>
    <n v="0"/>
    <n v="173.74"/>
    <n v="109.75"/>
    <n v="2.4300000000000002"/>
    <n v="1.22"/>
    <n v="11.24"/>
    <n v="0"/>
    <n v="0"/>
    <n v="124.64"/>
    <n v="49.1"/>
    <s v="Profit"/>
    <x v="0"/>
    <n v="2"/>
    <n v="1"/>
    <s v="0-15"/>
    <s v="No"/>
    <n v="1"/>
    <s v="Healthy"/>
    <n v="0"/>
  </r>
  <r>
    <n v="100235"/>
    <d v="2025-12-28T00:00:00"/>
    <n v="1122"/>
    <x v="0"/>
    <x v="0"/>
    <x v="1"/>
    <x v="3"/>
    <x v="0"/>
    <s v="Card"/>
    <n v="15.45"/>
    <n v="12.24"/>
    <x v="3"/>
    <n v="0"/>
    <n v="189.11"/>
    <n v="109.31"/>
    <n v="8.32"/>
    <n v="2.84"/>
    <n v="3.78"/>
    <n v="0"/>
    <n v="0"/>
    <n v="124.25"/>
    <n v="64.86"/>
    <s v="Profit"/>
    <x v="0"/>
    <n v="8"/>
    <n v="9"/>
    <s v="0-15"/>
    <s v="No"/>
    <n v="0"/>
    <s v="Healthy"/>
    <n v="0"/>
  </r>
  <r>
    <n v="100236"/>
    <d v="2025-10-19T00:00:00"/>
    <n v="1135"/>
    <x v="2"/>
    <x v="10"/>
    <x v="1"/>
    <x v="2"/>
    <x v="0"/>
    <s v="UPI"/>
    <n v="26.8"/>
    <n v="20.71"/>
    <x v="4"/>
    <n v="27.75"/>
    <n v="527.28"/>
    <n v="218.51"/>
    <n v="5.63"/>
    <n v="3.89"/>
    <n v="9.58"/>
    <n v="0"/>
    <n v="0"/>
    <n v="237.61"/>
    <n v="289.67"/>
    <s v="Profit"/>
    <x v="0"/>
    <n v="27"/>
    <n v="13"/>
    <s v="16-30"/>
    <s v="Yes"/>
    <n v="1"/>
    <s v="At Risk"/>
    <n v="1"/>
  </r>
  <r>
    <n v="100237"/>
    <d v="2025-12-25T00:00:00"/>
    <n v="1059"/>
    <x v="0"/>
    <x v="6"/>
    <x v="4"/>
    <x v="3"/>
    <x v="0"/>
    <s v="UPI"/>
    <n v="25.19"/>
    <n v="14.38"/>
    <x v="3"/>
    <n v="0"/>
    <n v="362.23"/>
    <n v="203.24"/>
    <n v="10"/>
    <n v="2.54"/>
    <n v="2.14"/>
    <n v="0"/>
    <n v="0"/>
    <n v="217.92"/>
    <n v="144.31"/>
    <s v="Profit"/>
    <x v="0"/>
    <n v="3"/>
    <n v="15"/>
    <s v="0-15"/>
    <s v="No"/>
    <n v="0"/>
    <s v="Healthy"/>
    <n v="0"/>
  </r>
  <r>
    <n v="100238"/>
    <d v="2025-12-21T00:00:00"/>
    <n v="1029"/>
    <x v="1"/>
    <x v="2"/>
    <x v="4"/>
    <x v="0"/>
    <x v="0"/>
    <s v="UPI"/>
    <n v="30.91"/>
    <n v="19.03"/>
    <x v="3"/>
    <n v="0"/>
    <n v="588.22"/>
    <n v="231.12"/>
    <n v="6.16"/>
    <n v="4.12"/>
    <n v="6.34"/>
    <n v="0"/>
    <n v="0"/>
    <n v="247.74"/>
    <n v="340.48"/>
    <s v="Profit"/>
    <x v="0"/>
    <n v="1"/>
    <n v="4"/>
    <s v="0-15"/>
    <s v="No"/>
    <n v="0"/>
    <s v="Healthy"/>
    <n v="0"/>
  </r>
  <r>
    <n v="100239"/>
    <d v="2025-10-30T00:00:00"/>
    <n v="1019"/>
    <x v="2"/>
    <x v="12"/>
    <x v="2"/>
    <x v="1"/>
    <x v="2"/>
    <s v="UPI"/>
    <n v="21.64"/>
    <n v="17.010000000000002"/>
    <x v="4"/>
    <n v="18.399999999999999"/>
    <n v="349.7"/>
    <n v="178.3"/>
    <n v="9.15"/>
    <n v="2.58"/>
    <n v="10.49"/>
    <n v="366.18"/>
    <n v="21.77"/>
    <n v="588.47"/>
    <n v="-238.77"/>
    <s v="Loss"/>
    <x v="2"/>
    <n v="6"/>
    <n v="7"/>
    <s v="0-15"/>
    <s v="No"/>
    <n v="1"/>
    <s v="At Risk"/>
    <n v="0"/>
  </r>
  <r>
    <n v="100240"/>
    <d v="2025-12-18T00:00:00"/>
    <n v="1125"/>
    <x v="3"/>
    <x v="8"/>
    <x v="2"/>
    <x v="2"/>
    <x v="0"/>
    <s v="UPI"/>
    <n v="24.33"/>
    <n v="18.53"/>
    <x v="3"/>
    <n v="0"/>
    <n v="450.83"/>
    <n v="179.73"/>
    <n v="5.29"/>
    <n v="3.16"/>
    <n v="9.77"/>
    <n v="0"/>
    <n v="0"/>
    <n v="197.95"/>
    <n v="252.88"/>
    <s v="Profit"/>
    <x v="0"/>
    <n v="5"/>
    <n v="7"/>
    <s v="0-15"/>
    <s v="No"/>
    <n v="0"/>
    <s v="Healthy"/>
    <n v="0"/>
  </r>
  <r>
    <n v="100241"/>
    <d v="2025-11-14T00:00:00"/>
    <n v="1018"/>
    <x v="0"/>
    <x v="6"/>
    <x v="1"/>
    <x v="2"/>
    <x v="0"/>
    <s v="UPI"/>
    <n v="16.59"/>
    <n v="19.11"/>
    <x v="0"/>
    <n v="47.55"/>
    <n v="269.48"/>
    <n v="114.52"/>
    <n v="2.73"/>
    <n v="2.2200000000000002"/>
    <n v="8.77"/>
    <n v="0"/>
    <n v="0"/>
    <n v="128.24"/>
    <n v="141.24"/>
    <s v="Profit"/>
    <x v="0"/>
    <n v="4"/>
    <n v="12"/>
    <s v="0-15"/>
    <s v="No"/>
    <n v="0"/>
    <s v="Healthy"/>
    <n v="0"/>
  </r>
  <r>
    <n v="100242"/>
    <d v="2025-12-12T00:00:00"/>
    <n v="1095"/>
    <x v="0"/>
    <x v="1"/>
    <x v="3"/>
    <x v="2"/>
    <x v="0"/>
    <s v="UPI"/>
    <n v="24.25"/>
    <n v="17.239999999999998"/>
    <x v="4"/>
    <n v="20.9"/>
    <n v="397.17"/>
    <n v="208.45"/>
    <n v="8.3699999999999992"/>
    <n v="2.93"/>
    <n v="5.55"/>
    <n v="0"/>
    <n v="0"/>
    <n v="225.3"/>
    <n v="171.87"/>
    <s v="Profit"/>
    <x v="0"/>
    <n v="7"/>
    <n v="15"/>
    <s v="0-15"/>
    <s v="No"/>
    <n v="0"/>
    <s v="Healthy"/>
    <n v="0"/>
  </r>
  <r>
    <n v="100243"/>
    <d v="2025-12-10T00:00:00"/>
    <n v="1091"/>
    <x v="1"/>
    <x v="13"/>
    <x v="1"/>
    <x v="3"/>
    <x v="0"/>
    <s v="UPI"/>
    <n v="3"/>
    <n v="12.62"/>
    <x v="3"/>
    <n v="0"/>
    <n v="37.86"/>
    <n v="18.14"/>
    <n v="8.2100000000000009"/>
    <n v="0.27"/>
    <n v="11.84"/>
    <n v="0"/>
    <n v="0"/>
    <n v="38.46"/>
    <n v="-0.6"/>
    <s v="Loss"/>
    <x v="0"/>
    <n v="2"/>
    <n v="2"/>
    <s v="0-15"/>
    <s v="No"/>
    <n v="0"/>
    <s v="At Risk"/>
    <n v="0"/>
  </r>
  <r>
    <n v="100244"/>
    <d v="2025-11-18T00:00:00"/>
    <n v="1048"/>
    <x v="3"/>
    <x v="8"/>
    <x v="3"/>
    <x v="2"/>
    <x v="0"/>
    <s v="UPI"/>
    <n v="14.07"/>
    <n v="16.850000000000001"/>
    <x v="3"/>
    <n v="0"/>
    <n v="237.08"/>
    <n v="102.29"/>
    <n v="8.14"/>
    <n v="1.66"/>
    <n v="11.7"/>
    <n v="0"/>
    <n v="0"/>
    <n v="123.79"/>
    <n v="113.29"/>
    <s v="Profit"/>
    <x v="0"/>
    <n v="10"/>
    <n v="15"/>
    <s v="0-15"/>
    <s v="No"/>
    <n v="0"/>
    <s v="Healthy"/>
    <n v="0"/>
  </r>
  <r>
    <n v="100245"/>
    <d v="2025-10-16T00:00:00"/>
    <n v="1073"/>
    <x v="1"/>
    <x v="2"/>
    <x v="1"/>
    <x v="2"/>
    <x v="0"/>
    <s v="UPI"/>
    <n v="15.77"/>
    <n v="17.38"/>
    <x v="4"/>
    <n v="13.7"/>
    <n v="260.38"/>
    <n v="83.26"/>
    <n v="9.07"/>
    <n v="1.92"/>
    <n v="6.55"/>
    <n v="0"/>
    <n v="0"/>
    <n v="100.8"/>
    <n v="159.58000000000001"/>
    <s v="Profit"/>
    <x v="0"/>
    <n v="13"/>
    <n v="4"/>
    <s v="0-15"/>
    <s v="No"/>
    <n v="0"/>
    <s v="Healthy"/>
    <n v="0"/>
  </r>
  <r>
    <n v="100246"/>
    <d v="2025-10-18T00:00:00"/>
    <n v="1008"/>
    <x v="0"/>
    <x v="11"/>
    <x v="4"/>
    <x v="3"/>
    <x v="0"/>
    <s v="Card"/>
    <n v="16.63"/>
    <n v="14.4"/>
    <x v="4"/>
    <n v="11.97"/>
    <n v="227.5"/>
    <n v="122.66"/>
    <n v="6.87"/>
    <n v="3.59"/>
    <n v="6.07"/>
    <n v="0"/>
    <n v="0"/>
    <n v="139.19"/>
    <n v="88.31"/>
    <s v="Profit"/>
    <x v="0"/>
    <n v="6"/>
    <n v="13"/>
    <s v="0-15"/>
    <s v="No"/>
    <n v="0"/>
    <s v="Healthy"/>
    <n v="0"/>
  </r>
  <r>
    <n v="100247"/>
    <d v="2025-11-01T00:00:00"/>
    <n v="1080"/>
    <x v="0"/>
    <x v="6"/>
    <x v="2"/>
    <x v="0"/>
    <x v="0"/>
    <s v="UPI"/>
    <n v="28.5"/>
    <n v="18.899999999999999"/>
    <x v="3"/>
    <n v="0"/>
    <n v="538.65"/>
    <n v="228.53"/>
    <n v="4.74"/>
    <n v="3.77"/>
    <n v="10.01"/>
    <n v="229.58"/>
    <n v="0"/>
    <n v="476.63"/>
    <n v="62.02"/>
    <s v="Profit"/>
    <x v="2"/>
    <n v="4"/>
    <n v="4"/>
    <s v="0-15"/>
    <s v="No"/>
    <n v="1"/>
    <s v="At Risk"/>
    <n v="0"/>
  </r>
  <r>
    <n v="100248"/>
    <d v="2025-12-25T00:00:00"/>
    <n v="1138"/>
    <x v="1"/>
    <x v="13"/>
    <x v="0"/>
    <x v="3"/>
    <x v="0"/>
    <s v="UPI"/>
    <n v="20.55"/>
    <n v="12.62"/>
    <x v="0"/>
    <n v="38.9"/>
    <n v="220.44"/>
    <n v="146.85"/>
    <n v="4.54"/>
    <n v="1.82"/>
    <n v="3.19"/>
    <n v="0"/>
    <n v="0"/>
    <n v="156.4"/>
    <n v="64.040000000000006"/>
    <s v="Profit"/>
    <x v="0"/>
    <n v="0"/>
    <n v="6"/>
    <s v="0-15"/>
    <s v="No"/>
    <n v="0"/>
    <s v="Healthy"/>
    <n v="0"/>
  </r>
  <r>
    <n v="100249"/>
    <d v="2025-12-16T00:00:00"/>
    <n v="1054"/>
    <x v="0"/>
    <x v="0"/>
    <x v="2"/>
    <x v="3"/>
    <x v="2"/>
    <s v="UPI"/>
    <n v="13.28"/>
    <n v="14.18"/>
    <x v="3"/>
    <n v="0"/>
    <n v="188.31"/>
    <n v="88.96"/>
    <n v="5.78"/>
    <n v="1.32"/>
    <n v="14.56"/>
    <n v="0"/>
    <n v="0"/>
    <n v="110.62"/>
    <n v="77.69"/>
    <s v="Profit"/>
    <x v="0"/>
    <n v="4"/>
    <n v="17"/>
    <s v="0-15"/>
    <s v="Yes"/>
    <n v="1"/>
    <s v="At Risk"/>
    <n v="1"/>
  </r>
  <r>
    <n v="100250"/>
    <d v="2025-10-27T00:00:00"/>
    <n v="1066"/>
    <x v="2"/>
    <x v="9"/>
    <x v="1"/>
    <x v="2"/>
    <x v="2"/>
    <s v="Fleet_Invoice"/>
    <n v="22.05"/>
    <n v="17.3"/>
    <x v="0"/>
    <n v="57.22"/>
    <n v="324.24"/>
    <n v="145.63"/>
    <n v="11.05"/>
    <n v="1.53"/>
    <n v="7.82"/>
    <n v="0"/>
    <n v="0"/>
    <n v="166.03"/>
    <n v="158.21"/>
    <s v="Profit"/>
    <x v="0"/>
    <n v="1"/>
    <n v="6"/>
    <s v="0-15"/>
    <s v="No"/>
    <n v="0"/>
    <s v="Healthy"/>
    <n v="0"/>
  </r>
  <r>
    <n v="100251"/>
    <d v="2025-11-14T00:00:00"/>
    <n v="1022"/>
    <x v="0"/>
    <x v="1"/>
    <x v="0"/>
    <x v="3"/>
    <x v="2"/>
    <s v="UPI"/>
    <n v="3"/>
    <n v="11.61"/>
    <x v="4"/>
    <n v="1.74"/>
    <n v="33.090000000000003"/>
    <n v="20.66"/>
    <n v="5.7"/>
    <n v="0.24"/>
    <n v="4.38"/>
    <n v="0"/>
    <n v="0"/>
    <n v="30.98"/>
    <n v="2.11"/>
    <s v="Profit"/>
    <x v="0"/>
    <n v="16"/>
    <n v="23"/>
    <s v="16-30"/>
    <s v="Yes"/>
    <n v="1"/>
    <s v="At Risk"/>
    <n v="1"/>
  </r>
  <r>
    <n v="100252"/>
    <d v="2025-11-22T00:00:00"/>
    <n v="1032"/>
    <x v="3"/>
    <x v="15"/>
    <x v="1"/>
    <x v="0"/>
    <x v="1"/>
    <s v="Wallet"/>
    <n v="21.21"/>
    <n v="21.18"/>
    <x v="3"/>
    <n v="0"/>
    <n v="449.23"/>
    <n v="175.02"/>
    <n v="1"/>
    <n v="5.39"/>
    <n v="12.78"/>
    <n v="0"/>
    <n v="0"/>
    <n v="194.19"/>
    <n v="255.04"/>
    <s v="Profit"/>
    <x v="0"/>
    <n v="14"/>
    <n v="1"/>
    <s v="0-15"/>
    <s v="No"/>
    <n v="0"/>
    <s v="Healthy"/>
    <n v="0"/>
  </r>
  <r>
    <n v="100253"/>
    <d v="2025-11-10T00:00:00"/>
    <n v="1134"/>
    <x v="2"/>
    <x v="9"/>
    <x v="1"/>
    <x v="2"/>
    <x v="0"/>
    <s v="Fleet_Invoice"/>
    <n v="29.75"/>
    <n v="17.059999999999999"/>
    <x v="3"/>
    <n v="0"/>
    <n v="507.54"/>
    <n v="261.35000000000002"/>
    <n v="9.52"/>
    <n v="2.0299999999999998"/>
    <n v="6.87"/>
    <n v="0"/>
    <n v="0"/>
    <n v="279.77"/>
    <n v="227.77"/>
    <s v="Profit"/>
    <x v="0"/>
    <n v="6"/>
    <n v="17"/>
    <s v="0-15"/>
    <s v="Yes"/>
    <n v="1"/>
    <s v="At Risk"/>
    <n v="1"/>
  </r>
  <r>
    <n v="100254"/>
    <d v="2025-10-15T00:00:00"/>
    <n v="1104"/>
    <x v="1"/>
    <x v="3"/>
    <x v="3"/>
    <x v="2"/>
    <x v="2"/>
    <s v="Card"/>
    <n v="21.38"/>
    <n v="17.420000000000002"/>
    <x v="3"/>
    <n v="0"/>
    <n v="372.44"/>
    <n v="164.48"/>
    <n v="9.17"/>
    <n v="5.59"/>
    <n v="7.1"/>
    <n v="0"/>
    <n v="0"/>
    <n v="186.34"/>
    <n v="186.1"/>
    <s v="Profit"/>
    <x v="0"/>
    <n v="8"/>
    <n v="0"/>
    <s v="0-15"/>
    <s v="No"/>
    <n v="1"/>
    <s v="Healthy"/>
    <n v="0"/>
  </r>
  <r>
    <n v="100255"/>
    <d v="2025-10-16T00:00:00"/>
    <n v="1119"/>
    <x v="2"/>
    <x v="5"/>
    <x v="3"/>
    <x v="1"/>
    <x v="2"/>
    <s v="UPI"/>
    <n v="33.28"/>
    <n v="15.77"/>
    <x v="2"/>
    <n v="52.48"/>
    <n v="472.35"/>
    <n v="257.49"/>
    <n v="4.45"/>
    <n v="3.67"/>
    <n v="2.23"/>
    <n v="0"/>
    <n v="0"/>
    <n v="267.83999999999997"/>
    <n v="204.51"/>
    <s v="Profit"/>
    <x v="0"/>
    <n v="8"/>
    <n v="14"/>
    <s v="0-15"/>
    <s v="No"/>
    <n v="0"/>
    <s v="Healthy"/>
    <n v="0"/>
  </r>
  <r>
    <n v="100256"/>
    <d v="2025-11-11T00:00:00"/>
    <n v="1093"/>
    <x v="2"/>
    <x v="9"/>
    <x v="1"/>
    <x v="0"/>
    <x v="1"/>
    <s v="UPI"/>
    <n v="35.68"/>
    <n v="18.62"/>
    <x v="2"/>
    <n v="66.44"/>
    <n v="597.91999999999996"/>
    <n v="266.16000000000003"/>
    <n v="4.3099999999999996"/>
    <n v="4.6500000000000004"/>
    <n v="4.4000000000000004"/>
    <n v="0"/>
    <n v="0"/>
    <n v="279.52"/>
    <n v="318.39999999999998"/>
    <s v="Profit"/>
    <x v="0"/>
    <n v="7"/>
    <n v="4"/>
    <s v="0-15"/>
    <s v="No"/>
    <n v="0"/>
    <s v="Healthy"/>
    <n v="0"/>
  </r>
  <r>
    <n v="100257"/>
    <d v="2025-10-30T00:00:00"/>
    <n v="1103"/>
    <x v="2"/>
    <x v="9"/>
    <x v="0"/>
    <x v="3"/>
    <x v="2"/>
    <s v="UPI"/>
    <n v="22.5"/>
    <n v="12.1"/>
    <x v="3"/>
    <n v="0"/>
    <n v="272.25"/>
    <n v="153.69"/>
    <n v="3.62"/>
    <n v="1.91"/>
    <n v="3.97"/>
    <n v="0"/>
    <n v="0"/>
    <n v="163.19"/>
    <n v="109.06"/>
    <s v="Profit"/>
    <x v="0"/>
    <n v="7"/>
    <n v="0"/>
    <s v="0-15"/>
    <s v="No"/>
    <n v="0"/>
    <s v="Healthy"/>
    <n v="0"/>
  </r>
  <r>
    <n v="100258"/>
    <d v="2025-10-17T00:00:00"/>
    <n v="1061"/>
    <x v="2"/>
    <x v="5"/>
    <x v="2"/>
    <x v="3"/>
    <x v="0"/>
    <s v="UPI"/>
    <n v="13.56"/>
    <n v="12.43"/>
    <x v="2"/>
    <n v="16.86"/>
    <n v="151.69"/>
    <n v="75.58"/>
    <n v="5.62"/>
    <n v="1.18"/>
    <n v="11.61"/>
    <n v="0"/>
    <n v="0"/>
    <n v="93.99"/>
    <n v="57.7"/>
    <s v="Profit"/>
    <x v="0"/>
    <n v="7"/>
    <n v="0"/>
    <s v="0-15"/>
    <s v="No"/>
    <n v="0"/>
    <s v="Healthy"/>
    <n v="0"/>
  </r>
  <r>
    <n v="100259"/>
    <d v="2025-11-27T00:00:00"/>
    <n v="1083"/>
    <x v="3"/>
    <x v="15"/>
    <x v="1"/>
    <x v="1"/>
    <x v="0"/>
    <s v="Card"/>
    <n v="31.47"/>
    <n v="14.77"/>
    <x v="2"/>
    <n v="46.48"/>
    <n v="418.33"/>
    <n v="204.32"/>
    <n v="7.01"/>
    <n v="6.97"/>
    <n v="11.14"/>
    <n v="229.54"/>
    <n v="0"/>
    <n v="458.98"/>
    <n v="-40.65"/>
    <s v="Loss"/>
    <x v="2"/>
    <n v="12"/>
    <n v="25"/>
    <s v="0-15"/>
    <s v="Yes"/>
    <n v="2"/>
    <s v="At Risk"/>
    <n v="1"/>
  </r>
  <r>
    <n v="100260"/>
    <d v="2025-10-19T00:00:00"/>
    <n v="1055"/>
    <x v="1"/>
    <x v="2"/>
    <x v="2"/>
    <x v="3"/>
    <x v="0"/>
    <s v="Card"/>
    <n v="32.08"/>
    <n v="13.24"/>
    <x v="3"/>
    <n v="0"/>
    <n v="424.74"/>
    <n v="210.84"/>
    <n v="6.6"/>
    <n v="6.37"/>
    <n v="8.8699999999999992"/>
    <n v="0"/>
    <n v="0"/>
    <n v="232.68"/>
    <n v="192.06"/>
    <s v="Profit"/>
    <x v="0"/>
    <n v="2"/>
    <n v="2"/>
    <s v="0-15"/>
    <s v="No"/>
    <n v="0"/>
    <s v="Healthy"/>
    <n v="0"/>
  </r>
  <r>
    <n v="100261"/>
    <d v="2025-12-11T00:00:00"/>
    <n v="1084"/>
    <x v="1"/>
    <x v="13"/>
    <x v="3"/>
    <x v="0"/>
    <x v="2"/>
    <s v="UPI"/>
    <n v="23.79"/>
    <n v="18.43"/>
    <x v="4"/>
    <n v="21.92"/>
    <n v="416.53"/>
    <n v="193.84"/>
    <n v="7.13"/>
    <n v="3.07"/>
    <n v="8.1"/>
    <n v="0"/>
    <n v="0"/>
    <n v="212.14"/>
    <n v="204.39"/>
    <s v="Profit"/>
    <x v="0"/>
    <n v="12"/>
    <n v="2"/>
    <s v="0-15"/>
    <s v="No"/>
    <n v="0"/>
    <s v="Healthy"/>
    <n v="0"/>
  </r>
  <r>
    <n v="100262"/>
    <d v="2025-10-29T00:00:00"/>
    <n v="1091"/>
    <x v="1"/>
    <x v="3"/>
    <x v="2"/>
    <x v="3"/>
    <x v="2"/>
    <s v="UPI"/>
    <n v="21.58"/>
    <n v="12.53"/>
    <x v="2"/>
    <n v="27.04"/>
    <n v="243.36"/>
    <n v="177.03"/>
    <n v="14.56"/>
    <n v="1.89"/>
    <n v="10.5"/>
    <n v="0"/>
    <n v="0"/>
    <n v="203.98"/>
    <n v="39.380000000000003"/>
    <s v="Profit"/>
    <x v="0"/>
    <n v="30"/>
    <n v="2"/>
    <s v="16-30"/>
    <s v="Yes"/>
    <n v="2"/>
    <s v="At Risk"/>
    <n v="1"/>
  </r>
  <r>
    <n v="100263"/>
    <d v="2025-12-10T00:00:00"/>
    <n v="1121"/>
    <x v="3"/>
    <x v="15"/>
    <x v="1"/>
    <x v="1"/>
    <x v="2"/>
    <s v="UPI"/>
    <n v="28.12"/>
    <n v="14.59"/>
    <x v="0"/>
    <n v="61.54"/>
    <n v="348.73"/>
    <n v="222.88"/>
    <n v="10.15"/>
    <n v="2.87"/>
    <n v="2.85"/>
    <n v="279.86"/>
    <n v="12.08"/>
    <n v="530.69000000000005"/>
    <n v="-181.96"/>
    <s v="Loss"/>
    <x v="1"/>
    <n v="26"/>
    <n v="0"/>
    <s v="16-30"/>
    <s v="Yes"/>
    <n v="1"/>
    <s v="At Risk"/>
    <n v="1"/>
  </r>
  <r>
    <n v="100264"/>
    <d v="2025-10-15T00:00:00"/>
    <n v="1001"/>
    <x v="3"/>
    <x v="14"/>
    <x v="0"/>
    <x v="0"/>
    <x v="1"/>
    <s v="UPI"/>
    <n v="26.88"/>
    <n v="18.7"/>
    <x v="4"/>
    <n v="25.13"/>
    <n v="477.53"/>
    <n v="218.9"/>
    <n v="8.3000000000000007"/>
    <n v="3.52"/>
    <n v="1.61"/>
    <n v="0"/>
    <n v="0"/>
    <n v="232.33"/>
    <n v="245.2"/>
    <s v="Profit"/>
    <x v="0"/>
    <n v="24"/>
    <n v="24"/>
    <s v="16-30"/>
    <s v="Yes"/>
    <n v="1"/>
    <s v="At Risk"/>
    <n v="1"/>
  </r>
  <r>
    <n v="100265"/>
    <d v="2025-11-29T00:00:00"/>
    <n v="1024"/>
    <x v="1"/>
    <x v="3"/>
    <x v="1"/>
    <x v="3"/>
    <x v="0"/>
    <s v="UPI"/>
    <n v="23.89"/>
    <n v="11.65"/>
    <x v="3"/>
    <n v="0"/>
    <n v="278.32"/>
    <n v="164.29"/>
    <n v="4.03"/>
    <n v="1.95"/>
    <n v="2.41"/>
    <n v="0"/>
    <n v="0"/>
    <n v="172.68"/>
    <n v="105.64"/>
    <s v="Profit"/>
    <x v="0"/>
    <n v="15"/>
    <n v="3"/>
    <s v="0-15"/>
    <s v="No"/>
    <n v="0"/>
    <s v="Healthy"/>
    <n v="0"/>
  </r>
  <r>
    <n v="100266"/>
    <d v="2025-12-29T00:00:00"/>
    <n v="1146"/>
    <x v="2"/>
    <x v="9"/>
    <x v="2"/>
    <x v="0"/>
    <x v="0"/>
    <s v="UPI"/>
    <n v="30.34"/>
    <n v="18.600000000000001"/>
    <x v="3"/>
    <n v="0"/>
    <n v="564.32000000000005"/>
    <n v="189.14"/>
    <n v="10.01"/>
    <n v="3.95"/>
    <n v="4.12"/>
    <n v="0"/>
    <n v="0"/>
    <n v="207.22"/>
    <n v="357.1"/>
    <s v="Profit"/>
    <x v="0"/>
    <n v="5"/>
    <n v="9"/>
    <s v="0-15"/>
    <s v="No"/>
    <n v="0"/>
    <s v="Healthy"/>
    <n v="0"/>
  </r>
  <r>
    <n v="100267"/>
    <d v="2025-12-21T00:00:00"/>
    <n v="1133"/>
    <x v="0"/>
    <x v="6"/>
    <x v="0"/>
    <x v="3"/>
    <x v="0"/>
    <s v="Wallet"/>
    <n v="25.28"/>
    <n v="12.85"/>
    <x v="0"/>
    <n v="48.73"/>
    <n v="276.12"/>
    <n v="167.83"/>
    <n v="6.79"/>
    <n v="3.9"/>
    <n v="5.14"/>
    <n v="0"/>
    <n v="0"/>
    <n v="183.66"/>
    <n v="92.46"/>
    <s v="Profit"/>
    <x v="0"/>
    <n v="13"/>
    <n v="5"/>
    <s v="0-15"/>
    <s v="No"/>
    <n v="0"/>
    <s v="Healthy"/>
    <n v="0"/>
  </r>
  <r>
    <n v="100268"/>
    <d v="2025-11-10T00:00:00"/>
    <n v="1146"/>
    <x v="2"/>
    <x v="12"/>
    <x v="4"/>
    <x v="2"/>
    <x v="2"/>
    <s v="Wallet"/>
    <n v="32.03"/>
    <n v="17.16"/>
    <x v="3"/>
    <n v="0"/>
    <n v="549.63"/>
    <n v="226.39"/>
    <n v="9.6"/>
    <n v="6.6"/>
    <n v="14.61"/>
    <n v="0"/>
    <n v="0"/>
    <n v="257.2"/>
    <n v="292.43"/>
    <s v="Profit"/>
    <x v="0"/>
    <n v="16"/>
    <n v="13"/>
    <s v="16-30"/>
    <s v="No"/>
    <n v="0"/>
    <s v="Healthy"/>
    <n v="0"/>
  </r>
  <r>
    <n v="100269"/>
    <d v="2025-10-07T00:00:00"/>
    <n v="1069"/>
    <x v="2"/>
    <x v="12"/>
    <x v="1"/>
    <x v="0"/>
    <x v="0"/>
    <s v="Wallet"/>
    <n v="37"/>
    <n v="19.329999999999998"/>
    <x v="3"/>
    <n v="0"/>
    <n v="715.21"/>
    <n v="267.20999999999998"/>
    <n v="9.68"/>
    <n v="8.58"/>
    <n v="7.57"/>
    <n v="0"/>
    <n v="0"/>
    <n v="293.04000000000002"/>
    <n v="422.17"/>
    <s v="Profit"/>
    <x v="0"/>
    <n v="31"/>
    <n v="3"/>
    <s v="30+"/>
    <s v="Yes"/>
    <n v="1"/>
    <s v="At Risk"/>
    <n v="1"/>
  </r>
  <r>
    <n v="100270"/>
    <d v="2025-10-06T00:00:00"/>
    <n v="1132"/>
    <x v="0"/>
    <x v="0"/>
    <x v="0"/>
    <x v="3"/>
    <x v="0"/>
    <s v="UPI"/>
    <n v="28.03"/>
    <n v="12.58"/>
    <x v="3"/>
    <n v="0"/>
    <n v="352.62"/>
    <n v="225.67"/>
    <n v="8.6300000000000008"/>
    <n v="2.4700000000000002"/>
    <n v="6.56"/>
    <n v="0"/>
    <n v="0"/>
    <n v="243.33"/>
    <n v="109.29"/>
    <s v="Profit"/>
    <x v="0"/>
    <n v="29"/>
    <n v="8"/>
    <s v="16-30"/>
    <s v="Yes"/>
    <n v="1"/>
    <s v="At Risk"/>
    <n v="1"/>
  </r>
  <r>
    <n v="100271"/>
    <d v="2025-12-08T00:00:00"/>
    <n v="1107"/>
    <x v="1"/>
    <x v="3"/>
    <x v="2"/>
    <x v="3"/>
    <x v="0"/>
    <s v="UPI"/>
    <n v="13.16"/>
    <n v="12.19"/>
    <x v="2"/>
    <n v="16.04"/>
    <n v="144.38"/>
    <n v="89.68"/>
    <n v="8.1199999999999992"/>
    <n v="1.1200000000000001"/>
    <n v="0.88"/>
    <n v="0"/>
    <n v="0"/>
    <n v="99.8"/>
    <n v="44.58"/>
    <s v="Profit"/>
    <x v="0"/>
    <n v="4"/>
    <n v="9"/>
    <s v="0-15"/>
    <s v="No"/>
    <n v="0"/>
    <s v="Healthy"/>
    <n v="0"/>
  </r>
  <r>
    <n v="100272"/>
    <d v="2025-12-26T00:00:00"/>
    <n v="1116"/>
    <x v="0"/>
    <x v="6"/>
    <x v="2"/>
    <x v="0"/>
    <x v="2"/>
    <s v="Wallet"/>
    <n v="36.36"/>
    <n v="18.600000000000001"/>
    <x v="3"/>
    <n v="0"/>
    <n v="676.3"/>
    <n v="223.61"/>
    <n v="4.1399999999999997"/>
    <n v="8.1199999999999992"/>
    <n v="7.21"/>
    <n v="0"/>
    <n v="0"/>
    <n v="243.08"/>
    <n v="433.22"/>
    <s v="Profit"/>
    <x v="0"/>
    <n v="3"/>
    <n v="5"/>
    <s v="0-15"/>
    <s v="No"/>
    <n v="0"/>
    <s v="Healthy"/>
    <n v="0"/>
  </r>
  <r>
    <n v="100273"/>
    <d v="2025-12-11T00:00:00"/>
    <n v="1122"/>
    <x v="1"/>
    <x v="2"/>
    <x v="3"/>
    <x v="2"/>
    <x v="0"/>
    <s v="UPI"/>
    <n v="23.82"/>
    <n v="17.399999999999999"/>
    <x v="2"/>
    <n v="41.45"/>
    <n v="373.02"/>
    <n v="167.23"/>
    <n v="5.6"/>
    <n v="2.9"/>
    <n v="7.12"/>
    <n v="0"/>
    <n v="0"/>
    <n v="182.85"/>
    <n v="190.17"/>
    <s v="Profit"/>
    <x v="0"/>
    <n v="9"/>
    <n v="14"/>
    <s v="0-15"/>
    <s v="No"/>
    <n v="0"/>
    <s v="Healthy"/>
    <n v="0"/>
  </r>
  <r>
    <n v="100274"/>
    <d v="2025-11-27T00:00:00"/>
    <n v="1107"/>
    <x v="1"/>
    <x v="4"/>
    <x v="4"/>
    <x v="3"/>
    <x v="0"/>
    <s v="Card"/>
    <n v="30.84"/>
    <n v="12.27"/>
    <x v="4"/>
    <n v="18.920000000000002"/>
    <n v="359.49"/>
    <n v="226.99"/>
    <n v="11.82"/>
    <n v="5.68"/>
    <n v="0.18"/>
    <n v="190.8"/>
    <n v="0"/>
    <n v="435.47"/>
    <n v="-75.98"/>
    <s v="Loss"/>
    <x v="1"/>
    <n v="7"/>
    <n v="3"/>
    <s v="0-15"/>
    <s v="Yes"/>
    <n v="2"/>
    <s v="At Risk"/>
    <n v="1"/>
  </r>
  <r>
    <n v="100275"/>
    <d v="2025-11-11T00:00:00"/>
    <n v="1136"/>
    <x v="2"/>
    <x v="10"/>
    <x v="1"/>
    <x v="1"/>
    <x v="0"/>
    <s v="UPI"/>
    <n v="6.98"/>
    <n v="15.19"/>
    <x v="0"/>
    <n v="15.9"/>
    <n v="90.13"/>
    <n v="50.82"/>
    <n v="6.46"/>
    <n v="0.74"/>
    <n v="6.1"/>
    <n v="98.5"/>
    <n v="0"/>
    <n v="162.62"/>
    <n v="-72.489999999999995"/>
    <s v="Loss"/>
    <x v="2"/>
    <n v="4"/>
    <n v="1"/>
    <s v="0-15"/>
    <s v="No"/>
    <n v="1"/>
    <s v="At Risk"/>
    <n v="0"/>
  </r>
  <r>
    <n v="100276"/>
    <d v="2025-10-13T00:00:00"/>
    <n v="1070"/>
    <x v="3"/>
    <x v="7"/>
    <x v="4"/>
    <x v="1"/>
    <x v="0"/>
    <s v="Fleet_Invoice"/>
    <n v="32.89"/>
    <n v="16.11"/>
    <x v="3"/>
    <n v="0"/>
    <n v="529.86"/>
    <n v="186.47"/>
    <n v="10.99"/>
    <n v="2.12"/>
    <n v="13.28"/>
    <n v="0"/>
    <n v="0"/>
    <n v="212.86"/>
    <n v="317"/>
    <s v="Profit"/>
    <x v="0"/>
    <n v="6"/>
    <n v="7"/>
    <s v="0-15"/>
    <s v="No"/>
    <n v="0"/>
    <s v="Healthy"/>
    <n v="0"/>
  </r>
  <r>
    <n v="100277"/>
    <d v="2025-10-26T00:00:00"/>
    <n v="1150"/>
    <x v="3"/>
    <x v="15"/>
    <x v="1"/>
    <x v="3"/>
    <x v="0"/>
    <s v="UPI"/>
    <n v="16.920000000000002"/>
    <n v="11.18"/>
    <x v="3"/>
    <n v="0"/>
    <n v="189.17"/>
    <n v="119.51"/>
    <n v="7.97"/>
    <n v="1.32"/>
    <n v="0"/>
    <n v="0"/>
    <n v="0"/>
    <n v="128.80000000000001"/>
    <n v="60.37"/>
    <s v="Profit"/>
    <x v="0"/>
    <n v="6"/>
    <n v="1"/>
    <s v="0-15"/>
    <s v="No"/>
    <n v="0"/>
    <s v="Healthy"/>
    <n v="0"/>
  </r>
  <r>
    <n v="100278"/>
    <d v="2025-12-11T00:00:00"/>
    <n v="1077"/>
    <x v="2"/>
    <x v="10"/>
    <x v="3"/>
    <x v="1"/>
    <x v="1"/>
    <s v="Card"/>
    <n v="31.13"/>
    <n v="15.7"/>
    <x v="3"/>
    <n v="0"/>
    <n v="488.74"/>
    <n v="250.12"/>
    <n v="6.56"/>
    <n v="7.33"/>
    <n v="2.86"/>
    <n v="0"/>
    <n v="0"/>
    <n v="266.87"/>
    <n v="221.87"/>
    <s v="Profit"/>
    <x v="0"/>
    <n v="24"/>
    <n v="3"/>
    <s v="16-30"/>
    <s v="Yes"/>
    <n v="2"/>
    <s v="At Risk"/>
    <n v="1"/>
  </r>
  <r>
    <n v="100279"/>
    <d v="2025-11-05T00:00:00"/>
    <n v="1086"/>
    <x v="0"/>
    <x v="1"/>
    <x v="4"/>
    <x v="3"/>
    <x v="0"/>
    <s v="Fleet_Invoice"/>
    <n v="13.65"/>
    <n v="13.03"/>
    <x v="4"/>
    <n v="8.89"/>
    <n v="168.97"/>
    <n v="93.73"/>
    <n v="10.58"/>
    <n v="0.71"/>
    <n v="4.24"/>
    <n v="0"/>
    <n v="0"/>
    <n v="109.26"/>
    <n v="59.71"/>
    <s v="Profit"/>
    <x v="0"/>
    <n v="15"/>
    <n v="9"/>
    <s v="0-15"/>
    <s v="No"/>
    <n v="0"/>
    <s v="Healthy"/>
    <n v="0"/>
  </r>
  <r>
    <n v="100280"/>
    <d v="2025-11-24T00:00:00"/>
    <n v="1147"/>
    <x v="1"/>
    <x v="13"/>
    <x v="0"/>
    <x v="3"/>
    <x v="0"/>
    <s v="UPI"/>
    <n v="12.57"/>
    <n v="12.68"/>
    <x v="2"/>
    <n v="15.94"/>
    <n v="143.44999999999999"/>
    <n v="69.27"/>
    <n v="9.92"/>
    <n v="1.1200000000000001"/>
    <n v="8.02"/>
    <n v="0"/>
    <n v="0"/>
    <n v="88.33"/>
    <n v="55.12"/>
    <s v="Profit"/>
    <x v="0"/>
    <n v="4"/>
    <n v="1"/>
    <s v="0-15"/>
    <s v="No"/>
    <n v="0"/>
    <s v="Healthy"/>
    <n v="0"/>
  </r>
  <r>
    <n v="100281"/>
    <d v="2025-10-31T00:00:00"/>
    <n v="1053"/>
    <x v="1"/>
    <x v="4"/>
    <x v="1"/>
    <x v="1"/>
    <x v="0"/>
    <s v="Card"/>
    <n v="28.36"/>
    <n v="16.57"/>
    <x v="2"/>
    <n v="46.99"/>
    <n v="422.94"/>
    <n v="239.27"/>
    <n v="6.94"/>
    <n v="7.05"/>
    <n v="4.8499999999999996"/>
    <n v="0"/>
    <n v="0"/>
    <n v="258.11"/>
    <n v="164.83"/>
    <s v="Profit"/>
    <x v="0"/>
    <n v="12"/>
    <n v="1"/>
    <s v="0-15"/>
    <s v="No"/>
    <n v="0"/>
    <s v="Healthy"/>
    <n v="0"/>
  </r>
  <r>
    <n v="100282"/>
    <d v="2025-10-27T00:00:00"/>
    <n v="1082"/>
    <x v="2"/>
    <x v="9"/>
    <x v="3"/>
    <x v="0"/>
    <x v="0"/>
    <s v="Card"/>
    <n v="49.67"/>
    <n v="20.59"/>
    <x v="2"/>
    <n v="102.27"/>
    <n v="920.44"/>
    <n v="303.67"/>
    <n v="16.93"/>
    <n v="15.34"/>
    <n v="9.15"/>
    <n v="0"/>
    <n v="0"/>
    <n v="345.09"/>
    <n v="575.35"/>
    <s v="Profit"/>
    <x v="0"/>
    <n v="17"/>
    <n v="12"/>
    <s v="16-30"/>
    <s v="No"/>
    <n v="0"/>
    <s v="Healthy"/>
    <n v="0"/>
  </r>
  <r>
    <n v="100283"/>
    <d v="2025-12-17T00:00:00"/>
    <n v="1017"/>
    <x v="2"/>
    <x v="12"/>
    <x v="4"/>
    <x v="3"/>
    <x v="2"/>
    <s v="UPI"/>
    <n v="6.01"/>
    <n v="11.35"/>
    <x v="4"/>
    <n v="3.41"/>
    <n v="64.8"/>
    <n v="38.18"/>
    <n v="16.27"/>
    <n v="0.48"/>
    <n v="4.59"/>
    <n v="63.11"/>
    <n v="14.88"/>
    <n v="137.51"/>
    <n v="-72.709999999999994"/>
    <s v="Loss"/>
    <x v="1"/>
    <n v="0"/>
    <n v="9"/>
    <s v="0-15"/>
    <s v="Yes"/>
    <n v="4"/>
    <s v="At Risk"/>
    <n v="1"/>
  </r>
  <r>
    <n v="100284"/>
    <d v="2025-11-06T00:00:00"/>
    <n v="1021"/>
    <x v="3"/>
    <x v="7"/>
    <x v="0"/>
    <x v="2"/>
    <x v="1"/>
    <s v="UPI"/>
    <n v="26.37"/>
    <n v="16.989999999999998"/>
    <x v="3"/>
    <n v="0"/>
    <n v="448.03"/>
    <n v="199.6"/>
    <n v="9.48"/>
    <n v="3.14"/>
    <n v="9.14"/>
    <n v="0"/>
    <n v="0"/>
    <n v="221.36"/>
    <n v="226.67"/>
    <s v="Profit"/>
    <x v="0"/>
    <n v="2"/>
    <n v="5"/>
    <s v="0-15"/>
    <s v="No"/>
    <n v="0"/>
    <s v="Healthy"/>
    <n v="0"/>
  </r>
  <r>
    <n v="100285"/>
    <d v="2025-11-03T00:00:00"/>
    <n v="1107"/>
    <x v="0"/>
    <x v="6"/>
    <x v="3"/>
    <x v="3"/>
    <x v="0"/>
    <s v="UPI"/>
    <n v="10.82"/>
    <n v="12.19"/>
    <x v="3"/>
    <n v="0"/>
    <n v="131.9"/>
    <n v="78.14"/>
    <n v="5.6"/>
    <n v="0.92"/>
    <n v="0"/>
    <n v="0"/>
    <n v="0"/>
    <n v="84.66"/>
    <n v="47.24"/>
    <s v="Profit"/>
    <x v="0"/>
    <n v="4"/>
    <n v="15"/>
    <s v="0-15"/>
    <s v="No"/>
    <n v="1"/>
    <s v="Healthy"/>
    <n v="0"/>
  </r>
  <r>
    <n v="100286"/>
    <d v="2025-11-19T00:00:00"/>
    <n v="1006"/>
    <x v="0"/>
    <x v="1"/>
    <x v="3"/>
    <x v="0"/>
    <x v="0"/>
    <s v="UPI"/>
    <n v="33.86"/>
    <n v="19.53"/>
    <x v="3"/>
    <n v="0"/>
    <n v="661.29"/>
    <n v="215.75"/>
    <n v="10.94"/>
    <n v="4.63"/>
    <n v="5.52"/>
    <n v="0"/>
    <n v="0"/>
    <n v="236.84"/>
    <n v="424.45"/>
    <s v="Profit"/>
    <x v="0"/>
    <n v="12"/>
    <n v="7"/>
    <s v="0-15"/>
    <s v="No"/>
    <n v="0"/>
    <s v="Healthy"/>
    <n v="0"/>
  </r>
  <r>
    <n v="100287"/>
    <d v="2025-10-21T00:00:00"/>
    <n v="1145"/>
    <x v="1"/>
    <x v="3"/>
    <x v="1"/>
    <x v="3"/>
    <x v="1"/>
    <s v="Card"/>
    <n v="19.23"/>
    <n v="13.33"/>
    <x v="3"/>
    <n v="0"/>
    <n v="256.33999999999997"/>
    <n v="159.97"/>
    <n v="10.97"/>
    <n v="3.85"/>
    <n v="4.55"/>
    <n v="0"/>
    <n v="0"/>
    <n v="179.34"/>
    <n v="77"/>
    <s v="Profit"/>
    <x v="0"/>
    <n v="1"/>
    <n v="5"/>
    <s v="0-15"/>
    <s v="No"/>
    <n v="0"/>
    <s v="Healthy"/>
    <n v="0"/>
  </r>
  <r>
    <n v="100288"/>
    <d v="2025-11-06T00:00:00"/>
    <n v="1042"/>
    <x v="0"/>
    <x v="11"/>
    <x v="0"/>
    <x v="0"/>
    <x v="0"/>
    <s v="UPI"/>
    <n v="7.84"/>
    <n v="19.23"/>
    <x v="3"/>
    <n v="0"/>
    <n v="150.76"/>
    <n v="57.08"/>
    <n v="9.89"/>
    <n v="1.06"/>
    <n v="8.33"/>
    <n v="0"/>
    <n v="0"/>
    <n v="76.36"/>
    <n v="74.400000000000006"/>
    <s v="Profit"/>
    <x v="0"/>
    <n v="0"/>
    <n v="16"/>
    <s v="0-15"/>
    <s v="Yes"/>
    <n v="1"/>
    <s v="At Risk"/>
    <n v="1"/>
  </r>
  <r>
    <n v="100289"/>
    <d v="2025-12-10T00:00:00"/>
    <n v="1083"/>
    <x v="1"/>
    <x v="2"/>
    <x v="4"/>
    <x v="3"/>
    <x v="0"/>
    <s v="UPI"/>
    <n v="13.74"/>
    <n v="12.9"/>
    <x v="3"/>
    <n v="0"/>
    <n v="177.25"/>
    <n v="70.97"/>
    <n v="9.41"/>
    <n v="1.24"/>
    <n v="12.72"/>
    <n v="160.52000000000001"/>
    <n v="0"/>
    <n v="254.86"/>
    <n v="-77.61"/>
    <s v="Loss"/>
    <x v="2"/>
    <n v="21"/>
    <n v="2"/>
    <s v="16-30"/>
    <s v="Yes"/>
    <n v="1"/>
    <s v="At Risk"/>
    <n v="1"/>
  </r>
  <r>
    <n v="100290"/>
    <d v="2025-11-21T00:00:00"/>
    <n v="1054"/>
    <x v="0"/>
    <x v="6"/>
    <x v="1"/>
    <x v="2"/>
    <x v="0"/>
    <s v="UPI"/>
    <n v="9.91"/>
    <n v="16.72"/>
    <x v="3"/>
    <n v="0"/>
    <n v="165.7"/>
    <n v="76.650000000000006"/>
    <n v="10.1"/>
    <n v="1.1599999999999999"/>
    <n v="0"/>
    <n v="0"/>
    <n v="0"/>
    <n v="87.91"/>
    <n v="77.790000000000006"/>
    <s v="Profit"/>
    <x v="0"/>
    <n v="3"/>
    <n v="4"/>
    <s v="0-15"/>
    <s v="No"/>
    <n v="0"/>
    <s v="Healthy"/>
    <n v="0"/>
  </r>
  <r>
    <n v="100291"/>
    <d v="2025-11-16T00:00:00"/>
    <n v="1132"/>
    <x v="1"/>
    <x v="4"/>
    <x v="4"/>
    <x v="2"/>
    <x v="2"/>
    <s v="Card"/>
    <n v="14.02"/>
    <n v="16.57"/>
    <x v="2"/>
    <n v="23.23"/>
    <n v="209.08"/>
    <n v="112.12"/>
    <n v="9.99"/>
    <n v="3.48"/>
    <n v="13.12"/>
    <n v="0"/>
    <n v="0"/>
    <n v="138.71"/>
    <n v="70.37"/>
    <s v="Profit"/>
    <x v="0"/>
    <n v="4"/>
    <n v="11"/>
    <s v="0-15"/>
    <s v="No"/>
    <n v="0"/>
    <s v="Healthy"/>
    <n v="0"/>
  </r>
  <r>
    <n v="100292"/>
    <d v="2025-12-27T00:00:00"/>
    <n v="1115"/>
    <x v="3"/>
    <x v="8"/>
    <x v="3"/>
    <x v="3"/>
    <x v="0"/>
    <s v="Fleet_Invoice"/>
    <n v="20.9"/>
    <n v="12.77"/>
    <x v="3"/>
    <n v="0"/>
    <n v="266.89"/>
    <n v="146.41999999999999"/>
    <n v="11.03"/>
    <n v="1.07"/>
    <n v="0"/>
    <n v="0"/>
    <n v="0"/>
    <n v="158.52000000000001"/>
    <n v="108.37"/>
    <s v="Profit"/>
    <x v="0"/>
    <n v="0"/>
    <n v="17"/>
    <s v="0-15"/>
    <s v="Yes"/>
    <n v="1"/>
    <s v="At Risk"/>
    <n v="1"/>
  </r>
  <r>
    <n v="100293"/>
    <d v="2025-10-13T00:00:00"/>
    <n v="1032"/>
    <x v="0"/>
    <x v="11"/>
    <x v="2"/>
    <x v="2"/>
    <x v="0"/>
    <s v="Card"/>
    <n v="25.37"/>
    <n v="17.2"/>
    <x v="3"/>
    <n v="0"/>
    <n v="436.36"/>
    <n v="180.7"/>
    <n v="12.82"/>
    <n v="6.55"/>
    <n v="10.26"/>
    <n v="0"/>
    <n v="0"/>
    <n v="210.33"/>
    <n v="226.03"/>
    <s v="Profit"/>
    <x v="0"/>
    <n v="5"/>
    <n v="3"/>
    <s v="0-15"/>
    <s v="No"/>
    <n v="0"/>
    <s v="Healthy"/>
    <n v="0"/>
  </r>
  <r>
    <n v="100294"/>
    <d v="2025-12-01T00:00:00"/>
    <n v="1103"/>
    <x v="1"/>
    <x v="4"/>
    <x v="4"/>
    <x v="0"/>
    <x v="2"/>
    <s v="UPI"/>
    <n v="27.59"/>
    <n v="19.43"/>
    <x v="3"/>
    <n v="0"/>
    <n v="536.07000000000005"/>
    <n v="193.57"/>
    <n v="11.33"/>
    <n v="3.75"/>
    <n v="3.98"/>
    <n v="0"/>
    <n v="0"/>
    <n v="212.63"/>
    <n v="323.44"/>
    <s v="Profit"/>
    <x v="0"/>
    <n v="19"/>
    <n v="4"/>
    <s v="16-30"/>
    <s v="No"/>
    <n v="0"/>
    <s v="Healthy"/>
    <n v="0"/>
  </r>
  <r>
    <n v="100295"/>
    <d v="2025-12-28T00:00:00"/>
    <n v="1030"/>
    <x v="1"/>
    <x v="3"/>
    <x v="1"/>
    <x v="3"/>
    <x v="0"/>
    <s v="Fleet_Invoice"/>
    <n v="13.84"/>
    <n v="13.03"/>
    <x v="2"/>
    <n v="18.03"/>
    <n v="162.31"/>
    <n v="96.87"/>
    <n v="4"/>
    <n v="0.72"/>
    <n v="4.46"/>
    <n v="0"/>
    <n v="0"/>
    <n v="106.05"/>
    <n v="56.26"/>
    <s v="Profit"/>
    <x v="0"/>
    <n v="1"/>
    <n v="7"/>
    <s v="0-15"/>
    <s v="No"/>
    <n v="0"/>
    <s v="Healthy"/>
    <n v="0"/>
  </r>
  <r>
    <n v="100296"/>
    <d v="2025-10-17T00:00:00"/>
    <n v="1022"/>
    <x v="2"/>
    <x v="9"/>
    <x v="1"/>
    <x v="2"/>
    <x v="0"/>
    <s v="UPI"/>
    <n v="31.69"/>
    <n v="17.239999999999998"/>
    <x v="0"/>
    <n v="81.95"/>
    <n v="464.39"/>
    <n v="204.65"/>
    <n v="7.27"/>
    <n v="3.82"/>
    <n v="6.4"/>
    <n v="0"/>
    <n v="0"/>
    <n v="222.14"/>
    <n v="242.25"/>
    <s v="Profit"/>
    <x v="0"/>
    <n v="32"/>
    <n v="12"/>
    <s v="30+"/>
    <s v="Yes"/>
    <n v="1"/>
    <s v="At Risk"/>
    <n v="1"/>
  </r>
  <r>
    <n v="100297"/>
    <d v="2025-10-22T00:00:00"/>
    <n v="1071"/>
    <x v="0"/>
    <x v="1"/>
    <x v="4"/>
    <x v="2"/>
    <x v="0"/>
    <s v="UPI"/>
    <n v="48.04"/>
    <n v="18.559999999999999"/>
    <x v="4"/>
    <n v="44.58"/>
    <n v="847.04"/>
    <n v="345.38"/>
    <n v="2.95"/>
    <n v="6.24"/>
    <n v="8.16"/>
    <n v="440.7"/>
    <n v="0"/>
    <n v="803.43"/>
    <n v="43.61"/>
    <s v="Profit"/>
    <x v="2"/>
    <n v="9"/>
    <n v="44"/>
    <s v="0-15"/>
    <s v="Yes"/>
    <n v="3"/>
    <s v="At Risk"/>
    <n v="1"/>
  </r>
  <r>
    <n v="100298"/>
    <d v="2025-11-01T00:00:00"/>
    <n v="1111"/>
    <x v="0"/>
    <x v="6"/>
    <x v="2"/>
    <x v="3"/>
    <x v="0"/>
    <s v="UPI"/>
    <n v="22.1"/>
    <n v="11.83"/>
    <x v="3"/>
    <n v="0"/>
    <n v="261.44"/>
    <n v="182.17"/>
    <n v="3.96"/>
    <n v="1.83"/>
    <n v="11.26"/>
    <n v="0"/>
    <n v="0"/>
    <n v="199.22"/>
    <n v="62.22"/>
    <s v="Profit"/>
    <x v="0"/>
    <n v="5"/>
    <n v="2"/>
    <s v="0-15"/>
    <s v="No"/>
    <n v="0"/>
    <s v="Healthy"/>
    <n v="0"/>
  </r>
  <r>
    <n v="100299"/>
    <d v="2025-11-12T00:00:00"/>
    <n v="1040"/>
    <x v="3"/>
    <x v="7"/>
    <x v="0"/>
    <x v="1"/>
    <x v="2"/>
    <s v="Wallet"/>
    <n v="26.17"/>
    <n v="15.55"/>
    <x v="3"/>
    <n v="0"/>
    <n v="406.94"/>
    <n v="148.96"/>
    <n v="8.4499999999999993"/>
    <n v="4.88"/>
    <n v="7.64"/>
    <n v="0"/>
    <n v="0"/>
    <n v="169.93"/>
    <n v="237.01"/>
    <s v="Profit"/>
    <x v="0"/>
    <n v="41"/>
    <n v="18"/>
    <s v="30+"/>
    <s v="Yes"/>
    <n v="1"/>
    <s v="At Risk"/>
    <n v="1"/>
  </r>
  <r>
    <n v="100300"/>
    <d v="2025-11-08T00:00:00"/>
    <n v="1014"/>
    <x v="3"/>
    <x v="14"/>
    <x v="4"/>
    <x v="2"/>
    <x v="0"/>
    <s v="UPI"/>
    <n v="30.59"/>
    <n v="18.350000000000001"/>
    <x v="4"/>
    <n v="28.07"/>
    <n v="533.26"/>
    <n v="173.65"/>
    <n v="4.26"/>
    <n v="3.93"/>
    <n v="9.17"/>
    <n v="0"/>
    <n v="0"/>
    <n v="191.01"/>
    <n v="342.25"/>
    <s v="Profit"/>
    <x v="0"/>
    <n v="0"/>
    <n v="16"/>
    <s v="0-15"/>
    <s v="Yes"/>
    <n v="2"/>
    <s v="At Risk"/>
    <n v="1"/>
  </r>
  <r>
    <n v="100301"/>
    <d v="2025-11-16T00:00:00"/>
    <n v="1112"/>
    <x v="0"/>
    <x v="1"/>
    <x v="2"/>
    <x v="1"/>
    <x v="0"/>
    <s v="UPI"/>
    <n v="41.06"/>
    <n v="16.02"/>
    <x v="3"/>
    <n v="0"/>
    <n v="657.78"/>
    <n v="313.79000000000002"/>
    <n v="5.86"/>
    <n v="4.5999999999999996"/>
    <n v="0"/>
    <n v="0"/>
    <n v="0"/>
    <n v="324.25"/>
    <n v="333.53"/>
    <s v="Profit"/>
    <x v="0"/>
    <n v="6"/>
    <n v="4"/>
    <s v="0-15"/>
    <s v="No"/>
    <n v="0"/>
    <s v="Healthy"/>
    <n v="0"/>
  </r>
  <r>
    <n v="100302"/>
    <d v="2025-11-12T00:00:00"/>
    <n v="1060"/>
    <x v="0"/>
    <x v="6"/>
    <x v="3"/>
    <x v="3"/>
    <x v="2"/>
    <s v="Fleet_Invoice"/>
    <n v="22.17"/>
    <n v="12.06"/>
    <x v="3"/>
    <n v="0"/>
    <n v="267.37"/>
    <n v="149.59"/>
    <n v="8.9499999999999993"/>
    <n v="1.07"/>
    <n v="0"/>
    <n v="0"/>
    <n v="0"/>
    <n v="159.61000000000001"/>
    <n v="107.76"/>
    <s v="Profit"/>
    <x v="0"/>
    <n v="5"/>
    <n v="10"/>
    <s v="0-15"/>
    <s v="No"/>
    <n v="0"/>
    <s v="Healthy"/>
    <n v="0"/>
  </r>
  <r>
    <n v="100303"/>
    <d v="2025-12-13T00:00:00"/>
    <n v="1021"/>
    <x v="0"/>
    <x v="6"/>
    <x v="2"/>
    <x v="0"/>
    <x v="0"/>
    <s v="Card"/>
    <n v="25.27"/>
    <n v="18.670000000000002"/>
    <x v="4"/>
    <n v="23.59"/>
    <n v="448.2"/>
    <n v="181.76"/>
    <n v="8.3699999999999992"/>
    <n v="7.08"/>
    <n v="6.84"/>
    <n v="0"/>
    <n v="0"/>
    <n v="204.05"/>
    <n v="244.15"/>
    <s v="Profit"/>
    <x v="0"/>
    <n v="11"/>
    <n v="3"/>
    <s v="0-15"/>
    <s v="No"/>
    <n v="0"/>
    <s v="Healthy"/>
    <n v="0"/>
  </r>
  <r>
    <n v="100304"/>
    <d v="2025-12-05T00:00:00"/>
    <n v="1022"/>
    <x v="0"/>
    <x v="1"/>
    <x v="2"/>
    <x v="3"/>
    <x v="2"/>
    <s v="Fleet_Invoice"/>
    <n v="13.3"/>
    <n v="12.1"/>
    <x v="3"/>
    <n v="0"/>
    <n v="160.93"/>
    <n v="88.67"/>
    <n v="6.71"/>
    <n v="0.64"/>
    <n v="2.96"/>
    <n v="0"/>
    <n v="0"/>
    <n v="98.98"/>
    <n v="61.95"/>
    <s v="Profit"/>
    <x v="0"/>
    <n v="2"/>
    <n v="2"/>
    <s v="0-15"/>
    <s v="No"/>
    <n v="0"/>
    <s v="Healthy"/>
    <n v="0"/>
  </r>
  <r>
    <n v="100305"/>
    <d v="2025-12-16T00:00:00"/>
    <n v="1146"/>
    <x v="2"/>
    <x v="12"/>
    <x v="2"/>
    <x v="3"/>
    <x v="0"/>
    <s v="Wallet"/>
    <n v="5.96"/>
    <n v="12.56"/>
    <x v="4"/>
    <n v="3.74"/>
    <n v="71.12"/>
    <n v="31.56"/>
    <n v="4.5599999999999996"/>
    <n v="0.9"/>
    <n v="7.71"/>
    <n v="37.03"/>
    <n v="0"/>
    <n v="81.760000000000005"/>
    <n v="-10.64"/>
    <s v="Loss"/>
    <x v="1"/>
    <n v="7"/>
    <n v="0"/>
    <s v="0-15"/>
    <s v="Yes"/>
    <n v="2"/>
    <s v="At Risk"/>
    <n v="1"/>
  </r>
  <r>
    <n v="100306"/>
    <d v="2025-11-01T00:00:00"/>
    <n v="1091"/>
    <x v="1"/>
    <x v="3"/>
    <x v="2"/>
    <x v="2"/>
    <x v="0"/>
    <s v="UPI"/>
    <n v="33.85"/>
    <n v="17.690000000000001"/>
    <x v="0"/>
    <n v="89.82"/>
    <n v="508.99"/>
    <n v="236.51"/>
    <n v="7.14"/>
    <n v="4.1900000000000004"/>
    <n v="3.52"/>
    <n v="0"/>
    <n v="0"/>
    <n v="251.36"/>
    <n v="257.63"/>
    <s v="Profit"/>
    <x v="0"/>
    <n v="1"/>
    <n v="3"/>
    <s v="0-15"/>
    <s v="No"/>
    <n v="0"/>
    <s v="Healthy"/>
    <n v="0"/>
  </r>
  <r>
    <n v="100307"/>
    <d v="2025-12-01T00:00:00"/>
    <n v="1005"/>
    <x v="0"/>
    <x v="0"/>
    <x v="4"/>
    <x v="3"/>
    <x v="2"/>
    <s v="Wallet"/>
    <n v="15.44"/>
    <n v="14.52"/>
    <x v="3"/>
    <n v="0"/>
    <n v="224.19"/>
    <n v="100.28"/>
    <n v="7.47"/>
    <n v="2.69"/>
    <n v="2.69"/>
    <n v="181.47"/>
    <n v="11.84"/>
    <n v="306.44"/>
    <n v="-82.25"/>
    <s v="Loss"/>
    <x v="2"/>
    <n v="4"/>
    <n v="38"/>
    <s v="0-15"/>
    <s v="Yes"/>
    <n v="1"/>
    <s v="At Risk"/>
    <n v="1"/>
  </r>
  <r>
    <n v="100308"/>
    <d v="2025-11-25T00:00:00"/>
    <n v="1058"/>
    <x v="1"/>
    <x v="13"/>
    <x v="4"/>
    <x v="3"/>
    <x v="0"/>
    <s v="UPI"/>
    <n v="18.8"/>
    <n v="12.79"/>
    <x v="4"/>
    <n v="12.02"/>
    <n v="228.43"/>
    <n v="121.28"/>
    <n v="10.99"/>
    <n v="1.68"/>
    <n v="0.81"/>
    <n v="195.17"/>
    <n v="0"/>
    <n v="329.93"/>
    <n v="-101.5"/>
    <s v="Loss"/>
    <x v="2"/>
    <n v="21"/>
    <n v="1"/>
    <s v="16-30"/>
    <s v="Yes"/>
    <n v="4"/>
    <s v="At Risk"/>
    <n v="1"/>
  </r>
  <r>
    <n v="100309"/>
    <d v="2025-11-13T00:00:00"/>
    <n v="1031"/>
    <x v="1"/>
    <x v="13"/>
    <x v="1"/>
    <x v="1"/>
    <x v="2"/>
    <s v="Wallet"/>
    <n v="29.63"/>
    <n v="14.71"/>
    <x v="0"/>
    <n v="65.38"/>
    <n v="370.48"/>
    <n v="146.93"/>
    <n v="5.85"/>
    <n v="5.23"/>
    <n v="8.91"/>
    <n v="0"/>
    <n v="0"/>
    <n v="166.92"/>
    <n v="203.56"/>
    <s v="Profit"/>
    <x v="0"/>
    <n v="6"/>
    <n v="2"/>
    <s v="0-15"/>
    <s v="No"/>
    <n v="0"/>
    <s v="Healthy"/>
    <n v="0"/>
  </r>
  <r>
    <n v="100310"/>
    <d v="2025-12-02T00:00:00"/>
    <n v="1051"/>
    <x v="1"/>
    <x v="4"/>
    <x v="3"/>
    <x v="1"/>
    <x v="0"/>
    <s v="UPI"/>
    <n v="35.020000000000003"/>
    <n v="15.04"/>
    <x v="2"/>
    <n v="52.67"/>
    <n v="474.03"/>
    <n v="280.58"/>
    <n v="8.09"/>
    <n v="3.69"/>
    <n v="10.4"/>
    <n v="0"/>
    <n v="0"/>
    <n v="302.76"/>
    <n v="171.27"/>
    <s v="Profit"/>
    <x v="0"/>
    <n v="2"/>
    <n v="5"/>
    <s v="0-15"/>
    <s v="No"/>
    <n v="0"/>
    <s v="Healthy"/>
    <n v="0"/>
  </r>
  <r>
    <n v="100311"/>
    <d v="2025-11-15T00:00:00"/>
    <n v="1029"/>
    <x v="1"/>
    <x v="4"/>
    <x v="3"/>
    <x v="1"/>
    <x v="0"/>
    <s v="UPI"/>
    <n v="28.02"/>
    <n v="15.75"/>
    <x v="3"/>
    <n v="0"/>
    <n v="441.32"/>
    <n v="244.12"/>
    <n v="10.19"/>
    <n v="3.09"/>
    <n v="10.31"/>
    <n v="0"/>
    <n v="0"/>
    <n v="267.70999999999998"/>
    <n v="173.61"/>
    <s v="Profit"/>
    <x v="0"/>
    <n v="7"/>
    <n v="5"/>
    <s v="0-15"/>
    <s v="No"/>
    <n v="0"/>
    <s v="Healthy"/>
    <n v="0"/>
  </r>
  <r>
    <n v="100312"/>
    <d v="2025-12-22T00:00:00"/>
    <n v="1057"/>
    <x v="2"/>
    <x v="12"/>
    <x v="3"/>
    <x v="2"/>
    <x v="0"/>
    <s v="Card"/>
    <n v="31.29"/>
    <n v="16.600000000000001"/>
    <x v="3"/>
    <n v="0"/>
    <n v="519.41"/>
    <n v="193.06"/>
    <n v="6.04"/>
    <n v="7.79"/>
    <n v="5.81"/>
    <n v="0"/>
    <n v="0"/>
    <n v="212.7"/>
    <n v="306.70999999999998"/>
    <s v="Profit"/>
    <x v="0"/>
    <n v="3"/>
    <n v="19"/>
    <s v="0-15"/>
    <s v="Yes"/>
    <n v="1"/>
    <s v="At Risk"/>
    <n v="1"/>
  </r>
  <r>
    <n v="100313"/>
    <d v="2025-12-09T00:00:00"/>
    <n v="1009"/>
    <x v="3"/>
    <x v="7"/>
    <x v="3"/>
    <x v="1"/>
    <x v="0"/>
    <s v="Card"/>
    <n v="31.51"/>
    <n v="15.15"/>
    <x v="3"/>
    <n v="0"/>
    <n v="477.38"/>
    <n v="163.76"/>
    <n v="8.64"/>
    <n v="7.16"/>
    <n v="6.03"/>
    <n v="0"/>
    <n v="0"/>
    <n v="185.59"/>
    <n v="291.79000000000002"/>
    <s v="Profit"/>
    <x v="0"/>
    <n v="10"/>
    <n v="6"/>
    <s v="0-15"/>
    <s v="No"/>
    <n v="0"/>
    <s v="Healthy"/>
    <n v="0"/>
  </r>
  <r>
    <n v="100314"/>
    <d v="2025-12-12T00:00:00"/>
    <n v="1020"/>
    <x v="2"/>
    <x v="9"/>
    <x v="3"/>
    <x v="1"/>
    <x v="0"/>
    <s v="UPI"/>
    <n v="34.659999999999997"/>
    <n v="14.71"/>
    <x v="3"/>
    <n v="0"/>
    <n v="509.85"/>
    <n v="287.60000000000002"/>
    <n v="6.47"/>
    <n v="3.57"/>
    <n v="3.07"/>
    <n v="0"/>
    <n v="0"/>
    <n v="300.70999999999998"/>
    <n v="209.14"/>
    <s v="Profit"/>
    <x v="0"/>
    <n v="1"/>
    <n v="19"/>
    <s v="0-15"/>
    <s v="Yes"/>
    <n v="3"/>
    <s v="At Risk"/>
    <n v="1"/>
  </r>
  <r>
    <n v="100315"/>
    <d v="2025-12-31T00:00:00"/>
    <n v="1108"/>
    <x v="1"/>
    <x v="3"/>
    <x v="1"/>
    <x v="2"/>
    <x v="2"/>
    <s v="Fleet_Invoice"/>
    <n v="25"/>
    <n v="17.559999999999999"/>
    <x v="3"/>
    <n v="0"/>
    <n v="439"/>
    <n v="167.15"/>
    <n v="6.02"/>
    <n v="1.76"/>
    <n v="3.29"/>
    <n v="0"/>
    <n v="0"/>
    <n v="178.22"/>
    <n v="260.77999999999997"/>
    <s v="Profit"/>
    <x v="0"/>
    <n v="2"/>
    <n v="2"/>
    <s v="0-15"/>
    <s v="No"/>
    <n v="0"/>
    <s v="Healthy"/>
    <n v="0"/>
  </r>
  <r>
    <n v="100316"/>
    <d v="2025-12-07T00:00:00"/>
    <n v="1020"/>
    <x v="0"/>
    <x v="0"/>
    <x v="4"/>
    <x v="3"/>
    <x v="0"/>
    <s v="UPI"/>
    <n v="9.4"/>
    <n v="11.99"/>
    <x v="0"/>
    <n v="16.91"/>
    <n v="95.8"/>
    <n v="65.260000000000005"/>
    <n v="11.15"/>
    <n v="0.79"/>
    <n v="0.73"/>
    <n v="0"/>
    <n v="0"/>
    <n v="77.930000000000007"/>
    <n v="17.87"/>
    <s v="Profit"/>
    <x v="0"/>
    <n v="6"/>
    <n v="1"/>
    <s v="0-15"/>
    <s v="No"/>
    <n v="0"/>
    <s v="Healthy"/>
    <n v="0"/>
  </r>
  <r>
    <n v="100317"/>
    <d v="2025-10-14T00:00:00"/>
    <n v="1131"/>
    <x v="0"/>
    <x v="6"/>
    <x v="1"/>
    <x v="1"/>
    <x v="0"/>
    <s v="Fleet_Invoice"/>
    <n v="37.17"/>
    <n v="15.36"/>
    <x v="1"/>
    <n v="114.19"/>
    <n v="456.74"/>
    <n v="237.72"/>
    <n v="5.8"/>
    <n v="2.2799999999999998"/>
    <n v="6.59"/>
    <n v="0"/>
    <n v="0"/>
    <n v="252.39"/>
    <n v="204.35"/>
    <s v="Profit"/>
    <x v="0"/>
    <n v="6"/>
    <n v="19"/>
    <s v="0-15"/>
    <s v="Yes"/>
    <n v="1"/>
    <s v="At Risk"/>
    <n v="1"/>
  </r>
  <r>
    <n v="100318"/>
    <d v="2025-10-19T00:00:00"/>
    <n v="1006"/>
    <x v="3"/>
    <x v="14"/>
    <x v="4"/>
    <x v="3"/>
    <x v="2"/>
    <s v="UPI"/>
    <n v="31.96"/>
    <n v="12.98"/>
    <x v="4"/>
    <n v="20.74"/>
    <n v="394.1"/>
    <n v="231.03"/>
    <n v="5.72"/>
    <n v="2.9"/>
    <n v="8.57"/>
    <n v="0"/>
    <n v="0"/>
    <n v="248.22"/>
    <n v="145.88"/>
    <s v="Profit"/>
    <x v="0"/>
    <n v="18"/>
    <n v="0"/>
    <s v="16-30"/>
    <s v="No"/>
    <n v="0"/>
    <s v="Healthy"/>
    <n v="0"/>
  </r>
  <r>
    <n v="100319"/>
    <d v="2025-12-13T00:00:00"/>
    <n v="1144"/>
    <x v="0"/>
    <x v="1"/>
    <x v="2"/>
    <x v="0"/>
    <x v="2"/>
    <s v="Card"/>
    <n v="39.369999999999997"/>
    <n v="19.96"/>
    <x v="2"/>
    <n v="78.58"/>
    <n v="707.25"/>
    <n v="267.22000000000003"/>
    <n v="5.98"/>
    <n v="11.79"/>
    <n v="7.83"/>
    <n v="0"/>
    <n v="0"/>
    <n v="292.82"/>
    <n v="414.43"/>
    <s v="Profit"/>
    <x v="0"/>
    <n v="4"/>
    <n v="9"/>
    <s v="0-15"/>
    <s v="No"/>
    <n v="0"/>
    <s v="Healthy"/>
    <n v="0"/>
  </r>
  <r>
    <n v="100320"/>
    <d v="2025-12-12T00:00:00"/>
    <n v="1058"/>
    <x v="3"/>
    <x v="7"/>
    <x v="2"/>
    <x v="0"/>
    <x v="1"/>
    <s v="UPI"/>
    <n v="22.06"/>
    <n v="18.579999999999998"/>
    <x v="3"/>
    <n v="0"/>
    <n v="409.87"/>
    <n v="157.77000000000001"/>
    <n v="7.11"/>
    <n v="2.87"/>
    <n v="10.029999999999999"/>
    <n v="0"/>
    <n v="0"/>
    <n v="177.78"/>
    <n v="232.09"/>
    <s v="Profit"/>
    <x v="0"/>
    <n v="4"/>
    <n v="5"/>
    <s v="0-15"/>
    <s v="No"/>
    <n v="0"/>
    <s v="Healthy"/>
    <n v="0"/>
  </r>
  <r>
    <n v="100321"/>
    <d v="2025-11-29T00:00:00"/>
    <n v="1138"/>
    <x v="1"/>
    <x v="13"/>
    <x v="4"/>
    <x v="1"/>
    <x v="0"/>
    <s v="UPI"/>
    <n v="29.8"/>
    <n v="16.02"/>
    <x v="4"/>
    <n v="23.87"/>
    <n v="453.53"/>
    <n v="242.5"/>
    <n v="5.66"/>
    <n v="3.34"/>
    <n v="4.4400000000000004"/>
    <n v="226.77"/>
    <n v="0"/>
    <n v="482.71"/>
    <n v="-29.18"/>
    <s v="Loss"/>
    <x v="2"/>
    <n v="12"/>
    <n v="4"/>
    <s v="0-15"/>
    <s v="No"/>
    <n v="2"/>
    <s v="At Risk"/>
    <n v="0"/>
  </r>
  <r>
    <n v="100322"/>
    <d v="2025-10-17T00:00:00"/>
    <n v="1061"/>
    <x v="2"/>
    <x v="9"/>
    <x v="3"/>
    <x v="0"/>
    <x v="0"/>
    <s v="UPI"/>
    <n v="32.21"/>
    <n v="19.260000000000002"/>
    <x v="2"/>
    <n v="62.04"/>
    <n v="558.32000000000005"/>
    <n v="211.41"/>
    <n v="10.35"/>
    <n v="4.34"/>
    <n v="10.61"/>
    <n v="0"/>
    <n v="0"/>
    <n v="236.71"/>
    <n v="321.61"/>
    <s v="Profit"/>
    <x v="0"/>
    <n v="28"/>
    <n v="4"/>
    <s v="16-30"/>
    <s v="Yes"/>
    <n v="1"/>
    <s v="At Risk"/>
    <n v="1"/>
  </r>
  <r>
    <n v="100323"/>
    <d v="2025-10-14T00:00:00"/>
    <n v="1073"/>
    <x v="0"/>
    <x v="1"/>
    <x v="3"/>
    <x v="1"/>
    <x v="2"/>
    <s v="UPI"/>
    <n v="21.39"/>
    <n v="16.059999999999999"/>
    <x v="3"/>
    <n v="0"/>
    <n v="343.52"/>
    <n v="149.4"/>
    <n v="9.4700000000000006"/>
    <n v="2.4"/>
    <n v="2.48"/>
    <n v="0"/>
    <n v="0"/>
    <n v="163.75"/>
    <n v="179.77"/>
    <s v="Profit"/>
    <x v="0"/>
    <n v="6"/>
    <n v="20"/>
    <s v="0-15"/>
    <s v="Yes"/>
    <n v="1"/>
    <s v="At Risk"/>
    <n v="1"/>
  </r>
  <r>
    <n v="100324"/>
    <d v="2025-10-19T00:00:00"/>
    <n v="1073"/>
    <x v="2"/>
    <x v="5"/>
    <x v="0"/>
    <x v="3"/>
    <x v="0"/>
    <s v="UPI"/>
    <n v="10.9"/>
    <n v="12.1"/>
    <x v="3"/>
    <n v="0"/>
    <n v="131.88999999999999"/>
    <n v="80.81"/>
    <n v="9.33"/>
    <n v="0.92"/>
    <n v="7.59"/>
    <n v="0"/>
    <n v="0"/>
    <n v="98.65"/>
    <n v="33.24"/>
    <s v="Profit"/>
    <x v="0"/>
    <n v="11"/>
    <n v="31"/>
    <s v="0-15"/>
    <s v="Yes"/>
    <n v="1"/>
    <s v="At Risk"/>
    <n v="1"/>
  </r>
  <r>
    <n v="100325"/>
    <d v="2025-12-22T00:00:00"/>
    <n v="1139"/>
    <x v="3"/>
    <x v="14"/>
    <x v="1"/>
    <x v="2"/>
    <x v="0"/>
    <s v="UPI"/>
    <n v="38.700000000000003"/>
    <n v="18.77"/>
    <x v="2"/>
    <n v="72.64"/>
    <n v="653.76"/>
    <n v="309.61"/>
    <n v="9.27"/>
    <n v="5.08"/>
    <n v="3.27"/>
    <n v="0"/>
    <n v="0"/>
    <n v="327.23"/>
    <n v="326.52999999999997"/>
    <s v="Profit"/>
    <x v="0"/>
    <n v="9"/>
    <n v="0"/>
    <s v="0-15"/>
    <s v="No"/>
    <n v="0"/>
    <s v="Healthy"/>
    <n v="0"/>
  </r>
  <r>
    <n v="100326"/>
    <d v="2025-12-01T00:00:00"/>
    <n v="1081"/>
    <x v="2"/>
    <x v="9"/>
    <x v="4"/>
    <x v="1"/>
    <x v="2"/>
    <s v="Fleet_Invoice"/>
    <n v="34.76"/>
    <n v="16.13"/>
    <x v="2"/>
    <n v="56.07"/>
    <n v="504.61"/>
    <n v="233.5"/>
    <n v="6.65"/>
    <n v="2.2400000000000002"/>
    <n v="7.81"/>
    <n v="0"/>
    <n v="0"/>
    <n v="250.2"/>
    <n v="254.41"/>
    <s v="Profit"/>
    <x v="0"/>
    <n v="0"/>
    <n v="28"/>
    <s v="0-15"/>
    <s v="Yes"/>
    <n v="2"/>
    <s v="At Risk"/>
    <n v="1"/>
  </r>
  <r>
    <n v="100327"/>
    <d v="2025-12-05T00:00:00"/>
    <n v="1099"/>
    <x v="2"/>
    <x v="12"/>
    <x v="4"/>
    <x v="2"/>
    <x v="2"/>
    <s v="UPI"/>
    <n v="24.56"/>
    <n v="19.63"/>
    <x v="3"/>
    <n v="0"/>
    <n v="482.11"/>
    <n v="192.83"/>
    <n v="8.7899999999999991"/>
    <n v="3.37"/>
    <n v="1.48"/>
    <n v="0"/>
    <n v="0"/>
    <n v="206.47"/>
    <n v="275.64"/>
    <s v="Profit"/>
    <x v="0"/>
    <n v="14"/>
    <n v="2"/>
    <s v="0-15"/>
    <s v="No"/>
    <n v="0"/>
    <s v="Healthy"/>
    <n v="0"/>
  </r>
  <r>
    <n v="100328"/>
    <d v="2025-12-27T00:00:00"/>
    <n v="1062"/>
    <x v="1"/>
    <x v="2"/>
    <x v="0"/>
    <x v="1"/>
    <x v="2"/>
    <s v="Card"/>
    <n v="16.72"/>
    <n v="15.72"/>
    <x v="3"/>
    <n v="0"/>
    <n v="262.83999999999997"/>
    <n v="127.56"/>
    <n v="2.34"/>
    <n v="3.94"/>
    <n v="12.06"/>
    <n v="0"/>
    <n v="0"/>
    <n v="145.9"/>
    <n v="116.94"/>
    <s v="Profit"/>
    <x v="0"/>
    <n v="1"/>
    <n v="12"/>
    <s v="0-15"/>
    <s v="No"/>
    <n v="2"/>
    <s v="Healthy"/>
    <n v="0"/>
  </r>
  <r>
    <n v="100329"/>
    <d v="2025-11-23T00:00:00"/>
    <n v="1026"/>
    <x v="0"/>
    <x v="1"/>
    <x v="3"/>
    <x v="1"/>
    <x v="0"/>
    <s v="Fleet_Invoice"/>
    <n v="25.93"/>
    <n v="15.38"/>
    <x v="4"/>
    <n v="19.940000000000001"/>
    <n v="378.86"/>
    <n v="208.48"/>
    <n v="6.68"/>
    <n v="1.6"/>
    <n v="0"/>
    <n v="144.77000000000001"/>
    <n v="0"/>
    <n v="361.53"/>
    <n v="17.329999999999998"/>
    <s v="Profit"/>
    <x v="2"/>
    <n v="4"/>
    <n v="40"/>
    <s v="0-15"/>
    <s v="Yes"/>
    <n v="2"/>
    <s v="At Risk"/>
    <n v="1"/>
  </r>
  <r>
    <n v="100330"/>
    <d v="2025-11-05T00:00:00"/>
    <n v="1013"/>
    <x v="2"/>
    <x v="9"/>
    <x v="2"/>
    <x v="1"/>
    <x v="0"/>
    <s v="UPI"/>
    <n v="26.05"/>
    <n v="17.48"/>
    <x v="4"/>
    <n v="22.77"/>
    <n v="432.58"/>
    <n v="192.55"/>
    <n v="9.11"/>
    <n v="3.19"/>
    <n v="10.52"/>
    <n v="0"/>
    <n v="0"/>
    <n v="215.37"/>
    <n v="217.21"/>
    <s v="Profit"/>
    <x v="0"/>
    <n v="30"/>
    <n v="8"/>
    <s v="16-30"/>
    <s v="Yes"/>
    <n v="2"/>
    <s v="At Risk"/>
    <n v="1"/>
  </r>
  <r>
    <n v="100331"/>
    <d v="2025-12-23T00:00:00"/>
    <n v="1023"/>
    <x v="2"/>
    <x v="10"/>
    <x v="1"/>
    <x v="1"/>
    <x v="0"/>
    <s v="UPI"/>
    <n v="31.42"/>
    <n v="15.38"/>
    <x v="0"/>
    <n v="72.489999999999995"/>
    <n v="410.75"/>
    <n v="230.19"/>
    <n v="5.87"/>
    <n v="3.38"/>
    <n v="2.77"/>
    <n v="0"/>
    <n v="0"/>
    <n v="242.21"/>
    <n v="168.54"/>
    <s v="Profit"/>
    <x v="0"/>
    <n v="21"/>
    <n v="1"/>
    <s v="16-30"/>
    <s v="Yes"/>
    <n v="1"/>
    <s v="At Risk"/>
    <n v="1"/>
  </r>
  <r>
    <n v="100332"/>
    <d v="2025-12-23T00:00:00"/>
    <n v="1085"/>
    <x v="0"/>
    <x v="0"/>
    <x v="4"/>
    <x v="1"/>
    <x v="0"/>
    <s v="UPI"/>
    <n v="14.08"/>
    <n v="14.31"/>
    <x v="0"/>
    <n v="30.22"/>
    <n v="171.26"/>
    <n v="101.1"/>
    <n v="8.89"/>
    <n v="1.41"/>
    <n v="19.29"/>
    <n v="0"/>
    <n v="0"/>
    <n v="130.69"/>
    <n v="40.57"/>
    <s v="Profit"/>
    <x v="0"/>
    <n v="7"/>
    <n v="5"/>
    <s v="0-15"/>
    <s v="No"/>
    <n v="1"/>
    <s v="Healthy"/>
    <n v="0"/>
  </r>
  <r>
    <n v="100333"/>
    <d v="2025-12-17T00:00:00"/>
    <n v="1124"/>
    <x v="1"/>
    <x v="13"/>
    <x v="0"/>
    <x v="3"/>
    <x v="0"/>
    <s v="UPI"/>
    <n v="20.2"/>
    <n v="11.98"/>
    <x v="3"/>
    <n v="0"/>
    <n v="242"/>
    <n v="132.34"/>
    <n v="8.89"/>
    <n v="1.69"/>
    <n v="4.7699999999999996"/>
    <n v="0"/>
    <n v="0"/>
    <n v="147.69"/>
    <n v="94.31"/>
    <s v="Profit"/>
    <x v="0"/>
    <n v="15"/>
    <n v="15"/>
    <s v="0-15"/>
    <s v="No"/>
    <n v="0"/>
    <s v="Healthy"/>
    <n v="0"/>
  </r>
  <r>
    <n v="100334"/>
    <d v="2025-10-19T00:00:00"/>
    <n v="1075"/>
    <x v="0"/>
    <x v="0"/>
    <x v="2"/>
    <x v="3"/>
    <x v="0"/>
    <s v="UPI"/>
    <n v="19.79"/>
    <n v="13.93"/>
    <x v="2"/>
    <n v="27.57"/>
    <n v="248.1"/>
    <n v="154.46"/>
    <n v="8.2100000000000009"/>
    <n v="1.93"/>
    <n v="3.45"/>
    <n v="0"/>
    <n v="0"/>
    <n v="168.05"/>
    <n v="80.05"/>
    <s v="Profit"/>
    <x v="0"/>
    <n v="28"/>
    <n v="5"/>
    <s v="16-30"/>
    <s v="Yes"/>
    <n v="1"/>
    <s v="At Risk"/>
    <n v="1"/>
  </r>
  <r>
    <n v="100335"/>
    <d v="2025-10-20T00:00:00"/>
    <n v="1068"/>
    <x v="2"/>
    <x v="9"/>
    <x v="3"/>
    <x v="1"/>
    <x v="2"/>
    <s v="UPI"/>
    <n v="22.85"/>
    <n v="14.83"/>
    <x v="3"/>
    <n v="0"/>
    <n v="338.87"/>
    <n v="170.43"/>
    <n v="7.4"/>
    <n v="2.37"/>
    <n v="0.37"/>
    <n v="0"/>
    <n v="0"/>
    <n v="180.57"/>
    <n v="158.30000000000001"/>
    <s v="Profit"/>
    <x v="0"/>
    <n v="2"/>
    <n v="30"/>
    <s v="0-15"/>
    <s v="Yes"/>
    <n v="4"/>
    <s v="At Risk"/>
    <n v="1"/>
  </r>
  <r>
    <n v="100336"/>
    <d v="2025-11-08T00:00:00"/>
    <n v="1122"/>
    <x v="2"/>
    <x v="12"/>
    <x v="2"/>
    <x v="0"/>
    <x v="0"/>
    <s v="UPI"/>
    <n v="23.26"/>
    <n v="18.93"/>
    <x v="4"/>
    <n v="22.02"/>
    <n v="418.29"/>
    <n v="139.51"/>
    <n v="7.26"/>
    <n v="3.08"/>
    <n v="6.21"/>
    <n v="0"/>
    <n v="0"/>
    <n v="156.06"/>
    <n v="262.23"/>
    <s v="Profit"/>
    <x v="0"/>
    <n v="5"/>
    <n v="9"/>
    <s v="0-15"/>
    <s v="No"/>
    <n v="0"/>
    <s v="Healthy"/>
    <n v="0"/>
  </r>
  <r>
    <n v="100337"/>
    <d v="2025-10-15T00:00:00"/>
    <n v="1150"/>
    <x v="3"/>
    <x v="15"/>
    <x v="4"/>
    <x v="3"/>
    <x v="0"/>
    <s v="Fleet_Invoice"/>
    <n v="8.27"/>
    <n v="12.06"/>
    <x v="3"/>
    <n v="0"/>
    <n v="99.74"/>
    <n v="63.35"/>
    <n v="6.77"/>
    <n v="0.4"/>
    <n v="6.53"/>
    <n v="0"/>
    <n v="0"/>
    <n v="77.05"/>
    <n v="22.69"/>
    <s v="Profit"/>
    <x v="0"/>
    <n v="8"/>
    <n v="23"/>
    <s v="0-15"/>
    <s v="Yes"/>
    <n v="1"/>
    <s v="At Risk"/>
    <n v="1"/>
  </r>
  <r>
    <n v="100338"/>
    <d v="2025-10-15T00:00:00"/>
    <n v="1139"/>
    <x v="2"/>
    <x v="5"/>
    <x v="2"/>
    <x v="2"/>
    <x v="0"/>
    <s v="UPI"/>
    <n v="26.3"/>
    <n v="17.52"/>
    <x v="3"/>
    <n v="0"/>
    <n v="460.78"/>
    <n v="171.66"/>
    <n v="6.31"/>
    <n v="3.23"/>
    <n v="6.75"/>
    <n v="0"/>
    <n v="0"/>
    <n v="187.95"/>
    <n v="272.83"/>
    <s v="Profit"/>
    <x v="0"/>
    <n v="6"/>
    <n v="3"/>
    <s v="0-15"/>
    <s v="No"/>
    <n v="0"/>
    <s v="Healthy"/>
    <n v="0"/>
  </r>
  <r>
    <n v="100339"/>
    <d v="2025-10-26T00:00:00"/>
    <n v="1015"/>
    <x v="0"/>
    <x v="6"/>
    <x v="0"/>
    <x v="1"/>
    <x v="0"/>
    <s v="UPI"/>
    <n v="26.11"/>
    <n v="16.690000000000001"/>
    <x v="3"/>
    <n v="0"/>
    <n v="435.78"/>
    <n v="165.29"/>
    <n v="8.27"/>
    <n v="3.05"/>
    <n v="5.9"/>
    <n v="0"/>
    <n v="0"/>
    <n v="182.51"/>
    <n v="253.27"/>
    <s v="Profit"/>
    <x v="0"/>
    <n v="18"/>
    <n v="9"/>
    <s v="16-30"/>
    <s v="No"/>
    <n v="0"/>
    <s v="Healthy"/>
    <n v="0"/>
  </r>
  <r>
    <n v="100340"/>
    <d v="2025-11-25T00:00:00"/>
    <n v="1072"/>
    <x v="3"/>
    <x v="8"/>
    <x v="3"/>
    <x v="3"/>
    <x v="2"/>
    <s v="UPI"/>
    <n v="23.76"/>
    <n v="12.26"/>
    <x v="2"/>
    <n v="29.13"/>
    <n v="262.17"/>
    <n v="159.05000000000001"/>
    <n v="11.35"/>
    <n v="2.04"/>
    <n v="3.31"/>
    <n v="0"/>
    <n v="0"/>
    <n v="175.75"/>
    <n v="86.42"/>
    <s v="Profit"/>
    <x v="0"/>
    <n v="27"/>
    <n v="0"/>
    <s v="16-30"/>
    <s v="Yes"/>
    <n v="2"/>
    <s v="At Risk"/>
    <n v="1"/>
  </r>
  <r>
    <n v="100341"/>
    <d v="2025-10-25T00:00:00"/>
    <n v="1002"/>
    <x v="1"/>
    <x v="13"/>
    <x v="3"/>
    <x v="3"/>
    <x v="0"/>
    <s v="UPI"/>
    <n v="14.36"/>
    <n v="12.26"/>
    <x v="3"/>
    <n v="0"/>
    <n v="176.05"/>
    <n v="111.79"/>
    <n v="6.01"/>
    <n v="1.23"/>
    <n v="9.61"/>
    <n v="0"/>
    <n v="0"/>
    <n v="128.63999999999999"/>
    <n v="47.41"/>
    <s v="Profit"/>
    <x v="0"/>
    <n v="28"/>
    <n v="7"/>
    <s v="16-30"/>
    <s v="Yes"/>
    <n v="1"/>
    <s v="At Risk"/>
    <n v="1"/>
  </r>
  <r>
    <n v="100342"/>
    <d v="2025-11-11T00:00:00"/>
    <n v="1118"/>
    <x v="3"/>
    <x v="15"/>
    <x v="3"/>
    <x v="1"/>
    <x v="1"/>
    <s v="UPI"/>
    <n v="13.59"/>
    <n v="16.47"/>
    <x v="2"/>
    <n v="22.38"/>
    <n v="201.45"/>
    <n v="95.88"/>
    <n v="8.7799999999999994"/>
    <n v="1.57"/>
    <n v="9.93"/>
    <n v="0"/>
    <n v="0"/>
    <n v="116.16"/>
    <n v="85.29"/>
    <s v="Profit"/>
    <x v="0"/>
    <n v="30"/>
    <n v="6"/>
    <s v="16-30"/>
    <s v="Yes"/>
    <n v="4"/>
    <s v="At Risk"/>
    <n v="1"/>
  </r>
  <r>
    <n v="100343"/>
    <d v="2025-12-18T00:00:00"/>
    <n v="1023"/>
    <x v="3"/>
    <x v="14"/>
    <x v="1"/>
    <x v="2"/>
    <x v="2"/>
    <s v="Card"/>
    <n v="30.24"/>
    <n v="17.78"/>
    <x v="3"/>
    <n v="0"/>
    <n v="537.66999999999996"/>
    <n v="215.24"/>
    <n v="7.69"/>
    <n v="8.07"/>
    <n v="3.78"/>
    <n v="520.41999999999996"/>
    <n v="9.82"/>
    <n v="765.02"/>
    <n v="-227.35"/>
    <s v="Loss"/>
    <x v="2"/>
    <n v="4"/>
    <n v="0"/>
    <s v="0-15"/>
    <s v="No"/>
    <n v="1"/>
    <s v="At Risk"/>
    <n v="0"/>
  </r>
  <r>
    <n v="100344"/>
    <d v="2025-11-14T00:00:00"/>
    <n v="1022"/>
    <x v="0"/>
    <x v="11"/>
    <x v="2"/>
    <x v="1"/>
    <x v="0"/>
    <s v="Wallet"/>
    <n v="25.47"/>
    <n v="15.58"/>
    <x v="0"/>
    <n v="59.52"/>
    <n v="337.3"/>
    <n v="214.59"/>
    <n v="2.13"/>
    <n v="4.76"/>
    <n v="6.77"/>
    <n v="0"/>
    <n v="0"/>
    <n v="228.25"/>
    <n v="109.05"/>
    <s v="Profit"/>
    <x v="0"/>
    <n v="20"/>
    <n v="0"/>
    <s v="16-30"/>
    <s v="No"/>
    <n v="0"/>
    <s v="Healthy"/>
    <n v="0"/>
  </r>
  <r>
    <n v="100345"/>
    <d v="2025-10-05T00:00:00"/>
    <n v="1060"/>
    <x v="3"/>
    <x v="15"/>
    <x v="0"/>
    <x v="0"/>
    <x v="0"/>
    <s v="UPI"/>
    <n v="31.25"/>
    <n v="19.559999999999999"/>
    <x v="3"/>
    <n v="0"/>
    <n v="611.25"/>
    <n v="254.47"/>
    <n v="8.98"/>
    <n v="4.28"/>
    <n v="4.04"/>
    <n v="0"/>
    <n v="0"/>
    <n v="271.77"/>
    <n v="339.48"/>
    <s v="Profit"/>
    <x v="0"/>
    <n v="25"/>
    <n v="0"/>
    <s v="16-30"/>
    <s v="Yes"/>
    <n v="1"/>
    <s v="At Risk"/>
    <n v="1"/>
  </r>
  <r>
    <n v="100346"/>
    <d v="2025-10-26T00:00:00"/>
    <n v="1101"/>
    <x v="2"/>
    <x v="10"/>
    <x v="1"/>
    <x v="3"/>
    <x v="2"/>
    <s v="Card"/>
    <n v="42.01"/>
    <n v="12.29"/>
    <x v="4"/>
    <n v="25.82"/>
    <n v="490.48"/>
    <n v="298.11"/>
    <n v="9.9499999999999993"/>
    <n v="7.74"/>
    <n v="0"/>
    <n v="0"/>
    <n v="0"/>
    <n v="315.8"/>
    <n v="174.68"/>
    <s v="Profit"/>
    <x v="0"/>
    <n v="2"/>
    <n v="0"/>
    <s v="0-15"/>
    <s v="No"/>
    <n v="2"/>
    <s v="Healthy"/>
    <n v="0"/>
  </r>
  <r>
    <n v="100347"/>
    <d v="2025-11-13T00:00:00"/>
    <n v="1006"/>
    <x v="0"/>
    <x v="11"/>
    <x v="2"/>
    <x v="0"/>
    <x v="0"/>
    <s v="Card"/>
    <n v="32.69"/>
    <n v="18.489999999999998"/>
    <x v="0"/>
    <n v="90.67"/>
    <n v="513.77"/>
    <n v="240.15"/>
    <n v="11.53"/>
    <n v="9.07"/>
    <n v="7.87"/>
    <n v="0"/>
    <n v="0"/>
    <n v="268.62"/>
    <n v="245.15"/>
    <s v="Profit"/>
    <x v="0"/>
    <n v="2"/>
    <n v="2"/>
    <s v="0-15"/>
    <s v="No"/>
    <n v="0"/>
    <s v="Healthy"/>
    <n v="0"/>
  </r>
  <r>
    <n v="100348"/>
    <d v="2025-10-29T00:00:00"/>
    <n v="1127"/>
    <x v="3"/>
    <x v="15"/>
    <x v="4"/>
    <x v="3"/>
    <x v="0"/>
    <s v="Fleet_Invoice"/>
    <n v="12.42"/>
    <n v="14.12"/>
    <x v="2"/>
    <n v="17.54"/>
    <n v="157.83000000000001"/>
    <n v="122.09"/>
    <n v="8.9499999999999993"/>
    <n v="0.7"/>
    <n v="0"/>
    <n v="0"/>
    <n v="0"/>
    <n v="131.74"/>
    <n v="26.09"/>
    <s v="Profit"/>
    <x v="0"/>
    <n v="12"/>
    <n v="15"/>
    <s v="0-15"/>
    <s v="No"/>
    <n v="0"/>
    <s v="Healthy"/>
    <n v="0"/>
  </r>
  <r>
    <n v="100349"/>
    <d v="2025-11-22T00:00:00"/>
    <n v="1008"/>
    <x v="1"/>
    <x v="2"/>
    <x v="4"/>
    <x v="3"/>
    <x v="0"/>
    <s v="Fleet_Invoice"/>
    <n v="15.7"/>
    <n v="13.69"/>
    <x v="3"/>
    <n v="0"/>
    <n v="214.93"/>
    <n v="129.46"/>
    <n v="5.19"/>
    <n v="0.86"/>
    <n v="8.16"/>
    <n v="0"/>
    <n v="0"/>
    <n v="143.66999999999999"/>
    <n v="71.260000000000005"/>
    <s v="Profit"/>
    <x v="0"/>
    <n v="2"/>
    <n v="14"/>
    <s v="0-15"/>
    <s v="No"/>
    <n v="1"/>
    <s v="Healthy"/>
    <n v="0"/>
  </r>
  <r>
    <n v="100350"/>
    <d v="2025-11-29T00:00:00"/>
    <n v="1142"/>
    <x v="0"/>
    <x v="11"/>
    <x v="2"/>
    <x v="1"/>
    <x v="2"/>
    <s v="UPI"/>
    <n v="25.65"/>
    <n v="15.19"/>
    <x v="0"/>
    <n v="58.44"/>
    <n v="331.18"/>
    <n v="159.33000000000001"/>
    <n v="7.08"/>
    <n v="2.73"/>
    <n v="3.59"/>
    <n v="0"/>
    <n v="0"/>
    <n v="172.73"/>
    <n v="158.44999999999999"/>
    <s v="Profit"/>
    <x v="0"/>
    <n v="2"/>
    <n v="0"/>
    <s v="0-15"/>
    <s v="No"/>
    <n v="0"/>
    <s v="Healthy"/>
    <n v="0"/>
  </r>
  <r>
    <n v="100351"/>
    <d v="2025-11-08T00:00:00"/>
    <n v="1059"/>
    <x v="3"/>
    <x v="15"/>
    <x v="1"/>
    <x v="3"/>
    <x v="0"/>
    <s v="UPI"/>
    <n v="31.63"/>
    <n v="12.39"/>
    <x v="0"/>
    <n v="58.78"/>
    <n v="333.12"/>
    <n v="215.09"/>
    <n v="10.19"/>
    <n v="2.74"/>
    <n v="9.1300000000000008"/>
    <n v="0"/>
    <n v="0"/>
    <n v="237.15"/>
    <n v="95.97"/>
    <s v="Profit"/>
    <x v="0"/>
    <n v="0"/>
    <n v="5"/>
    <s v="0-15"/>
    <s v="No"/>
    <n v="0"/>
    <s v="Healthy"/>
    <n v="0"/>
  </r>
  <r>
    <n v="100352"/>
    <d v="2025-10-07T00:00:00"/>
    <n v="1002"/>
    <x v="0"/>
    <x v="1"/>
    <x v="1"/>
    <x v="0"/>
    <x v="0"/>
    <s v="UPI"/>
    <n v="34.659999999999997"/>
    <n v="19.010000000000002"/>
    <x v="2"/>
    <n v="65.89"/>
    <n v="593"/>
    <n v="164.67"/>
    <n v="5.69"/>
    <n v="4.6100000000000003"/>
    <n v="4.24"/>
    <n v="0"/>
    <n v="0"/>
    <n v="179.21"/>
    <n v="413.79"/>
    <s v="Profit"/>
    <x v="0"/>
    <n v="1"/>
    <n v="2"/>
    <s v="0-15"/>
    <s v="No"/>
    <n v="0"/>
    <s v="Healthy"/>
    <n v="0"/>
  </r>
  <r>
    <n v="100353"/>
    <d v="2025-12-25T00:00:00"/>
    <n v="1099"/>
    <x v="0"/>
    <x v="11"/>
    <x v="3"/>
    <x v="3"/>
    <x v="2"/>
    <s v="UPI"/>
    <n v="21.37"/>
    <n v="13.14"/>
    <x v="3"/>
    <n v="0"/>
    <n v="280.8"/>
    <n v="147.5"/>
    <n v="7.91"/>
    <n v="1.97"/>
    <n v="2.9"/>
    <n v="0"/>
    <n v="0"/>
    <n v="160.28"/>
    <n v="120.52"/>
    <s v="Profit"/>
    <x v="0"/>
    <n v="14"/>
    <n v="6"/>
    <s v="0-15"/>
    <s v="No"/>
    <n v="0"/>
    <s v="Healthy"/>
    <n v="0"/>
  </r>
  <r>
    <n v="100354"/>
    <d v="2025-12-16T00:00:00"/>
    <n v="1150"/>
    <x v="0"/>
    <x v="1"/>
    <x v="0"/>
    <x v="2"/>
    <x v="0"/>
    <s v="UPI"/>
    <n v="33.43"/>
    <n v="18.25"/>
    <x v="3"/>
    <n v="0"/>
    <n v="610.1"/>
    <n v="224.18"/>
    <n v="10.220000000000001"/>
    <n v="4.2699999999999996"/>
    <n v="12.67"/>
    <n v="0"/>
    <n v="0"/>
    <n v="251.34"/>
    <n v="358.76"/>
    <s v="Profit"/>
    <x v="0"/>
    <n v="5"/>
    <n v="8"/>
    <s v="0-15"/>
    <s v="No"/>
    <n v="0"/>
    <s v="Healthy"/>
    <n v="0"/>
  </r>
  <r>
    <n v="100355"/>
    <d v="2025-12-13T00:00:00"/>
    <n v="1147"/>
    <x v="1"/>
    <x v="13"/>
    <x v="1"/>
    <x v="2"/>
    <x v="0"/>
    <s v="UPI"/>
    <n v="32.799999999999997"/>
    <n v="18.55"/>
    <x v="3"/>
    <n v="0"/>
    <n v="608.44000000000005"/>
    <n v="259.06"/>
    <n v="9.32"/>
    <n v="4.26"/>
    <n v="9.18"/>
    <n v="0"/>
    <n v="0"/>
    <n v="281.82"/>
    <n v="326.62"/>
    <s v="Profit"/>
    <x v="0"/>
    <n v="17"/>
    <n v="3"/>
    <s v="16-30"/>
    <s v="No"/>
    <n v="0"/>
    <s v="Healthy"/>
    <n v="0"/>
  </r>
  <r>
    <n v="100356"/>
    <d v="2025-12-30T00:00:00"/>
    <n v="1104"/>
    <x v="2"/>
    <x v="10"/>
    <x v="3"/>
    <x v="1"/>
    <x v="2"/>
    <s v="UPI"/>
    <n v="26"/>
    <n v="17.18"/>
    <x v="3"/>
    <n v="0"/>
    <n v="446.68"/>
    <n v="166.16"/>
    <n v="3.02"/>
    <n v="3.13"/>
    <n v="7.19"/>
    <n v="0"/>
    <n v="0"/>
    <n v="179.5"/>
    <n v="267.18"/>
    <s v="Profit"/>
    <x v="0"/>
    <n v="47"/>
    <n v="5"/>
    <s v="30+"/>
    <s v="Yes"/>
    <n v="3"/>
    <s v="At Risk"/>
    <n v="1"/>
  </r>
  <r>
    <n v="100357"/>
    <d v="2025-10-18T00:00:00"/>
    <n v="1095"/>
    <x v="2"/>
    <x v="12"/>
    <x v="1"/>
    <x v="1"/>
    <x v="1"/>
    <s v="UPI"/>
    <n v="23.84"/>
    <n v="15.61"/>
    <x v="0"/>
    <n v="55.82"/>
    <n v="316.32"/>
    <n v="143.66"/>
    <n v="9.68"/>
    <n v="2.6"/>
    <n v="7.65"/>
    <n v="0"/>
    <n v="0"/>
    <n v="163.59"/>
    <n v="152.72999999999999"/>
    <s v="Profit"/>
    <x v="0"/>
    <n v="39"/>
    <n v="5"/>
    <s v="30+"/>
    <s v="Yes"/>
    <n v="1"/>
    <s v="At Risk"/>
    <n v="1"/>
  </r>
  <r>
    <n v="100358"/>
    <d v="2025-12-15T00:00:00"/>
    <n v="1009"/>
    <x v="2"/>
    <x v="5"/>
    <x v="3"/>
    <x v="3"/>
    <x v="0"/>
    <s v="UPI"/>
    <n v="11.28"/>
    <n v="12.56"/>
    <x v="4"/>
    <n v="7.08"/>
    <n v="134.6"/>
    <n v="97.02"/>
    <n v="9.67"/>
    <n v="0.99"/>
    <n v="5.52"/>
    <n v="0"/>
    <n v="0"/>
    <n v="113.2"/>
    <n v="21.4"/>
    <s v="Profit"/>
    <x v="0"/>
    <n v="16"/>
    <n v="15"/>
    <s v="16-30"/>
    <s v="No"/>
    <n v="0"/>
    <s v="Healthy"/>
    <n v="0"/>
  </r>
  <r>
    <n v="100359"/>
    <d v="2025-11-18T00:00:00"/>
    <n v="1014"/>
    <x v="3"/>
    <x v="7"/>
    <x v="3"/>
    <x v="2"/>
    <x v="0"/>
    <s v="Card"/>
    <n v="9.77"/>
    <n v="18.97"/>
    <x v="3"/>
    <n v="0"/>
    <n v="185.34"/>
    <n v="58.25"/>
    <n v="15.1"/>
    <n v="2.78"/>
    <n v="9.83"/>
    <n v="0"/>
    <n v="0"/>
    <n v="85.96"/>
    <n v="99.38"/>
    <s v="Profit"/>
    <x v="0"/>
    <n v="15"/>
    <n v="8"/>
    <s v="0-15"/>
    <s v="No"/>
    <n v="0"/>
    <s v="Healthy"/>
    <n v="0"/>
  </r>
  <r>
    <n v="100360"/>
    <d v="2025-12-27T00:00:00"/>
    <n v="1061"/>
    <x v="2"/>
    <x v="10"/>
    <x v="4"/>
    <x v="3"/>
    <x v="1"/>
    <s v="UPI"/>
    <n v="22.91"/>
    <n v="12.27"/>
    <x v="3"/>
    <n v="0"/>
    <n v="281.11"/>
    <n v="153.41999999999999"/>
    <n v="11.07"/>
    <n v="1.97"/>
    <n v="7.33"/>
    <n v="157.07"/>
    <n v="17.52"/>
    <n v="348.38"/>
    <n v="-67.27"/>
    <s v="Loss"/>
    <x v="1"/>
    <n v="3"/>
    <n v="17"/>
    <s v="0-15"/>
    <s v="Yes"/>
    <n v="1"/>
    <s v="At Risk"/>
    <n v="1"/>
  </r>
  <r>
    <n v="100361"/>
    <d v="2025-11-20T00:00:00"/>
    <n v="1143"/>
    <x v="2"/>
    <x v="5"/>
    <x v="4"/>
    <x v="0"/>
    <x v="0"/>
    <s v="Card"/>
    <n v="22.29"/>
    <n v="18.440000000000001"/>
    <x v="1"/>
    <n v="82.21"/>
    <n v="328.82"/>
    <n v="139.91"/>
    <n v="7.71"/>
    <n v="6.17"/>
    <n v="13.54"/>
    <n v="0"/>
    <n v="0"/>
    <n v="167.33"/>
    <n v="161.49"/>
    <s v="Profit"/>
    <x v="0"/>
    <n v="7"/>
    <n v="20"/>
    <s v="0-15"/>
    <s v="Yes"/>
    <n v="1"/>
    <s v="At Risk"/>
    <n v="1"/>
  </r>
  <r>
    <n v="100362"/>
    <d v="2025-10-22T00:00:00"/>
    <n v="1085"/>
    <x v="0"/>
    <x v="6"/>
    <x v="4"/>
    <x v="3"/>
    <x v="2"/>
    <s v="Card"/>
    <n v="11.82"/>
    <n v="12.02"/>
    <x v="4"/>
    <n v="7.1"/>
    <n v="134.97999999999999"/>
    <n v="87.55"/>
    <n v="10.14"/>
    <n v="2.13"/>
    <n v="7.12"/>
    <n v="0"/>
    <n v="0"/>
    <n v="106.94"/>
    <n v="28.04"/>
    <s v="Profit"/>
    <x v="0"/>
    <n v="21"/>
    <n v="6"/>
    <s v="16-30"/>
    <s v="Yes"/>
    <n v="1"/>
    <s v="At Risk"/>
    <n v="1"/>
  </r>
  <r>
    <n v="100363"/>
    <d v="2025-11-22T00:00:00"/>
    <n v="1098"/>
    <x v="0"/>
    <x v="11"/>
    <x v="4"/>
    <x v="0"/>
    <x v="2"/>
    <s v="Fleet_Invoice"/>
    <n v="26.32"/>
    <n v="19.03"/>
    <x v="3"/>
    <n v="0"/>
    <n v="500.87"/>
    <n v="194.92"/>
    <n v="10.11"/>
    <n v="2"/>
    <n v="0"/>
    <n v="0"/>
    <n v="0"/>
    <n v="207.03"/>
    <n v="293.83999999999997"/>
    <s v="Profit"/>
    <x v="0"/>
    <n v="6"/>
    <n v="9"/>
    <s v="0-15"/>
    <s v="No"/>
    <n v="0"/>
    <s v="Healthy"/>
    <n v="0"/>
  </r>
  <r>
    <n v="100364"/>
    <d v="2025-10-15T00:00:00"/>
    <n v="1013"/>
    <x v="3"/>
    <x v="14"/>
    <x v="3"/>
    <x v="3"/>
    <x v="0"/>
    <s v="UPI"/>
    <n v="38.89"/>
    <n v="12.94"/>
    <x v="0"/>
    <n v="75.489999999999995"/>
    <n v="427.75"/>
    <n v="308.5"/>
    <n v="8.25"/>
    <n v="3.52"/>
    <n v="5.0599999999999996"/>
    <n v="0"/>
    <n v="0"/>
    <n v="325.33"/>
    <n v="102.42"/>
    <s v="Profit"/>
    <x v="0"/>
    <n v="0"/>
    <n v="6"/>
    <s v="0-15"/>
    <s v="No"/>
    <n v="0"/>
    <s v="Healthy"/>
    <n v="0"/>
  </r>
  <r>
    <n v="100365"/>
    <d v="2025-11-16T00:00:00"/>
    <n v="1068"/>
    <x v="1"/>
    <x v="13"/>
    <x v="1"/>
    <x v="3"/>
    <x v="0"/>
    <s v="Card"/>
    <n v="22.64"/>
    <n v="12.48"/>
    <x v="2"/>
    <n v="28.26"/>
    <n v="254.29"/>
    <n v="177.95"/>
    <n v="10.26"/>
    <n v="4.24"/>
    <n v="1.28"/>
    <n v="0"/>
    <n v="0"/>
    <n v="193.73"/>
    <n v="60.56"/>
    <s v="Profit"/>
    <x v="0"/>
    <n v="2"/>
    <n v="3"/>
    <s v="0-15"/>
    <s v="No"/>
    <n v="0"/>
    <s v="Healthy"/>
    <n v="0"/>
  </r>
  <r>
    <n v="100366"/>
    <d v="2025-11-01T00:00:00"/>
    <n v="1078"/>
    <x v="0"/>
    <x v="0"/>
    <x v="0"/>
    <x v="3"/>
    <x v="0"/>
    <s v="Fleet_Invoice"/>
    <n v="17.29"/>
    <n v="12.04"/>
    <x v="3"/>
    <n v="0"/>
    <n v="208.17"/>
    <n v="126.27"/>
    <n v="10.68"/>
    <n v="0.83"/>
    <n v="3.96"/>
    <n v="0"/>
    <n v="0"/>
    <n v="141.74"/>
    <n v="66.430000000000007"/>
    <s v="Profit"/>
    <x v="0"/>
    <n v="0"/>
    <n v="5"/>
    <s v="0-15"/>
    <s v="No"/>
    <n v="0"/>
    <s v="Healthy"/>
    <n v="0"/>
  </r>
  <r>
    <n v="100367"/>
    <d v="2025-11-05T00:00:00"/>
    <n v="1009"/>
    <x v="2"/>
    <x v="12"/>
    <x v="4"/>
    <x v="3"/>
    <x v="2"/>
    <s v="Wallet"/>
    <n v="16.239999999999998"/>
    <n v="11.92"/>
    <x v="4"/>
    <n v="9.68"/>
    <n v="183.9"/>
    <n v="95.56"/>
    <n v="8.69"/>
    <n v="2.3199999999999998"/>
    <n v="5.91"/>
    <n v="118.83"/>
    <n v="17.91"/>
    <n v="249.22"/>
    <n v="-65.319999999999993"/>
    <s v="Loss"/>
    <x v="1"/>
    <n v="10"/>
    <n v="0"/>
    <s v="0-15"/>
    <s v="Yes"/>
    <n v="1"/>
    <s v="At Risk"/>
    <n v="1"/>
  </r>
  <r>
    <n v="100368"/>
    <d v="2025-12-20T00:00:00"/>
    <n v="1011"/>
    <x v="2"/>
    <x v="5"/>
    <x v="1"/>
    <x v="0"/>
    <x v="0"/>
    <s v="UPI"/>
    <n v="37.97"/>
    <n v="18.89"/>
    <x v="4"/>
    <n v="35.86"/>
    <n v="681.39"/>
    <n v="306.52"/>
    <n v="7.1"/>
    <n v="5.0199999999999996"/>
    <n v="2.46"/>
    <n v="0"/>
    <n v="0"/>
    <n v="321.10000000000002"/>
    <n v="360.29"/>
    <s v="Profit"/>
    <x v="0"/>
    <n v="10"/>
    <n v="3"/>
    <s v="0-15"/>
    <s v="No"/>
    <n v="0"/>
    <s v="Healthy"/>
    <n v="0"/>
  </r>
  <r>
    <n v="100369"/>
    <d v="2025-11-26T00:00:00"/>
    <n v="1145"/>
    <x v="3"/>
    <x v="14"/>
    <x v="1"/>
    <x v="1"/>
    <x v="0"/>
    <s v="Card"/>
    <n v="14.44"/>
    <n v="15.23"/>
    <x v="3"/>
    <n v="0"/>
    <n v="219.92"/>
    <n v="101.19"/>
    <n v="10.25"/>
    <n v="3.3"/>
    <n v="7.32"/>
    <n v="0"/>
    <n v="0"/>
    <n v="122.06"/>
    <n v="97.86"/>
    <s v="Profit"/>
    <x v="0"/>
    <n v="29"/>
    <n v="1"/>
    <s v="16-30"/>
    <s v="Yes"/>
    <n v="1"/>
    <s v="At Risk"/>
    <n v="1"/>
  </r>
  <r>
    <n v="100370"/>
    <d v="2025-10-26T00:00:00"/>
    <n v="1052"/>
    <x v="1"/>
    <x v="13"/>
    <x v="0"/>
    <x v="1"/>
    <x v="1"/>
    <s v="UPI"/>
    <n v="23.19"/>
    <n v="17.07"/>
    <x v="3"/>
    <n v="0"/>
    <n v="395.85"/>
    <n v="183.38"/>
    <n v="8.07"/>
    <n v="2.77"/>
    <n v="1.07"/>
    <n v="0"/>
    <n v="0"/>
    <n v="195.29"/>
    <n v="200.56"/>
    <s v="Profit"/>
    <x v="0"/>
    <n v="4"/>
    <n v="11"/>
    <s v="0-15"/>
    <s v="No"/>
    <n v="1"/>
    <s v="Healthy"/>
    <n v="0"/>
  </r>
  <r>
    <n v="100371"/>
    <d v="2025-10-03T00:00:00"/>
    <n v="1030"/>
    <x v="3"/>
    <x v="8"/>
    <x v="2"/>
    <x v="1"/>
    <x v="0"/>
    <s v="UPI"/>
    <n v="25.22"/>
    <n v="15.3"/>
    <x v="2"/>
    <n v="38.590000000000003"/>
    <n v="347.28"/>
    <n v="192.33"/>
    <n v="5.32"/>
    <n v="2.7"/>
    <n v="7.44"/>
    <n v="0"/>
    <n v="0"/>
    <n v="207.79"/>
    <n v="139.49"/>
    <s v="Profit"/>
    <x v="0"/>
    <n v="3"/>
    <n v="9"/>
    <s v="0-15"/>
    <s v="No"/>
    <n v="0"/>
    <s v="Healthy"/>
    <n v="0"/>
  </r>
  <r>
    <n v="100372"/>
    <d v="2025-11-14T00:00:00"/>
    <n v="1116"/>
    <x v="2"/>
    <x v="9"/>
    <x v="0"/>
    <x v="2"/>
    <x v="0"/>
    <s v="Wallet"/>
    <n v="25.49"/>
    <n v="17.28"/>
    <x v="2"/>
    <n v="44.05"/>
    <n v="396.42"/>
    <n v="204.18"/>
    <n v="3.99"/>
    <n v="5.29"/>
    <n v="3.3"/>
    <n v="0"/>
    <n v="0"/>
    <n v="216.76"/>
    <n v="179.66"/>
    <s v="Profit"/>
    <x v="0"/>
    <n v="1"/>
    <n v="4"/>
    <s v="0-15"/>
    <s v="No"/>
    <n v="0"/>
    <s v="Healthy"/>
    <n v="0"/>
  </r>
  <r>
    <n v="100373"/>
    <d v="2025-10-25T00:00:00"/>
    <n v="1121"/>
    <x v="2"/>
    <x v="10"/>
    <x v="4"/>
    <x v="3"/>
    <x v="2"/>
    <s v="UPI"/>
    <n v="9.01"/>
    <n v="13.23"/>
    <x v="0"/>
    <n v="17.88"/>
    <n v="101.32"/>
    <n v="59.01"/>
    <n v="10.57"/>
    <n v="0.83"/>
    <n v="9.58"/>
    <n v="0"/>
    <n v="0"/>
    <n v="79.989999999999995"/>
    <n v="21.33"/>
    <s v="Profit"/>
    <x v="0"/>
    <n v="29"/>
    <n v="7"/>
    <s v="16-30"/>
    <s v="Yes"/>
    <n v="2"/>
    <s v="At Risk"/>
    <n v="1"/>
  </r>
  <r>
    <n v="100374"/>
    <d v="2025-11-04T00:00:00"/>
    <n v="1113"/>
    <x v="2"/>
    <x v="12"/>
    <x v="0"/>
    <x v="0"/>
    <x v="2"/>
    <s v="Fleet_Invoice"/>
    <n v="38.5"/>
    <n v="19.03"/>
    <x v="2"/>
    <n v="73.27"/>
    <n v="659.39"/>
    <n v="275.60000000000002"/>
    <n v="10.54"/>
    <n v="2.93"/>
    <n v="2.7"/>
    <n v="298.67"/>
    <n v="3.24"/>
    <n v="593.67999999999995"/>
    <n v="65.709999999999994"/>
    <s v="Profit"/>
    <x v="1"/>
    <n v="4"/>
    <n v="14"/>
    <s v="0-15"/>
    <s v="Yes"/>
    <n v="3"/>
    <s v="At Risk"/>
    <n v="1"/>
  </r>
  <r>
    <n v="100375"/>
    <d v="2025-12-23T00:00:00"/>
    <n v="1004"/>
    <x v="3"/>
    <x v="15"/>
    <x v="4"/>
    <x v="3"/>
    <x v="2"/>
    <s v="UPI"/>
    <n v="25.93"/>
    <n v="12.73"/>
    <x v="3"/>
    <n v="0"/>
    <n v="330.09"/>
    <n v="185.51"/>
    <n v="10.69"/>
    <n v="2.31"/>
    <n v="13.1"/>
    <n v="0"/>
    <n v="0"/>
    <n v="211.61"/>
    <n v="118.48"/>
    <s v="Profit"/>
    <x v="0"/>
    <n v="41"/>
    <n v="11"/>
    <s v="30+"/>
    <s v="Yes"/>
    <n v="3"/>
    <s v="At Risk"/>
    <n v="1"/>
  </r>
  <r>
    <n v="100376"/>
    <d v="2025-12-11T00:00:00"/>
    <n v="1031"/>
    <x v="3"/>
    <x v="7"/>
    <x v="2"/>
    <x v="2"/>
    <x v="2"/>
    <s v="Card"/>
    <n v="20.93"/>
    <n v="18.2"/>
    <x v="2"/>
    <n v="38.090000000000003"/>
    <n v="342.84"/>
    <n v="155.65"/>
    <n v="11.53"/>
    <n v="5.71"/>
    <n v="17"/>
    <n v="376.32"/>
    <n v="17.5"/>
    <n v="583.71"/>
    <n v="-240.87"/>
    <s v="Loss"/>
    <x v="1"/>
    <n v="0"/>
    <n v="9"/>
    <s v="0-15"/>
    <s v="Yes"/>
    <n v="1"/>
    <s v="At Risk"/>
    <n v="1"/>
  </r>
  <r>
    <n v="100377"/>
    <d v="2025-11-05T00:00:00"/>
    <n v="1095"/>
    <x v="2"/>
    <x v="12"/>
    <x v="0"/>
    <x v="0"/>
    <x v="0"/>
    <s v="Wallet"/>
    <n v="40.93"/>
    <n v="18.760000000000002"/>
    <x v="4"/>
    <n v="38.39"/>
    <n v="729.46"/>
    <n v="279.26"/>
    <n v="9.41"/>
    <n v="9.2100000000000009"/>
    <n v="7.77"/>
    <n v="0"/>
    <n v="0"/>
    <n v="305.64999999999998"/>
    <n v="423.81"/>
    <s v="Profit"/>
    <x v="0"/>
    <n v="18"/>
    <n v="6"/>
    <s v="16-30"/>
    <s v="No"/>
    <n v="0"/>
    <s v="Healthy"/>
    <n v="0"/>
  </r>
  <r>
    <n v="100378"/>
    <d v="2025-11-06T00:00:00"/>
    <n v="1035"/>
    <x v="2"/>
    <x v="12"/>
    <x v="1"/>
    <x v="3"/>
    <x v="0"/>
    <s v="UPI"/>
    <n v="15.48"/>
    <n v="13.5"/>
    <x v="0"/>
    <n v="31.35"/>
    <n v="177.63"/>
    <n v="109.29"/>
    <n v="8.6199999999999992"/>
    <n v="1.46"/>
    <n v="10.92"/>
    <n v="0"/>
    <n v="0"/>
    <n v="130.29"/>
    <n v="47.34"/>
    <s v="Profit"/>
    <x v="0"/>
    <n v="2"/>
    <n v="13"/>
    <s v="0-15"/>
    <s v="No"/>
    <n v="0"/>
    <s v="Healthy"/>
    <n v="0"/>
  </r>
  <r>
    <n v="100379"/>
    <d v="2025-11-22T00:00:00"/>
    <n v="1105"/>
    <x v="1"/>
    <x v="2"/>
    <x v="2"/>
    <x v="2"/>
    <x v="1"/>
    <s v="UPI"/>
    <n v="27.48"/>
    <n v="18.34"/>
    <x v="2"/>
    <n v="50.4"/>
    <n v="453.58"/>
    <n v="235.29"/>
    <n v="6.35"/>
    <n v="3.53"/>
    <n v="0"/>
    <n v="432.85"/>
    <n v="3.42"/>
    <n v="681.44"/>
    <n v="-227.86"/>
    <s v="Loss"/>
    <x v="2"/>
    <n v="16"/>
    <n v="0"/>
    <s v="16-30"/>
    <s v="No"/>
    <n v="1"/>
    <s v="At Risk"/>
    <n v="0"/>
  </r>
  <r>
    <n v="100380"/>
    <d v="2025-12-07T00:00:00"/>
    <n v="1070"/>
    <x v="3"/>
    <x v="7"/>
    <x v="0"/>
    <x v="0"/>
    <x v="0"/>
    <s v="UPI"/>
    <n v="22.58"/>
    <n v="19.739999999999998"/>
    <x v="3"/>
    <n v="0"/>
    <n v="445.73"/>
    <n v="172.31"/>
    <n v="9.84"/>
    <n v="3.12"/>
    <n v="8.99"/>
    <n v="0"/>
    <n v="0"/>
    <n v="194.26"/>
    <n v="251.47"/>
    <s v="Profit"/>
    <x v="0"/>
    <n v="0"/>
    <n v="0"/>
    <s v="0-15"/>
    <s v="No"/>
    <n v="0"/>
    <s v="Healthy"/>
    <n v="0"/>
  </r>
  <r>
    <n v="100381"/>
    <d v="2025-12-12T00:00:00"/>
    <n v="1144"/>
    <x v="0"/>
    <x v="6"/>
    <x v="0"/>
    <x v="3"/>
    <x v="1"/>
    <s v="UPI"/>
    <n v="29.75"/>
    <n v="11.82"/>
    <x v="4"/>
    <n v="17.579999999999998"/>
    <n v="334.06"/>
    <n v="227.3"/>
    <n v="12.96"/>
    <n v="2.46"/>
    <n v="4.63"/>
    <n v="0"/>
    <n v="0"/>
    <n v="247.35"/>
    <n v="86.71"/>
    <s v="Profit"/>
    <x v="0"/>
    <n v="4"/>
    <n v="19"/>
    <s v="0-15"/>
    <s v="Yes"/>
    <n v="2"/>
    <s v="At Risk"/>
    <n v="1"/>
  </r>
  <r>
    <n v="100382"/>
    <d v="2025-11-11T00:00:00"/>
    <n v="1063"/>
    <x v="3"/>
    <x v="14"/>
    <x v="0"/>
    <x v="2"/>
    <x v="0"/>
    <s v="Card"/>
    <n v="30.12"/>
    <n v="17.809999999999999"/>
    <x v="2"/>
    <n v="53.64"/>
    <n v="482.8"/>
    <n v="222.78"/>
    <n v="6.31"/>
    <n v="8.0500000000000007"/>
    <n v="5.22"/>
    <n v="0"/>
    <n v="0"/>
    <n v="242.36"/>
    <n v="240.44"/>
    <s v="Profit"/>
    <x v="0"/>
    <n v="9"/>
    <n v="13"/>
    <s v="0-15"/>
    <s v="No"/>
    <n v="0"/>
    <s v="Healthy"/>
    <n v="0"/>
  </r>
  <r>
    <n v="100383"/>
    <d v="2025-12-22T00:00:00"/>
    <n v="1135"/>
    <x v="1"/>
    <x v="13"/>
    <x v="3"/>
    <x v="3"/>
    <x v="1"/>
    <s v="Wallet"/>
    <n v="3"/>
    <n v="12.49"/>
    <x v="4"/>
    <n v="1.87"/>
    <n v="35.6"/>
    <n v="19.309999999999999"/>
    <n v="1"/>
    <n v="0.45"/>
    <n v="10.33"/>
    <n v="0"/>
    <n v="0"/>
    <n v="31.09"/>
    <n v="4.51"/>
    <s v="Profit"/>
    <x v="0"/>
    <n v="30"/>
    <n v="2"/>
    <s v="16-30"/>
    <s v="Yes"/>
    <n v="1"/>
    <s v="At Risk"/>
    <n v="1"/>
  </r>
  <r>
    <n v="100384"/>
    <d v="2025-11-17T00:00:00"/>
    <n v="1080"/>
    <x v="0"/>
    <x v="6"/>
    <x v="0"/>
    <x v="3"/>
    <x v="0"/>
    <s v="UPI"/>
    <n v="24.64"/>
    <n v="12.73"/>
    <x v="3"/>
    <n v="0"/>
    <n v="313.67"/>
    <n v="181.84"/>
    <n v="6.77"/>
    <n v="2.2000000000000002"/>
    <n v="8.33"/>
    <n v="0"/>
    <n v="0"/>
    <n v="199.14"/>
    <n v="114.53"/>
    <s v="Profit"/>
    <x v="0"/>
    <n v="9"/>
    <n v="8"/>
    <s v="0-15"/>
    <s v="No"/>
    <n v="0"/>
    <s v="Healthy"/>
    <n v="0"/>
  </r>
  <r>
    <n v="100385"/>
    <d v="2025-11-26T00:00:00"/>
    <n v="1132"/>
    <x v="3"/>
    <x v="14"/>
    <x v="4"/>
    <x v="3"/>
    <x v="2"/>
    <s v="Wallet"/>
    <n v="19.489999999999998"/>
    <n v="12.9"/>
    <x v="3"/>
    <n v="0"/>
    <n v="251.42"/>
    <n v="145.79"/>
    <n v="9.94"/>
    <n v="3.02"/>
    <n v="1.42"/>
    <n v="0"/>
    <n v="0"/>
    <n v="160.16999999999999"/>
    <n v="91.25"/>
    <s v="Profit"/>
    <x v="0"/>
    <n v="3"/>
    <n v="6"/>
    <s v="0-15"/>
    <s v="No"/>
    <n v="0"/>
    <s v="Healthy"/>
    <n v="0"/>
  </r>
  <r>
    <n v="100386"/>
    <d v="2025-10-21T00:00:00"/>
    <n v="1018"/>
    <x v="0"/>
    <x v="11"/>
    <x v="1"/>
    <x v="3"/>
    <x v="0"/>
    <s v="UPI"/>
    <n v="15.68"/>
    <n v="12.18"/>
    <x v="3"/>
    <n v="0"/>
    <n v="190.98"/>
    <n v="137.79"/>
    <n v="9.92"/>
    <n v="1.34"/>
    <n v="6.32"/>
    <n v="0"/>
    <n v="0"/>
    <n v="155.37"/>
    <n v="35.61"/>
    <s v="Profit"/>
    <x v="0"/>
    <n v="10"/>
    <n v="4"/>
    <s v="0-15"/>
    <s v="No"/>
    <n v="0"/>
    <s v="Healthy"/>
    <n v="0"/>
  </r>
  <r>
    <n v="100387"/>
    <d v="2025-10-08T00:00:00"/>
    <n v="1115"/>
    <x v="0"/>
    <x v="0"/>
    <x v="0"/>
    <x v="2"/>
    <x v="0"/>
    <s v="Card"/>
    <n v="32.28"/>
    <n v="17.3"/>
    <x v="4"/>
    <n v="27.92"/>
    <n v="530.52"/>
    <n v="199.34"/>
    <n v="13.62"/>
    <n v="8.3800000000000008"/>
    <n v="2.5"/>
    <n v="278.41000000000003"/>
    <n v="0"/>
    <n v="502.25"/>
    <n v="28.27"/>
    <s v="Profit"/>
    <x v="2"/>
    <n v="4"/>
    <n v="12"/>
    <s v="0-15"/>
    <s v="No"/>
    <n v="3"/>
    <s v="At Risk"/>
    <n v="0"/>
  </r>
  <r>
    <n v="100388"/>
    <d v="2025-11-10T00:00:00"/>
    <n v="1001"/>
    <x v="0"/>
    <x v="0"/>
    <x v="3"/>
    <x v="2"/>
    <x v="0"/>
    <s v="UPI"/>
    <n v="20.95"/>
    <n v="17.22"/>
    <x v="0"/>
    <n v="54.11"/>
    <n v="306.64999999999998"/>
    <n v="153.9"/>
    <n v="5.65"/>
    <n v="2.5299999999999998"/>
    <n v="4.0599999999999996"/>
    <n v="0"/>
    <n v="0"/>
    <n v="166.14"/>
    <n v="140.51"/>
    <s v="Profit"/>
    <x v="0"/>
    <n v="3"/>
    <n v="5"/>
    <s v="0-15"/>
    <s v="No"/>
    <n v="0"/>
    <s v="Healthy"/>
    <n v="0"/>
  </r>
  <r>
    <n v="100389"/>
    <d v="2025-12-09T00:00:00"/>
    <n v="1075"/>
    <x v="1"/>
    <x v="13"/>
    <x v="0"/>
    <x v="1"/>
    <x v="1"/>
    <s v="Wallet"/>
    <n v="30.16"/>
    <n v="15.51"/>
    <x v="3"/>
    <n v="0"/>
    <n v="467.78"/>
    <n v="192.64"/>
    <n v="10.210000000000001"/>
    <n v="5.61"/>
    <n v="4.49"/>
    <n v="0"/>
    <n v="0"/>
    <n v="212.95"/>
    <n v="254.83"/>
    <s v="Profit"/>
    <x v="0"/>
    <n v="1"/>
    <n v="6"/>
    <s v="0-15"/>
    <s v="No"/>
    <n v="1"/>
    <s v="Healthy"/>
    <n v="0"/>
  </r>
  <r>
    <n v="100390"/>
    <d v="2025-12-29T00:00:00"/>
    <n v="1048"/>
    <x v="1"/>
    <x v="2"/>
    <x v="0"/>
    <x v="2"/>
    <x v="0"/>
    <s v="Fleet_Invoice"/>
    <n v="21.15"/>
    <n v="19.489999999999998"/>
    <x v="3"/>
    <n v="0"/>
    <n v="412.21"/>
    <n v="153.79"/>
    <n v="11.33"/>
    <n v="1.65"/>
    <n v="8.36"/>
    <n v="249.66"/>
    <n v="0"/>
    <n v="424.79"/>
    <n v="-12.58"/>
    <s v="Loss"/>
    <x v="1"/>
    <n v="3"/>
    <n v="4"/>
    <s v="0-15"/>
    <s v="Yes"/>
    <n v="1"/>
    <s v="At Risk"/>
    <n v="1"/>
  </r>
  <r>
    <n v="100391"/>
    <d v="2025-12-11T00:00:00"/>
    <n v="1014"/>
    <x v="2"/>
    <x v="12"/>
    <x v="1"/>
    <x v="1"/>
    <x v="0"/>
    <s v="UPI"/>
    <n v="13.04"/>
    <n v="15.8"/>
    <x v="0"/>
    <n v="30.9"/>
    <n v="175.13"/>
    <n v="91.2"/>
    <n v="10"/>
    <n v="1.44"/>
    <n v="0.68"/>
    <n v="0"/>
    <n v="0"/>
    <n v="103.32"/>
    <n v="71.81"/>
    <s v="Profit"/>
    <x v="0"/>
    <n v="2"/>
    <n v="2"/>
    <s v="0-15"/>
    <s v="No"/>
    <n v="1"/>
    <s v="Healthy"/>
    <n v="0"/>
  </r>
  <r>
    <n v="100392"/>
    <d v="2025-11-03T00:00:00"/>
    <n v="1057"/>
    <x v="2"/>
    <x v="10"/>
    <x v="1"/>
    <x v="3"/>
    <x v="2"/>
    <s v="UPI"/>
    <n v="18.170000000000002"/>
    <n v="12.61"/>
    <x v="2"/>
    <n v="22.91"/>
    <n v="206.21"/>
    <n v="147.85"/>
    <n v="5.42"/>
    <n v="1.6"/>
    <n v="9.0399999999999991"/>
    <n v="0"/>
    <n v="0"/>
    <n v="163.91"/>
    <n v="42.3"/>
    <s v="Profit"/>
    <x v="0"/>
    <n v="13"/>
    <n v="7"/>
    <s v="0-15"/>
    <s v="No"/>
    <n v="0"/>
    <s v="Healthy"/>
    <n v="0"/>
  </r>
  <r>
    <n v="100393"/>
    <d v="2025-10-11T00:00:00"/>
    <n v="1011"/>
    <x v="3"/>
    <x v="15"/>
    <x v="1"/>
    <x v="3"/>
    <x v="0"/>
    <s v="Card"/>
    <n v="20.21"/>
    <n v="10.9"/>
    <x v="3"/>
    <n v="0"/>
    <n v="220.29"/>
    <n v="137.29"/>
    <n v="5.78"/>
    <n v="3.3"/>
    <n v="0"/>
    <n v="0"/>
    <n v="0"/>
    <n v="146.37"/>
    <n v="73.92"/>
    <s v="Profit"/>
    <x v="0"/>
    <n v="23"/>
    <n v="3"/>
    <s v="16-30"/>
    <s v="Yes"/>
    <n v="3"/>
    <s v="At Risk"/>
    <n v="1"/>
  </r>
  <r>
    <n v="100394"/>
    <d v="2025-10-21T00:00:00"/>
    <n v="1070"/>
    <x v="3"/>
    <x v="14"/>
    <x v="4"/>
    <x v="2"/>
    <x v="1"/>
    <s v="Card"/>
    <n v="16.53"/>
    <n v="16.45"/>
    <x v="0"/>
    <n v="40.79"/>
    <n v="231.13"/>
    <n v="140.88"/>
    <n v="11.23"/>
    <n v="4.08"/>
    <n v="4.93"/>
    <n v="0"/>
    <n v="0"/>
    <n v="161.12"/>
    <n v="70.010000000000005"/>
    <s v="Profit"/>
    <x v="0"/>
    <n v="4"/>
    <n v="11"/>
    <s v="0-15"/>
    <s v="No"/>
    <n v="0"/>
    <s v="Healthy"/>
    <n v="0"/>
  </r>
  <r>
    <n v="100395"/>
    <d v="2025-12-23T00:00:00"/>
    <n v="1112"/>
    <x v="0"/>
    <x v="0"/>
    <x v="3"/>
    <x v="3"/>
    <x v="0"/>
    <s v="Card"/>
    <n v="15.89"/>
    <n v="11.52"/>
    <x v="1"/>
    <n v="36.61"/>
    <n v="146.44"/>
    <n v="126.09"/>
    <n v="3.52"/>
    <n v="2.75"/>
    <n v="0.37"/>
    <n v="0"/>
    <n v="0"/>
    <n v="132.72999999999999"/>
    <n v="13.71"/>
    <s v="Profit"/>
    <x v="0"/>
    <n v="11"/>
    <n v="11"/>
    <s v="0-15"/>
    <s v="No"/>
    <n v="0"/>
    <s v="Healthy"/>
    <n v="0"/>
  </r>
  <r>
    <n v="100396"/>
    <d v="2025-10-23T00:00:00"/>
    <n v="1076"/>
    <x v="2"/>
    <x v="5"/>
    <x v="1"/>
    <x v="3"/>
    <x v="1"/>
    <s v="UPI"/>
    <n v="15.9"/>
    <n v="12.84"/>
    <x v="4"/>
    <n v="10.210000000000001"/>
    <n v="193.95"/>
    <n v="86.45"/>
    <n v="5.64"/>
    <n v="1.43"/>
    <n v="8.16"/>
    <n v="0"/>
    <n v="0"/>
    <n v="101.68"/>
    <n v="92.27"/>
    <s v="Profit"/>
    <x v="0"/>
    <n v="24"/>
    <n v="17"/>
    <s v="16-30"/>
    <s v="Yes"/>
    <n v="2"/>
    <s v="At Risk"/>
    <n v="1"/>
  </r>
  <r>
    <n v="100397"/>
    <d v="2025-11-12T00:00:00"/>
    <n v="1135"/>
    <x v="2"/>
    <x v="5"/>
    <x v="3"/>
    <x v="3"/>
    <x v="0"/>
    <s v="Fleet_Invoice"/>
    <n v="20.23"/>
    <n v="12.32"/>
    <x v="0"/>
    <n v="37.380000000000003"/>
    <n v="211.85"/>
    <n v="147.72999999999999"/>
    <n v="6.16"/>
    <n v="1"/>
    <n v="3.4"/>
    <n v="0"/>
    <n v="0"/>
    <n v="158.29"/>
    <n v="53.56"/>
    <s v="Profit"/>
    <x v="0"/>
    <n v="13"/>
    <n v="2"/>
    <s v="0-15"/>
    <s v="No"/>
    <n v="1"/>
    <s v="Healthy"/>
    <n v="0"/>
  </r>
  <r>
    <n v="100398"/>
    <d v="2025-11-01T00:00:00"/>
    <n v="1079"/>
    <x v="2"/>
    <x v="10"/>
    <x v="4"/>
    <x v="2"/>
    <x v="2"/>
    <s v="Wallet"/>
    <n v="32.6"/>
    <n v="17.399999999999999"/>
    <x v="3"/>
    <n v="0"/>
    <n v="567.24"/>
    <n v="269.93"/>
    <n v="10.29"/>
    <n v="6.81"/>
    <n v="12.74"/>
    <n v="0"/>
    <n v="0"/>
    <n v="299.77"/>
    <n v="267.47000000000003"/>
    <s v="Profit"/>
    <x v="0"/>
    <n v="5"/>
    <n v="4"/>
    <s v="0-15"/>
    <s v="No"/>
    <n v="0"/>
    <s v="Healthy"/>
    <n v="0"/>
  </r>
  <r>
    <n v="100399"/>
    <d v="2025-12-20T00:00:00"/>
    <n v="1047"/>
    <x v="2"/>
    <x v="12"/>
    <x v="4"/>
    <x v="3"/>
    <x v="0"/>
    <s v="Card"/>
    <n v="4.96"/>
    <n v="12.9"/>
    <x v="3"/>
    <n v="0"/>
    <n v="63.98"/>
    <n v="33.68"/>
    <n v="13.46"/>
    <n v="0.96"/>
    <n v="6.62"/>
    <n v="0"/>
    <n v="0"/>
    <n v="54.72"/>
    <n v="9.26"/>
    <s v="Profit"/>
    <x v="0"/>
    <n v="11"/>
    <n v="9"/>
    <s v="0-15"/>
    <s v="No"/>
    <n v="0"/>
    <s v="Healthy"/>
    <n v="0"/>
  </r>
  <r>
    <n v="100400"/>
    <d v="2025-12-14T00:00:00"/>
    <n v="1004"/>
    <x v="2"/>
    <x v="5"/>
    <x v="3"/>
    <x v="1"/>
    <x v="0"/>
    <s v="UPI"/>
    <n v="17.12"/>
    <n v="16.47"/>
    <x v="1"/>
    <n v="56.39"/>
    <n v="225.58"/>
    <n v="129.80000000000001"/>
    <n v="6.37"/>
    <n v="1.97"/>
    <n v="4.3499999999999996"/>
    <n v="0"/>
    <n v="0"/>
    <n v="142.49"/>
    <n v="83.09"/>
    <s v="Profit"/>
    <x v="0"/>
    <n v="22"/>
    <n v="0"/>
    <s v="16-30"/>
    <s v="Yes"/>
    <n v="3"/>
    <s v="At Risk"/>
    <n v="1"/>
  </r>
  <r>
    <n v="100401"/>
    <d v="2025-10-04T00:00:00"/>
    <n v="1072"/>
    <x v="2"/>
    <x v="10"/>
    <x v="4"/>
    <x v="3"/>
    <x v="2"/>
    <s v="Card"/>
    <n v="21.03"/>
    <n v="12.49"/>
    <x v="3"/>
    <n v="0"/>
    <n v="262.66000000000003"/>
    <n v="159.84"/>
    <n v="7.41"/>
    <n v="3.94"/>
    <n v="13.86"/>
    <n v="0"/>
    <n v="0"/>
    <n v="185.05"/>
    <n v="77.61"/>
    <s v="Profit"/>
    <x v="0"/>
    <n v="3"/>
    <n v="9"/>
    <s v="0-15"/>
    <s v="No"/>
    <n v="0"/>
    <s v="Healthy"/>
    <n v="0"/>
  </r>
  <r>
    <n v="100402"/>
    <d v="2025-11-13T00:00:00"/>
    <n v="1086"/>
    <x v="1"/>
    <x v="3"/>
    <x v="2"/>
    <x v="3"/>
    <x v="1"/>
    <s v="UPI"/>
    <n v="8.24"/>
    <n v="13.91"/>
    <x v="3"/>
    <n v="0"/>
    <n v="114.62"/>
    <n v="50.7"/>
    <n v="7.27"/>
    <n v="0.8"/>
    <n v="9.8000000000000007"/>
    <n v="0"/>
    <n v="0"/>
    <n v="68.569999999999993"/>
    <n v="46.05"/>
    <s v="Profit"/>
    <x v="0"/>
    <n v="1"/>
    <n v="3"/>
    <s v="0-15"/>
    <s v="No"/>
    <n v="0"/>
    <s v="Healthy"/>
    <n v="0"/>
  </r>
  <r>
    <n v="100403"/>
    <d v="2025-11-26T00:00:00"/>
    <n v="1060"/>
    <x v="2"/>
    <x v="12"/>
    <x v="4"/>
    <x v="0"/>
    <x v="0"/>
    <s v="UPI"/>
    <n v="31.37"/>
    <n v="19.07"/>
    <x v="1"/>
    <n v="119.65"/>
    <n v="478.58"/>
    <n v="238.34"/>
    <n v="7.05"/>
    <n v="4.1900000000000004"/>
    <n v="2.23"/>
    <n v="217"/>
    <n v="0"/>
    <n v="468.81"/>
    <n v="9.77"/>
    <s v="Profit"/>
    <x v="1"/>
    <n v="17"/>
    <n v="1"/>
    <s v="16-30"/>
    <s v="Yes"/>
    <n v="2"/>
    <s v="At Risk"/>
    <n v="1"/>
  </r>
  <r>
    <n v="100404"/>
    <d v="2025-12-26T00:00:00"/>
    <n v="1146"/>
    <x v="2"/>
    <x v="12"/>
    <x v="3"/>
    <x v="1"/>
    <x v="0"/>
    <s v="Fleet_Invoice"/>
    <n v="34.26"/>
    <n v="15.41"/>
    <x v="3"/>
    <n v="0"/>
    <n v="527.95000000000005"/>
    <n v="240.66"/>
    <n v="7.12"/>
    <n v="2.11"/>
    <n v="4.49"/>
    <n v="427.65"/>
    <n v="0"/>
    <n v="682.03"/>
    <n v="-154.08000000000001"/>
    <s v="Loss"/>
    <x v="1"/>
    <n v="39"/>
    <n v="3"/>
    <s v="30+"/>
    <s v="Yes"/>
    <n v="1"/>
    <s v="At Risk"/>
    <n v="1"/>
  </r>
  <r>
    <n v="100405"/>
    <d v="2025-12-26T00:00:00"/>
    <n v="1089"/>
    <x v="2"/>
    <x v="10"/>
    <x v="4"/>
    <x v="1"/>
    <x v="1"/>
    <s v="Wallet"/>
    <n v="26.99"/>
    <n v="16.010000000000002"/>
    <x v="0"/>
    <n v="64.819999999999993"/>
    <n v="367.29"/>
    <n v="215.27"/>
    <n v="1"/>
    <n v="5.19"/>
    <n v="6.06"/>
    <n v="0"/>
    <n v="0"/>
    <n v="227.52"/>
    <n v="139.77000000000001"/>
    <s v="Profit"/>
    <x v="0"/>
    <n v="3"/>
    <n v="3"/>
    <s v="0-15"/>
    <s v="No"/>
    <n v="0"/>
    <s v="Healthy"/>
    <n v="0"/>
  </r>
  <r>
    <n v="100406"/>
    <d v="2025-11-04T00:00:00"/>
    <n v="1069"/>
    <x v="0"/>
    <x v="1"/>
    <x v="2"/>
    <x v="1"/>
    <x v="2"/>
    <s v="Fleet_Invoice"/>
    <n v="10.28"/>
    <n v="14.92"/>
    <x v="4"/>
    <n v="7.67"/>
    <n v="145.71"/>
    <n v="59.72"/>
    <n v="9.5500000000000007"/>
    <n v="0.61"/>
    <n v="6.92"/>
    <n v="0"/>
    <n v="0"/>
    <n v="76.8"/>
    <n v="68.91"/>
    <s v="Profit"/>
    <x v="0"/>
    <n v="0"/>
    <n v="1"/>
    <s v="0-15"/>
    <s v="No"/>
    <n v="0"/>
    <s v="Healthy"/>
    <n v="0"/>
  </r>
  <r>
    <n v="100407"/>
    <d v="2025-10-20T00:00:00"/>
    <n v="1024"/>
    <x v="2"/>
    <x v="12"/>
    <x v="2"/>
    <x v="0"/>
    <x v="0"/>
    <s v="UPI"/>
    <n v="33.64"/>
    <n v="17.98"/>
    <x v="3"/>
    <n v="0"/>
    <n v="604.85"/>
    <n v="220.42"/>
    <n v="17.41"/>
    <n v="4.2300000000000004"/>
    <n v="1.97"/>
    <n v="0"/>
    <n v="0"/>
    <n v="244.03"/>
    <n v="360.82"/>
    <s v="Profit"/>
    <x v="0"/>
    <n v="2"/>
    <n v="10"/>
    <s v="0-15"/>
    <s v="No"/>
    <n v="0"/>
    <s v="Healthy"/>
    <n v="0"/>
  </r>
  <r>
    <n v="100408"/>
    <d v="2025-12-18T00:00:00"/>
    <n v="1106"/>
    <x v="2"/>
    <x v="5"/>
    <x v="4"/>
    <x v="2"/>
    <x v="2"/>
    <s v="Card"/>
    <n v="27.53"/>
    <n v="16.5"/>
    <x v="4"/>
    <n v="22.71"/>
    <n v="431.53"/>
    <n v="153.18"/>
    <n v="9.4"/>
    <n v="6.81"/>
    <n v="0"/>
    <n v="0"/>
    <n v="0"/>
    <n v="169.39"/>
    <n v="262.14"/>
    <s v="Profit"/>
    <x v="0"/>
    <n v="9"/>
    <n v="2"/>
    <s v="0-15"/>
    <s v="No"/>
    <n v="1"/>
    <s v="Healthy"/>
    <n v="0"/>
  </r>
  <r>
    <n v="100409"/>
    <d v="2025-10-12T00:00:00"/>
    <n v="1082"/>
    <x v="0"/>
    <x v="6"/>
    <x v="4"/>
    <x v="2"/>
    <x v="2"/>
    <s v="UPI"/>
    <n v="27.24"/>
    <n v="17.7"/>
    <x v="0"/>
    <n v="72.319999999999993"/>
    <n v="409.83"/>
    <n v="226.36"/>
    <n v="8.09"/>
    <n v="3.38"/>
    <n v="4.41"/>
    <n v="0"/>
    <n v="0"/>
    <n v="242.24"/>
    <n v="167.59"/>
    <s v="Profit"/>
    <x v="0"/>
    <n v="28"/>
    <n v="10"/>
    <s v="16-30"/>
    <s v="Yes"/>
    <n v="2"/>
    <s v="At Risk"/>
    <n v="1"/>
  </r>
  <r>
    <n v="100410"/>
    <d v="2025-12-31T00:00:00"/>
    <n v="1095"/>
    <x v="1"/>
    <x v="4"/>
    <x v="2"/>
    <x v="3"/>
    <x v="0"/>
    <s v="UPI"/>
    <n v="6.58"/>
    <n v="12.95"/>
    <x v="1"/>
    <n v="17.04"/>
    <n v="68.17"/>
    <n v="52.13"/>
    <n v="5.99"/>
    <n v="0.6"/>
    <n v="4.83"/>
    <n v="0"/>
    <n v="0"/>
    <n v="63.55"/>
    <n v="4.62"/>
    <s v="Profit"/>
    <x v="0"/>
    <n v="2"/>
    <n v="1"/>
    <s v="0-15"/>
    <s v="No"/>
    <n v="0"/>
    <s v="Healthy"/>
    <n v="0"/>
  </r>
  <r>
    <n v="100411"/>
    <d v="2025-11-09T00:00:00"/>
    <n v="1070"/>
    <x v="2"/>
    <x v="5"/>
    <x v="1"/>
    <x v="2"/>
    <x v="0"/>
    <s v="Card"/>
    <n v="17.07"/>
    <n v="17.61"/>
    <x v="2"/>
    <n v="30.06"/>
    <n v="270.54000000000002"/>
    <n v="119.32"/>
    <n v="5.47"/>
    <n v="4.51"/>
    <n v="11.46"/>
    <n v="0"/>
    <n v="0"/>
    <n v="140.76"/>
    <n v="129.78"/>
    <s v="Profit"/>
    <x v="0"/>
    <n v="0"/>
    <n v="2"/>
    <s v="0-15"/>
    <s v="No"/>
    <n v="0"/>
    <s v="Healthy"/>
    <n v="0"/>
  </r>
  <r>
    <n v="100412"/>
    <d v="2025-10-29T00:00:00"/>
    <n v="1083"/>
    <x v="1"/>
    <x v="4"/>
    <x v="4"/>
    <x v="1"/>
    <x v="0"/>
    <s v="Wallet"/>
    <n v="22.59"/>
    <n v="15.84"/>
    <x v="2"/>
    <n v="35.78"/>
    <n v="322.05"/>
    <n v="181.8"/>
    <n v="10.25"/>
    <n v="4.29"/>
    <n v="9.16"/>
    <n v="0"/>
    <n v="0"/>
    <n v="205.5"/>
    <n v="116.55"/>
    <s v="Profit"/>
    <x v="0"/>
    <n v="7"/>
    <n v="5"/>
    <s v="0-15"/>
    <s v="No"/>
    <n v="0"/>
    <s v="Healthy"/>
    <n v="0"/>
  </r>
  <r>
    <n v="100413"/>
    <d v="2025-11-20T00:00:00"/>
    <n v="1128"/>
    <x v="3"/>
    <x v="14"/>
    <x v="1"/>
    <x v="1"/>
    <x v="2"/>
    <s v="UPI"/>
    <n v="31.9"/>
    <n v="16.86"/>
    <x v="2"/>
    <n v="53.78"/>
    <n v="484.05"/>
    <n v="210.77"/>
    <n v="14.6"/>
    <n v="3.76"/>
    <n v="10.37"/>
    <n v="0"/>
    <n v="0"/>
    <n v="239.5"/>
    <n v="244.55"/>
    <s v="Profit"/>
    <x v="0"/>
    <n v="0"/>
    <n v="22"/>
    <s v="0-15"/>
    <s v="Yes"/>
    <n v="3"/>
    <s v="At Risk"/>
    <n v="1"/>
  </r>
  <r>
    <n v="100414"/>
    <d v="2025-11-02T00:00:00"/>
    <n v="1109"/>
    <x v="1"/>
    <x v="13"/>
    <x v="1"/>
    <x v="0"/>
    <x v="0"/>
    <s v="Fleet_Invoice"/>
    <n v="26.16"/>
    <n v="20.25"/>
    <x v="3"/>
    <n v="0"/>
    <n v="529.74"/>
    <n v="183.31"/>
    <n v="6.21"/>
    <n v="2.12"/>
    <n v="8"/>
    <n v="0"/>
    <n v="0"/>
    <n v="199.64"/>
    <n v="330.1"/>
    <s v="Profit"/>
    <x v="0"/>
    <n v="7"/>
    <n v="7"/>
    <s v="0-15"/>
    <s v="No"/>
    <n v="0"/>
    <s v="Healthy"/>
    <n v="0"/>
  </r>
  <r>
    <n v="100415"/>
    <d v="2025-11-15T00:00:00"/>
    <n v="1108"/>
    <x v="2"/>
    <x v="9"/>
    <x v="1"/>
    <x v="3"/>
    <x v="1"/>
    <s v="UPI"/>
    <n v="26.3"/>
    <n v="12.04"/>
    <x v="2"/>
    <n v="31.66"/>
    <n v="284.99"/>
    <n v="204.6"/>
    <n v="1.86"/>
    <n v="2.2200000000000002"/>
    <n v="0"/>
    <n v="174.36"/>
    <n v="10.24"/>
    <n v="393.28"/>
    <n v="-108.29"/>
    <s v="Loss"/>
    <x v="1"/>
    <n v="8"/>
    <n v="2"/>
    <s v="0-15"/>
    <s v="Yes"/>
    <n v="1"/>
    <s v="At Risk"/>
    <n v="1"/>
  </r>
  <r>
    <n v="100416"/>
    <d v="2025-10-10T00:00:00"/>
    <n v="1007"/>
    <x v="2"/>
    <x v="5"/>
    <x v="3"/>
    <x v="2"/>
    <x v="2"/>
    <s v="Wallet"/>
    <n v="15"/>
    <n v="18.04"/>
    <x v="4"/>
    <n v="13.53"/>
    <n v="257.07"/>
    <n v="110.74"/>
    <n v="8.32"/>
    <n v="3.25"/>
    <n v="2.69"/>
    <n v="244.53"/>
    <n v="17.03"/>
    <n v="386.56"/>
    <n v="-129.49"/>
    <s v="Loss"/>
    <x v="2"/>
    <n v="6"/>
    <n v="13"/>
    <s v="0-15"/>
    <s v="No"/>
    <n v="2"/>
    <s v="At Risk"/>
    <n v="0"/>
  </r>
  <r>
    <n v="100417"/>
    <d v="2025-12-30T00:00:00"/>
    <n v="1121"/>
    <x v="0"/>
    <x v="11"/>
    <x v="3"/>
    <x v="3"/>
    <x v="0"/>
    <s v="Fleet_Invoice"/>
    <n v="20.63"/>
    <n v="12.48"/>
    <x v="2"/>
    <n v="25.75"/>
    <n v="231.71"/>
    <n v="162.44999999999999"/>
    <n v="5.38"/>
    <n v="1.03"/>
    <n v="12.16"/>
    <n v="0"/>
    <n v="0"/>
    <n v="181.02"/>
    <n v="50.69"/>
    <s v="Profit"/>
    <x v="0"/>
    <n v="22"/>
    <n v="5"/>
    <s v="16-30"/>
    <s v="Yes"/>
    <n v="2"/>
    <s v="At Risk"/>
    <n v="1"/>
  </r>
  <r>
    <n v="100418"/>
    <d v="2025-12-25T00:00:00"/>
    <n v="1120"/>
    <x v="0"/>
    <x v="1"/>
    <x v="0"/>
    <x v="3"/>
    <x v="1"/>
    <s v="UPI"/>
    <n v="28.89"/>
    <n v="13.72"/>
    <x v="1"/>
    <n v="79.27"/>
    <n v="317.10000000000002"/>
    <n v="222.15"/>
    <n v="5.28"/>
    <n v="2.77"/>
    <n v="6.04"/>
    <n v="0"/>
    <n v="0"/>
    <n v="236.24"/>
    <n v="80.86"/>
    <s v="Profit"/>
    <x v="0"/>
    <n v="2"/>
    <n v="28"/>
    <s v="0-15"/>
    <s v="Yes"/>
    <n v="2"/>
    <s v="At Risk"/>
    <n v="1"/>
  </r>
  <r>
    <n v="100419"/>
    <d v="2025-10-03T00:00:00"/>
    <n v="1009"/>
    <x v="1"/>
    <x v="4"/>
    <x v="1"/>
    <x v="1"/>
    <x v="2"/>
    <s v="UPI"/>
    <n v="19.170000000000002"/>
    <n v="15.88"/>
    <x v="2"/>
    <n v="30.44"/>
    <n v="273.98"/>
    <n v="141.69999999999999"/>
    <n v="2.2200000000000002"/>
    <n v="2.13"/>
    <n v="2.23"/>
    <n v="0"/>
    <n v="0"/>
    <n v="148.28"/>
    <n v="125.7"/>
    <s v="Profit"/>
    <x v="0"/>
    <n v="20"/>
    <n v="3"/>
    <s v="16-30"/>
    <s v="No"/>
    <n v="0"/>
    <s v="Healthy"/>
    <n v="0"/>
  </r>
  <r>
    <n v="100420"/>
    <d v="2025-11-21T00:00:00"/>
    <n v="1146"/>
    <x v="2"/>
    <x v="12"/>
    <x v="4"/>
    <x v="3"/>
    <x v="2"/>
    <s v="UPI"/>
    <n v="9.14"/>
    <n v="12.23"/>
    <x v="2"/>
    <n v="11.18"/>
    <n v="100.6"/>
    <n v="73.349999999999994"/>
    <n v="12.16"/>
    <n v="0.78"/>
    <n v="9.93"/>
    <n v="0"/>
    <n v="0"/>
    <n v="96.22"/>
    <n v="4.38"/>
    <s v="Profit"/>
    <x v="0"/>
    <n v="8"/>
    <n v="6"/>
    <s v="0-15"/>
    <s v="No"/>
    <n v="0"/>
    <s v="Healthy"/>
    <n v="0"/>
  </r>
  <r>
    <n v="100421"/>
    <d v="2025-12-26T00:00:00"/>
    <n v="1073"/>
    <x v="0"/>
    <x v="6"/>
    <x v="4"/>
    <x v="3"/>
    <x v="1"/>
    <s v="UPI"/>
    <n v="36.729999999999997"/>
    <n v="12.96"/>
    <x v="3"/>
    <n v="0"/>
    <n v="476.02"/>
    <n v="245.64"/>
    <n v="7.9"/>
    <n v="3.33"/>
    <n v="5.08"/>
    <n v="250.96"/>
    <n v="0.08"/>
    <n v="512.99"/>
    <n v="-36.97"/>
    <s v="Loss"/>
    <x v="2"/>
    <n v="0"/>
    <n v="8"/>
    <s v="0-15"/>
    <s v="No"/>
    <n v="2"/>
    <s v="At Risk"/>
    <n v="0"/>
  </r>
  <r>
    <n v="100422"/>
    <d v="2025-10-20T00:00:00"/>
    <n v="1141"/>
    <x v="3"/>
    <x v="8"/>
    <x v="4"/>
    <x v="0"/>
    <x v="0"/>
    <s v="Fleet_Invoice"/>
    <n v="26.18"/>
    <n v="18.75"/>
    <x v="3"/>
    <n v="0"/>
    <n v="490.88"/>
    <n v="235.94"/>
    <n v="7.56"/>
    <n v="1.96"/>
    <n v="6.73"/>
    <n v="0"/>
    <n v="0"/>
    <n v="252.19"/>
    <n v="238.69"/>
    <s v="Profit"/>
    <x v="0"/>
    <n v="21"/>
    <n v="25"/>
    <s v="16-30"/>
    <s v="Yes"/>
    <n v="3"/>
    <s v="At Risk"/>
    <n v="1"/>
  </r>
  <r>
    <n v="100423"/>
    <d v="2025-12-13T00:00:00"/>
    <n v="1098"/>
    <x v="0"/>
    <x v="1"/>
    <x v="2"/>
    <x v="2"/>
    <x v="0"/>
    <s v="UPI"/>
    <n v="23.25"/>
    <n v="17"/>
    <x v="4"/>
    <n v="19.760000000000002"/>
    <n v="375.49"/>
    <n v="167.83"/>
    <n v="7.87"/>
    <n v="2.77"/>
    <n v="4.24"/>
    <n v="0"/>
    <n v="0"/>
    <n v="182.71"/>
    <n v="192.78"/>
    <s v="Profit"/>
    <x v="0"/>
    <n v="3"/>
    <n v="5"/>
    <s v="0-15"/>
    <s v="No"/>
    <n v="0"/>
    <s v="Healthy"/>
    <n v="0"/>
  </r>
  <r>
    <n v="100424"/>
    <d v="2025-11-21T00:00:00"/>
    <n v="1016"/>
    <x v="3"/>
    <x v="14"/>
    <x v="3"/>
    <x v="3"/>
    <x v="0"/>
    <s v="UPI"/>
    <n v="20"/>
    <n v="12.16"/>
    <x v="3"/>
    <n v="0"/>
    <n v="243.2"/>
    <n v="167.89"/>
    <n v="5.8"/>
    <n v="1.7"/>
    <n v="6.62"/>
    <n v="0"/>
    <n v="0"/>
    <n v="182.01"/>
    <n v="61.19"/>
    <s v="Profit"/>
    <x v="0"/>
    <n v="12"/>
    <n v="4"/>
    <s v="0-15"/>
    <s v="No"/>
    <n v="0"/>
    <s v="Healthy"/>
    <n v="0"/>
  </r>
  <r>
    <n v="100425"/>
    <d v="2025-11-24T00:00:00"/>
    <n v="1023"/>
    <x v="0"/>
    <x v="11"/>
    <x v="2"/>
    <x v="1"/>
    <x v="2"/>
    <s v="Card"/>
    <n v="37.22"/>
    <n v="15.84"/>
    <x v="3"/>
    <n v="0"/>
    <n v="589.55999999999995"/>
    <n v="265.58"/>
    <n v="6.88"/>
    <n v="8.84"/>
    <n v="6.97"/>
    <n v="0"/>
    <n v="0"/>
    <n v="288.27"/>
    <n v="301.29000000000002"/>
    <s v="Profit"/>
    <x v="0"/>
    <n v="34"/>
    <n v="10"/>
    <s v="30+"/>
    <s v="Yes"/>
    <n v="1"/>
    <s v="At Risk"/>
    <n v="1"/>
  </r>
  <r>
    <n v="100426"/>
    <d v="2025-12-08T00:00:00"/>
    <n v="1080"/>
    <x v="0"/>
    <x v="6"/>
    <x v="2"/>
    <x v="2"/>
    <x v="0"/>
    <s v="UPI"/>
    <n v="28.48"/>
    <n v="17.87"/>
    <x v="3"/>
    <n v="0"/>
    <n v="508.94"/>
    <n v="242"/>
    <n v="1"/>
    <n v="3.56"/>
    <n v="4.99"/>
    <n v="0"/>
    <n v="0"/>
    <n v="251.55"/>
    <n v="257.39"/>
    <s v="Profit"/>
    <x v="0"/>
    <n v="25"/>
    <n v="2"/>
    <s v="16-30"/>
    <s v="Yes"/>
    <n v="1"/>
    <s v="At Risk"/>
    <n v="1"/>
  </r>
  <r>
    <n v="100427"/>
    <d v="2025-11-16T00:00:00"/>
    <n v="1114"/>
    <x v="1"/>
    <x v="4"/>
    <x v="3"/>
    <x v="3"/>
    <x v="0"/>
    <s v="Card"/>
    <n v="16.04"/>
    <n v="12.34"/>
    <x v="2"/>
    <n v="19.79"/>
    <n v="178.14"/>
    <n v="123.07"/>
    <n v="8.1300000000000008"/>
    <n v="2.97"/>
    <n v="10.53"/>
    <n v="0"/>
    <n v="0"/>
    <n v="144.69999999999999"/>
    <n v="33.44"/>
    <s v="Profit"/>
    <x v="0"/>
    <n v="3"/>
    <n v="2"/>
    <s v="0-15"/>
    <s v="No"/>
    <n v="0"/>
    <s v="Healthy"/>
    <n v="0"/>
  </r>
  <r>
    <n v="100428"/>
    <d v="2025-11-08T00:00:00"/>
    <n v="1050"/>
    <x v="2"/>
    <x v="12"/>
    <x v="4"/>
    <x v="3"/>
    <x v="0"/>
    <s v="UPI"/>
    <n v="23.23"/>
    <n v="12.44"/>
    <x v="2"/>
    <n v="28.9"/>
    <n v="260.08"/>
    <n v="183.97"/>
    <n v="3.12"/>
    <n v="2.02"/>
    <n v="2.5"/>
    <n v="0"/>
    <n v="0"/>
    <n v="191.61"/>
    <n v="68.47"/>
    <s v="Profit"/>
    <x v="0"/>
    <n v="3"/>
    <n v="19"/>
    <s v="0-15"/>
    <s v="Yes"/>
    <n v="1"/>
    <s v="At Risk"/>
    <n v="1"/>
  </r>
  <r>
    <n v="100429"/>
    <d v="2025-12-13T00:00:00"/>
    <n v="1128"/>
    <x v="1"/>
    <x v="4"/>
    <x v="2"/>
    <x v="0"/>
    <x v="2"/>
    <s v="UPI"/>
    <n v="27.25"/>
    <n v="18.63"/>
    <x v="2"/>
    <n v="50.77"/>
    <n v="456.9"/>
    <n v="210.12"/>
    <n v="2.41"/>
    <n v="3.55"/>
    <n v="7.39"/>
    <n v="0"/>
    <n v="0"/>
    <n v="223.47"/>
    <n v="233.43"/>
    <s v="Profit"/>
    <x v="0"/>
    <n v="19"/>
    <n v="2"/>
    <s v="16-30"/>
    <s v="No"/>
    <n v="0"/>
    <s v="Healthy"/>
    <n v="0"/>
  </r>
  <r>
    <n v="100430"/>
    <d v="2025-10-16T00:00:00"/>
    <n v="1030"/>
    <x v="2"/>
    <x v="10"/>
    <x v="2"/>
    <x v="0"/>
    <x v="1"/>
    <s v="UPI"/>
    <n v="25.36"/>
    <n v="18.940000000000001"/>
    <x v="3"/>
    <n v="0"/>
    <n v="480.32"/>
    <n v="164.62"/>
    <n v="10.15"/>
    <n v="3.36"/>
    <n v="16.440000000000001"/>
    <n v="0"/>
    <n v="0"/>
    <n v="194.57"/>
    <n v="285.75"/>
    <s v="Profit"/>
    <x v="0"/>
    <n v="5"/>
    <n v="10"/>
    <s v="0-15"/>
    <s v="No"/>
    <n v="1"/>
    <s v="Healthy"/>
    <n v="0"/>
  </r>
  <r>
    <n v="100431"/>
    <d v="2025-12-10T00:00:00"/>
    <n v="1144"/>
    <x v="0"/>
    <x v="6"/>
    <x v="1"/>
    <x v="2"/>
    <x v="2"/>
    <s v="UPI"/>
    <n v="20.12"/>
    <n v="18.809999999999999"/>
    <x v="2"/>
    <n v="37.85"/>
    <n v="340.61"/>
    <n v="155.46"/>
    <n v="11.92"/>
    <n v="2.65"/>
    <n v="7.8"/>
    <n v="0"/>
    <n v="0"/>
    <n v="177.83"/>
    <n v="162.78"/>
    <s v="Profit"/>
    <x v="0"/>
    <n v="4"/>
    <n v="10"/>
    <s v="0-15"/>
    <s v="No"/>
    <n v="0"/>
    <s v="Healthy"/>
    <n v="0"/>
  </r>
  <r>
    <n v="100432"/>
    <d v="2025-10-03T00:00:00"/>
    <n v="1088"/>
    <x v="0"/>
    <x v="1"/>
    <x v="1"/>
    <x v="3"/>
    <x v="0"/>
    <s v="Fleet_Invoice"/>
    <n v="21.9"/>
    <n v="12.95"/>
    <x v="4"/>
    <n v="14.18"/>
    <n v="269.42"/>
    <n v="168.29"/>
    <n v="6.07"/>
    <n v="1.1299999999999999"/>
    <n v="2"/>
    <n v="166.73"/>
    <n v="0"/>
    <n v="344.22"/>
    <n v="-74.8"/>
    <s v="Loss"/>
    <x v="1"/>
    <n v="20"/>
    <n v="16"/>
    <s v="16-30"/>
    <s v="Yes"/>
    <n v="2"/>
    <s v="At Risk"/>
    <n v="1"/>
  </r>
  <r>
    <n v="100433"/>
    <d v="2025-12-03T00:00:00"/>
    <n v="1138"/>
    <x v="2"/>
    <x v="10"/>
    <x v="0"/>
    <x v="0"/>
    <x v="0"/>
    <s v="Card"/>
    <n v="29.62"/>
    <n v="18.87"/>
    <x v="2"/>
    <n v="55.89"/>
    <n v="503.04"/>
    <n v="249.39"/>
    <n v="7.23"/>
    <n v="8.3800000000000008"/>
    <n v="10.44"/>
    <n v="307.31"/>
    <n v="0"/>
    <n v="582.75"/>
    <n v="-79.709999999999994"/>
    <s v="Loss"/>
    <x v="1"/>
    <n v="9"/>
    <n v="3"/>
    <s v="0-15"/>
    <s v="Yes"/>
    <n v="3"/>
    <s v="At Risk"/>
    <n v="1"/>
  </r>
  <r>
    <n v="100434"/>
    <d v="2025-10-19T00:00:00"/>
    <n v="1073"/>
    <x v="1"/>
    <x v="13"/>
    <x v="1"/>
    <x v="3"/>
    <x v="2"/>
    <s v="UPI"/>
    <n v="4.5"/>
    <n v="12.83"/>
    <x v="3"/>
    <n v="0"/>
    <n v="57.74"/>
    <n v="33.72"/>
    <n v="9.52"/>
    <n v="0.4"/>
    <n v="9.18"/>
    <n v="0"/>
    <n v="0"/>
    <n v="52.82"/>
    <n v="4.92"/>
    <s v="Profit"/>
    <x v="0"/>
    <n v="1"/>
    <n v="6"/>
    <s v="0-15"/>
    <s v="No"/>
    <n v="0"/>
    <s v="Healthy"/>
    <n v="0"/>
  </r>
  <r>
    <n v="100435"/>
    <d v="2025-10-19T00:00:00"/>
    <n v="1072"/>
    <x v="0"/>
    <x v="0"/>
    <x v="0"/>
    <x v="0"/>
    <x v="2"/>
    <s v="UPI"/>
    <n v="23.43"/>
    <n v="19.149999999999999"/>
    <x v="4"/>
    <n v="22.43"/>
    <n v="426.25"/>
    <n v="164.59"/>
    <n v="11.34"/>
    <n v="3.14"/>
    <n v="6.17"/>
    <n v="442.32"/>
    <n v="5.96"/>
    <n v="633.52"/>
    <n v="-207.27"/>
    <s v="Loss"/>
    <x v="1"/>
    <n v="9"/>
    <n v="4"/>
    <s v="0-15"/>
    <s v="Yes"/>
    <n v="2"/>
    <s v="At Risk"/>
    <n v="1"/>
  </r>
  <r>
    <n v="100436"/>
    <d v="2025-11-06T00:00:00"/>
    <n v="1054"/>
    <x v="1"/>
    <x v="13"/>
    <x v="0"/>
    <x v="3"/>
    <x v="2"/>
    <s v="Card"/>
    <n v="17.98"/>
    <n v="13.37"/>
    <x v="4"/>
    <n v="12.02"/>
    <n v="228.37"/>
    <n v="119.29"/>
    <n v="12.07"/>
    <n v="3.61"/>
    <n v="13.97"/>
    <n v="0"/>
    <n v="0"/>
    <n v="148.94"/>
    <n v="79.430000000000007"/>
    <s v="Profit"/>
    <x v="0"/>
    <n v="16"/>
    <n v="18"/>
    <s v="16-30"/>
    <s v="Yes"/>
    <n v="1"/>
    <s v="At Risk"/>
    <n v="1"/>
  </r>
  <r>
    <n v="100437"/>
    <d v="2025-12-03T00:00:00"/>
    <n v="1054"/>
    <x v="0"/>
    <x v="1"/>
    <x v="1"/>
    <x v="3"/>
    <x v="0"/>
    <s v="Wallet"/>
    <n v="15.8"/>
    <n v="14.22"/>
    <x v="3"/>
    <n v="0"/>
    <n v="224.68"/>
    <n v="139.58000000000001"/>
    <n v="6.33"/>
    <n v="2.7"/>
    <n v="7.91"/>
    <n v="0"/>
    <n v="0"/>
    <n v="156.52000000000001"/>
    <n v="68.16"/>
    <s v="Profit"/>
    <x v="0"/>
    <n v="7"/>
    <n v="22"/>
    <s v="0-15"/>
    <s v="Yes"/>
    <n v="3"/>
    <s v="At Risk"/>
    <n v="1"/>
  </r>
  <r>
    <n v="100438"/>
    <d v="2025-12-06T00:00:00"/>
    <n v="1014"/>
    <x v="1"/>
    <x v="2"/>
    <x v="0"/>
    <x v="3"/>
    <x v="0"/>
    <s v="Fleet_Invoice"/>
    <n v="25.03"/>
    <n v="13.18"/>
    <x v="3"/>
    <n v="0"/>
    <n v="329.9"/>
    <n v="189.52"/>
    <n v="8.2899999999999991"/>
    <n v="1.32"/>
    <n v="11.09"/>
    <n v="161"/>
    <n v="0"/>
    <n v="371.22"/>
    <n v="-41.32"/>
    <s v="Loss"/>
    <x v="1"/>
    <n v="9"/>
    <n v="10"/>
    <s v="0-15"/>
    <s v="Yes"/>
    <n v="3"/>
    <s v="At Risk"/>
    <n v="1"/>
  </r>
  <r>
    <n v="100439"/>
    <d v="2025-10-27T00:00:00"/>
    <n v="1080"/>
    <x v="2"/>
    <x v="9"/>
    <x v="4"/>
    <x v="3"/>
    <x v="0"/>
    <s v="Card"/>
    <n v="12.73"/>
    <n v="14.79"/>
    <x v="4"/>
    <n v="9.41"/>
    <n v="178.87"/>
    <n v="113.3"/>
    <n v="8.6999999999999993"/>
    <n v="2.82"/>
    <n v="0.57999999999999996"/>
    <n v="0"/>
    <n v="0"/>
    <n v="125.4"/>
    <n v="53.47"/>
    <s v="Profit"/>
    <x v="0"/>
    <n v="6"/>
    <n v="33"/>
    <s v="0-15"/>
    <s v="Yes"/>
    <n v="1"/>
    <s v="At Risk"/>
    <n v="1"/>
  </r>
  <r>
    <n v="100440"/>
    <d v="2025-10-04T00:00:00"/>
    <n v="1035"/>
    <x v="3"/>
    <x v="15"/>
    <x v="3"/>
    <x v="1"/>
    <x v="0"/>
    <s v="Card"/>
    <n v="27.39"/>
    <n v="16.45"/>
    <x v="4"/>
    <n v="22.53"/>
    <n v="428.04"/>
    <n v="152.30000000000001"/>
    <n v="6.8"/>
    <n v="6.76"/>
    <n v="12.93"/>
    <n v="0"/>
    <n v="0"/>
    <n v="178.79"/>
    <n v="249.25"/>
    <s v="Profit"/>
    <x v="0"/>
    <n v="7"/>
    <n v="1"/>
    <s v="0-15"/>
    <s v="No"/>
    <n v="0"/>
    <s v="Healthy"/>
    <n v="0"/>
  </r>
  <r>
    <n v="100441"/>
    <d v="2025-11-28T00:00:00"/>
    <n v="1010"/>
    <x v="0"/>
    <x v="11"/>
    <x v="4"/>
    <x v="3"/>
    <x v="2"/>
    <s v="UPI"/>
    <n v="35.340000000000003"/>
    <n v="12.78"/>
    <x v="2"/>
    <n v="45.16"/>
    <n v="406.49"/>
    <n v="293.99"/>
    <n v="11.35"/>
    <n v="3.16"/>
    <n v="7.71"/>
    <n v="0"/>
    <n v="0"/>
    <n v="316.20999999999998"/>
    <n v="90.28"/>
    <s v="Profit"/>
    <x v="0"/>
    <n v="4"/>
    <n v="1"/>
    <s v="0-15"/>
    <s v="No"/>
    <n v="0"/>
    <s v="Healthy"/>
    <n v="0"/>
  </r>
  <r>
    <n v="100442"/>
    <d v="2025-11-16T00:00:00"/>
    <n v="1133"/>
    <x v="0"/>
    <x v="6"/>
    <x v="4"/>
    <x v="3"/>
    <x v="2"/>
    <s v="Card"/>
    <n v="15.85"/>
    <n v="13.21"/>
    <x v="3"/>
    <n v="0"/>
    <n v="209.38"/>
    <n v="128.68"/>
    <n v="6.38"/>
    <n v="3.14"/>
    <n v="7.86"/>
    <n v="0"/>
    <n v="0"/>
    <n v="146.06"/>
    <n v="63.32"/>
    <s v="Profit"/>
    <x v="0"/>
    <n v="1"/>
    <n v="3"/>
    <s v="0-15"/>
    <s v="No"/>
    <n v="1"/>
    <s v="Healthy"/>
    <n v="0"/>
  </r>
  <r>
    <n v="100443"/>
    <d v="2025-10-15T00:00:00"/>
    <n v="1104"/>
    <x v="2"/>
    <x v="10"/>
    <x v="2"/>
    <x v="2"/>
    <x v="0"/>
    <s v="Fleet_Invoice"/>
    <n v="36.72"/>
    <n v="17.100000000000001"/>
    <x v="2"/>
    <n v="62.79"/>
    <n v="565.12"/>
    <n v="287.83999999999997"/>
    <n v="10.94"/>
    <n v="2.5099999999999998"/>
    <n v="4.04"/>
    <n v="0"/>
    <n v="0"/>
    <n v="305.33"/>
    <n v="259.79000000000002"/>
    <s v="Profit"/>
    <x v="0"/>
    <n v="2"/>
    <n v="9"/>
    <s v="0-15"/>
    <s v="No"/>
    <n v="0"/>
    <s v="Healthy"/>
    <n v="0"/>
  </r>
  <r>
    <n v="100444"/>
    <d v="2025-11-25T00:00:00"/>
    <n v="1053"/>
    <x v="2"/>
    <x v="12"/>
    <x v="1"/>
    <x v="1"/>
    <x v="0"/>
    <s v="UPI"/>
    <n v="28.06"/>
    <n v="16.440000000000001"/>
    <x v="2"/>
    <n v="46.13"/>
    <n v="415.18"/>
    <n v="206.01"/>
    <n v="4.09"/>
    <n v="3.23"/>
    <n v="7.52"/>
    <n v="0"/>
    <n v="0"/>
    <n v="220.85"/>
    <n v="194.33"/>
    <s v="Profit"/>
    <x v="0"/>
    <n v="1"/>
    <n v="4"/>
    <s v="0-15"/>
    <s v="No"/>
    <n v="0"/>
    <s v="Healthy"/>
    <n v="0"/>
  </r>
  <r>
    <n v="100445"/>
    <d v="2025-12-05T00:00:00"/>
    <n v="1021"/>
    <x v="2"/>
    <x v="5"/>
    <x v="1"/>
    <x v="3"/>
    <x v="0"/>
    <s v="Card"/>
    <n v="22.85"/>
    <n v="13.39"/>
    <x v="3"/>
    <n v="0"/>
    <n v="305.95999999999998"/>
    <n v="189.05"/>
    <n v="6.71"/>
    <n v="4.59"/>
    <n v="4.2699999999999996"/>
    <n v="263.11"/>
    <n v="0"/>
    <n v="467.73"/>
    <n v="-161.77000000000001"/>
    <s v="Loss"/>
    <x v="2"/>
    <n v="6"/>
    <n v="2"/>
    <s v="0-15"/>
    <s v="No"/>
    <n v="3"/>
    <s v="At Risk"/>
    <n v="0"/>
  </r>
  <r>
    <n v="100446"/>
    <d v="2025-12-04T00:00:00"/>
    <n v="1087"/>
    <x v="3"/>
    <x v="8"/>
    <x v="3"/>
    <x v="1"/>
    <x v="0"/>
    <s v="UPI"/>
    <n v="6.13"/>
    <n v="14.65"/>
    <x v="2"/>
    <n v="8.98"/>
    <n v="80.819999999999993"/>
    <n v="40.32"/>
    <n v="8.6"/>
    <n v="0.63"/>
    <n v="8.68"/>
    <n v="0"/>
    <n v="0"/>
    <n v="58.23"/>
    <n v="22.59"/>
    <s v="Profit"/>
    <x v="0"/>
    <n v="1"/>
    <n v="24"/>
    <s v="0-15"/>
    <s v="Yes"/>
    <n v="2"/>
    <s v="At Risk"/>
    <n v="1"/>
  </r>
  <r>
    <n v="100447"/>
    <d v="2025-10-28T00:00:00"/>
    <n v="1052"/>
    <x v="2"/>
    <x v="9"/>
    <x v="4"/>
    <x v="1"/>
    <x v="0"/>
    <s v="UPI"/>
    <n v="24.39"/>
    <n v="17.149999999999999"/>
    <x v="2"/>
    <n v="41.83"/>
    <n v="376.46"/>
    <n v="182.2"/>
    <n v="4.22"/>
    <n v="2.93"/>
    <n v="3.75"/>
    <n v="0"/>
    <n v="0"/>
    <n v="193.1"/>
    <n v="183.36"/>
    <s v="Profit"/>
    <x v="0"/>
    <n v="9"/>
    <n v="7"/>
    <s v="0-15"/>
    <s v="No"/>
    <n v="0"/>
    <s v="Healthy"/>
    <n v="0"/>
  </r>
  <r>
    <n v="100448"/>
    <d v="2025-11-13T00:00:00"/>
    <n v="1063"/>
    <x v="1"/>
    <x v="4"/>
    <x v="0"/>
    <x v="3"/>
    <x v="2"/>
    <s v="UPI"/>
    <n v="23.86"/>
    <n v="12.72"/>
    <x v="2"/>
    <n v="30.35"/>
    <n v="273.14999999999998"/>
    <n v="161.22"/>
    <n v="10.29"/>
    <n v="2.12"/>
    <n v="12.99"/>
    <n v="0"/>
    <n v="0"/>
    <n v="186.62"/>
    <n v="86.53"/>
    <s v="Profit"/>
    <x v="0"/>
    <n v="10"/>
    <n v="18"/>
    <s v="0-15"/>
    <s v="Yes"/>
    <n v="3"/>
    <s v="At Risk"/>
    <n v="1"/>
  </r>
  <r>
    <n v="100449"/>
    <d v="2025-10-07T00:00:00"/>
    <n v="1141"/>
    <x v="1"/>
    <x v="3"/>
    <x v="0"/>
    <x v="1"/>
    <x v="0"/>
    <s v="Wallet"/>
    <n v="14.45"/>
    <n v="15.72"/>
    <x v="3"/>
    <n v="0"/>
    <n v="227.15"/>
    <n v="117.75"/>
    <n v="8.15"/>
    <n v="2.73"/>
    <n v="7.25"/>
    <n v="0"/>
    <n v="0"/>
    <n v="135.88"/>
    <n v="91.27"/>
    <s v="Profit"/>
    <x v="0"/>
    <n v="5"/>
    <n v="2"/>
    <s v="0-15"/>
    <s v="No"/>
    <n v="0"/>
    <s v="Healthy"/>
    <n v="0"/>
  </r>
  <r>
    <n v="100450"/>
    <d v="2025-11-21T00:00:00"/>
    <n v="1078"/>
    <x v="0"/>
    <x v="11"/>
    <x v="2"/>
    <x v="3"/>
    <x v="0"/>
    <s v="UPI"/>
    <n v="3"/>
    <n v="13.08"/>
    <x v="2"/>
    <n v="3.92"/>
    <n v="35.32"/>
    <n v="24.35"/>
    <n v="7.44"/>
    <n v="0.27"/>
    <n v="7.87"/>
    <n v="0"/>
    <n v="0"/>
    <n v="39.93"/>
    <n v="-4.6100000000000003"/>
    <s v="Loss"/>
    <x v="0"/>
    <n v="7"/>
    <n v="2"/>
    <s v="0-15"/>
    <s v="No"/>
    <n v="0"/>
    <s v="At Risk"/>
    <n v="0"/>
  </r>
  <r>
    <n v="100451"/>
    <d v="2025-10-28T00:00:00"/>
    <n v="1080"/>
    <x v="1"/>
    <x v="3"/>
    <x v="3"/>
    <x v="3"/>
    <x v="2"/>
    <s v="Wallet"/>
    <n v="26.35"/>
    <n v="13.04"/>
    <x v="1"/>
    <n v="68.72"/>
    <n v="274.88"/>
    <n v="177.69"/>
    <n v="8.0299999999999994"/>
    <n v="4.12"/>
    <n v="9.85"/>
    <n v="0"/>
    <n v="0"/>
    <n v="199.69"/>
    <n v="75.19"/>
    <s v="Profit"/>
    <x v="0"/>
    <n v="12"/>
    <n v="21"/>
    <s v="0-15"/>
    <s v="Yes"/>
    <n v="3"/>
    <s v="At Risk"/>
    <n v="1"/>
  </r>
  <r>
    <n v="100452"/>
    <d v="2025-11-08T00:00:00"/>
    <n v="1045"/>
    <x v="2"/>
    <x v="5"/>
    <x v="0"/>
    <x v="3"/>
    <x v="1"/>
    <s v="UPI"/>
    <n v="5.31"/>
    <n v="11.79"/>
    <x v="0"/>
    <n v="9.39"/>
    <n v="53.21"/>
    <n v="31.72"/>
    <n v="9.2200000000000006"/>
    <n v="0.44"/>
    <n v="6.96"/>
    <n v="0"/>
    <n v="0"/>
    <n v="48.34"/>
    <n v="4.87"/>
    <s v="Profit"/>
    <x v="0"/>
    <n v="0"/>
    <n v="52"/>
    <s v="0-15"/>
    <s v="Yes"/>
    <n v="3"/>
    <s v="At Risk"/>
    <n v="1"/>
  </r>
  <r>
    <n v="100453"/>
    <d v="2025-10-23T00:00:00"/>
    <n v="1017"/>
    <x v="3"/>
    <x v="15"/>
    <x v="0"/>
    <x v="0"/>
    <x v="1"/>
    <s v="UPI"/>
    <n v="26.76"/>
    <n v="18.989999999999998"/>
    <x v="4"/>
    <n v="25.41"/>
    <n v="482.76"/>
    <n v="212.07"/>
    <n v="4.04"/>
    <n v="3.56"/>
    <n v="7.64"/>
    <n v="0"/>
    <n v="0"/>
    <n v="227.31"/>
    <n v="255.45"/>
    <s v="Profit"/>
    <x v="0"/>
    <n v="17"/>
    <n v="19"/>
    <s v="16-30"/>
    <s v="Yes"/>
    <n v="2"/>
    <s v="At Risk"/>
    <n v="1"/>
  </r>
  <r>
    <n v="100454"/>
    <d v="2025-10-15T00:00:00"/>
    <n v="1018"/>
    <x v="1"/>
    <x v="2"/>
    <x v="3"/>
    <x v="0"/>
    <x v="0"/>
    <s v="Fleet_Invoice"/>
    <n v="30.13"/>
    <n v="19.45"/>
    <x v="3"/>
    <n v="0"/>
    <n v="586.03"/>
    <n v="212.53"/>
    <n v="4.4800000000000004"/>
    <n v="2.34"/>
    <n v="10.95"/>
    <n v="0"/>
    <n v="0"/>
    <n v="230.3"/>
    <n v="355.73"/>
    <s v="Profit"/>
    <x v="0"/>
    <n v="9"/>
    <n v="5"/>
    <s v="0-15"/>
    <s v="No"/>
    <n v="0"/>
    <s v="Healthy"/>
    <n v="0"/>
  </r>
  <r>
    <n v="100455"/>
    <d v="2025-11-03T00:00:00"/>
    <n v="1079"/>
    <x v="3"/>
    <x v="8"/>
    <x v="0"/>
    <x v="2"/>
    <x v="2"/>
    <s v="UPI"/>
    <n v="26.06"/>
    <n v="17.79"/>
    <x v="3"/>
    <n v="0"/>
    <n v="463.61"/>
    <n v="211.51"/>
    <n v="9.07"/>
    <n v="3.25"/>
    <n v="7.08"/>
    <n v="384.62"/>
    <n v="16"/>
    <n v="631.53"/>
    <n v="-167.92"/>
    <s v="Loss"/>
    <x v="2"/>
    <n v="6"/>
    <n v="3"/>
    <s v="0-15"/>
    <s v="No"/>
    <n v="1"/>
    <s v="At Risk"/>
    <n v="0"/>
  </r>
  <r>
    <n v="100456"/>
    <d v="2025-10-07T00:00:00"/>
    <n v="1065"/>
    <x v="1"/>
    <x v="2"/>
    <x v="3"/>
    <x v="3"/>
    <x v="0"/>
    <s v="UPI"/>
    <n v="23.8"/>
    <n v="11.45"/>
    <x v="2"/>
    <n v="27.25"/>
    <n v="245.26"/>
    <n v="151.07"/>
    <n v="6.78"/>
    <n v="1.91"/>
    <n v="0.08"/>
    <n v="0"/>
    <n v="0"/>
    <n v="159.84"/>
    <n v="85.42"/>
    <s v="Profit"/>
    <x v="0"/>
    <n v="4"/>
    <n v="1"/>
    <s v="0-15"/>
    <s v="No"/>
    <n v="1"/>
    <s v="Healthy"/>
    <n v="0"/>
  </r>
  <r>
    <n v="100457"/>
    <d v="2025-11-04T00:00:00"/>
    <n v="1124"/>
    <x v="3"/>
    <x v="14"/>
    <x v="0"/>
    <x v="3"/>
    <x v="0"/>
    <s v="Wallet"/>
    <n v="11.59"/>
    <n v="12.88"/>
    <x v="1"/>
    <n v="29.86"/>
    <n v="119.42"/>
    <n v="87.96"/>
    <n v="13.9"/>
    <n v="1.79"/>
    <n v="3.18"/>
    <n v="0"/>
    <n v="0"/>
    <n v="106.83"/>
    <n v="12.59"/>
    <s v="Profit"/>
    <x v="0"/>
    <n v="3"/>
    <n v="3"/>
    <s v="0-15"/>
    <s v="No"/>
    <n v="0"/>
    <s v="Healthy"/>
    <n v="0"/>
  </r>
  <r>
    <n v="100458"/>
    <d v="2025-11-22T00:00:00"/>
    <n v="1114"/>
    <x v="3"/>
    <x v="8"/>
    <x v="1"/>
    <x v="0"/>
    <x v="0"/>
    <s v="Wallet"/>
    <n v="37.880000000000003"/>
    <n v="19.34"/>
    <x v="2"/>
    <n v="73.260000000000005"/>
    <n v="659.34"/>
    <n v="265.42"/>
    <n v="3.15"/>
    <n v="8.7899999999999991"/>
    <n v="5.0199999999999996"/>
    <n v="0"/>
    <n v="0"/>
    <n v="282.38"/>
    <n v="376.96"/>
    <s v="Profit"/>
    <x v="0"/>
    <n v="15"/>
    <n v="7"/>
    <s v="0-15"/>
    <s v="No"/>
    <n v="0"/>
    <s v="Healthy"/>
    <n v="0"/>
  </r>
  <r>
    <n v="100459"/>
    <d v="2025-11-24T00:00:00"/>
    <n v="1105"/>
    <x v="1"/>
    <x v="3"/>
    <x v="3"/>
    <x v="3"/>
    <x v="0"/>
    <s v="UPI"/>
    <n v="25.51"/>
    <n v="13.74"/>
    <x v="3"/>
    <n v="0"/>
    <n v="350.51"/>
    <n v="200.52"/>
    <n v="5.22"/>
    <n v="2.4500000000000002"/>
    <n v="8.36"/>
    <n v="0"/>
    <n v="0"/>
    <n v="216.55"/>
    <n v="133.96"/>
    <s v="Profit"/>
    <x v="0"/>
    <n v="6"/>
    <n v="12"/>
    <s v="0-15"/>
    <s v="No"/>
    <n v="0"/>
    <s v="Healthy"/>
    <n v="0"/>
  </r>
  <r>
    <n v="100460"/>
    <d v="2025-11-14T00:00:00"/>
    <n v="1078"/>
    <x v="2"/>
    <x v="9"/>
    <x v="0"/>
    <x v="1"/>
    <x v="0"/>
    <s v="UPI"/>
    <n v="30.36"/>
    <n v="14.65"/>
    <x v="3"/>
    <n v="0"/>
    <n v="444.77"/>
    <n v="190.61"/>
    <n v="5.46"/>
    <n v="3.11"/>
    <n v="3.85"/>
    <n v="0"/>
    <n v="0"/>
    <n v="203.03"/>
    <n v="241.74"/>
    <s v="Profit"/>
    <x v="0"/>
    <n v="14"/>
    <n v="5"/>
    <s v="0-15"/>
    <s v="No"/>
    <n v="0"/>
    <s v="Healthy"/>
    <n v="0"/>
  </r>
  <r>
    <n v="100461"/>
    <d v="2025-11-15T00:00:00"/>
    <n v="1135"/>
    <x v="2"/>
    <x v="10"/>
    <x v="3"/>
    <x v="3"/>
    <x v="2"/>
    <s v="Fleet_Invoice"/>
    <n v="11.93"/>
    <n v="12.47"/>
    <x v="4"/>
    <n v="7.44"/>
    <n v="141.33000000000001"/>
    <n v="104.35"/>
    <n v="12.04"/>
    <n v="0.6"/>
    <n v="5.78"/>
    <n v="0"/>
    <n v="0"/>
    <n v="122.77"/>
    <n v="18.559999999999999"/>
    <s v="Profit"/>
    <x v="0"/>
    <n v="27"/>
    <n v="17"/>
    <s v="16-30"/>
    <s v="Yes"/>
    <n v="1"/>
    <s v="At Risk"/>
    <n v="1"/>
  </r>
  <r>
    <n v="100462"/>
    <d v="2025-10-09T00:00:00"/>
    <n v="1021"/>
    <x v="1"/>
    <x v="4"/>
    <x v="1"/>
    <x v="3"/>
    <x v="0"/>
    <s v="Fleet_Invoice"/>
    <n v="13.92"/>
    <n v="12.46"/>
    <x v="3"/>
    <n v="0"/>
    <n v="173.44"/>
    <n v="91.49"/>
    <n v="14.46"/>
    <n v="0.69"/>
    <n v="7.95"/>
    <n v="0"/>
    <n v="0"/>
    <n v="114.59"/>
    <n v="58.85"/>
    <s v="Profit"/>
    <x v="0"/>
    <n v="9"/>
    <n v="3"/>
    <s v="0-15"/>
    <s v="No"/>
    <n v="0"/>
    <s v="Healthy"/>
    <n v="0"/>
  </r>
  <r>
    <n v="100463"/>
    <d v="2025-12-13T00:00:00"/>
    <n v="1083"/>
    <x v="2"/>
    <x v="12"/>
    <x v="1"/>
    <x v="3"/>
    <x v="0"/>
    <s v="UPI"/>
    <n v="19.079999999999998"/>
    <n v="12.94"/>
    <x v="3"/>
    <n v="0"/>
    <n v="246.9"/>
    <n v="121.39"/>
    <n v="8.58"/>
    <n v="1.73"/>
    <n v="4.25"/>
    <n v="0"/>
    <n v="0"/>
    <n v="135.94999999999999"/>
    <n v="110.95"/>
    <s v="Profit"/>
    <x v="0"/>
    <n v="27"/>
    <n v="21"/>
    <s v="16-30"/>
    <s v="Yes"/>
    <n v="1"/>
    <s v="At Risk"/>
    <n v="1"/>
  </r>
  <r>
    <n v="100464"/>
    <d v="2025-12-31T00:00:00"/>
    <n v="1054"/>
    <x v="3"/>
    <x v="15"/>
    <x v="0"/>
    <x v="3"/>
    <x v="0"/>
    <s v="UPI"/>
    <n v="22.02"/>
    <n v="11.15"/>
    <x v="4"/>
    <n v="12.28"/>
    <n v="233.24"/>
    <n v="140.47999999999999"/>
    <n v="11.87"/>
    <n v="1.72"/>
    <n v="8.77"/>
    <n v="0"/>
    <n v="0"/>
    <n v="162.84"/>
    <n v="70.400000000000006"/>
    <s v="Profit"/>
    <x v="0"/>
    <n v="3"/>
    <n v="10"/>
    <s v="0-15"/>
    <s v="No"/>
    <n v="0"/>
    <s v="Healthy"/>
    <n v="0"/>
  </r>
  <r>
    <n v="100465"/>
    <d v="2025-11-18T00:00:00"/>
    <n v="1139"/>
    <x v="0"/>
    <x v="11"/>
    <x v="2"/>
    <x v="3"/>
    <x v="2"/>
    <s v="Wallet"/>
    <n v="23.26"/>
    <n v="12.5"/>
    <x v="2"/>
    <n v="29.08"/>
    <n v="261.67"/>
    <n v="181.62"/>
    <n v="9.8800000000000008"/>
    <n v="3.49"/>
    <n v="3.2"/>
    <n v="281.42"/>
    <n v="3.01"/>
    <n v="482.62"/>
    <n v="-220.95"/>
    <s v="Loss"/>
    <x v="1"/>
    <n v="13"/>
    <n v="5"/>
    <s v="0-15"/>
    <s v="Yes"/>
    <n v="2"/>
    <s v="At Risk"/>
    <n v="1"/>
  </r>
  <r>
    <n v="100466"/>
    <d v="2025-12-19T00:00:00"/>
    <n v="1134"/>
    <x v="3"/>
    <x v="15"/>
    <x v="4"/>
    <x v="0"/>
    <x v="0"/>
    <s v="UPI"/>
    <n v="28.58"/>
    <n v="18.73"/>
    <x v="0"/>
    <n v="80.290000000000006"/>
    <n v="455.01"/>
    <n v="258.16000000000003"/>
    <n v="9.6199999999999992"/>
    <n v="3.75"/>
    <n v="7.33"/>
    <n v="0"/>
    <n v="0"/>
    <n v="278.86"/>
    <n v="176.15"/>
    <s v="Profit"/>
    <x v="0"/>
    <n v="4"/>
    <n v="0"/>
    <s v="0-15"/>
    <s v="No"/>
    <n v="0"/>
    <s v="Healthy"/>
    <n v="0"/>
  </r>
  <r>
    <n v="100467"/>
    <d v="2025-10-04T00:00:00"/>
    <n v="1061"/>
    <x v="2"/>
    <x v="10"/>
    <x v="0"/>
    <x v="0"/>
    <x v="0"/>
    <s v="UPI"/>
    <n v="20.22"/>
    <n v="18.73"/>
    <x v="3"/>
    <n v="0"/>
    <n v="378.72"/>
    <n v="159.12"/>
    <n v="10.83"/>
    <n v="2.65"/>
    <n v="9.31"/>
    <n v="175.99"/>
    <n v="0"/>
    <n v="357.9"/>
    <n v="20.82"/>
    <s v="Profit"/>
    <x v="1"/>
    <n v="4"/>
    <n v="9"/>
    <s v="0-15"/>
    <s v="Yes"/>
    <n v="4"/>
    <s v="At Risk"/>
    <n v="1"/>
  </r>
  <r>
    <n v="100468"/>
    <d v="2025-11-19T00:00:00"/>
    <n v="1069"/>
    <x v="3"/>
    <x v="14"/>
    <x v="2"/>
    <x v="3"/>
    <x v="1"/>
    <s v="UPI"/>
    <n v="31.9"/>
    <n v="12.49"/>
    <x v="3"/>
    <n v="0"/>
    <n v="398.43"/>
    <n v="257.39"/>
    <n v="9.61"/>
    <n v="2.79"/>
    <n v="5.18"/>
    <n v="0"/>
    <n v="0"/>
    <n v="274.97000000000003"/>
    <n v="123.46"/>
    <s v="Profit"/>
    <x v="0"/>
    <n v="39"/>
    <n v="10"/>
    <s v="30+"/>
    <s v="Yes"/>
    <n v="1"/>
    <s v="At Risk"/>
    <n v="1"/>
  </r>
  <r>
    <n v="100469"/>
    <d v="2025-12-22T00:00:00"/>
    <n v="1106"/>
    <x v="3"/>
    <x v="14"/>
    <x v="0"/>
    <x v="3"/>
    <x v="0"/>
    <s v="Card"/>
    <n v="18.13"/>
    <n v="13.03"/>
    <x v="3"/>
    <n v="0"/>
    <n v="236.23"/>
    <n v="115.56"/>
    <n v="11.52"/>
    <n v="3.54"/>
    <n v="11.09"/>
    <n v="0"/>
    <n v="0"/>
    <n v="141.71"/>
    <n v="94.52"/>
    <s v="Profit"/>
    <x v="0"/>
    <n v="51"/>
    <n v="4"/>
    <s v="30+"/>
    <s v="Yes"/>
    <n v="2"/>
    <s v="At Risk"/>
    <n v="1"/>
  </r>
  <r>
    <n v="100470"/>
    <d v="2025-11-23T00:00:00"/>
    <n v="1089"/>
    <x v="1"/>
    <x v="3"/>
    <x v="0"/>
    <x v="3"/>
    <x v="2"/>
    <s v="Wallet"/>
    <n v="7.77"/>
    <n v="12.89"/>
    <x v="0"/>
    <n v="15.02"/>
    <n v="85.14"/>
    <n v="55.62"/>
    <n v="2.06"/>
    <n v="1.2"/>
    <n v="1.62"/>
    <n v="0"/>
    <n v="0"/>
    <n v="60.5"/>
    <n v="24.64"/>
    <s v="Profit"/>
    <x v="0"/>
    <n v="1"/>
    <n v="14"/>
    <s v="0-15"/>
    <s v="No"/>
    <n v="0"/>
    <s v="Healthy"/>
    <n v="0"/>
  </r>
  <r>
    <n v="100471"/>
    <d v="2025-10-29T00:00:00"/>
    <n v="1130"/>
    <x v="0"/>
    <x v="0"/>
    <x v="1"/>
    <x v="3"/>
    <x v="0"/>
    <s v="UPI"/>
    <n v="28.26"/>
    <n v="12.94"/>
    <x v="0"/>
    <n v="54.85"/>
    <n v="310.83"/>
    <n v="197.01"/>
    <n v="6.59"/>
    <n v="2.56"/>
    <n v="0.84"/>
    <n v="0"/>
    <n v="0"/>
    <n v="207"/>
    <n v="103.83"/>
    <s v="Profit"/>
    <x v="0"/>
    <n v="11"/>
    <n v="1"/>
    <s v="0-15"/>
    <s v="No"/>
    <n v="0"/>
    <s v="Healthy"/>
    <n v="0"/>
  </r>
  <r>
    <n v="100472"/>
    <d v="2025-12-23T00:00:00"/>
    <n v="1110"/>
    <x v="3"/>
    <x v="7"/>
    <x v="2"/>
    <x v="0"/>
    <x v="0"/>
    <s v="Fleet_Invoice"/>
    <n v="37.74"/>
    <n v="19.420000000000002"/>
    <x v="3"/>
    <n v="0"/>
    <n v="732.91"/>
    <n v="224.44"/>
    <n v="7.08"/>
    <n v="2.93"/>
    <n v="9.31"/>
    <n v="0"/>
    <n v="0"/>
    <n v="243.76"/>
    <n v="489.15"/>
    <s v="Profit"/>
    <x v="0"/>
    <n v="6"/>
    <n v="4"/>
    <s v="0-15"/>
    <s v="No"/>
    <n v="0"/>
    <s v="Healthy"/>
    <n v="0"/>
  </r>
  <r>
    <n v="100473"/>
    <d v="2025-12-07T00:00:00"/>
    <n v="1110"/>
    <x v="1"/>
    <x v="4"/>
    <x v="4"/>
    <x v="3"/>
    <x v="0"/>
    <s v="Fleet_Invoice"/>
    <n v="32.29"/>
    <n v="13.57"/>
    <x v="4"/>
    <n v="21.91"/>
    <n v="416.27"/>
    <n v="205.89"/>
    <n v="8.77"/>
    <n v="1.75"/>
    <n v="5.97"/>
    <n v="0"/>
    <n v="0"/>
    <n v="222.38"/>
    <n v="193.89"/>
    <s v="Profit"/>
    <x v="0"/>
    <n v="12"/>
    <n v="0"/>
    <s v="0-15"/>
    <s v="No"/>
    <n v="0"/>
    <s v="Healthy"/>
    <n v="0"/>
  </r>
  <r>
    <n v="100474"/>
    <d v="2025-12-08T00:00:00"/>
    <n v="1009"/>
    <x v="2"/>
    <x v="9"/>
    <x v="1"/>
    <x v="0"/>
    <x v="0"/>
    <s v="Card"/>
    <n v="20.91"/>
    <n v="19.14"/>
    <x v="3"/>
    <n v="0"/>
    <n v="400.22"/>
    <n v="152.72"/>
    <n v="10.83"/>
    <n v="6"/>
    <n v="0"/>
    <n v="0"/>
    <n v="0"/>
    <n v="169.55"/>
    <n v="230.67"/>
    <s v="Profit"/>
    <x v="0"/>
    <n v="6"/>
    <n v="27"/>
    <s v="0-15"/>
    <s v="Yes"/>
    <n v="2"/>
    <s v="At Risk"/>
    <n v="1"/>
  </r>
  <r>
    <n v="100475"/>
    <d v="2025-10-11T00:00:00"/>
    <n v="1138"/>
    <x v="3"/>
    <x v="14"/>
    <x v="1"/>
    <x v="3"/>
    <x v="2"/>
    <s v="UPI"/>
    <n v="10.89"/>
    <n v="11.32"/>
    <x v="2"/>
    <n v="12.33"/>
    <n v="110.94"/>
    <n v="83.42"/>
    <n v="2.68"/>
    <n v="0.86"/>
    <n v="0"/>
    <n v="0"/>
    <n v="0"/>
    <n v="86.96"/>
    <n v="23.98"/>
    <s v="Profit"/>
    <x v="0"/>
    <n v="11"/>
    <n v="5"/>
    <s v="0-15"/>
    <s v="No"/>
    <n v="0"/>
    <s v="Healthy"/>
    <n v="0"/>
  </r>
  <r>
    <n v="100476"/>
    <d v="2025-10-13T00:00:00"/>
    <n v="1022"/>
    <x v="3"/>
    <x v="15"/>
    <x v="3"/>
    <x v="3"/>
    <x v="1"/>
    <s v="Card"/>
    <n v="27.07"/>
    <n v="12.87"/>
    <x v="4"/>
    <n v="17.420000000000002"/>
    <n v="330.97"/>
    <n v="199.45"/>
    <n v="8.92"/>
    <n v="5.23"/>
    <n v="5.36"/>
    <n v="208.46"/>
    <n v="9.2100000000000009"/>
    <n v="436.63"/>
    <n v="-105.66"/>
    <s v="Loss"/>
    <x v="2"/>
    <n v="27"/>
    <n v="6"/>
    <s v="16-30"/>
    <s v="Yes"/>
    <n v="2"/>
    <s v="At Risk"/>
    <n v="1"/>
  </r>
  <r>
    <n v="100477"/>
    <d v="2025-11-25T00:00:00"/>
    <n v="1040"/>
    <x v="0"/>
    <x v="6"/>
    <x v="3"/>
    <x v="3"/>
    <x v="0"/>
    <s v="Wallet"/>
    <n v="7.1"/>
    <n v="12.78"/>
    <x v="4"/>
    <n v="4.54"/>
    <n v="86.2"/>
    <n v="47.8"/>
    <n v="6.35"/>
    <n v="1.0900000000000001"/>
    <n v="9.83"/>
    <n v="0"/>
    <n v="0"/>
    <n v="65.069999999999993"/>
    <n v="21.13"/>
    <s v="Profit"/>
    <x v="0"/>
    <n v="8"/>
    <n v="14"/>
    <s v="0-15"/>
    <s v="No"/>
    <n v="0"/>
    <s v="Healthy"/>
    <n v="0"/>
  </r>
  <r>
    <n v="100478"/>
    <d v="2025-10-21T00:00:00"/>
    <n v="1062"/>
    <x v="2"/>
    <x v="12"/>
    <x v="2"/>
    <x v="3"/>
    <x v="0"/>
    <s v="Card"/>
    <n v="22.89"/>
    <n v="12.72"/>
    <x v="3"/>
    <n v="0"/>
    <n v="291.16000000000003"/>
    <n v="121.4"/>
    <n v="5.04"/>
    <n v="4.37"/>
    <n v="6.66"/>
    <n v="0"/>
    <n v="0"/>
    <n v="137.47"/>
    <n v="153.69"/>
    <s v="Profit"/>
    <x v="0"/>
    <n v="25"/>
    <n v="1"/>
    <s v="16-30"/>
    <s v="Yes"/>
    <n v="1"/>
    <s v="At Risk"/>
    <n v="1"/>
  </r>
  <r>
    <n v="100479"/>
    <d v="2025-12-17T00:00:00"/>
    <n v="1127"/>
    <x v="0"/>
    <x v="0"/>
    <x v="1"/>
    <x v="2"/>
    <x v="0"/>
    <s v="Wallet"/>
    <n v="21.37"/>
    <n v="17.29"/>
    <x v="3"/>
    <n v="0"/>
    <n v="369.49"/>
    <n v="151"/>
    <n v="9.6199999999999992"/>
    <n v="4.43"/>
    <n v="0"/>
    <n v="0"/>
    <n v="0"/>
    <n v="165.05"/>
    <n v="204.44"/>
    <s v="Profit"/>
    <x v="0"/>
    <n v="13"/>
    <n v="12"/>
    <s v="0-15"/>
    <s v="No"/>
    <n v="0"/>
    <s v="Healthy"/>
    <n v="0"/>
  </r>
  <r>
    <n v="100480"/>
    <d v="2025-12-07T00:00:00"/>
    <n v="1119"/>
    <x v="2"/>
    <x v="10"/>
    <x v="1"/>
    <x v="1"/>
    <x v="1"/>
    <s v="UPI"/>
    <n v="30.47"/>
    <n v="15.51"/>
    <x v="3"/>
    <n v="0"/>
    <n v="472.59"/>
    <n v="270.69"/>
    <n v="7.2"/>
    <n v="3.31"/>
    <n v="0"/>
    <n v="0"/>
    <n v="0"/>
    <n v="281.2"/>
    <n v="191.39"/>
    <s v="Profit"/>
    <x v="0"/>
    <n v="2"/>
    <n v="25"/>
    <s v="0-15"/>
    <s v="Yes"/>
    <n v="1"/>
    <s v="At Risk"/>
    <n v="1"/>
  </r>
  <r>
    <n v="100481"/>
    <d v="2025-11-02T00:00:00"/>
    <n v="1026"/>
    <x v="2"/>
    <x v="10"/>
    <x v="1"/>
    <x v="1"/>
    <x v="0"/>
    <s v="UPI"/>
    <n v="16.829999999999998"/>
    <n v="15.12"/>
    <x v="3"/>
    <n v="0"/>
    <n v="254.47"/>
    <n v="120.24"/>
    <n v="11.49"/>
    <n v="1.78"/>
    <n v="1.24"/>
    <n v="0"/>
    <n v="0"/>
    <n v="134.75"/>
    <n v="119.72"/>
    <s v="Profit"/>
    <x v="0"/>
    <n v="7"/>
    <n v="14"/>
    <s v="0-15"/>
    <s v="No"/>
    <n v="0"/>
    <s v="Healthy"/>
    <n v="0"/>
  </r>
  <r>
    <n v="100482"/>
    <d v="2025-11-11T00:00:00"/>
    <n v="1005"/>
    <x v="0"/>
    <x v="1"/>
    <x v="0"/>
    <x v="1"/>
    <x v="0"/>
    <s v="UPI"/>
    <n v="12.5"/>
    <n v="15.51"/>
    <x v="3"/>
    <n v="0"/>
    <n v="193.88"/>
    <n v="92.49"/>
    <n v="5.3"/>
    <n v="1.36"/>
    <n v="0.13"/>
    <n v="171.01"/>
    <n v="0"/>
    <n v="270.29000000000002"/>
    <n v="-76.41"/>
    <s v="Loss"/>
    <x v="1"/>
    <n v="8"/>
    <n v="9"/>
    <s v="0-15"/>
    <s v="Yes"/>
    <n v="2"/>
    <s v="At Risk"/>
    <n v="1"/>
  </r>
  <r>
    <n v="100483"/>
    <d v="2025-12-04T00:00:00"/>
    <n v="1025"/>
    <x v="0"/>
    <x v="11"/>
    <x v="2"/>
    <x v="3"/>
    <x v="0"/>
    <s v="Card"/>
    <n v="19.57"/>
    <n v="12.22"/>
    <x v="4"/>
    <n v="11.96"/>
    <n v="227.19"/>
    <n v="127.39"/>
    <n v="6.19"/>
    <n v="3.59"/>
    <n v="10.130000000000001"/>
    <n v="0"/>
    <n v="0"/>
    <n v="147.30000000000001"/>
    <n v="79.89"/>
    <s v="Profit"/>
    <x v="0"/>
    <n v="18"/>
    <n v="4"/>
    <s v="16-30"/>
    <s v="No"/>
    <n v="0"/>
    <s v="Healthy"/>
    <n v="0"/>
  </r>
  <r>
    <n v="100484"/>
    <d v="2025-11-28T00:00:00"/>
    <n v="1104"/>
    <x v="1"/>
    <x v="2"/>
    <x v="1"/>
    <x v="1"/>
    <x v="2"/>
    <s v="UPI"/>
    <n v="19.510000000000002"/>
    <n v="16.07"/>
    <x v="4"/>
    <n v="15.68"/>
    <n v="297.85000000000002"/>
    <n v="160.94999999999999"/>
    <n v="10.08"/>
    <n v="2.19"/>
    <n v="0"/>
    <n v="240.31"/>
    <n v="17.100000000000001"/>
    <n v="430.63"/>
    <n v="-132.78"/>
    <s v="Loss"/>
    <x v="1"/>
    <n v="0"/>
    <n v="3"/>
    <s v="0-15"/>
    <s v="Yes"/>
    <n v="2"/>
    <s v="At Risk"/>
    <n v="1"/>
  </r>
  <r>
    <n v="100485"/>
    <d v="2025-11-19T00:00:00"/>
    <n v="1035"/>
    <x v="2"/>
    <x v="12"/>
    <x v="4"/>
    <x v="1"/>
    <x v="2"/>
    <s v="Card"/>
    <n v="25.56"/>
    <n v="17.47"/>
    <x v="0"/>
    <n v="66.98"/>
    <n v="379.55"/>
    <n v="191.8"/>
    <n v="7.51"/>
    <n v="6.7"/>
    <n v="7.03"/>
    <n v="0"/>
    <n v="0"/>
    <n v="213.04"/>
    <n v="166.51"/>
    <s v="Profit"/>
    <x v="0"/>
    <n v="27"/>
    <n v="3"/>
    <s v="16-30"/>
    <s v="Yes"/>
    <n v="2"/>
    <s v="At Risk"/>
    <n v="1"/>
  </r>
  <r>
    <n v="100486"/>
    <d v="2025-10-11T00:00:00"/>
    <n v="1092"/>
    <x v="1"/>
    <x v="13"/>
    <x v="1"/>
    <x v="1"/>
    <x v="2"/>
    <s v="Fleet_Invoice"/>
    <n v="15.1"/>
    <n v="15.75"/>
    <x v="3"/>
    <n v="0"/>
    <n v="237.82"/>
    <n v="105.11"/>
    <n v="6.96"/>
    <n v="0.95"/>
    <n v="11.79"/>
    <n v="0"/>
    <n v="0"/>
    <n v="124.81"/>
    <n v="113.01"/>
    <s v="Profit"/>
    <x v="0"/>
    <n v="3"/>
    <n v="35"/>
    <s v="0-15"/>
    <s v="Yes"/>
    <n v="1"/>
    <s v="At Risk"/>
    <n v="1"/>
  </r>
  <r>
    <n v="100487"/>
    <d v="2025-12-26T00:00:00"/>
    <n v="1043"/>
    <x v="2"/>
    <x v="5"/>
    <x v="3"/>
    <x v="1"/>
    <x v="2"/>
    <s v="Card"/>
    <n v="35.119999999999997"/>
    <n v="17.649999999999999"/>
    <x v="3"/>
    <n v="0"/>
    <n v="619.87"/>
    <n v="241.82"/>
    <n v="6.28"/>
    <n v="9.3000000000000007"/>
    <n v="0"/>
    <n v="445.39"/>
    <n v="4.3899999999999997"/>
    <n v="707.18"/>
    <n v="-87.31"/>
    <s v="Loss"/>
    <x v="1"/>
    <n v="21"/>
    <n v="20"/>
    <s v="16-30"/>
    <s v="Yes"/>
    <n v="2"/>
    <s v="At Risk"/>
    <n v="1"/>
  </r>
  <r>
    <n v="100488"/>
    <d v="2025-10-14T00:00:00"/>
    <n v="1094"/>
    <x v="1"/>
    <x v="3"/>
    <x v="4"/>
    <x v="3"/>
    <x v="2"/>
    <s v="Fleet_Invoice"/>
    <n v="24.65"/>
    <n v="13.58"/>
    <x v="2"/>
    <n v="33.479999999999997"/>
    <n v="301.27"/>
    <n v="160.35"/>
    <n v="6.49"/>
    <n v="1.34"/>
    <n v="6.29"/>
    <n v="0"/>
    <n v="0"/>
    <n v="174.47"/>
    <n v="126.8"/>
    <s v="Profit"/>
    <x v="0"/>
    <n v="1"/>
    <n v="13"/>
    <s v="0-15"/>
    <s v="No"/>
    <n v="0"/>
    <s v="Healthy"/>
    <n v="0"/>
  </r>
  <r>
    <n v="100489"/>
    <d v="2025-12-03T00:00:00"/>
    <n v="1059"/>
    <x v="1"/>
    <x v="13"/>
    <x v="4"/>
    <x v="3"/>
    <x v="0"/>
    <s v="Wallet"/>
    <n v="22.54"/>
    <n v="13.05"/>
    <x v="3"/>
    <n v="0"/>
    <n v="294.14999999999998"/>
    <n v="122.23"/>
    <n v="5.39"/>
    <n v="3.53"/>
    <n v="6.87"/>
    <n v="0"/>
    <n v="0"/>
    <n v="138.02000000000001"/>
    <n v="156.13"/>
    <s v="Profit"/>
    <x v="0"/>
    <n v="15"/>
    <n v="24"/>
    <s v="0-15"/>
    <s v="Yes"/>
    <n v="1"/>
    <s v="At Risk"/>
    <n v="1"/>
  </r>
  <r>
    <n v="100490"/>
    <d v="2025-12-31T00:00:00"/>
    <n v="1148"/>
    <x v="1"/>
    <x v="3"/>
    <x v="0"/>
    <x v="3"/>
    <x v="0"/>
    <s v="UPI"/>
    <n v="14.47"/>
    <n v="12.97"/>
    <x v="4"/>
    <n v="9.3800000000000008"/>
    <n v="178.3"/>
    <n v="104.81"/>
    <n v="10.38"/>
    <n v="1.31"/>
    <n v="1.88"/>
    <n v="0"/>
    <n v="0"/>
    <n v="118.38"/>
    <n v="59.92"/>
    <s v="Profit"/>
    <x v="0"/>
    <n v="2"/>
    <n v="1"/>
    <s v="0-15"/>
    <s v="No"/>
    <n v="0"/>
    <s v="Healthy"/>
    <n v="0"/>
  </r>
  <r>
    <n v="100491"/>
    <d v="2025-11-12T00:00:00"/>
    <n v="1130"/>
    <x v="2"/>
    <x v="9"/>
    <x v="2"/>
    <x v="1"/>
    <x v="0"/>
    <s v="Card"/>
    <n v="18.29"/>
    <n v="15.98"/>
    <x v="2"/>
    <n v="29.23"/>
    <n v="263.04000000000002"/>
    <n v="158.30000000000001"/>
    <n v="6.77"/>
    <n v="4.38"/>
    <n v="5.21"/>
    <n v="0"/>
    <n v="0"/>
    <n v="174.66"/>
    <n v="88.38"/>
    <s v="Profit"/>
    <x v="0"/>
    <n v="4"/>
    <n v="2"/>
    <s v="0-15"/>
    <s v="No"/>
    <n v="0"/>
    <s v="Healthy"/>
    <n v="0"/>
  </r>
  <r>
    <n v="100492"/>
    <d v="2025-12-12T00:00:00"/>
    <n v="1119"/>
    <x v="3"/>
    <x v="8"/>
    <x v="0"/>
    <x v="0"/>
    <x v="0"/>
    <s v="Wallet"/>
    <n v="25.42"/>
    <n v="19.149999999999999"/>
    <x v="2"/>
    <n v="48.68"/>
    <n v="438.11"/>
    <n v="161.96"/>
    <n v="7.26"/>
    <n v="5.84"/>
    <n v="10"/>
    <n v="0"/>
    <n v="0"/>
    <n v="185.06"/>
    <n v="253.05"/>
    <s v="Profit"/>
    <x v="0"/>
    <n v="24"/>
    <n v="5"/>
    <s v="16-30"/>
    <s v="Yes"/>
    <n v="1"/>
    <s v="At Risk"/>
    <n v="1"/>
  </r>
  <r>
    <n v="100493"/>
    <d v="2025-10-17T00:00:00"/>
    <n v="1113"/>
    <x v="2"/>
    <x v="12"/>
    <x v="3"/>
    <x v="2"/>
    <x v="2"/>
    <s v="UPI"/>
    <n v="52.14"/>
    <n v="17.64"/>
    <x v="3"/>
    <n v="0"/>
    <n v="919.75"/>
    <n v="384.18"/>
    <n v="7.87"/>
    <n v="6.44"/>
    <n v="9.09"/>
    <n v="0"/>
    <n v="0"/>
    <n v="407.58"/>
    <n v="512.16999999999996"/>
    <s v="Profit"/>
    <x v="0"/>
    <n v="48"/>
    <n v="9"/>
    <s v="30+"/>
    <s v="Yes"/>
    <n v="1"/>
    <s v="At Risk"/>
    <n v="1"/>
  </r>
  <r>
    <n v="100494"/>
    <d v="2025-11-21T00:00:00"/>
    <n v="1097"/>
    <x v="2"/>
    <x v="10"/>
    <x v="0"/>
    <x v="3"/>
    <x v="0"/>
    <s v="Card"/>
    <n v="28.26"/>
    <n v="12.31"/>
    <x v="0"/>
    <n v="52.18"/>
    <n v="295.7"/>
    <n v="191.11"/>
    <n v="7.39"/>
    <n v="5.22"/>
    <n v="1.38"/>
    <n v="0"/>
    <n v="0"/>
    <n v="205.1"/>
    <n v="90.6"/>
    <s v="Profit"/>
    <x v="0"/>
    <n v="4"/>
    <n v="5"/>
    <s v="0-15"/>
    <s v="No"/>
    <n v="0"/>
    <s v="Healthy"/>
    <n v="0"/>
  </r>
  <r>
    <n v="100495"/>
    <d v="2025-11-09T00:00:00"/>
    <n v="1113"/>
    <x v="0"/>
    <x v="11"/>
    <x v="4"/>
    <x v="3"/>
    <x v="0"/>
    <s v="Wallet"/>
    <n v="12.92"/>
    <n v="12.04"/>
    <x v="0"/>
    <n v="23.33"/>
    <n v="132.22999999999999"/>
    <n v="87.27"/>
    <n v="12.9"/>
    <n v="1.87"/>
    <n v="11"/>
    <n v="0"/>
    <n v="0"/>
    <n v="113.04"/>
    <n v="19.190000000000001"/>
    <s v="Profit"/>
    <x v="0"/>
    <n v="1"/>
    <n v="7"/>
    <s v="0-15"/>
    <s v="No"/>
    <n v="0"/>
    <s v="Healthy"/>
    <n v="0"/>
  </r>
  <r>
    <n v="100496"/>
    <d v="2025-11-06T00:00:00"/>
    <n v="1116"/>
    <x v="3"/>
    <x v="15"/>
    <x v="0"/>
    <x v="2"/>
    <x v="2"/>
    <s v="Card"/>
    <n v="38.31"/>
    <n v="16.89"/>
    <x v="3"/>
    <n v="0"/>
    <n v="647.05999999999995"/>
    <n v="304.17"/>
    <n v="9.09"/>
    <n v="9.7100000000000009"/>
    <n v="2.23"/>
    <n v="0"/>
    <n v="0"/>
    <n v="325.2"/>
    <n v="321.86"/>
    <s v="Profit"/>
    <x v="0"/>
    <n v="44"/>
    <n v="0"/>
    <s v="30+"/>
    <s v="Yes"/>
    <n v="1"/>
    <s v="At Risk"/>
    <n v="1"/>
  </r>
  <r>
    <n v="100497"/>
    <d v="2025-12-01T00:00:00"/>
    <n v="1085"/>
    <x v="0"/>
    <x v="6"/>
    <x v="4"/>
    <x v="2"/>
    <x v="0"/>
    <s v="Fleet_Invoice"/>
    <n v="26.36"/>
    <n v="20.14"/>
    <x v="3"/>
    <n v="0"/>
    <n v="530.89"/>
    <n v="172.26"/>
    <n v="11.75"/>
    <n v="2.12"/>
    <n v="16.12"/>
    <n v="0"/>
    <n v="0"/>
    <n v="202.25"/>
    <n v="328.64"/>
    <s v="Profit"/>
    <x v="0"/>
    <n v="10"/>
    <n v="14"/>
    <s v="0-15"/>
    <s v="No"/>
    <n v="1"/>
    <s v="Healthy"/>
    <n v="0"/>
  </r>
  <r>
    <n v="100498"/>
    <d v="2025-12-15T00:00:00"/>
    <n v="1098"/>
    <x v="2"/>
    <x v="5"/>
    <x v="0"/>
    <x v="3"/>
    <x v="2"/>
    <s v="UPI"/>
    <n v="5.87"/>
    <n v="13.43"/>
    <x v="3"/>
    <n v="0"/>
    <n v="78.83"/>
    <n v="43.1"/>
    <n v="4.25"/>
    <n v="0.55000000000000004"/>
    <n v="5.83"/>
    <n v="0"/>
    <n v="0"/>
    <n v="53.73"/>
    <n v="25.1"/>
    <s v="Profit"/>
    <x v="0"/>
    <n v="12"/>
    <n v="10"/>
    <s v="0-15"/>
    <s v="No"/>
    <n v="0"/>
    <s v="Healthy"/>
    <n v="0"/>
  </r>
  <r>
    <n v="100499"/>
    <d v="2025-10-16T00:00:00"/>
    <n v="1035"/>
    <x v="2"/>
    <x v="10"/>
    <x v="3"/>
    <x v="2"/>
    <x v="0"/>
    <s v="UPI"/>
    <n v="36.43"/>
    <n v="18.23"/>
    <x v="4"/>
    <n v="33.21"/>
    <n v="630.91"/>
    <n v="278.14999999999998"/>
    <n v="8.2799999999999994"/>
    <n v="4.6500000000000004"/>
    <n v="1.77"/>
    <n v="0"/>
    <n v="0"/>
    <n v="292.85000000000002"/>
    <n v="338.06"/>
    <s v="Profit"/>
    <x v="0"/>
    <n v="2"/>
    <n v="15"/>
    <s v="0-15"/>
    <s v="No"/>
    <n v="0"/>
    <s v="Healthy"/>
    <n v="0"/>
  </r>
  <r>
    <n v="100500"/>
    <d v="2025-11-15T00:00:00"/>
    <n v="1096"/>
    <x v="1"/>
    <x v="13"/>
    <x v="3"/>
    <x v="2"/>
    <x v="1"/>
    <s v="UPI"/>
    <n v="10.81"/>
    <n v="17.440000000000001"/>
    <x v="4"/>
    <n v="9.43"/>
    <n v="179.1"/>
    <n v="84.15"/>
    <n v="4.38"/>
    <n v="1.32"/>
    <n v="2.23"/>
    <n v="0"/>
    <n v="0"/>
    <n v="92.08"/>
    <n v="87.02"/>
    <s v="Profit"/>
    <x v="0"/>
    <n v="2"/>
    <n v="1"/>
    <s v="0-15"/>
    <s v="No"/>
    <n v="0"/>
    <s v="Healthy"/>
    <n v="0"/>
  </r>
  <r>
    <n v="100501"/>
    <d v="2025-12-26T00:00:00"/>
    <n v="1126"/>
    <x v="0"/>
    <x v="0"/>
    <x v="2"/>
    <x v="2"/>
    <x v="0"/>
    <s v="Fleet_Invoice"/>
    <n v="31.22"/>
    <n v="17.63"/>
    <x v="3"/>
    <n v="0"/>
    <n v="550.41"/>
    <n v="241.57"/>
    <n v="7.78"/>
    <n v="2.2000000000000002"/>
    <n v="6.74"/>
    <n v="0"/>
    <n v="0"/>
    <n v="258.29000000000002"/>
    <n v="292.12"/>
    <s v="Profit"/>
    <x v="0"/>
    <n v="7"/>
    <n v="6"/>
    <s v="0-15"/>
    <s v="No"/>
    <n v="0"/>
    <s v="Healthy"/>
    <n v="0"/>
  </r>
  <r>
    <n v="100502"/>
    <d v="2025-12-24T00:00:00"/>
    <n v="1059"/>
    <x v="2"/>
    <x v="12"/>
    <x v="4"/>
    <x v="1"/>
    <x v="1"/>
    <s v="Fleet_Invoice"/>
    <n v="40.159999999999997"/>
    <n v="15.08"/>
    <x v="3"/>
    <n v="0"/>
    <n v="605.61"/>
    <n v="292.29000000000002"/>
    <n v="6.79"/>
    <n v="2.42"/>
    <n v="12.36"/>
    <n v="0"/>
    <n v="0"/>
    <n v="313.86"/>
    <n v="291.75"/>
    <s v="Profit"/>
    <x v="0"/>
    <n v="1"/>
    <n v="17"/>
    <s v="0-15"/>
    <s v="Yes"/>
    <n v="2"/>
    <s v="At Risk"/>
    <n v="1"/>
  </r>
  <r>
    <n v="100503"/>
    <d v="2025-10-29T00:00:00"/>
    <n v="1051"/>
    <x v="1"/>
    <x v="13"/>
    <x v="2"/>
    <x v="1"/>
    <x v="0"/>
    <s v="Wallet"/>
    <n v="34.94"/>
    <n v="15.82"/>
    <x v="3"/>
    <n v="0"/>
    <n v="552.75"/>
    <n v="259.11"/>
    <n v="7.47"/>
    <n v="6.63"/>
    <n v="4"/>
    <n v="0"/>
    <n v="0"/>
    <n v="277.20999999999998"/>
    <n v="275.54000000000002"/>
    <s v="Profit"/>
    <x v="0"/>
    <n v="0"/>
    <n v="0"/>
    <s v="0-15"/>
    <s v="No"/>
    <n v="0"/>
    <s v="Healthy"/>
    <n v="0"/>
  </r>
  <r>
    <n v="100504"/>
    <d v="2025-12-25T00:00:00"/>
    <n v="1067"/>
    <x v="2"/>
    <x v="12"/>
    <x v="3"/>
    <x v="0"/>
    <x v="0"/>
    <s v="Fleet_Invoice"/>
    <n v="10.039999999999999"/>
    <n v="19.850000000000001"/>
    <x v="0"/>
    <n v="29.89"/>
    <n v="169.4"/>
    <n v="66.510000000000005"/>
    <n v="10.8"/>
    <n v="0.8"/>
    <n v="6.77"/>
    <n v="0"/>
    <n v="0"/>
    <n v="84.88"/>
    <n v="84.52"/>
    <s v="Profit"/>
    <x v="0"/>
    <n v="4"/>
    <n v="0"/>
    <s v="0-15"/>
    <s v="No"/>
    <n v="1"/>
    <s v="Healthy"/>
    <n v="0"/>
  </r>
  <r>
    <n v="100505"/>
    <d v="2025-12-03T00:00:00"/>
    <n v="1090"/>
    <x v="0"/>
    <x v="11"/>
    <x v="4"/>
    <x v="3"/>
    <x v="2"/>
    <s v="Wallet"/>
    <n v="15.25"/>
    <n v="12.63"/>
    <x v="4"/>
    <n v="9.6300000000000008"/>
    <n v="182.98"/>
    <n v="108.03"/>
    <n v="7.77"/>
    <n v="2.31"/>
    <n v="12.52"/>
    <n v="0"/>
    <n v="0"/>
    <n v="130.63"/>
    <n v="52.35"/>
    <s v="Profit"/>
    <x v="0"/>
    <n v="1"/>
    <n v="1"/>
    <s v="0-15"/>
    <s v="No"/>
    <n v="0"/>
    <s v="Healthy"/>
    <n v="0"/>
  </r>
  <r>
    <n v="100506"/>
    <d v="2025-11-18T00:00:00"/>
    <n v="1119"/>
    <x v="3"/>
    <x v="7"/>
    <x v="2"/>
    <x v="1"/>
    <x v="0"/>
    <s v="UPI"/>
    <n v="40.58"/>
    <n v="14.94"/>
    <x v="3"/>
    <n v="0"/>
    <n v="606.27"/>
    <n v="335.82"/>
    <n v="3.25"/>
    <n v="4.24"/>
    <n v="8.15"/>
    <n v="0"/>
    <n v="0"/>
    <n v="351.46"/>
    <n v="254.81"/>
    <s v="Profit"/>
    <x v="0"/>
    <n v="0"/>
    <n v="0"/>
    <s v="0-15"/>
    <s v="No"/>
    <n v="0"/>
    <s v="Healthy"/>
    <n v="0"/>
  </r>
  <r>
    <n v="100507"/>
    <d v="2025-11-04T00:00:00"/>
    <n v="1126"/>
    <x v="3"/>
    <x v="14"/>
    <x v="3"/>
    <x v="3"/>
    <x v="0"/>
    <s v="Wallet"/>
    <n v="20.03"/>
    <n v="12.83"/>
    <x v="1"/>
    <n v="51.4"/>
    <n v="205.58"/>
    <n v="115.98"/>
    <n v="9.8000000000000007"/>
    <n v="3.08"/>
    <n v="1.61"/>
    <n v="0"/>
    <n v="0"/>
    <n v="130.47"/>
    <n v="75.11"/>
    <s v="Profit"/>
    <x v="0"/>
    <n v="0"/>
    <n v="7"/>
    <s v="0-15"/>
    <s v="No"/>
    <n v="0"/>
    <s v="Healthy"/>
    <n v="0"/>
  </r>
  <r>
    <n v="100508"/>
    <d v="2025-11-01T00:00:00"/>
    <n v="1093"/>
    <x v="2"/>
    <x v="9"/>
    <x v="4"/>
    <x v="1"/>
    <x v="0"/>
    <s v="UPI"/>
    <n v="11.98"/>
    <n v="15.65"/>
    <x v="3"/>
    <n v="0"/>
    <n v="187.49"/>
    <n v="89.97"/>
    <n v="11.45"/>
    <n v="1.31"/>
    <n v="10.93"/>
    <n v="0"/>
    <n v="0"/>
    <n v="113.66"/>
    <n v="73.83"/>
    <s v="Profit"/>
    <x v="0"/>
    <n v="6"/>
    <n v="10"/>
    <s v="0-15"/>
    <s v="No"/>
    <n v="0"/>
    <s v="Healthy"/>
    <n v="0"/>
  </r>
  <r>
    <n v="100509"/>
    <d v="2025-12-22T00:00:00"/>
    <n v="1047"/>
    <x v="0"/>
    <x v="6"/>
    <x v="3"/>
    <x v="1"/>
    <x v="0"/>
    <s v="Wallet"/>
    <n v="29.58"/>
    <n v="15.6"/>
    <x v="3"/>
    <n v="0"/>
    <n v="461.45"/>
    <n v="211.92"/>
    <n v="9.85"/>
    <n v="5.54"/>
    <n v="5.7"/>
    <n v="221.3"/>
    <n v="0"/>
    <n v="454.31"/>
    <n v="7.14"/>
    <s v="Profit"/>
    <x v="1"/>
    <n v="0"/>
    <n v="1"/>
    <s v="0-15"/>
    <s v="Yes"/>
    <n v="3"/>
    <s v="At Risk"/>
    <n v="1"/>
  </r>
  <r>
    <n v="100510"/>
    <d v="2025-10-09T00:00:00"/>
    <n v="1083"/>
    <x v="2"/>
    <x v="5"/>
    <x v="0"/>
    <x v="3"/>
    <x v="2"/>
    <s v="Wallet"/>
    <n v="15.23"/>
    <n v="12.19"/>
    <x v="3"/>
    <n v="0"/>
    <n v="185.65"/>
    <n v="95.29"/>
    <n v="7.69"/>
    <n v="2.23"/>
    <n v="8.0399999999999991"/>
    <n v="0"/>
    <n v="0"/>
    <n v="113.25"/>
    <n v="72.400000000000006"/>
    <s v="Profit"/>
    <x v="0"/>
    <n v="0"/>
    <n v="10"/>
    <s v="0-15"/>
    <s v="No"/>
    <n v="0"/>
    <s v="Healthy"/>
    <n v="0"/>
  </r>
  <r>
    <n v="100511"/>
    <d v="2025-11-06T00:00:00"/>
    <n v="1086"/>
    <x v="3"/>
    <x v="8"/>
    <x v="3"/>
    <x v="0"/>
    <x v="0"/>
    <s v="UPI"/>
    <n v="18.45"/>
    <n v="20.11"/>
    <x v="4"/>
    <n v="18.55"/>
    <n v="352.48"/>
    <n v="145.07"/>
    <n v="9.9"/>
    <n v="2.6"/>
    <n v="9.09"/>
    <n v="131.97"/>
    <n v="0"/>
    <n v="298.63"/>
    <n v="53.85"/>
    <s v="Profit"/>
    <x v="1"/>
    <n v="13"/>
    <n v="32"/>
    <s v="0-15"/>
    <s v="Yes"/>
    <n v="2"/>
    <s v="At Risk"/>
    <n v="1"/>
  </r>
  <r>
    <n v="100512"/>
    <d v="2025-11-24T00:00:00"/>
    <n v="1134"/>
    <x v="2"/>
    <x v="12"/>
    <x v="4"/>
    <x v="1"/>
    <x v="2"/>
    <s v="Card"/>
    <n v="26.72"/>
    <n v="15.89"/>
    <x v="3"/>
    <n v="0"/>
    <n v="424.58"/>
    <n v="190.62"/>
    <n v="7.81"/>
    <n v="6.37"/>
    <n v="1.25"/>
    <n v="0"/>
    <n v="0"/>
    <n v="206.05"/>
    <n v="218.53"/>
    <s v="Profit"/>
    <x v="0"/>
    <n v="17"/>
    <n v="1"/>
    <s v="16-30"/>
    <s v="No"/>
    <n v="0"/>
    <s v="Healthy"/>
    <n v="0"/>
  </r>
  <r>
    <n v="100513"/>
    <d v="2025-11-17T00:00:00"/>
    <n v="1150"/>
    <x v="2"/>
    <x v="10"/>
    <x v="3"/>
    <x v="3"/>
    <x v="2"/>
    <s v="Wallet"/>
    <n v="3"/>
    <n v="13.82"/>
    <x v="3"/>
    <n v="0"/>
    <n v="41.46"/>
    <n v="15.86"/>
    <n v="10.92"/>
    <n v="0.5"/>
    <n v="1.1399999999999999"/>
    <n v="0"/>
    <n v="0"/>
    <n v="28.42"/>
    <n v="13.04"/>
    <s v="Profit"/>
    <x v="0"/>
    <n v="42"/>
    <n v="1"/>
    <s v="30+"/>
    <s v="Yes"/>
    <n v="1"/>
    <s v="At Risk"/>
    <n v="1"/>
  </r>
  <r>
    <n v="100514"/>
    <d v="2025-10-18T00:00:00"/>
    <n v="1060"/>
    <x v="0"/>
    <x v="6"/>
    <x v="4"/>
    <x v="1"/>
    <x v="0"/>
    <s v="UPI"/>
    <n v="29.65"/>
    <n v="16.03"/>
    <x v="2"/>
    <n v="47.53"/>
    <n v="427.76"/>
    <n v="259.73"/>
    <n v="7.79"/>
    <n v="3.33"/>
    <n v="3.55"/>
    <n v="0"/>
    <n v="0"/>
    <n v="274.39999999999998"/>
    <n v="153.36000000000001"/>
    <s v="Profit"/>
    <x v="0"/>
    <n v="6"/>
    <n v="13"/>
    <s v="0-15"/>
    <s v="No"/>
    <n v="0"/>
    <s v="Healthy"/>
    <n v="0"/>
  </r>
  <r>
    <n v="100515"/>
    <d v="2025-12-18T00:00:00"/>
    <n v="1070"/>
    <x v="0"/>
    <x v="11"/>
    <x v="0"/>
    <x v="3"/>
    <x v="0"/>
    <s v="Card"/>
    <n v="17.399999999999999"/>
    <n v="12.39"/>
    <x v="3"/>
    <n v="0"/>
    <n v="215.59"/>
    <n v="94.83"/>
    <n v="8.76"/>
    <n v="3.23"/>
    <n v="7.44"/>
    <n v="0"/>
    <n v="0"/>
    <n v="114.26"/>
    <n v="101.33"/>
    <s v="Profit"/>
    <x v="0"/>
    <n v="10"/>
    <n v="19"/>
    <s v="0-15"/>
    <s v="Yes"/>
    <n v="3"/>
    <s v="At Risk"/>
    <n v="1"/>
  </r>
  <r>
    <n v="100516"/>
    <d v="2025-11-14T00:00:00"/>
    <n v="1053"/>
    <x v="3"/>
    <x v="8"/>
    <x v="4"/>
    <x v="1"/>
    <x v="0"/>
    <s v="UPI"/>
    <n v="28.39"/>
    <n v="16.239999999999998"/>
    <x v="1"/>
    <n v="92.21"/>
    <n v="368.84"/>
    <n v="211.13"/>
    <n v="4.72"/>
    <n v="3.23"/>
    <n v="1.23"/>
    <n v="175.88"/>
    <n v="0"/>
    <n v="396.19"/>
    <n v="-27.35"/>
    <s v="Loss"/>
    <x v="2"/>
    <n v="9"/>
    <n v="0"/>
    <s v="0-15"/>
    <s v="No"/>
    <n v="2"/>
    <s v="At Risk"/>
    <n v="0"/>
  </r>
  <r>
    <n v="100517"/>
    <d v="2025-11-15T00:00:00"/>
    <n v="1027"/>
    <x v="3"/>
    <x v="8"/>
    <x v="3"/>
    <x v="1"/>
    <x v="0"/>
    <s v="UPI"/>
    <n v="32.44"/>
    <n v="18.45"/>
    <x v="3"/>
    <n v="0"/>
    <n v="598.52"/>
    <n v="230.42"/>
    <n v="3.23"/>
    <n v="4.1900000000000004"/>
    <n v="8.1199999999999992"/>
    <n v="0"/>
    <n v="0"/>
    <n v="245.96"/>
    <n v="352.56"/>
    <s v="Profit"/>
    <x v="0"/>
    <n v="91"/>
    <n v="12"/>
    <s v="30+"/>
    <s v="Yes"/>
    <n v="3"/>
    <s v="At Risk"/>
    <n v="1"/>
  </r>
  <r>
    <n v="100518"/>
    <d v="2025-10-08T00:00:00"/>
    <n v="1110"/>
    <x v="2"/>
    <x v="5"/>
    <x v="1"/>
    <x v="3"/>
    <x v="0"/>
    <s v="Wallet"/>
    <n v="10.78"/>
    <n v="15.46"/>
    <x v="3"/>
    <n v="0"/>
    <n v="166.66"/>
    <n v="60.67"/>
    <n v="1.9"/>
    <n v="2"/>
    <n v="8.77"/>
    <n v="166.41"/>
    <n v="0"/>
    <n v="239.75"/>
    <n v="-73.09"/>
    <s v="Loss"/>
    <x v="2"/>
    <n v="6"/>
    <n v="3"/>
    <s v="0-15"/>
    <s v="No"/>
    <n v="2"/>
    <s v="At Risk"/>
    <n v="0"/>
  </r>
  <r>
    <n v="100519"/>
    <d v="2025-12-23T00:00:00"/>
    <n v="1035"/>
    <x v="3"/>
    <x v="14"/>
    <x v="1"/>
    <x v="3"/>
    <x v="1"/>
    <s v="Wallet"/>
    <n v="12.96"/>
    <n v="12.36"/>
    <x v="4"/>
    <n v="8.01"/>
    <n v="152.18"/>
    <n v="103.64"/>
    <n v="8.39"/>
    <n v="1.92"/>
    <n v="0.06"/>
    <n v="0"/>
    <n v="0"/>
    <n v="114.01"/>
    <n v="38.17"/>
    <s v="Profit"/>
    <x v="0"/>
    <n v="11"/>
    <n v="8"/>
    <s v="0-15"/>
    <s v="No"/>
    <n v="0"/>
    <s v="Healthy"/>
    <n v="0"/>
  </r>
  <r>
    <n v="100520"/>
    <d v="2025-11-23T00:00:00"/>
    <n v="1012"/>
    <x v="2"/>
    <x v="12"/>
    <x v="3"/>
    <x v="1"/>
    <x v="2"/>
    <s v="UPI"/>
    <n v="37.590000000000003"/>
    <n v="15.92"/>
    <x v="0"/>
    <n v="89.76"/>
    <n v="508.67"/>
    <n v="256.08"/>
    <n v="5.53"/>
    <n v="4.1900000000000004"/>
    <n v="10.66"/>
    <n v="0"/>
    <n v="0"/>
    <n v="276.45999999999998"/>
    <n v="232.21"/>
    <s v="Profit"/>
    <x v="0"/>
    <n v="1"/>
    <n v="1"/>
    <s v="0-15"/>
    <s v="No"/>
    <n v="0"/>
    <s v="Healthy"/>
    <n v="0"/>
  </r>
  <r>
    <n v="100521"/>
    <d v="2025-12-11T00:00:00"/>
    <n v="1089"/>
    <x v="2"/>
    <x v="10"/>
    <x v="0"/>
    <x v="3"/>
    <x v="2"/>
    <s v="UPI"/>
    <n v="17.95"/>
    <n v="11.05"/>
    <x v="4"/>
    <n v="9.92"/>
    <n v="188.43"/>
    <n v="124.87"/>
    <n v="8.8000000000000007"/>
    <n v="1.39"/>
    <n v="6.76"/>
    <n v="0"/>
    <n v="0"/>
    <n v="141.82"/>
    <n v="46.61"/>
    <s v="Profit"/>
    <x v="0"/>
    <n v="20"/>
    <n v="5"/>
    <s v="16-30"/>
    <s v="No"/>
    <n v="0"/>
    <s v="Healthy"/>
    <n v="0"/>
  </r>
  <r>
    <n v="100522"/>
    <d v="2025-12-01T00:00:00"/>
    <n v="1097"/>
    <x v="1"/>
    <x v="3"/>
    <x v="0"/>
    <x v="2"/>
    <x v="2"/>
    <s v="Wallet"/>
    <n v="24.38"/>
    <n v="17.32"/>
    <x v="3"/>
    <n v="0"/>
    <n v="422.26"/>
    <n v="204.64"/>
    <n v="9.7100000000000009"/>
    <n v="5.07"/>
    <n v="8.56"/>
    <n v="0"/>
    <n v="0"/>
    <n v="227.98"/>
    <n v="194.28"/>
    <s v="Profit"/>
    <x v="0"/>
    <n v="9"/>
    <n v="6"/>
    <s v="0-15"/>
    <s v="No"/>
    <n v="0"/>
    <s v="Healthy"/>
    <n v="0"/>
  </r>
  <r>
    <n v="100523"/>
    <d v="2025-10-07T00:00:00"/>
    <n v="1092"/>
    <x v="2"/>
    <x v="10"/>
    <x v="1"/>
    <x v="0"/>
    <x v="0"/>
    <s v="UPI"/>
    <n v="28.49"/>
    <n v="18.52"/>
    <x v="2"/>
    <n v="52.76"/>
    <n v="474.87"/>
    <n v="170.11"/>
    <n v="2.2400000000000002"/>
    <n v="3.69"/>
    <n v="3.19"/>
    <n v="0"/>
    <n v="0"/>
    <n v="179.23"/>
    <n v="295.64"/>
    <s v="Profit"/>
    <x v="0"/>
    <n v="15"/>
    <n v="26"/>
    <s v="0-15"/>
    <s v="Yes"/>
    <n v="1"/>
    <s v="At Risk"/>
    <n v="1"/>
  </r>
  <r>
    <n v="100524"/>
    <d v="2025-10-01T00:00:00"/>
    <n v="1112"/>
    <x v="1"/>
    <x v="4"/>
    <x v="3"/>
    <x v="3"/>
    <x v="0"/>
    <s v="UPI"/>
    <n v="18.66"/>
    <n v="13.26"/>
    <x v="3"/>
    <n v="0"/>
    <n v="247.43"/>
    <n v="108.84"/>
    <n v="10.89"/>
    <n v="1.73"/>
    <n v="10.59"/>
    <n v="0"/>
    <n v="0"/>
    <n v="132.05000000000001"/>
    <n v="115.38"/>
    <s v="Profit"/>
    <x v="0"/>
    <n v="4"/>
    <n v="6"/>
    <s v="0-15"/>
    <s v="No"/>
    <n v="0"/>
    <s v="Healthy"/>
    <n v="0"/>
  </r>
  <r>
    <n v="100525"/>
    <d v="2025-11-17T00:00:00"/>
    <n v="1116"/>
    <x v="3"/>
    <x v="14"/>
    <x v="0"/>
    <x v="3"/>
    <x v="0"/>
    <s v="Fleet_Invoice"/>
    <n v="16.61"/>
    <n v="12.46"/>
    <x v="4"/>
    <n v="10.35"/>
    <n v="196.61"/>
    <n v="143.76"/>
    <n v="7.46"/>
    <n v="0.83"/>
    <n v="5.37"/>
    <n v="0"/>
    <n v="0"/>
    <n v="157.41999999999999"/>
    <n v="39.19"/>
    <s v="Profit"/>
    <x v="0"/>
    <n v="2"/>
    <n v="11"/>
    <s v="0-15"/>
    <s v="No"/>
    <n v="0"/>
    <s v="Healthy"/>
    <n v="0"/>
  </r>
  <r>
    <n v="100526"/>
    <d v="2025-11-12T00:00:00"/>
    <n v="1039"/>
    <x v="2"/>
    <x v="5"/>
    <x v="2"/>
    <x v="1"/>
    <x v="1"/>
    <s v="Fleet_Invoice"/>
    <n v="19.93"/>
    <n v="16.39"/>
    <x v="3"/>
    <n v="0"/>
    <n v="326.64999999999998"/>
    <n v="126.94"/>
    <n v="6.89"/>
    <n v="1.31"/>
    <n v="14.72"/>
    <n v="0"/>
    <n v="0"/>
    <n v="149.86000000000001"/>
    <n v="176.79"/>
    <s v="Profit"/>
    <x v="0"/>
    <n v="12"/>
    <n v="50"/>
    <s v="0-15"/>
    <s v="Yes"/>
    <n v="3"/>
    <s v="At Risk"/>
    <n v="1"/>
  </r>
  <r>
    <n v="100527"/>
    <d v="2025-10-04T00:00:00"/>
    <n v="1046"/>
    <x v="2"/>
    <x v="9"/>
    <x v="0"/>
    <x v="2"/>
    <x v="2"/>
    <s v="UPI"/>
    <n v="22.26"/>
    <n v="18.8"/>
    <x v="3"/>
    <n v="0"/>
    <n v="418.49"/>
    <n v="160.1"/>
    <n v="11.48"/>
    <n v="2.93"/>
    <n v="2.11"/>
    <n v="0"/>
    <n v="0"/>
    <n v="176.62"/>
    <n v="241.87"/>
    <s v="Profit"/>
    <x v="0"/>
    <n v="5"/>
    <n v="1"/>
    <s v="0-15"/>
    <s v="No"/>
    <n v="0"/>
    <s v="Healthy"/>
    <n v="0"/>
  </r>
  <r>
    <n v="100528"/>
    <d v="2025-11-06T00:00:00"/>
    <n v="1107"/>
    <x v="0"/>
    <x v="1"/>
    <x v="1"/>
    <x v="3"/>
    <x v="0"/>
    <s v="Fleet_Invoice"/>
    <n v="31.57"/>
    <n v="12.56"/>
    <x v="3"/>
    <n v="0"/>
    <n v="396.52"/>
    <n v="264.97000000000003"/>
    <n v="7.76"/>
    <n v="1.59"/>
    <n v="8.52"/>
    <n v="0"/>
    <n v="0"/>
    <n v="282.83999999999997"/>
    <n v="113.68"/>
    <s v="Profit"/>
    <x v="0"/>
    <n v="28"/>
    <n v="0"/>
    <s v="16-30"/>
    <s v="Yes"/>
    <n v="1"/>
    <s v="At Risk"/>
    <n v="1"/>
  </r>
  <r>
    <n v="100529"/>
    <d v="2025-11-29T00:00:00"/>
    <n v="1065"/>
    <x v="1"/>
    <x v="4"/>
    <x v="2"/>
    <x v="2"/>
    <x v="2"/>
    <s v="Card"/>
    <n v="23.27"/>
    <n v="17.36"/>
    <x v="3"/>
    <n v="0"/>
    <n v="403.97"/>
    <n v="164.94"/>
    <n v="11.14"/>
    <n v="6.06"/>
    <n v="11.62"/>
    <n v="302.05"/>
    <n v="11.13"/>
    <n v="506.94"/>
    <n v="-102.97"/>
    <s v="Loss"/>
    <x v="2"/>
    <n v="11"/>
    <n v="18"/>
    <s v="0-15"/>
    <s v="Yes"/>
    <n v="1"/>
    <s v="At Risk"/>
    <n v="1"/>
  </r>
  <r>
    <n v="100530"/>
    <d v="2025-11-30T00:00:00"/>
    <n v="1148"/>
    <x v="2"/>
    <x v="5"/>
    <x v="4"/>
    <x v="0"/>
    <x v="0"/>
    <s v="Fleet_Invoice"/>
    <n v="32.909999999999997"/>
    <n v="18.95"/>
    <x v="3"/>
    <n v="0"/>
    <n v="623.64"/>
    <n v="236.26"/>
    <n v="5.78"/>
    <n v="2.4900000000000002"/>
    <n v="4.95"/>
    <n v="0"/>
    <n v="0"/>
    <n v="249.48"/>
    <n v="374.16"/>
    <s v="Profit"/>
    <x v="0"/>
    <n v="5"/>
    <n v="2"/>
    <s v="0-15"/>
    <s v="No"/>
    <n v="0"/>
    <s v="Healthy"/>
    <n v="0"/>
  </r>
  <r>
    <n v="100531"/>
    <d v="2025-11-23T00:00:00"/>
    <n v="1046"/>
    <x v="2"/>
    <x v="12"/>
    <x v="3"/>
    <x v="3"/>
    <x v="0"/>
    <s v="UPI"/>
    <n v="15.94"/>
    <n v="12.05"/>
    <x v="2"/>
    <n v="19.21"/>
    <n v="172.87"/>
    <n v="106.84"/>
    <n v="6.16"/>
    <n v="1.34"/>
    <n v="4.8499999999999996"/>
    <n v="0"/>
    <n v="0"/>
    <n v="119.19"/>
    <n v="53.68"/>
    <s v="Profit"/>
    <x v="0"/>
    <n v="9"/>
    <n v="16"/>
    <s v="0-15"/>
    <s v="Yes"/>
    <n v="2"/>
    <s v="At Risk"/>
    <n v="1"/>
  </r>
  <r>
    <n v="100532"/>
    <d v="2025-11-21T00:00:00"/>
    <n v="1133"/>
    <x v="2"/>
    <x v="9"/>
    <x v="1"/>
    <x v="3"/>
    <x v="0"/>
    <s v="UPI"/>
    <n v="21.06"/>
    <n v="13.76"/>
    <x v="3"/>
    <n v="0"/>
    <n v="289.79000000000002"/>
    <n v="135.79"/>
    <n v="6.21"/>
    <n v="2.0299999999999998"/>
    <n v="3.11"/>
    <n v="0"/>
    <n v="0"/>
    <n v="147.13999999999999"/>
    <n v="142.65"/>
    <s v="Profit"/>
    <x v="0"/>
    <n v="3"/>
    <n v="10"/>
    <s v="0-15"/>
    <s v="No"/>
    <n v="0"/>
    <s v="Healthy"/>
    <n v="0"/>
  </r>
  <r>
    <n v="100533"/>
    <d v="2025-12-16T00:00:00"/>
    <n v="1087"/>
    <x v="0"/>
    <x v="6"/>
    <x v="4"/>
    <x v="2"/>
    <x v="0"/>
    <s v="Fleet_Invoice"/>
    <n v="26.86"/>
    <n v="17.7"/>
    <x v="3"/>
    <n v="0"/>
    <n v="475.42"/>
    <n v="232.78"/>
    <n v="9.67"/>
    <n v="1.9"/>
    <n v="6.13"/>
    <n v="301.67"/>
    <n v="0"/>
    <n v="552.15"/>
    <n v="-76.73"/>
    <s v="Loss"/>
    <x v="1"/>
    <n v="1"/>
    <n v="1"/>
    <s v="0-15"/>
    <s v="Yes"/>
    <n v="1"/>
    <s v="At Risk"/>
    <n v="1"/>
  </r>
  <r>
    <n v="100534"/>
    <d v="2025-10-27T00:00:00"/>
    <n v="1062"/>
    <x v="0"/>
    <x v="0"/>
    <x v="0"/>
    <x v="3"/>
    <x v="1"/>
    <s v="Card"/>
    <n v="16.45"/>
    <n v="12.56"/>
    <x v="1"/>
    <n v="41.32"/>
    <n v="165.29"/>
    <n v="129.02000000000001"/>
    <n v="6.68"/>
    <n v="3.1"/>
    <n v="10.92"/>
    <n v="0"/>
    <n v="0"/>
    <n v="149.72"/>
    <n v="15.57"/>
    <s v="Profit"/>
    <x v="0"/>
    <n v="8"/>
    <n v="5"/>
    <s v="0-15"/>
    <s v="No"/>
    <n v="0"/>
    <s v="Healthy"/>
    <n v="0"/>
  </r>
  <r>
    <n v="100535"/>
    <d v="2025-12-05T00:00:00"/>
    <n v="1121"/>
    <x v="2"/>
    <x v="5"/>
    <x v="1"/>
    <x v="3"/>
    <x v="2"/>
    <s v="UPI"/>
    <n v="22.12"/>
    <n v="14.22"/>
    <x v="3"/>
    <n v="0"/>
    <n v="314.55"/>
    <n v="138.22"/>
    <n v="4"/>
    <n v="2.2000000000000002"/>
    <n v="6.27"/>
    <n v="0"/>
    <n v="0"/>
    <n v="150.69"/>
    <n v="163.86"/>
    <s v="Profit"/>
    <x v="0"/>
    <n v="5"/>
    <n v="5"/>
    <s v="0-15"/>
    <s v="No"/>
    <n v="0"/>
    <s v="Healthy"/>
    <n v="0"/>
  </r>
  <r>
    <n v="100536"/>
    <d v="2025-10-26T00:00:00"/>
    <n v="1125"/>
    <x v="2"/>
    <x v="5"/>
    <x v="0"/>
    <x v="1"/>
    <x v="2"/>
    <s v="Fleet_Invoice"/>
    <n v="36.75"/>
    <n v="15.47"/>
    <x v="4"/>
    <n v="28.43"/>
    <n v="540.09"/>
    <n v="253.35"/>
    <n v="12.51"/>
    <n v="2.27"/>
    <n v="3.21"/>
    <n v="0"/>
    <n v="0"/>
    <n v="271.33999999999997"/>
    <n v="268.75"/>
    <s v="Profit"/>
    <x v="0"/>
    <n v="10"/>
    <n v="0"/>
    <s v="0-15"/>
    <s v="No"/>
    <n v="0"/>
    <s v="Healthy"/>
    <n v="0"/>
  </r>
  <r>
    <n v="100537"/>
    <d v="2025-11-24T00:00:00"/>
    <n v="1134"/>
    <x v="1"/>
    <x v="4"/>
    <x v="1"/>
    <x v="0"/>
    <x v="0"/>
    <s v="UPI"/>
    <n v="27.92"/>
    <n v="19.09"/>
    <x v="4"/>
    <n v="26.65"/>
    <n v="506.34"/>
    <n v="206.34"/>
    <n v="9.11"/>
    <n v="3.73"/>
    <n v="8.15"/>
    <n v="0"/>
    <n v="0"/>
    <n v="227.33"/>
    <n v="279.01"/>
    <s v="Profit"/>
    <x v="0"/>
    <n v="12"/>
    <n v="5"/>
    <s v="0-15"/>
    <s v="No"/>
    <n v="0"/>
    <s v="Healthy"/>
    <n v="0"/>
  </r>
  <r>
    <n v="100538"/>
    <d v="2025-10-15T00:00:00"/>
    <n v="1073"/>
    <x v="2"/>
    <x v="10"/>
    <x v="4"/>
    <x v="2"/>
    <x v="0"/>
    <s v="Fleet_Invoice"/>
    <n v="30.31"/>
    <n v="16.829999999999998"/>
    <x v="0"/>
    <n v="76.52"/>
    <n v="433.6"/>
    <n v="204.62"/>
    <n v="6.63"/>
    <n v="2.04"/>
    <n v="6.52"/>
    <n v="0"/>
    <n v="0"/>
    <n v="219.81"/>
    <n v="213.79"/>
    <s v="Profit"/>
    <x v="0"/>
    <n v="14"/>
    <n v="17"/>
    <s v="0-15"/>
    <s v="Yes"/>
    <n v="1"/>
    <s v="At Risk"/>
    <n v="1"/>
  </r>
  <r>
    <n v="100539"/>
    <d v="2025-12-17T00:00:00"/>
    <n v="1082"/>
    <x v="3"/>
    <x v="8"/>
    <x v="4"/>
    <x v="3"/>
    <x v="0"/>
    <s v="UPI"/>
    <n v="25.03"/>
    <n v="11.92"/>
    <x v="3"/>
    <n v="0"/>
    <n v="298.36"/>
    <n v="204.53"/>
    <n v="6.57"/>
    <n v="2.09"/>
    <n v="3.17"/>
    <n v="0"/>
    <n v="0"/>
    <n v="216.36"/>
    <n v="82"/>
    <s v="Profit"/>
    <x v="0"/>
    <n v="34"/>
    <n v="12"/>
    <s v="30+"/>
    <s v="Yes"/>
    <n v="4"/>
    <s v="At Risk"/>
    <n v="1"/>
  </r>
  <r>
    <n v="100540"/>
    <d v="2025-10-21T00:00:00"/>
    <n v="1107"/>
    <x v="0"/>
    <x v="11"/>
    <x v="0"/>
    <x v="3"/>
    <x v="2"/>
    <s v="Fleet_Invoice"/>
    <n v="3"/>
    <n v="11.49"/>
    <x v="4"/>
    <n v="1.72"/>
    <n v="32.75"/>
    <n v="18.82"/>
    <n v="5.54"/>
    <n v="0.14000000000000001"/>
    <n v="11.07"/>
    <n v="0"/>
    <n v="0"/>
    <n v="35.57"/>
    <n v="-2.82"/>
    <s v="Loss"/>
    <x v="0"/>
    <n v="61"/>
    <n v="4"/>
    <s v="30+"/>
    <s v="Yes"/>
    <n v="2"/>
    <s v="At Risk"/>
    <n v="1"/>
  </r>
  <r>
    <n v="100541"/>
    <d v="2025-10-09T00:00:00"/>
    <n v="1088"/>
    <x v="1"/>
    <x v="2"/>
    <x v="1"/>
    <x v="2"/>
    <x v="0"/>
    <s v="Card"/>
    <n v="43.76"/>
    <n v="18.079999999999998"/>
    <x v="2"/>
    <n v="79.12"/>
    <n v="712.06"/>
    <n v="323.55"/>
    <n v="8.4499999999999993"/>
    <n v="11.87"/>
    <n v="1.82"/>
    <n v="0"/>
    <n v="0"/>
    <n v="345.69"/>
    <n v="366.37"/>
    <s v="Profit"/>
    <x v="0"/>
    <n v="12"/>
    <n v="23"/>
    <s v="0-15"/>
    <s v="Yes"/>
    <n v="1"/>
    <s v="At Risk"/>
    <n v="1"/>
  </r>
  <r>
    <n v="100542"/>
    <d v="2025-11-15T00:00:00"/>
    <n v="1065"/>
    <x v="2"/>
    <x v="10"/>
    <x v="4"/>
    <x v="2"/>
    <x v="0"/>
    <s v="UPI"/>
    <n v="30.82"/>
    <n v="18.2"/>
    <x v="2"/>
    <n v="56.09"/>
    <n v="504.83"/>
    <n v="176.29"/>
    <n v="8.33"/>
    <n v="3.93"/>
    <n v="5.6"/>
    <n v="0"/>
    <n v="0"/>
    <n v="194.15"/>
    <n v="310.68"/>
    <s v="Profit"/>
    <x v="0"/>
    <n v="30"/>
    <n v="10"/>
    <s v="16-30"/>
    <s v="Yes"/>
    <n v="1"/>
    <s v="At Risk"/>
    <n v="1"/>
  </r>
  <r>
    <n v="100543"/>
    <d v="2025-11-29T00:00:00"/>
    <n v="1133"/>
    <x v="0"/>
    <x v="6"/>
    <x v="4"/>
    <x v="3"/>
    <x v="0"/>
    <s v="UPI"/>
    <n v="8.9700000000000006"/>
    <n v="13.92"/>
    <x v="4"/>
    <n v="6.24"/>
    <n v="118.62"/>
    <n v="57.96"/>
    <n v="7.93"/>
    <n v="0.87"/>
    <n v="8.83"/>
    <n v="0"/>
    <n v="0"/>
    <n v="75.59"/>
    <n v="43.03"/>
    <s v="Profit"/>
    <x v="0"/>
    <n v="3"/>
    <n v="3"/>
    <s v="0-15"/>
    <s v="No"/>
    <n v="0"/>
    <s v="Healthy"/>
    <n v="0"/>
  </r>
  <r>
    <n v="100544"/>
    <d v="2025-11-16T00:00:00"/>
    <n v="1076"/>
    <x v="0"/>
    <x v="0"/>
    <x v="4"/>
    <x v="0"/>
    <x v="1"/>
    <s v="Wallet"/>
    <n v="21.63"/>
    <n v="19.670000000000002"/>
    <x v="4"/>
    <n v="21.27"/>
    <n v="404.19"/>
    <n v="133.91"/>
    <n v="7.46"/>
    <n v="5.1100000000000003"/>
    <n v="10.09"/>
    <n v="0"/>
    <n v="0"/>
    <n v="156.57"/>
    <n v="247.62"/>
    <s v="Profit"/>
    <x v="0"/>
    <n v="24"/>
    <n v="5"/>
    <s v="16-30"/>
    <s v="Yes"/>
    <n v="1"/>
    <s v="At Risk"/>
    <n v="1"/>
  </r>
  <r>
    <n v="100545"/>
    <d v="2025-10-23T00:00:00"/>
    <n v="1093"/>
    <x v="3"/>
    <x v="8"/>
    <x v="1"/>
    <x v="3"/>
    <x v="0"/>
    <s v="UPI"/>
    <n v="17.190000000000001"/>
    <n v="12.56"/>
    <x v="2"/>
    <n v="21.59"/>
    <n v="194.32"/>
    <n v="128.52000000000001"/>
    <n v="7.75"/>
    <n v="1.51"/>
    <n v="11.96"/>
    <n v="0"/>
    <n v="0"/>
    <n v="149.74"/>
    <n v="44.58"/>
    <s v="Profit"/>
    <x v="0"/>
    <n v="1"/>
    <n v="4"/>
    <s v="0-15"/>
    <s v="No"/>
    <n v="0"/>
    <s v="Healthy"/>
    <n v="0"/>
  </r>
  <r>
    <n v="100546"/>
    <d v="2025-11-17T00:00:00"/>
    <n v="1128"/>
    <x v="2"/>
    <x v="9"/>
    <x v="1"/>
    <x v="0"/>
    <x v="0"/>
    <s v="UPI"/>
    <n v="34.130000000000003"/>
    <n v="17.989999999999998"/>
    <x v="3"/>
    <n v="0"/>
    <n v="614"/>
    <n v="259.98"/>
    <n v="7.06"/>
    <n v="4.3"/>
    <n v="5.95"/>
    <n v="0"/>
    <n v="0"/>
    <n v="277.29000000000002"/>
    <n v="336.71"/>
    <s v="Profit"/>
    <x v="0"/>
    <n v="19"/>
    <n v="0"/>
    <s v="16-30"/>
    <s v="No"/>
    <n v="0"/>
    <s v="Healthy"/>
    <n v="0"/>
  </r>
  <r>
    <n v="100547"/>
    <d v="2025-10-12T00:00:00"/>
    <n v="1106"/>
    <x v="0"/>
    <x v="6"/>
    <x v="4"/>
    <x v="3"/>
    <x v="0"/>
    <s v="Card"/>
    <n v="22.44"/>
    <n v="12.49"/>
    <x v="2"/>
    <n v="28.03"/>
    <n v="252.25"/>
    <n v="173.5"/>
    <n v="7.97"/>
    <n v="4.2"/>
    <n v="1.17"/>
    <n v="0"/>
    <n v="0"/>
    <n v="186.84"/>
    <n v="65.41"/>
    <s v="Profit"/>
    <x v="0"/>
    <n v="2"/>
    <n v="9"/>
    <s v="0-15"/>
    <s v="No"/>
    <n v="0"/>
    <s v="Healthy"/>
    <n v="0"/>
  </r>
  <r>
    <n v="100548"/>
    <d v="2025-10-11T00:00:00"/>
    <n v="1136"/>
    <x v="0"/>
    <x v="1"/>
    <x v="0"/>
    <x v="3"/>
    <x v="0"/>
    <s v="Card"/>
    <n v="3"/>
    <n v="14.7"/>
    <x v="4"/>
    <n v="2.2000000000000002"/>
    <n v="41.9"/>
    <n v="19.12"/>
    <n v="12.93"/>
    <n v="0.66"/>
    <n v="1.68"/>
    <n v="0"/>
    <n v="0"/>
    <n v="34.39"/>
    <n v="7.51"/>
    <s v="Profit"/>
    <x v="0"/>
    <n v="1"/>
    <n v="1"/>
    <s v="0-15"/>
    <s v="No"/>
    <n v="0"/>
    <s v="Healthy"/>
    <n v="0"/>
  </r>
  <r>
    <n v="100549"/>
    <d v="2025-12-17T00:00:00"/>
    <n v="1015"/>
    <x v="3"/>
    <x v="15"/>
    <x v="2"/>
    <x v="3"/>
    <x v="2"/>
    <s v="UPI"/>
    <n v="19.260000000000002"/>
    <n v="11.7"/>
    <x v="2"/>
    <n v="22.53"/>
    <n v="202.81"/>
    <n v="158.37"/>
    <n v="7.7"/>
    <n v="1.58"/>
    <n v="6.47"/>
    <n v="0"/>
    <n v="0"/>
    <n v="174.12"/>
    <n v="28.69"/>
    <s v="Profit"/>
    <x v="0"/>
    <n v="0"/>
    <n v="1"/>
    <s v="0-15"/>
    <s v="No"/>
    <n v="0"/>
    <s v="Healthy"/>
    <n v="0"/>
  </r>
  <r>
    <n v="100550"/>
    <d v="2025-10-18T00:00:00"/>
    <n v="1134"/>
    <x v="0"/>
    <x v="1"/>
    <x v="1"/>
    <x v="2"/>
    <x v="2"/>
    <s v="UPI"/>
    <n v="22.36"/>
    <n v="18.670000000000002"/>
    <x v="2"/>
    <n v="41.75"/>
    <n v="375.71"/>
    <n v="172.33"/>
    <n v="5.0199999999999996"/>
    <n v="2.92"/>
    <n v="7.73"/>
    <n v="0"/>
    <n v="0"/>
    <n v="188"/>
    <n v="187.71"/>
    <s v="Profit"/>
    <x v="0"/>
    <n v="61"/>
    <n v="2"/>
    <s v="30+"/>
    <s v="Yes"/>
    <n v="2"/>
    <s v="At Risk"/>
    <n v="1"/>
  </r>
  <r>
    <n v="100551"/>
    <d v="2025-11-01T00:00:00"/>
    <n v="1094"/>
    <x v="3"/>
    <x v="7"/>
    <x v="3"/>
    <x v="1"/>
    <x v="2"/>
    <s v="UPI"/>
    <n v="23.63"/>
    <n v="15.56"/>
    <x v="0"/>
    <n v="55.15"/>
    <n v="312.52999999999997"/>
    <n v="139.69"/>
    <n v="6.07"/>
    <n v="2.57"/>
    <n v="2.4"/>
    <n v="0"/>
    <n v="0"/>
    <n v="150.72999999999999"/>
    <n v="161.80000000000001"/>
    <s v="Profit"/>
    <x v="0"/>
    <n v="3"/>
    <n v="15"/>
    <s v="0-15"/>
    <s v="No"/>
    <n v="0"/>
    <s v="Healthy"/>
    <n v="0"/>
  </r>
  <r>
    <n v="100552"/>
    <d v="2025-10-28T00:00:00"/>
    <n v="1102"/>
    <x v="2"/>
    <x v="12"/>
    <x v="3"/>
    <x v="3"/>
    <x v="0"/>
    <s v="UPI"/>
    <n v="19.21"/>
    <n v="11.75"/>
    <x v="4"/>
    <n v="11.29"/>
    <n v="214.43"/>
    <n v="144.53"/>
    <n v="10.32"/>
    <n v="1.58"/>
    <n v="0.62"/>
    <n v="0"/>
    <n v="0"/>
    <n v="157.05000000000001"/>
    <n v="57.38"/>
    <s v="Profit"/>
    <x v="0"/>
    <n v="10"/>
    <n v="1"/>
    <s v="0-15"/>
    <s v="No"/>
    <n v="0"/>
    <s v="Healthy"/>
    <n v="0"/>
  </r>
  <r>
    <n v="100553"/>
    <d v="2025-11-18T00:00:00"/>
    <n v="1076"/>
    <x v="0"/>
    <x v="0"/>
    <x v="3"/>
    <x v="2"/>
    <x v="0"/>
    <s v="Wallet"/>
    <n v="30.84"/>
    <n v="18.260000000000002"/>
    <x v="3"/>
    <n v="0"/>
    <n v="563.14"/>
    <n v="218.43"/>
    <n v="10.69"/>
    <n v="6.76"/>
    <n v="10.48"/>
    <n v="0"/>
    <n v="0"/>
    <n v="246.36"/>
    <n v="316.77999999999997"/>
    <s v="Profit"/>
    <x v="0"/>
    <n v="13"/>
    <n v="1"/>
    <s v="0-15"/>
    <s v="No"/>
    <n v="0"/>
    <s v="Healthy"/>
    <n v="0"/>
  </r>
  <r>
    <n v="100554"/>
    <d v="2025-12-20T00:00:00"/>
    <n v="1149"/>
    <x v="1"/>
    <x v="3"/>
    <x v="3"/>
    <x v="0"/>
    <x v="0"/>
    <s v="UPI"/>
    <n v="32.92"/>
    <n v="19.53"/>
    <x v="2"/>
    <n v="64.290000000000006"/>
    <n v="578.64"/>
    <n v="235.69"/>
    <n v="10.92"/>
    <n v="4.5"/>
    <n v="11.94"/>
    <n v="0"/>
    <n v="0"/>
    <n v="263.05"/>
    <n v="315.58999999999997"/>
    <s v="Profit"/>
    <x v="0"/>
    <n v="2"/>
    <n v="14"/>
    <s v="0-15"/>
    <s v="No"/>
    <n v="0"/>
    <s v="Healthy"/>
    <n v="0"/>
  </r>
  <r>
    <n v="100555"/>
    <d v="2025-10-16T00:00:00"/>
    <n v="1008"/>
    <x v="1"/>
    <x v="13"/>
    <x v="3"/>
    <x v="1"/>
    <x v="0"/>
    <s v="Card"/>
    <n v="17.739999999999998"/>
    <n v="15.84"/>
    <x v="4"/>
    <n v="14.05"/>
    <n v="266.95"/>
    <n v="120.21"/>
    <n v="9.42"/>
    <n v="4.22"/>
    <n v="6.68"/>
    <n v="0"/>
    <n v="0"/>
    <n v="140.53"/>
    <n v="126.42"/>
    <s v="Profit"/>
    <x v="0"/>
    <n v="5"/>
    <n v="0"/>
    <s v="0-15"/>
    <s v="No"/>
    <n v="0"/>
    <s v="Healthy"/>
    <n v="0"/>
  </r>
  <r>
    <n v="100556"/>
    <d v="2025-11-22T00:00:00"/>
    <n v="1133"/>
    <x v="2"/>
    <x v="5"/>
    <x v="4"/>
    <x v="3"/>
    <x v="1"/>
    <s v="UPI"/>
    <n v="25.4"/>
    <n v="14.63"/>
    <x v="3"/>
    <n v="0"/>
    <n v="371.6"/>
    <n v="168.34"/>
    <n v="8.19"/>
    <n v="2.6"/>
    <n v="9.0299999999999994"/>
    <n v="0"/>
    <n v="0"/>
    <n v="188.16"/>
    <n v="183.44"/>
    <s v="Profit"/>
    <x v="0"/>
    <n v="9"/>
    <n v="5"/>
    <s v="0-15"/>
    <s v="No"/>
    <n v="0"/>
    <s v="Healthy"/>
    <n v="0"/>
  </r>
  <r>
    <n v="100557"/>
    <d v="2025-10-03T00:00:00"/>
    <n v="1072"/>
    <x v="2"/>
    <x v="9"/>
    <x v="1"/>
    <x v="3"/>
    <x v="0"/>
    <s v="UPI"/>
    <n v="20.91"/>
    <n v="12.18"/>
    <x v="2"/>
    <n v="25.47"/>
    <n v="229.21"/>
    <n v="137.68"/>
    <n v="4.32"/>
    <n v="1.78"/>
    <n v="0"/>
    <n v="0"/>
    <n v="0"/>
    <n v="143.78"/>
    <n v="85.43"/>
    <s v="Profit"/>
    <x v="0"/>
    <n v="11"/>
    <n v="0"/>
    <s v="0-15"/>
    <s v="No"/>
    <n v="0"/>
    <s v="Healthy"/>
    <n v="0"/>
  </r>
  <r>
    <n v="100558"/>
    <d v="2025-12-20T00:00:00"/>
    <n v="1136"/>
    <x v="3"/>
    <x v="8"/>
    <x v="4"/>
    <x v="1"/>
    <x v="2"/>
    <s v="UPI"/>
    <n v="31.45"/>
    <n v="14.9"/>
    <x v="3"/>
    <n v="0"/>
    <n v="468.6"/>
    <n v="232.21"/>
    <n v="7.12"/>
    <n v="3.28"/>
    <n v="5.62"/>
    <n v="0"/>
    <n v="0"/>
    <n v="248.23"/>
    <n v="220.37"/>
    <s v="Profit"/>
    <x v="0"/>
    <n v="5"/>
    <n v="23"/>
    <s v="0-15"/>
    <s v="Yes"/>
    <n v="1"/>
    <s v="At Risk"/>
    <n v="1"/>
  </r>
  <r>
    <n v="100559"/>
    <d v="2025-10-23T00:00:00"/>
    <n v="1052"/>
    <x v="0"/>
    <x v="11"/>
    <x v="2"/>
    <x v="2"/>
    <x v="2"/>
    <s v="UPI"/>
    <n v="31.33"/>
    <n v="18.14"/>
    <x v="4"/>
    <n v="28.42"/>
    <n v="539.91"/>
    <n v="193.4"/>
    <n v="6.3"/>
    <n v="3.98"/>
    <n v="1.5"/>
    <n v="0"/>
    <n v="0"/>
    <n v="205.18"/>
    <n v="334.73"/>
    <s v="Profit"/>
    <x v="0"/>
    <n v="12"/>
    <n v="1"/>
    <s v="0-15"/>
    <s v="No"/>
    <n v="0"/>
    <s v="Healthy"/>
    <n v="0"/>
  </r>
  <r>
    <n v="100560"/>
    <d v="2025-10-09T00:00:00"/>
    <n v="1117"/>
    <x v="2"/>
    <x v="10"/>
    <x v="0"/>
    <x v="3"/>
    <x v="0"/>
    <s v="Card"/>
    <n v="18.079999999999998"/>
    <n v="11.34"/>
    <x v="3"/>
    <n v="0"/>
    <n v="205.03"/>
    <n v="122.73"/>
    <n v="9.77"/>
    <n v="3.08"/>
    <n v="2.91"/>
    <n v="0"/>
    <n v="0"/>
    <n v="138.49"/>
    <n v="66.540000000000006"/>
    <s v="Profit"/>
    <x v="0"/>
    <n v="1"/>
    <n v="7"/>
    <s v="0-15"/>
    <s v="No"/>
    <n v="0"/>
    <s v="Healthy"/>
    <n v="0"/>
  </r>
  <r>
    <n v="100561"/>
    <d v="2025-12-23T00:00:00"/>
    <n v="1101"/>
    <x v="3"/>
    <x v="14"/>
    <x v="0"/>
    <x v="3"/>
    <x v="0"/>
    <s v="Fleet_Invoice"/>
    <n v="16.2"/>
    <n v="12.43"/>
    <x v="3"/>
    <n v="0"/>
    <n v="201.37"/>
    <n v="108.1"/>
    <n v="8.68"/>
    <n v="0.81"/>
    <n v="10.29"/>
    <n v="0"/>
    <n v="0"/>
    <n v="127.88"/>
    <n v="73.489999999999995"/>
    <s v="Profit"/>
    <x v="0"/>
    <n v="15"/>
    <n v="2"/>
    <s v="0-15"/>
    <s v="No"/>
    <n v="0"/>
    <s v="Healthy"/>
    <n v="0"/>
  </r>
  <r>
    <n v="100562"/>
    <d v="2025-10-09T00:00:00"/>
    <n v="1111"/>
    <x v="2"/>
    <x v="10"/>
    <x v="0"/>
    <x v="3"/>
    <x v="2"/>
    <s v="Fleet_Invoice"/>
    <n v="14.01"/>
    <n v="11.35"/>
    <x v="4"/>
    <n v="7.95"/>
    <n v="151.06"/>
    <n v="97.49"/>
    <n v="8.58"/>
    <n v="0.64"/>
    <n v="9.35"/>
    <n v="0"/>
    <n v="0"/>
    <n v="116.06"/>
    <n v="35"/>
    <s v="Profit"/>
    <x v="0"/>
    <n v="9"/>
    <n v="44"/>
    <s v="0-15"/>
    <s v="Yes"/>
    <n v="3"/>
    <s v="At Risk"/>
    <n v="1"/>
  </r>
  <r>
    <n v="100563"/>
    <d v="2025-11-07T00:00:00"/>
    <n v="1020"/>
    <x v="2"/>
    <x v="10"/>
    <x v="3"/>
    <x v="3"/>
    <x v="0"/>
    <s v="Card"/>
    <n v="24.31"/>
    <n v="13.13"/>
    <x v="2"/>
    <n v="31.92"/>
    <n v="287.27"/>
    <n v="163.41"/>
    <n v="9.0299999999999994"/>
    <n v="4.79"/>
    <n v="5.48"/>
    <n v="0"/>
    <n v="0"/>
    <n v="182.71"/>
    <n v="104.56"/>
    <s v="Profit"/>
    <x v="0"/>
    <n v="8"/>
    <n v="9"/>
    <s v="0-15"/>
    <s v="No"/>
    <n v="0"/>
    <s v="Healthy"/>
    <n v="0"/>
  </r>
  <r>
    <n v="100564"/>
    <d v="2025-12-18T00:00:00"/>
    <n v="1127"/>
    <x v="1"/>
    <x v="2"/>
    <x v="3"/>
    <x v="2"/>
    <x v="1"/>
    <s v="UPI"/>
    <n v="26.08"/>
    <n v="18.52"/>
    <x v="0"/>
    <n v="72.45"/>
    <n v="410.55"/>
    <n v="219.09"/>
    <n v="8.0299999999999994"/>
    <n v="3.38"/>
    <n v="7.38"/>
    <n v="0"/>
    <n v="0"/>
    <n v="237.88"/>
    <n v="172.67"/>
    <s v="Profit"/>
    <x v="0"/>
    <n v="12"/>
    <n v="8"/>
    <s v="0-15"/>
    <s v="No"/>
    <n v="0"/>
    <s v="Healthy"/>
    <n v="0"/>
  </r>
  <r>
    <n v="100565"/>
    <d v="2025-11-15T00:00:00"/>
    <n v="1081"/>
    <x v="3"/>
    <x v="14"/>
    <x v="2"/>
    <x v="3"/>
    <x v="0"/>
    <s v="UPI"/>
    <n v="17.940000000000001"/>
    <n v="12.52"/>
    <x v="2"/>
    <n v="22.46"/>
    <n v="202.15"/>
    <n v="142.32"/>
    <n v="5.1100000000000003"/>
    <n v="1.57"/>
    <n v="0.76"/>
    <n v="0"/>
    <n v="0"/>
    <n v="149.76"/>
    <n v="52.39"/>
    <s v="Profit"/>
    <x v="0"/>
    <n v="31"/>
    <n v="8"/>
    <s v="30+"/>
    <s v="Yes"/>
    <n v="2"/>
    <s v="At Risk"/>
    <n v="1"/>
  </r>
  <r>
    <n v="100566"/>
    <d v="2025-12-05T00:00:00"/>
    <n v="1096"/>
    <x v="3"/>
    <x v="7"/>
    <x v="1"/>
    <x v="3"/>
    <x v="0"/>
    <s v="Fleet_Invoice"/>
    <n v="17.36"/>
    <n v="14.09"/>
    <x v="3"/>
    <n v="0"/>
    <n v="244.6"/>
    <n v="115.34"/>
    <n v="10.94"/>
    <n v="0.98"/>
    <n v="4.18"/>
    <n v="170.92"/>
    <n v="0"/>
    <n v="302.36"/>
    <n v="-57.76"/>
    <s v="Loss"/>
    <x v="1"/>
    <n v="12"/>
    <n v="5"/>
    <s v="0-15"/>
    <s v="Yes"/>
    <n v="1"/>
    <s v="At Risk"/>
    <n v="1"/>
  </r>
  <r>
    <n v="100567"/>
    <d v="2025-12-28T00:00:00"/>
    <n v="1115"/>
    <x v="0"/>
    <x v="6"/>
    <x v="3"/>
    <x v="3"/>
    <x v="0"/>
    <s v="UPI"/>
    <n v="35.549999999999997"/>
    <n v="12.49"/>
    <x v="2"/>
    <n v="44.4"/>
    <n v="399.62"/>
    <n v="225.9"/>
    <n v="8.4"/>
    <n v="3.11"/>
    <n v="4.21"/>
    <n v="0"/>
    <n v="0"/>
    <n v="241.62"/>
    <n v="158"/>
    <s v="Profit"/>
    <x v="0"/>
    <n v="19"/>
    <n v="0"/>
    <s v="16-30"/>
    <s v="No"/>
    <n v="0"/>
    <s v="Healthy"/>
    <n v="0"/>
  </r>
  <r>
    <n v="100568"/>
    <d v="2025-11-03T00:00:00"/>
    <n v="1048"/>
    <x v="2"/>
    <x v="10"/>
    <x v="2"/>
    <x v="1"/>
    <x v="1"/>
    <s v="Wallet"/>
    <n v="47.35"/>
    <n v="16.21"/>
    <x v="4"/>
    <n v="38.380000000000003"/>
    <n v="729.16"/>
    <n v="324.26"/>
    <n v="8.74"/>
    <n v="9.2100000000000009"/>
    <n v="6.8"/>
    <n v="0"/>
    <n v="0"/>
    <n v="349.01"/>
    <n v="380.15"/>
    <s v="Profit"/>
    <x v="0"/>
    <n v="13"/>
    <n v="20"/>
    <s v="0-15"/>
    <s v="Yes"/>
    <n v="1"/>
    <s v="At Risk"/>
    <n v="1"/>
  </r>
  <r>
    <n v="100569"/>
    <d v="2025-11-07T00:00:00"/>
    <n v="1113"/>
    <x v="0"/>
    <x v="6"/>
    <x v="2"/>
    <x v="3"/>
    <x v="1"/>
    <s v="Card"/>
    <n v="28.3"/>
    <n v="13.13"/>
    <x v="3"/>
    <n v="0"/>
    <n v="371.58"/>
    <n v="194.21"/>
    <n v="11.36"/>
    <n v="5.57"/>
    <n v="7.59"/>
    <n v="0"/>
    <n v="0"/>
    <n v="218.73"/>
    <n v="152.85"/>
    <s v="Profit"/>
    <x v="0"/>
    <n v="12"/>
    <n v="29"/>
    <s v="0-15"/>
    <s v="Yes"/>
    <n v="1"/>
    <s v="At Risk"/>
    <n v="1"/>
  </r>
  <r>
    <n v="100570"/>
    <d v="2025-12-01T00:00:00"/>
    <n v="1036"/>
    <x v="1"/>
    <x v="3"/>
    <x v="0"/>
    <x v="2"/>
    <x v="0"/>
    <s v="UPI"/>
    <n v="21.51"/>
    <n v="18.11"/>
    <x v="0"/>
    <n v="58.43"/>
    <n v="331.12"/>
    <n v="147.79"/>
    <n v="4.1500000000000004"/>
    <n v="2.73"/>
    <n v="0"/>
    <n v="0"/>
    <n v="0"/>
    <n v="154.66999999999999"/>
    <n v="176.45"/>
    <s v="Profit"/>
    <x v="0"/>
    <n v="4"/>
    <n v="21"/>
    <s v="0-15"/>
    <s v="Yes"/>
    <n v="2"/>
    <s v="At Risk"/>
    <n v="1"/>
  </r>
  <r>
    <n v="100571"/>
    <d v="2025-10-30T00:00:00"/>
    <n v="1033"/>
    <x v="3"/>
    <x v="8"/>
    <x v="2"/>
    <x v="3"/>
    <x v="0"/>
    <s v="Fleet_Invoice"/>
    <n v="4.18"/>
    <n v="13.28"/>
    <x v="4"/>
    <n v="2.78"/>
    <n v="52.73"/>
    <n v="32.43"/>
    <n v="7.04"/>
    <n v="0.22"/>
    <n v="4.5999999999999996"/>
    <n v="0"/>
    <n v="0"/>
    <n v="44.29"/>
    <n v="8.44"/>
    <s v="Profit"/>
    <x v="0"/>
    <n v="56"/>
    <n v="5"/>
    <s v="30+"/>
    <s v="Yes"/>
    <n v="2"/>
    <s v="At Risk"/>
    <n v="1"/>
  </r>
  <r>
    <n v="100572"/>
    <d v="2025-10-20T00:00:00"/>
    <n v="1020"/>
    <x v="2"/>
    <x v="12"/>
    <x v="0"/>
    <x v="2"/>
    <x v="1"/>
    <s v="Fleet_Invoice"/>
    <n v="37.119999999999997"/>
    <n v="16.77"/>
    <x v="3"/>
    <n v="0"/>
    <n v="622.5"/>
    <n v="278.91000000000003"/>
    <n v="6.26"/>
    <n v="2.4900000000000002"/>
    <n v="0.36"/>
    <n v="0"/>
    <n v="0"/>
    <n v="288.02"/>
    <n v="334.48"/>
    <s v="Profit"/>
    <x v="0"/>
    <n v="4"/>
    <n v="0"/>
    <s v="0-15"/>
    <s v="No"/>
    <n v="1"/>
    <s v="Healthy"/>
    <n v="0"/>
  </r>
  <r>
    <n v="100573"/>
    <d v="2025-11-19T00:00:00"/>
    <n v="1008"/>
    <x v="0"/>
    <x v="1"/>
    <x v="4"/>
    <x v="3"/>
    <x v="0"/>
    <s v="Wallet"/>
    <n v="12.01"/>
    <n v="12.46"/>
    <x v="2"/>
    <n v="14.96"/>
    <n v="134.68"/>
    <n v="93.97"/>
    <n v="15.42"/>
    <n v="1.8"/>
    <n v="4.04"/>
    <n v="121.61"/>
    <n v="0"/>
    <n v="236.84"/>
    <n v="-102.16"/>
    <s v="Loss"/>
    <x v="1"/>
    <n v="1"/>
    <n v="7"/>
    <s v="0-15"/>
    <s v="Yes"/>
    <n v="2"/>
    <s v="At Risk"/>
    <n v="1"/>
  </r>
  <r>
    <n v="100574"/>
    <d v="2025-10-09T00:00:00"/>
    <n v="1050"/>
    <x v="0"/>
    <x v="0"/>
    <x v="2"/>
    <x v="1"/>
    <x v="0"/>
    <s v="UPI"/>
    <n v="40.76"/>
    <n v="15.56"/>
    <x v="2"/>
    <n v="63.42"/>
    <n v="570.80999999999995"/>
    <n v="308.17"/>
    <n v="16.71"/>
    <n v="4.4400000000000004"/>
    <n v="0"/>
    <n v="0"/>
    <n v="0"/>
    <n v="329.32"/>
    <n v="241.49"/>
    <s v="Profit"/>
    <x v="0"/>
    <n v="9"/>
    <n v="8"/>
    <s v="0-15"/>
    <s v="No"/>
    <n v="0"/>
    <s v="Healthy"/>
    <n v="0"/>
  </r>
  <r>
    <n v="100575"/>
    <d v="2025-10-19T00:00:00"/>
    <n v="1022"/>
    <x v="2"/>
    <x v="10"/>
    <x v="2"/>
    <x v="1"/>
    <x v="0"/>
    <s v="UPI"/>
    <n v="23.37"/>
    <n v="16.579999999999998"/>
    <x v="3"/>
    <n v="0"/>
    <n v="387.47"/>
    <n v="151.96"/>
    <n v="15.91"/>
    <n v="2.71"/>
    <n v="5.0999999999999996"/>
    <n v="0"/>
    <n v="0"/>
    <n v="175.68"/>
    <n v="211.79"/>
    <s v="Profit"/>
    <x v="0"/>
    <n v="5"/>
    <n v="9"/>
    <s v="0-15"/>
    <s v="No"/>
    <n v="0"/>
    <s v="Healthy"/>
    <n v="0"/>
  </r>
  <r>
    <n v="100576"/>
    <d v="2025-11-23T00:00:00"/>
    <n v="1007"/>
    <x v="0"/>
    <x v="0"/>
    <x v="4"/>
    <x v="3"/>
    <x v="0"/>
    <s v="UPI"/>
    <n v="33.229999999999997"/>
    <n v="13.73"/>
    <x v="3"/>
    <n v="0"/>
    <n v="456.25"/>
    <n v="238.58"/>
    <n v="14.76"/>
    <n v="3.19"/>
    <n v="6.63"/>
    <n v="450.84"/>
    <n v="0"/>
    <n v="714"/>
    <n v="-257.75"/>
    <s v="Loss"/>
    <x v="2"/>
    <n v="14"/>
    <n v="0"/>
    <s v="0-15"/>
    <s v="No"/>
    <n v="1"/>
    <s v="At Risk"/>
    <n v="0"/>
  </r>
  <r>
    <n v="100577"/>
    <d v="2025-11-26T00:00:00"/>
    <n v="1043"/>
    <x v="2"/>
    <x v="5"/>
    <x v="2"/>
    <x v="3"/>
    <x v="0"/>
    <s v="Wallet"/>
    <n v="15.92"/>
    <n v="12.73"/>
    <x v="3"/>
    <n v="0"/>
    <n v="202.66"/>
    <n v="112.01"/>
    <n v="8.68"/>
    <n v="2.4300000000000002"/>
    <n v="0"/>
    <n v="125.13"/>
    <n v="0"/>
    <n v="248.25"/>
    <n v="-45.59"/>
    <s v="Loss"/>
    <x v="2"/>
    <n v="16"/>
    <n v="0"/>
    <s v="16-30"/>
    <s v="No"/>
    <n v="2"/>
    <s v="At Risk"/>
    <n v="0"/>
  </r>
  <r>
    <n v="100578"/>
    <d v="2025-12-23T00:00:00"/>
    <n v="1035"/>
    <x v="2"/>
    <x v="12"/>
    <x v="4"/>
    <x v="3"/>
    <x v="2"/>
    <s v="UPI"/>
    <n v="20.239999999999998"/>
    <n v="12.75"/>
    <x v="3"/>
    <n v="0"/>
    <n v="258.06"/>
    <n v="103.31"/>
    <n v="9.43"/>
    <n v="1.81"/>
    <n v="3.78"/>
    <n v="0"/>
    <n v="0"/>
    <n v="118.33"/>
    <n v="139.72999999999999"/>
    <s v="Profit"/>
    <x v="0"/>
    <n v="8"/>
    <n v="0"/>
    <s v="0-15"/>
    <s v="No"/>
    <n v="0"/>
    <s v="Healthy"/>
    <n v="0"/>
  </r>
  <r>
    <n v="100579"/>
    <d v="2025-12-31T00:00:00"/>
    <n v="1131"/>
    <x v="1"/>
    <x v="3"/>
    <x v="1"/>
    <x v="1"/>
    <x v="0"/>
    <s v="Card"/>
    <n v="13.04"/>
    <n v="15.03"/>
    <x v="1"/>
    <n v="39.200000000000003"/>
    <n v="156.79"/>
    <n v="91.37"/>
    <n v="9.5299999999999994"/>
    <n v="2.94"/>
    <n v="11.75"/>
    <n v="0"/>
    <n v="0"/>
    <n v="115.59"/>
    <n v="41.2"/>
    <s v="Profit"/>
    <x v="0"/>
    <n v="7"/>
    <n v="43"/>
    <s v="0-15"/>
    <s v="Yes"/>
    <n v="1"/>
    <s v="At Risk"/>
    <n v="1"/>
  </r>
  <r>
    <n v="100580"/>
    <d v="2025-11-30T00:00:00"/>
    <n v="1123"/>
    <x v="3"/>
    <x v="7"/>
    <x v="4"/>
    <x v="1"/>
    <x v="2"/>
    <s v="Card"/>
    <n v="35.909999999999997"/>
    <n v="15.61"/>
    <x v="4"/>
    <n v="28.03"/>
    <n v="532.53"/>
    <n v="189.97"/>
    <n v="11.89"/>
    <n v="8.41"/>
    <n v="8.48"/>
    <n v="0"/>
    <n v="0"/>
    <n v="218.75"/>
    <n v="313.77999999999997"/>
    <s v="Profit"/>
    <x v="0"/>
    <n v="0"/>
    <n v="11"/>
    <s v="0-15"/>
    <s v="No"/>
    <n v="0"/>
    <s v="Healthy"/>
    <n v="0"/>
  </r>
  <r>
    <n v="100581"/>
    <d v="2025-12-24T00:00:00"/>
    <n v="1056"/>
    <x v="1"/>
    <x v="4"/>
    <x v="1"/>
    <x v="0"/>
    <x v="0"/>
    <s v="Card"/>
    <n v="41.92"/>
    <n v="18.329999999999998"/>
    <x v="2"/>
    <n v="76.84"/>
    <n v="691.55"/>
    <n v="279.64999999999998"/>
    <n v="11.25"/>
    <n v="11.53"/>
    <n v="0"/>
    <n v="0"/>
    <n v="0"/>
    <n v="302.43"/>
    <n v="389.12"/>
    <s v="Profit"/>
    <x v="0"/>
    <n v="14"/>
    <n v="7"/>
    <s v="0-15"/>
    <s v="No"/>
    <n v="0"/>
    <s v="Healthy"/>
    <n v="0"/>
  </r>
  <r>
    <n v="100582"/>
    <d v="2025-10-07T00:00:00"/>
    <n v="1085"/>
    <x v="0"/>
    <x v="0"/>
    <x v="3"/>
    <x v="2"/>
    <x v="0"/>
    <s v="Fleet_Invoice"/>
    <n v="31.34"/>
    <n v="17.48"/>
    <x v="2"/>
    <n v="54.78"/>
    <n v="493.04"/>
    <n v="222.38"/>
    <n v="8.41"/>
    <n v="2.19"/>
    <n v="1.2"/>
    <n v="0"/>
    <n v="0"/>
    <n v="234.18"/>
    <n v="258.86"/>
    <s v="Profit"/>
    <x v="0"/>
    <n v="6"/>
    <n v="4"/>
    <s v="0-15"/>
    <s v="No"/>
    <n v="1"/>
    <s v="Healthy"/>
    <n v="0"/>
  </r>
  <r>
    <n v="100583"/>
    <d v="2025-10-01T00:00:00"/>
    <n v="1097"/>
    <x v="1"/>
    <x v="3"/>
    <x v="3"/>
    <x v="3"/>
    <x v="0"/>
    <s v="Card"/>
    <n v="21.64"/>
    <n v="12.28"/>
    <x v="2"/>
    <n v="26.57"/>
    <n v="239.17"/>
    <n v="165.81"/>
    <n v="12.25"/>
    <n v="3.99"/>
    <n v="4.1100000000000003"/>
    <n v="0"/>
    <n v="0"/>
    <n v="186.16"/>
    <n v="53.01"/>
    <s v="Profit"/>
    <x v="0"/>
    <n v="4"/>
    <n v="7"/>
    <s v="0-15"/>
    <s v="No"/>
    <n v="0"/>
    <s v="Healthy"/>
    <n v="0"/>
  </r>
  <r>
    <n v="100584"/>
    <d v="2025-11-21T00:00:00"/>
    <n v="1145"/>
    <x v="1"/>
    <x v="13"/>
    <x v="3"/>
    <x v="3"/>
    <x v="0"/>
    <s v="Fleet_Invoice"/>
    <n v="24.51"/>
    <n v="14.13"/>
    <x v="3"/>
    <n v="0"/>
    <n v="346.33"/>
    <n v="188.28"/>
    <n v="5.21"/>
    <n v="1.39"/>
    <n v="7.97"/>
    <n v="0"/>
    <n v="0"/>
    <n v="202.85"/>
    <n v="143.47999999999999"/>
    <s v="Profit"/>
    <x v="0"/>
    <n v="9"/>
    <n v="0"/>
    <s v="0-15"/>
    <s v="No"/>
    <n v="0"/>
    <s v="Healthy"/>
    <n v="0"/>
  </r>
  <r>
    <n v="100585"/>
    <d v="2025-10-16T00:00:00"/>
    <n v="1005"/>
    <x v="1"/>
    <x v="2"/>
    <x v="3"/>
    <x v="2"/>
    <x v="1"/>
    <s v="UPI"/>
    <n v="11.05"/>
    <n v="17.32"/>
    <x v="3"/>
    <n v="0"/>
    <n v="191.39"/>
    <n v="87.24"/>
    <n v="7.35"/>
    <n v="1.34"/>
    <n v="7.63"/>
    <n v="0"/>
    <n v="0"/>
    <n v="103.56"/>
    <n v="87.83"/>
    <s v="Profit"/>
    <x v="0"/>
    <n v="8"/>
    <n v="30"/>
    <s v="0-15"/>
    <s v="Yes"/>
    <n v="1"/>
    <s v="At Risk"/>
    <n v="1"/>
  </r>
  <r>
    <n v="100586"/>
    <d v="2025-10-13T00:00:00"/>
    <n v="1056"/>
    <x v="1"/>
    <x v="4"/>
    <x v="1"/>
    <x v="0"/>
    <x v="0"/>
    <s v="Wallet"/>
    <n v="22.39"/>
    <n v="20.350000000000001"/>
    <x v="3"/>
    <n v="0"/>
    <n v="455.64"/>
    <n v="166.51"/>
    <n v="8.41"/>
    <n v="5.47"/>
    <n v="7.99"/>
    <n v="0"/>
    <n v="0"/>
    <n v="188.38"/>
    <n v="267.26"/>
    <s v="Profit"/>
    <x v="0"/>
    <n v="5"/>
    <n v="28"/>
    <s v="0-15"/>
    <s v="Yes"/>
    <n v="1"/>
    <s v="At Risk"/>
    <n v="1"/>
  </r>
  <r>
    <n v="100587"/>
    <d v="2025-12-09T00:00:00"/>
    <n v="1028"/>
    <x v="0"/>
    <x v="1"/>
    <x v="0"/>
    <x v="3"/>
    <x v="0"/>
    <s v="Card"/>
    <n v="30.27"/>
    <n v="13.81"/>
    <x v="4"/>
    <n v="20.9"/>
    <n v="397.13"/>
    <n v="245.98"/>
    <n v="1"/>
    <n v="6.27"/>
    <n v="14.23"/>
    <n v="0"/>
    <n v="0"/>
    <n v="267.48"/>
    <n v="129.65"/>
    <s v="Profit"/>
    <x v="0"/>
    <n v="4"/>
    <n v="18"/>
    <s v="0-15"/>
    <s v="Yes"/>
    <n v="1"/>
    <s v="At Risk"/>
    <n v="1"/>
  </r>
  <r>
    <n v="100588"/>
    <d v="2025-10-25T00:00:00"/>
    <n v="1004"/>
    <x v="3"/>
    <x v="14"/>
    <x v="2"/>
    <x v="1"/>
    <x v="2"/>
    <s v="Card"/>
    <n v="27"/>
    <n v="15.69"/>
    <x v="4"/>
    <n v="21.18"/>
    <n v="402.45"/>
    <n v="195.23"/>
    <n v="7.27"/>
    <n v="6.35"/>
    <n v="6.5"/>
    <n v="0"/>
    <n v="0"/>
    <n v="215.35"/>
    <n v="187.1"/>
    <s v="Profit"/>
    <x v="0"/>
    <n v="10"/>
    <n v="4"/>
    <s v="0-15"/>
    <s v="No"/>
    <n v="0"/>
    <s v="Healthy"/>
    <n v="0"/>
  </r>
  <r>
    <n v="100589"/>
    <d v="2025-11-23T00:00:00"/>
    <n v="1077"/>
    <x v="1"/>
    <x v="13"/>
    <x v="0"/>
    <x v="2"/>
    <x v="0"/>
    <s v="Fleet_Invoice"/>
    <n v="33.11"/>
    <n v="17.190000000000001"/>
    <x v="2"/>
    <n v="56.92"/>
    <n v="512.24"/>
    <n v="256.37"/>
    <n v="7.13"/>
    <n v="2.2799999999999998"/>
    <n v="2.9"/>
    <n v="0"/>
    <n v="0"/>
    <n v="268.68"/>
    <n v="243.56"/>
    <s v="Profit"/>
    <x v="0"/>
    <n v="16"/>
    <n v="32"/>
    <s v="16-30"/>
    <s v="Yes"/>
    <n v="1"/>
    <s v="At Risk"/>
    <n v="1"/>
  </r>
  <r>
    <n v="100590"/>
    <d v="2025-12-13T00:00:00"/>
    <n v="1011"/>
    <x v="0"/>
    <x v="1"/>
    <x v="3"/>
    <x v="3"/>
    <x v="0"/>
    <s v="UPI"/>
    <n v="3"/>
    <n v="12.49"/>
    <x v="2"/>
    <n v="3.75"/>
    <n v="33.72"/>
    <n v="19.54"/>
    <n v="8.77"/>
    <n v="0.26"/>
    <n v="6.18"/>
    <n v="0"/>
    <n v="0"/>
    <n v="34.75"/>
    <n v="-1.03"/>
    <s v="Loss"/>
    <x v="0"/>
    <n v="4"/>
    <n v="0"/>
    <s v="0-15"/>
    <s v="No"/>
    <n v="0"/>
    <s v="Healthy"/>
    <n v="0"/>
  </r>
  <r>
    <n v="100591"/>
    <d v="2025-12-06T00:00:00"/>
    <n v="1013"/>
    <x v="3"/>
    <x v="15"/>
    <x v="0"/>
    <x v="2"/>
    <x v="2"/>
    <s v="UPI"/>
    <n v="28.01"/>
    <n v="18.239999999999998"/>
    <x v="2"/>
    <n v="51.09"/>
    <n v="459.81"/>
    <n v="192.54"/>
    <n v="2.16"/>
    <n v="3.58"/>
    <n v="2.76"/>
    <n v="0"/>
    <n v="0"/>
    <n v="201.04"/>
    <n v="258.77"/>
    <s v="Profit"/>
    <x v="0"/>
    <n v="2"/>
    <n v="0"/>
    <s v="0-15"/>
    <s v="No"/>
    <n v="0"/>
    <s v="Healthy"/>
    <n v="0"/>
  </r>
  <r>
    <n v="100592"/>
    <d v="2025-12-11T00:00:00"/>
    <n v="1121"/>
    <x v="1"/>
    <x v="4"/>
    <x v="3"/>
    <x v="3"/>
    <x v="0"/>
    <s v="Fleet_Invoice"/>
    <n v="22.12"/>
    <n v="12.28"/>
    <x v="3"/>
    <n v="0"/>
    <n v="271.63"/>
    <n v="158.35"/>
    <n v="5.88"/>
    <n v="1.0900000000000001"/>
    <n v="3.36"/>
    <n v="0"/>
    <n v="0"/>
    <n v="168.68"/>
    <n v="102.95"/>
    <s v="Profit"/>
    <x v="0"/>
    <n v="15"/>
    <n v="3"/>
    <s v="0-15"/>
    <s v="No"/>
    <n v="0"/>
    <s v="Healthy"/>
    <n v="0"/>
  </r>
  <r>
    <n v="100593"/>
    <d v="2025-10-12T00:00:00"/>
    <n v="1045"/>
    <x v="0"/>
    <x v="6"/>
    <x v="3"/>
    <x v="3"/>
    <x v="2"/>
    <s v="Fleet_Invoice"/>
    <n v="21.78"/>
    <n v="13.19"/>
    <x v="2"/>
    <n v="28.73"/>
    <n v="258.55"/>
    <n v="160.05000000000001"/>
    <n v="4.57"/>
    <n v="1.1499999999999999"/>
    <n v="6.54"/>
    <n v="0"/>
    <n v="0"/>
    <n v="172.31"/>
    <n v="86.24"/>
    <s v="Profit"/>
    <x v="0"/>
    <n v="8"/>
    <n v="3"/>
    <s v="0-15"/>
    <s v="No"/>
    <n v="1"/>
    <s v="Healthy"/>
    <n v="0"/>
  </r>
  <r>
    <n v="100594"/>
    <d v="2025-11-05T00:00:00"/>
    <n v="1065"/>
    <x v="2"/>
    <x v="10"/>
    <x v="1"/>
    <x v="3"/>
    <x v="0"/>
    <s v="UPI"/>
    <n v="11.5"/>
    <n v="12.52"/>
    <x v="2"/>
    <n v="14.4"/>
    <n v="129.58000000000001"/>
    <n v="80.62"/>
    <n v="2.19"/>
    <n v="1.01"/>
    <n v="5.67"/>
    <n v="0"/>
    <n v="0"/>
    <n v="89.49"/>
    <n v="40.090000000000003"/>
    <s v="Profit"/>
    <x v="0"/>
    <n v="3"/>
    <n v="0"/>
    <s v="0-15"/>
    <s v="No"/>
    <n v="0"/>
    <s v="Healthy"/>
    <n v="0"/>
  </r>
  <r>
    <n v="100595"/>
    <d v="2025-11-18T00:00:00"/>
    <n v="1090"/>
    <x v="2"/>
    <x v="5"/>
    <x v="4"/>
    <x v="1"/>
    <x v="0"/>
    <s v="Wallet"/>
    <n v="38.28"/>
    <n v="15.31"/>
    <x v="0"/>
    <n v="87.91"/>
    <n v="498.16"/>
    <n v="239.98"/>
    <n v="9.4499999999999993"/>
    <n v="7.03"/>
    <n v="9.34"/>
    <n v="0"/>
    <n v="0"/>
    <n v="265.8"/>
    <n v="232.36"/>
    <s v="Profit"/>
    <x v="0"/>
    <n v="22"/>
    <n v="6"/>
    <s v="16-30"/>
    <s v="Yes"/>
    <n v="1"/>
    <s v="At Risk"/>
    <n v="1"/>
  </r>
  <r>
    <n v="100596"/>
    <d v="2025-11-24T00:00:00"/>
    <n v="1055"/>
    <x v="1"/>
    <x v="2"/>
    <x v="4"/>
    <x v="1"/>
    <x v="0"/>
    <s v="Fleet_Invoice"/>
    <n v="28"/>
    <n v="15.29"/>
    <x v="4"/>
    <n v="21.41"/>
    <n v="406.71"/>
    <n v="212.01"/>
    <n v="4.7"/>
    <n v="1.71"/>
    <n v="8.7799999999999994"/>
    <n v="0"/>
    <n v="0"/>
    <n v="227.2"/>
    <n v="179.51"/>
    <s v="Profit"/>
    <x v="0"/>
    <n v="1"/>
    <n v="22"/>
    <s v="0-15"/>
    <s v="Yes"/>
    <n v="4"/>
    <s v="At Risk"/>
    <n v="1"/>
  </r>
  <r>
    <n v="100597"/>
    <d v="2025-12-06T00:00:00"/>
    <n v="1135"/>
    <x v="2"/>
    <x v="9"/>
    <x v="1"/>
    <x v="0"/>
    <x v="2"/>
    <s v="UPI"/>
    <n v="30"/>
    <n v="19.27"/>
    <x v="2"/>
    <n v="57.81"/>
    <n v="520.29"/>
    <n v="201.78"/>
    <n v="6.35"/>
    <n v="4.05"/>
    <n v="0"/>
    <n v="234.72"/>
    <n v="6.74"/>
    <n v="453.64"/>
    <n v="66.650000000000006"/>
    <s v="Profit"/>
    <x v="2"/>
    <n v="17"/>
    <n v="10"/>
    <s v="16-30"/>
    <s v="No"/>
    <n v="3"/>
    <s v="At Risk"/>
    <n v="0"/>
  </r>
  <r>
    <n v="100598"/>
    <d v="2025-10-03T00:00:00"/>
    <n v="1015"/>
    <x v="0"/>
    <x v="6"/>
    <x v="2"/>
    <x v="3"/>
    <x v="0"/>
    <s v="Card"/>
    <n v="34.770000000000003"/>
    <n v="12.33"/>
    <x v="3"/>
    <n v="0"/>
    <n v="428.71"/>
    <n v="284.5"/>
    <n v="2.7"/>
    <n v="6.43"/>
    <n v="3.74"/>
    <n v="0"/>
    <n v="0"/>
    <n v="297.37"/>
    <n v="131.34"/>
    <s v="Profit"/>
    <x v="0"/>
    <n v="2"/>
    <n v="3"/>
    <s v="0-15"/>
    <s v="No"/>
    <n v="0"/>
    <s v="Healthy"/>
    <n v="0"/>
  </r>
  <r>
    <n v="100599"/>
    <d v="2025-10-09T00:00:00"/>
    <n v="1124"/>
    <x v="3"/>
    <x v="8"/>
    <x v="2"/>
    <x v="2"/>
    <x v="1"/>
    <s v="UPI"/>
    <n v="24.16"/>
    <n v="19.13"/>
    <x v="0"/>
    <n v="69.33"/>
    <n v="392.85"/>
    <n v="183.77"/>
    <n v="7.5"/>
    <n v="3.24"/>
    <n v="2.85"/>
    <n v="0"/>
    <n v="0"/>
    <n v="197.36"/>
    <n v="195.49"/>
    <s v="Profit"/>
    <x v="0"/>
    <n v="7"/>
    <n v="1"/>
    <s v="0-15"/>
    <s v="No"/>
    <n v="0"/>
    <s v="Healthy"/>
    <n v="0"/>
  </r>
  <r>
    <n v="100600"/>
    <d v="2025-10-11T00:00:00"/>
    <n v="1028"/>
    <x v="2"/>
    <x v="10"/>
    <x v="3"/>
    <x v="3"/>
    <x v="0"/>
    <s v="Card"/>
    <n v="25.6"/>
    <n v="12.99"/>
    <x v="4"/>
    <n v="16.63"/>
    <n v="315.91000000000003"/>
    <n v="187.73"/>
    <n v="11.29"/>
    <n v="4.99"/>
    <n v="1.03"/>
    <n v="0"/>
    <n v="0"/>
    <n v="205.04"/>
    <n v="110.87"/>
    <s v="Profit"/>
    <x v="0"/>
    <n v="2"/>
    <n v="0"/>
    <s v="0-15"/>
    <s v="No"/>
    <n v="0"/>
    <s v="Healthy"/>
    <n v="0"/>
  </r>
  <r>
    <n v="100601"/>
    <d v="2025-10-13T00:00:00"/>
    <n v="1037"/>
    <x v="3"/>
    <x v="14"/>
    <x v="4"/>
    <x v="3"/>
    <x v="0"/>
    <s v="Card"/>
    <n v="18.809999999999999"/>
    <n v="11.51"/>
    <x v="4"/>
    <n v="10.82"/>
    <n v="205.68"/>
    <n v="133.56"/>
    <n v="9.0299999999999994"/>
    <n v="3.25"/>
    <n v="0.98"/>
    <n v="0"/>
    <n v="0"/>
    <n v="146.82"/>
    <n v="58.86"/>
    <s v="Profit"/>
    <x v="0"/>
    <n v="8"/>
    <n v="1"/>
    <s v="0-15"/>
    <s v="No"/>
    <n v="0"/>
    <s v="Healthy"/>
    <n v="0"/>
  </r>
  <r>
    <n v="100602"/>
    <d v="2025-10-23T00:00:00"/>
    <n v="1001"/>
    <x v="2"/>
    <x v="10"/>
    <x v="3"/>
    <x v="3"/>
    <x v="2"/>
    <s v="UPI"/>
    <n v="13.48"/>
    <n v="12.39"/>
    <x v="4"/>
    <n v="8.35"/>
    <n v="158.66999999999999"/>
    <n v="100.95"/>
    <n v="8.5299999999999994"/>
    <n v="1.17"/>
    <n v="9.5500000000000007"/>
    <n v="0"/>
    <n v="0"/>
    <n v="120.2"/>
    <n v="38.47"/>
    <s v="Profit"/>
    <x v="0"/>
    <n v="25"/>
    <n v="7"/>
    <s v="16-30"/>
    <s v="Yes"/>
    <n v="2"/>
    <s v="At Risk"/>
    <n v="1"/>
  </r>
  <r>
    <n v="100603"/>
    <d v="2025-10-27T00:00:00"/>
    <n v="1123"/>
    <x v="1"/>
    <x v="13"/>
    <x v="3"/>
    <x v="3"/>
    <x v="0"/>
    <s v="UPI"/>
    <n v="16.32"/>
    <n v="12.53"/>
    <x v="3"/>
    <n v="0"/>
    <n v="204.49"/>
    <n v="133.31"/>
    <n v="8.3699999999999992"/>
    <n v="1.43"/>
    <n v="4.41"/>
    <n v="151.6"/>
    <n v="0"/>
    <n v="299.12"/>
    <n v="-94.63"/>
    <s v="Loss"/>
    <x v="1"/>
    <n v="9"/>
    <n v="9"/>
    <s v="0-15"/>
    <s v="Yes"/>
    <n v="2"/>
    <s v="At Risk"/>
    <n v="1"/>
  </r>
  <r>
    <n v="100604"/>
    <d v="2025-11-06T00:00:00"/>
    <n v="1025"/>
    <x v="2"/>
    <x v="9"/>
    <x v="4"/>
    <x v="0"/>
    <x v="0"/>
    <s v="UPI"/>
    <n v="43.39"/>
    <n v="19.62"/>
    <x v="2"/>
    <n v="85.13"/>
    <n v="766.18"/>
    <n v="267.12"/>
    <n v="7.49"/>
    <n v="5.96"/>
    <n v="2.71"/>
    <n v="0"/>
    <n v="0"/>
    <n v="283.27999999999997"/>
    <n v="482.9"/>
    <s v="Profit"/>
    <x v="0"/>
    <n v="2"/>
    <n v="2"/>
    <s v="0-15"/>
    <s v="No"/>
    <n v="0"/>
    <s v="Healthy"/>
    <n v="0"/>
  </r>
  <r>
    <n v="100605"/>
    <d v="2025-10-16T00:00:00"/>
    <n v="1094"/>
    <x v="3"/>
    <x v="7"/>
    <x v="3"/>
    <x v="0"/>
    <x v="0"/>
    <s v="Fleet_Invoice"/>
    <n v="38.78"/>
    <n v="18.510000000000002"/>
    <x v="4"/>
    <n v="35.89"/>
    <n v="681.93"/>
    <n v="296.12"/>
    <n v="10.33"/>
    <n v="2.87"/>
    <n v="3.51"/>
    <n v="0"/>
    <n v="0"/>
    <n v="312.83"/>
    <n v="369.1"/>
    <s v="Profit"/>
    <x v="0"/>
    <n v="11"/>
    <n v="4"/>
    <s v="0-15"/>
    <s v="No"/>
    <n v="0"/>
    <s v="Healthy"/>
    <n v="0"/>
  </r>
  <r>
    <n v="100606"/>
    <d v="2025-10-22T00:00:00"/>
    <n v="1045"/>
    <x v="2"/>
    <x v="9"/>
    <x v="3"/>
    <x v="3"/>
    <x v="2"/>
    <s v="UPI"/>
    <n v="21.76"/>
    <n v="12.09"/>
    <x v="1"/>
    <n v="52.62"/>
    <n v="210.46"/>
    <n v="167.04"/>
    <n v="7.42"/>
    <n v="1.84"/>
    <n v="5.37"/>
    <n v="0"/>
    <n v="0"/>
    <n v="181.67"/>
    <n v="28.79"/>
    <s v="Profit"/>
    <x v="0"/>
    <n v="4"/>
    <n v="15"/>
    <s v="0-15"/>
    <s v="No"/>
    <n v="0"/>
    <s v="Healthy"/>
    <n v="0"/>
  </r>
  <r>
    <n v="100607"/>
    <d v="2025-12-02T00:00:00"/>
    <n v="1009"/>
    <x v="0"/>
    <x v="11"/>
    <x v="1"/>
    <x v="1"/>
    <x v="2"/>
    <s v="UPI"/>
    <n v="21.49"/>
    <n v="14.68"/>
    <x v="3"/>
    <n v="0"/>
    <n v="315.47000000000003"/>
    <n v="143.16"/>
    <n v="9.73"/>
    <n v="2.21"/>
    <n v="3.87"/>
    <n v="0"/>
    <n v="0"/>
    <n v="158.97"/>
    <n v="156.5"/>
    <s v="Profit"/>
    <x v="0"/>
    <n v="6"/>
    <n v="37"/>
    <s v="0-15"/>
    <s v="Yes"/>
    <n v="1"/>
    <s v="At Risk"/>
    <n v="1"/>
  </r>
  <r>
    <n v="100608"/>
    <d v="2025-12-24T00:00:00"/>
    <n v="1025"/>
    <x v="1"/>
    <x v="13"/>
    <x v="1"/>
    <x v="2"/>
    <x v="0"/>
    <s v="UPI"/>
    <n v="34.83"/>
    <n v="18.47"/>
    <x v="2"/>
    <n v="64.33"/>
    <n v="578.98"/>
    <n v="266.37"/>
    <n v="10.01"/>
    <n v="4.5"/>
    <n v="6.18"/>
    <n v="0"/>
    <n v="0"/>
    <n v="287.06"/>
    <n v="291.92"/>
    <s v="Profit"/>
    <x v="0"/>
    <n v="6"/>
    <n v="3"/>
    <s v="0-15"/>
    <s v="No"/>
    <n v="0"/>
    <s v="Healthy"/>
    <n v="0"/>
  </r>
  <r>
    <n v="100609"/>
    <d v="2025-12-20T00:00:00"/>
    <n v="1125"/>
    <x v="1"/>
    <x v="2"/>
    <x v="3"/>
    <x v="2"/>
    <x v="2"/>
    <s v="Card"/>
    <n v="26.91"/>
    <n v="17.7"/>
    <x v="3"/>
    <n v="0"/>
    <n v="476.31"/>
    <n v="192.15"/>
    <n v="4.1100000000000003"/>
    <n v="7.14"/>
    <n v="5.32"/>
    <n v="0"/>
    <n v="0"/>
    <n v="208.72"/>
    <n v="267.58999999999997"/>
    <s v="Profit"/>
    <x v="0"/>
    <n v="5"/>
    <n v="20"/>
    <s v="0-15"/>
    <s v="Yes"/>
    <n v="4"/>
    <s v="At Risk"/>
    <n v="1"/>
  </r>
  <r>
    <n v="100610"/>
    <d v="2025-12-25T00:00:00"/>
    <n v="1121"/>
    <x v="1"/>
    <x v="3"/>
    <x v="0"/>
    <x v="3"/>
    <x v="0"/>
    <s v="UPI"/>
    <n v="25.42"/>
    <n v="13.18"/>
    <x v="4"/>
    <n v="16.75"/>
    <n v="318.29000000000002"/>
    <n v="192.46"/>
    <n v="9.92"/>
    <n v="2.35"/>
    <n v="6.2"/>
    <n v="154.62"/>
    <n v="0"/>
    <n v="365.55"/>
    <n v="-47.26"/>
    <s v="Loss"/>
    <x v="1"/>
    <n v="1"/>
    <n v="12"/>
    <s v="0-15"/>
    <s v="Yes"/>
    <n v="1"/>
    <s v="At Risk"/>
    <n v="1"/>
  </r>
  <r>
    <n v="100611"/>
    <d v="2025-11-08T00:00:00"/>
    <n v="1054"/>
    <x v="1"/>
    <x v="2"/>
    <x v="3"/>
    <x v="2"/>
    <x v="0"/>
    <s v="UPI"/>
    <n v="37.869999999999997"/>
    <n v="18.02"/>
    <x v="2"/>
    <n v="68.239999999999995"/>
    <n v="614.17999999999995"/>
    <n v="261.74"/>
    <n v="11.26"/>
    <n v="4.78"/>
    <n v="6.77"/>
    <n v="0"/>
    <n v="0"/>
    <n v="284.55"/>
    <n v="329.63"/>
    <s v="Profit"/>
    <x v="0"/>
    <n v="13"/>
    <n v="5"/>
    <s v="0-15"/>
    <s v="No"/>
    <n v="0"/>
    <s v="Healthy"/>
    <n v="0"/>
  </r>
  <r>
    <n v="100612"/>
    <d v="2025-10-08T00:00:00"/>
    <n v="1076"/>
    <x v="2"/>
    <x v="10"/>
    <x v="0"/>
    <x v="1"/>
    <x v="2"/>
    <s v="Wallet"/>
    <n v="28.39"/>
    <n v="15.53"/>
    <x v="3"/>
    <n v="0"/>
    <n v="440.9"/>
    <n v="206.16"/>
    <n v="12.99"/>
    <n v="5.29"/>
    <n v="5.27"/>
    <n v="0"/>
    <n v="0"/>
    <n v="229.71"/>
    <n v="211.19"/>
    <s v="Profit"/>
    <x v="0"/>
    <n v="9"/>
    <n v="29"/>
    <s v="0-15"/>
    <s v="Yes"/>
    <n v="1"/>
    <s v="At Risk"/>
    <n v="1"/>
  </r>
  <r>
    <n v="100613"/>
    <d v="2025-12-08T00:00:00"/>
    <n v="1089"/>
    <x v="0"/>
    <x v="0"/>
    <x v="4"/>
    <x v="2"/>
    <x v="0"/>
    <s v="UPI"/>
    <n v="22.61"/>
    <n v="17.27"/>
    <x v="3"/>
    <n v="0"/>
    <n v="390.47"/>
    <n v="204.39"/>
    <n v="12.22"/>
    <n v="2.73"/>
    <n v="7.92"/>
    <n v="0"/>
    <n v="0"/>
    <n v="227.26"/>
    <n v="163.21"/>
    <s v="Profit"/>
    <x v="0"/>
    <n v="1"/>
    <n v="4"/>
    <s v="0-15"/>
    <s v="No"/>
    <n v="0"/>
    <s v="Healthy"/>
    <n v="0"/>
  </r>
  <r>
    <n v="100614"/>
    <d v="2025-11-20T00:00:00"/>
    <n v="1136"/>
    <x v="1"/>
    <x v="13"/>
    <x v="1"/>
    <x v="3"/>
    <x v="0"/>
    <s v="UPI"/>
    <n v="19.18"/>
    <n v="12.33"/>
    <x v="3"/>
    <n v="0"/>
    <n v="236.49"/>
    <n v="113.21"/>
    <n v="6.74"/>
    <n v="1.66"/>
    <n v="8.9600000000000009"/>
    <n v="0"/>
    <n v="0"/>
    <n v="130.57"/>
    <n v="105.92"/>
    <s v="Profit"/>
    <x v="0"/>
    <n v="0"/>
    <n v="9"/>
    <s v="0-15"/>
    <s v="No"/>
    <n v="0"/>
    <s v="Healthy"/>
    <n v="0"/>
  </r>
  <r>
    <n v="100615"/>
    <d v="2025-10-29T00:00:00"/>
    <n v="1010"/>
    <x v="3"/>
    <x v="14"/>
    <x v="0"/>
    <x v="2"/>
    <x v="2"/>
    <s v="UPI"/>
    <n v="23.74"/>
    <n v="17.260000000000002"/>
    <x v="4"/>
    <n v="20.49"/>
    <n v="389.26"/>
    <n v="179.94"/>
    <n v="15.07"/>
    <n v="2.87"/>
    <n v="7.55"/>
    <n v="0"/>
    <n v="0"/>
    <n v="205.43"/>
    <n v="183.83"/>
    <s v="Profit"/>
    <x v="0"/>
    <n v="13"/>
    <n v="0"/>
    <s v="0-15"/>
    <s v="No"/>
    <n v="0"/>
    <s v="Healthy"/>
    <n v="0"/>
  </r>
  <r>
    <n v="100616"/>
    <d v="2025-10-24T00:00:00"/>
    <n v="1057"/>
    <x v="2"/>
    <x v="10"/>
    <x v="1"/>
    <x v="0"/>
    <x v="0"/>
    <s v="Fleet_Invoice"/>
    <n v="35.82"/>
    <n v="20.43"/>
    <x v="2"/>
    <n v="73.180000000000007"/>
    <n v="658.62"/>
    <n v="263.32"/>
    <n v="10.65"/>
    <n v="2.93"/>
    <n v="0.49"/>
    <n v="0"/>
    <n v="0"/>
    <n v="277.39"/>
    <n v="381.23"/>
    <s v="Profit"/>
    <x v="0"/>
    <n v="6"/>
    <n v="30"/>
    <s v="0-15"/>
    <s v="Yes"/>
    <n v="2"/>
    <s v="At Risk"/>
    <n v="1"/>
  </r>
  <r>
    <n v="100617"/>
    <d v="2025-10-27T00:00:00"/>
    <n v="1036"/>
    <x v="2"/>
    <x v="5"/>
    <x v="1"/>
    <x v="3"/>
    <x v="0"/>
    <s v="Wallet"/>
    <n v="13.09"/>
    <n v="12.05"/>
    <x v="2"/>
    <n v="15.77"/>
    <n v="141.96"/>
    <n v="89.73"/>
    <n v="9.77"/>
    <n v="1.89"/>
    <n v="14.27"/>
    <n v="0"/>
    <n v="0"/>
    <n v="115.66"/>
    <n v="26.3"/>
    <s v="Profit"/>
    <x v="0"/>
    <n v="6"/>
    <n v="9"/>
    <s v="0-15"/>
    <s v="No"/>
    <n v="0"/>
    <s v="Healthy"/>
    <n v="0"/>
  </r>
  <r>
    <n v="100618"/>
    <d v="2025-11-12T00:00:00"/>
    <n v="1104"/>
    <x v="3"/>
    <x v="7"/>
    <x v="4"/>
    <x v="0"/>
    <x v="2"/>
    <s v="Wallet"/>
    <n v="42.07"/>
    <n v="18.63"/>
    <x v="4"/>
    <n v="39.19"/>
    <n v="744.57"/>
    <n v="315.63"/>
    <n v="7.74"/>
    <n v="9.41"/>
    <n v="3.87"/>
    <n v="0"/>
    <n v="0"/>
    <n v="336.65"/>
    <n v="407.92"/>
    <s v="Profit"/>
    <x v="0"/>
    <n v="22"/>
    <n v="0"/>
    <s v="16-30"/>
    <s v="Yes"/>
    <n v="1"/>
    <s v="At Risk"/>
    <n v="1"/>
  </r>
  <r>
    <n v="100619"/>
    <d v="2025-10-22T00:00:00"/>
    <n v="1022"/>
    <x v="1"/>
    <x v="3"/>
    <x v="2"/>
    <x v="3"/>
    <x v="2"/>
    <s v="UPI"/>
    <n v="16.73"/>
    <n v="12.11"/>
    <x v="2"/>
    <n v="20.260000000000002"/>
    <n v="182.34"/>
    <n v="120.72"/>
    <n v="8.57"/>
    <n v="1.42"/>
    <n v="5.08"/>
    <n v="126.94"/>
    <n v="22.88"/>
    <n v="285.61"/>
    <n v="-103.27"/>
    <s v="Loss"/>
    <x v="1"/>
    <n v="18"/>
    <n v="6"/>
    <s v="16-30"/>
    <s v="Yes"/>
    <n v="1"/>
    <s v="At Risk"/>
    <n v="1"/>
  </r>
  <r>
    <n v="100620"/>
    <d v="2025-11-25T00:00:00"/>
    <n v="1141"/>
    <x v="3"/>
    <x v="14"/>
    <x v="4"/>
    <x v="2"/>
    <x v="2"/>
    <s v="Card"/>
    <n v="15.77"/>
    <n v="17.670000000000002"/>
    <x v="3"/>
    <n v="0"/>
    <n v="278.66000000000003"/>
    <n v="124.08"/>
    <n v="7.13"/>
    <n v="4.18"/>
    <n v="7.84"/>
    <n v="0"/>
    <n v="0"/>
    <n v="143.22999999999999"/>
    <n v="135.43"/>
    <s v="Profit"/>
    <x v="0"/>
    <n v="5"/>
    <n v="11"/>
    <s v="0-15"/>
    <s v="No"/>
    <n v="0"/>
    <s v="Healthy"/>
    <n v="0"/>
  </r>
  <r>
    <n v="100621"/>
    <d v="2025-11-22T00:00:00"/>
    <n v="1078"/>
    <x v="1"/>
    <x v="3"/>
    <x v="2"/>
    <x v="3"/>
    <x v="0"/>
    <s v="Fleet_Invoice"/>
    <n v="5.43"/>
    <n v="10.8"/>
    <x v="0"/>
    <n v="8.8000000000000007"/>
    <n v="49.84"/>
    <n v="37.520000000000003"/>
    <n v="12.26"/>
    <n v="0.23"/>
    <n v="9.26"/>
    <n v="46.11"/>
    <n v="0"/>
    <n v="105.38"/>
    <n v="-55.54"/>
    <s v="Loss"/>
    <x v="1"/>
    <n v="25"/>
    <n v="0"/>
    <s v="16-30"/>
    <s v="Yes"/>
    <n v="3"/>
    <s v="At Risk"/>
    <n v="1"/>
  </r>
  <r>
    <n v="100622"/>
    <d v="2025-12-12T00:00:00"/>
    <n v="1103"/>
    <x v="0"/>
    <x v="1"/>
    <x v="2"/>
    <x v="3"/>
    <x v="2"/>
    <s v="Card"/>
    <n v="19.75"/>
    <n v="12.67"/>
    <x v="4"/>
    <n v="12.51"/>
    <n v="237.72"/>
    <n v="168.55"/>
    <n v="9.16"/>
    <n v="3.75"/>
    <n v="5.43"/>
    <n v="0"/>
    <n v="0"/>
    <n v="186.89"/>
    <n v="50.83"/>
    <s v="Profit"/>
    <x v="0"/>
    <n v="18"/>
    <n v="17"/>
    <s v="16-30"/>
    <s v="Yes"/>
    <n v="1"/>
    <s v="At Risk"/>
    <n v="1"/>
  </r>
  <r>
    <n v="100623"/>
    <d v="2025-10-31T00:00:00"/>
    <n v="1053"/>
    <x v="1"/>
    <x v="13"/>
    <x v="0"/>
    <x v="3"/>
    <x v="0"/>
    <s v="UPI"/>
    <n v="21.05"/>
    <n v="11.56"/>
    <x v="3"/>
    <n v="0"/>
    <n v="243.34"/>
    <n v="119.33"/>
    <n v="7.99"/>
    <n v="1.7"/>
    <n v="8.92"/>
    <n v="0"/>
    <n v="0"/>
    <n v="137.94"/>
    <n v="105.4"/>
    <s v="Profit"/>
    <x v="0"/>
    <n v="15"/>
    <n v="9"/>
    <s v="0-15"/>
    <s v="No"/>
    <n v="0"/>
    <s v="Healthy"/>
    <n v="0"/>
  </r>
  <r>
    <n v="100624"/>
    <d v="2025-10-19T00:00:00"/>
    <n v="1041"/>
    <x v="2"/>
    <x v="10"/>
    <x v="0"/>
    <x v="3"/>
    <x v="2"/>
    <s v="UPI"/>
    <n v="19.23"/>
    <n v="11.61"/>
    <x v="3"/>
    <n v="0"/>
    <n v="223.26"/>
    <n v="126.5"/>
    <n v="7.74"/>
    <n v="1.56"/>
    <n v="9.19"/>
    <n v="0"/>
    <n v="0"/>
    <n v="144.99"/>
    <n v="78.27"/>
    <s v="Profit"/>
    <x v="0"/>
    <n v="48"/>
    <n v="6"/>
    <s v="30+"/>
    <s v="Yes"/>
    <n v="2"/>
    <s v="At Risk"/>
    <n v="1"/>
  </r>
  <r>
    <n v="100625"/>
    <d v="2025-12-06T00:00:00"/>
    <n v="1091"/>
    <x v="3"/>
    <x v="7"/>
    <x v="2"/>
    <x v="3"/>
    <x v="0"/>
    <s v="UPI"/>
    <n v="18.82"/>
    <n v="12.83"/>
    <x v="3"/>
    <n v="0"/>
    <n v="241.46"/>
    <n v="131.78"/>
    <n v="4.8"/>
    <n v="1.69"/>
    <n v="10.25"/>
    <n v="0"/>
    <n v="0"/>
    <n v="148.52000000000001"/>
    <n v="92.94"/>
    <s v="Profit"/>
    <x v="0"/>
    <n v="0"/>
    <n v="4"/>
    <s v="0-15"/>
    <s v="No"/>
    <n v="0"/>
    <s v="Healthy"/>
    <n v="0"/>
  </r>
  <r>
    <n v="100626"/>
    <d v="2025-10-14T00:00:00"/>
    <n v="1007"/>
    <x v="2"/>
    <x v="5"/>
    <x v="4"/>
    <x v="2"/>
    <x v="0"/>
    <s v="UPI"/>
    <n v="42.81"/>
    <n v="17.48"/>
    <x v="4"/>
    <n v="37.42"/>
    <n v="710.9"/>
    <n v="356.76"/>
    <n v="10.94"/>
    <n v="5.24"/>
    <n v="5.31"/>
    <n v="0"/>
    <n v="0"/>
    <n v="378.25"/>
    <n v="332.65"/>
    <s v="Profit"/>
    <x v="0"/>
    <n v="15"/>
    <n v="0"/>
    <s v="0-15"/>
    <s v="No"/>
    <n v="0"/>
    <s v="Healthy"/>
    <n v="0"/>
  </r>
  <r>
    <n v="100627"/>
    <d v="2025-10-06T00:00:00"/>
    <n v="1134"/>
    <x v="0"/>
    <x v="0"/>
    <x v="1"/>
    <x v="3"/>
    <x v="0"/>
    <s v="UPI"/>
    <n v="22.73"/>
    <n v="13.02"/>
    <x v="0"/>
    <n v="44.39"/>
    <n v="251.55"/>
    <n v="140.44"/>
    <n v="10.66"/>
    <n v="2.0699999999999998"/>
    <n v="2.11"/>
    <n v="174.45"/>
    <n v="0"/>
    <n v="329.73"/>
    <n v="-78.180000000000007"/>
    <s v="Loss"/>
    <x v="1"/>
    <n v="18"/>
    <n v="1"/>
    <s v="16-30"/>
    <s v="Yes"/>
    <n v="2"/>
    <s v="At Risk"/>
    <n v="1"/>
  </r>
  <r>
    <n v="100628"/>
    <d v="2025-11-28T00:00:00"/>
    <n v="1084"/>
    <x v="1"/>
    <x v="4"/>
    <x v="2"/>
    <x v="1"/>
    <x v="0"/>
    <s v="UPI"/>
    <n v="24.02"/>
    <n v="14.93"/>
    <x v="2"/>
    <n v="35.86"/>
    <n v="322.76"/>
    <n v="154.87"/>
    <n v="8.8800000000000008"/>
    <n v="2.5099999999999998"/>
    <n v="0.54"/>
    <n v="0"/>
    <n v="0"/>
    <n v="166.8"/>
    <n v="155.96"/>
    <s v="Profit"/>
    <x v="0"/>
    <n v="4"/>
    <n v="11"/>
    <s v="0-15"/>
    <s v="No"/>
    <n v="1"/>
    <s v="Healthy"/>
    <n v="0"/>
  </r>
  <r>
    <n v="100629"/>
    <d v="2025-11-20T00:00:00"/>
    <n v="1137"/>
    <x v="1"/>
    <x v="2"/>
    <x v="2"/>
    <x v="0"/>
    <x v="1"/>
    <s v="Fleet_Invoice"/>
    <n v="40.14"/>
    <n v="18.87"/>
    <x v="3"/>
    <n v="0"/>
    <n v="757.44"/>
    <n v="280.10000000000002"/>
    <n v="7.65"/>
    <n v="3.03"/>
    <n v="7.25"/>
    <n v="0"/>
    <n v="0"/>
    <n v="298.02999999999997"/>
    <n v="459.41"/>
    <s v="Profit"/>
    <x v="0"/>
    <n v="10"/>
    <n v="1"/>
    <s v="0-15"/>
    <s v="No"/>
    <n v="0"/>
    <s v="Healthy"/>
    <n v="0"/>
  </r>
  <r>
    <n v="100630"/>
    <d v="2025-10-05T00:00:00"/>
    <n v="1075"/>
    <x v="0"/>
    <x v="0"/>
    <x v="3"/>
    <x v="2"/>
    <x v="0"/>
    <s v="UPI"/>
    <n v="18.850000000000001"/>
    <n v="17.79"/>
    <x v="3"/>
    <n v="0"/>
    <n v="335.34"/>
    <n v="142.9"/>
    <n v="7.76"/>
    <n v="2.35"/>
    <n v="5.09"/>
    <n v="0"/>
    <n v="0"/>
    <n v="158.1"/>
    <n v="177.24"/>
    <s v="Profit"/>
    <x v="0"/>
    <n v="1"/>
    <n v="78"/>
    <s v="0-15"/>
    <s v="Yes"/>
    <n v="3"/>
    <s v="At Risk"/>
    <n v="1"/>
  </r>
  <r>
    <n v="100631"/>
    <d v="2025-10-20T00:00:00"/>
    <n v="1136"/>
    <x v="0"/>
    <x v="0"/>
    <x v="0"/>
    <x v="3"/>
    <x v="0"/>
    <s v="Card"/>
    <n v="29.21"/>
    <n v="12.3"/>
    <x v="4"/>
    <n v="17.96"/>
    <n v="341.32"/>
    <n v="241.48"/>
    <n v="6.14"/>
    <n v="5.39"/>
    <n v="13.63"/>
    <n v="357.4"/>
    <n v="0"/>
    <n v="624.04"/>
    <n v="-282.72000000000003"/>
    <s v="Loss"/>
    <x v="1"/>
    <n v="7"/>
    <n v="12"/>
    <s v="0-15"/>
    <s v="Yes"/>
    <n v="1"/>
    <s v="At Risk"/>
    <n v="1"/>
  </r>
  <r>
    <n v="100632"/>
    <d v="2025-10-29T00:00:00"/>
    <n v="1145"/>
    <x v="1"/>
    <x v="4"/>
    <x v="2"/>
    <x v="2"/>
    <x v="1"/>
    <s v="Fleet_Invoice"/>
    <n v="35.81"/>
    <n v="19.53"/>
    <x v="4"/>
    <n v="34.97"/>
    <n v="664.4"/>
    <n v="261.08"/>
    <n v="4.1100000000000003"/>
    <n v="2.8"/>
    <n v="6.74"/>
    <n v="0"/>
    <n v="0"/>
    <n v="274.73"/>
    <n v="389.67"/>
    <s v="Profit"/>
    <x v="0"/>
    <n v="31"/>
    <n v="16"/>
    <s v="30+"/>
    <s v="Yes"/>
    <n v="3"/>
    <s v="At Risk"/>
    <n v="1"/>
  </r>
  <r>
    <n v="100633"/>
    <d v="2025-11-04T00:00:00"/>
    <n v="1099"/>
    <x v="1"/>
    <x v="4"/>
    <x v="0"/>
    <x v="3"/>
    <x v="2"/>
    <s v="Card"/>
    <n v="24.8"/>
    <n v="11.81"/>
    <x v="0"/>
    <n v="43.93"/>
    <n v="248.96"/>
    <n v="179.24"/>
    <n v="7.2"/>
    <n v="4.3899999999999997"/>
    <n v="3.49"/>
    <n v="0"/>
    <n v="0"/>
    <n v="194.32"/>
    <n v="54.64"/>
    <s v="Profit"/>
    <x v="0"/>
    <n v="32"/>
    <n v="2"/>
    <s v="30+"/>
    <s v="Yes"/>
    <n v="1"/>
    <s v="At Risk"/>
    <n v="1"/>
  </r>
  <r>
    <n v="100634"/>
    <d v="2025-12-29T00:00:00"/>
    <n v="1040"/>
    <x v="1"/>
    <x v="4"/>
    <x v="3"/>
    <x v="2"/>
    <x v="0"/>
    <s v="Fleet_Invoice"/>
    <n v="26.72"/>
    <n v="17.87"/>
    <x v="4"/>
    <n v="23.87"/>
    <n v="453.62"/>
    <n v="173.64"/>
    <n v="7.34"/>
    <n v="1.91"/>
    <n v="0"/>
    <n v="0"/>
    <n v="0"/>
    <n v="182.89"/>
    <n v="270.73"/>
    <s v="Profit"/>
    <x v="0"/>
    <n v="51"/>
    <n v="5"/>
    <s v="30+"/>
    <s v="Yes"/>
    <n v="3"/>
    <s v="At Risk"/>
    <n v="1"/>
  </r>
  <r>
    <n v="100635"/>
    <d v="2025-11-05T00:00:00"/>
    <n v="1105"/>
    <x v="0"/>
    <x v="1"/>
    <x v="3"/>
    <x v="1"/>
    <x v="2"/>
    <s v="Fleet_Invoice"/>
    <n v="13.58"/>
    <n v="15.84"/>
    <x v="3"/>
    <n v="0"/>
    <n v="215.11"/>
    <n v="97.49"/>
    <n v="8.93"/>
    <n v="0.86"/>
    <n v="9.0399999999999991"/>
    <n v="0"/>
    <n v="0"/>
    <n v="116.32"/>
    <n v="98.79"/>
    <s v="Profit"/>
    <x v="0"/>
    <n v="10"/>
    <n v="6"/>
    <s v="0-15"/>
    <s v="No"/>
    <n v="0"/>
    <s v="Healthy"/>
    <n v="0"/>
  </r>
  <r>
    <n v="100636"/>
    <d v="2025-10-23T00:00:00"/>
    <n v="1134"/>
    <x v="2"/>
    <x v="12"/>
    <x v="0"/>
    <x v="3"/>
    <x v="0"/>
    <s v="UPI"/>
    <n v="21"/>
    <n v="12.68"/>
    <x v="1"/>
    <n v="53.26"/>
    <n v="213.02"/>
    <n v="157.08000000000001"/>
    <n v="8.92"/>
    <n v="1.86"/>
    <n v="4.9800000000000004"/>
    <n v="0"/>
    <n v="0"/>
    <n v="172.84"/>
    <n v="40.18"/>
    <s v="Profit"/>
    <x v="0"/>
    <n v="6"/>
    <n v="10"/>
    <s v="0-15"/>
    <s v="No"/>
    <n v="0"/>
    <s v="Healthy"/>
    <n v="0"/>
  </r>
  <r>
    <n v="100637"/>
    <d v="2025-12-22T00:00:00"/>
    <n v="1141"/>
    <x v="0"/>
    <x v="0"/>
    <x v="0"/>
    <x v="1"/>
    <x v="1"/>
    <s v="UPI"/>
    <n v="24.18"/>
    <n v="15.3"/>
    <x v="2"/>
    <n v="36.99"/>
    <n v="332.96"/>
    <n v="152.16999999999999"/>
    <n v="6.83"/>
    <n v="2.59"/>
    <n v="8.23"/>
    <n v="0"/>
    <n v="0"/>
    <n v="169.82"/>
    <n v="163.13999999999999"/>
    <s v="Profit"/>
    <x v="0"/>
    <n v="3"/>
    <n v="14"/>
    <s v="0-15"/>
    <s v="No"/>
    <n v="0"/>
    <s v="Healthy"/>
    <n v="0"/>
  </r>
  <r>
    <n v="100638"/>
    <d v="2025-10-07T00:00:00"/>
    <n v="1055"/>
    <x v="0"/>
    <x v="6"/>
    <x v="1"/>
    <x v="2"/>
    <x v="0"/>
    <s v="UPI"/>
    <n v="35.21"/>
    <n v="16.98"/>
    <x v="3"/>
    <n v="0"/>
    <n v="597.87"/>
    <n v="312.35000000000002"/>
    <n v="6.69"/>
    <n v="4.1900000000000004"/>
    <n v="6.08"/>
    <n v="558.88"/>
    <n v="0"/>
    <n v="888.19"/>
    <n v="-290.32"/>
    <s v="Loss"/>
    <x v="2"/>
    <n v="12"/>
    <n v="7"/>
    <s v="0-15"/>
    <s v="No"/>
    <n v="3"/>
    <s v="At Risk"/>
    <n v="0"/>
  </r>
  <r>
    <n v="100639"/>
    <d v="2025-11-10T00:00:00"/>
    <n v="1031"/>
    <x v="3"/>
    <x v="8"/>
    <x v="1"/>
    <x v="3"/>
    <x v="0"/>
    <s v="UPI"/>
    <n v="19.79"/>
    <n v="12.91"/>
    <x v="2"/>
    <n v="25.55"/>
    <n v="229.94"/>
    <n v="140.83000000000001"/>
    <n v="11.38"/>
    <n v="1.79"/>
    <n v="9.51"/>
    <n v="0"/>
    <n v="0"/>
    <n v="163.51"/>
    <n v="66.430000000000007"/>
    <s v="Profit"/>
    <x v="0"/>
    <n v="3"/>
    <n v="2"/>
    <s v="0-15"/>
    <s v="No"/>
    <n v="0"/>
    <s v="Healthy"/>
    <n v="0"/>
  </r>
  <r>
    <n v="100640"/>
    <d v="2025-11-08T00:00:00"/>
    <n v="1143"/>
    <x v="1"/>
    <x v="3"/>
    <x v="1"/>
    <x v="1"/>
    <x v="0"/>
    <s v="Wallet"/>
    <n v="37.56"/>
    <n v="16.97"/>
    <x v="2"/>
    <n v="63.74"/>
    <n v="573.65"/>
    <n v="287.52999999999997"/>
    <n v="10.58"/>
    <n v="7.65"/>
    <n v="6.57"/>
    <n v="0"/>
    <n v="0"/>
    <n v="312.33"/>
    <n v="261.32"/>
    <s v="Profit"/>
    <x v="0"/>
    <n v="6"/>
    <n v="1"/>
    <s v="0-15"/>
    <s v="No"/>
    <n v="0"/>
    <s v="Healthy"/>
    <n v="0"/>
  </r>
  <r>
    <n v="100641"/>
    <d v="2025-12-23T00:00:00"/>
    <n v="1101"/>
    <x v="2"/>
    <x v="9"/>
    <x v="4"/>
    <x v="1"/>
    <x v="0"/>
    <s v="Card"/>
    <n v="6.13"/>
    <n v="15.41"/>
    <x v="3"/>
    <n v="0"/>
    <n v="94.46"/>
    <n v="52.68"/>
    <n v="6.79"/>
    <n v="1.42"/>
    <n v="0"/>
    <n v="0"/>
    <n v="0"/>
    <n v="60.89"/>
    <n v="33.57"/>
    <s v="Profit"/>
    <x v="0"/>
    <n v="6"/>
    <n v="4"/>
    <s v="0-15"/>
    <s v="No"/>
    <n v="0"/>
    <s v="Healthy"/>
    <n v="0"/>
  </r>
  <r>
    <n v="100642"/>
    <d v="2025-11-07T00:00:00"/>
    <n v="1107"/>
    <x v="0"/>
    <x v="6"/>
    <x v="1"/>
    <x v="0"/>
    <x v="0"/>
    <s v="UPI"/>
    <n v="25.24"/>
    <n v="20.14"/>
    <x v="4"/>
    <n v="25.42"/>
    <n v="482.91"/>
    <n v="189.16"/>
    <n v="10.73"/>
    <n v="3.56"/>
    <n v="13.36"/>
    <n v="0"/>
    <n v="0"/>
    <n v="216.81"/>
    <n v="266.10000000000002"/>
    <s v="Profit"/>
    <x v="0"/>
    <n v="11"/>
    <n v="29"/>
    <s v="0-15"/>
    <s v="Yes"/>
    <n v="2"/>
    <s v="At Risk"/>
    <n v="1"/>
  </r>
  <r>
    <n v="100643"/>
    <d v="2025-10-15T00:00:00"/>
    <n v="1124"/>
    <x v="2"/>
    <x v="12"/>
    <x v="0"/>
    <x v="1"/>
    <x v="2"/>
    <s v="UPI"/>
    <n v="44.54"/>
    <n v="14.68"/>
    <x v="4"/>
    <n v="32.69"/>
    <n v="621.16"/>
    <n v="316.67"/>
    <n v="6.44"/>
    <n v="4.58"/>
    <n v="7.57"/>
    <n v="0"/>
    <n v="0"/>
    <n v="335.26"/>
    <n v="285.89999999999998"/>
    <s v="Profit"/>
    <x v="0"/>
    <n v="8"/>
    <n v="0"/>
    <s v="0-15"/>
    <s v="No"/>
    <n v="0"/>
    <s v="Healthy"/>
    <n v="0"/>
  </r>
  <r>
    <n v="100644"/>
    <d v="2025-11-14T00:00:00"/>
    <n v="1131"/>
    <x v="1"/>
    <x v="3"/>
    <x v="0"/>
    <x v="1"/>
    <x v="1"/>
    <s v="Card"/>
    <n v="15.59"/>
    <n v="15.03"/>
    <x v="4"/>
    <n v="11.72"/>
    <n v="222.6"/>
    <n v="88.57"/>
    <n v="8.4"/>
    <n v="3.51"/>
    <n v="1.97"/>
    <n v="196.33"/>
    <n v="6.34"/>
    <n v="305.12"/>
    <n v="-82.52"/>
    <s v="Loss"/>
    <x v="1"/>
    <n v="8"/>
    <n v="7"/>
    <s v="0-15"/>
    <s v="Yes"/>
    <n v="1"/>
    <s v="At Risk"/>
    <n v="1"/>
  </r>
  <r>
    <n v="100645"/>
    <d v="2025-10-10T00:00:00"/>
    <n v="1041"/>
    <x v="0"/>
    <x v="6"/>
    <x v="2"/>
    <x v="3"/>
    <x v="1"/>
    <s v="UPI"/>
    <n v="12.2"/>
    <n v="13.16"/>
    <x v="1"/>
    <n v="32.11"/>
    <n v="128.44"/>
    <n v="90.46"/>
    <n v="5.89"/>
    <n v="1.1200000000000001"/>
    <n v="9.6999999999999993"/>
    <n v="0"/>
    <n v="0"/>
    <n v="107.17"/>
    <n v="21.27"/>
    <s v="Profit"/>
    <x v="0"/>
    <n v="4"/>
    <n v="25"/>
    <s v="0-15"/>
    <s v="Yes"/>
    <n v="2"/>
    <s v="At Risk"/>
    <n v="1"/>
  </r>
  <r>
    <n v="100646"/>
    <d v="2025-11-26T00:00:00"/>
    <n v="1024"/>
    <x v="0"/>
    <x v="0"/>
    <x v="4"/>
    <x v="2"/>
    <x v="2"/>
    <s v="UPI"/>
    <n v="27.69"/>
    <n v="16.75"/>
    <x v="4"/>
    <n v="23.19"/>
    <n v="440.62"/>
    <n v="145.88999999999999"/>
    <n v="3.05"/>
    <n v="3.25"/>
    <n v="2.82"/>
    <n v="0"/>
    <n v="0"/>
    <n v="155.01"/>
    <n v="285.61"/>
    <s v="Profit"/>
    <x v="0"/>
    <n v="28"/>
    <n v="3"/>
    <s v="16-30"/>
    <s v="Yes"/>
    <n v="2"/>
    <s v="At Risk"/>
    <n v="1"/>
  </r>
  <r>
    <n v="100647"/>
    <d v="2025-11-18T00:00:00"/>
    <n v="1138"/>
    <x v="1"/>
    <x v="4"/>
    <x v="0"/>
    <x v="3"/>
    <x v="0"/>
    <s v="UPI"/>
    <n v="19.940000000000001"/>
    <n v="13.06"/>
    <x v="4"/>
    <n v="13.02"/>
    <n v="247.4"/>
    <n v="117.91"/>
    <n v="5.0599999999999996"/>
    <n v="1.82"/>
    <n v="11.15"/>
    <n v="0"/>
    <n v="0"/>
    <n v="135.94"/>
    <n v="111.46"/>
    <s v="Profit"/>
    <x v="0"/>
    <n v="31"/>
    <n v="15"/>
    <s v="30+"/>
    <s v="Yes"/>
    <n v="2"/>
    <s v="At Risk"/>
    <n v="1"/>
  </r>
  <r>
    <n v="100648"/>
    <d v="2025-11-01T00:00:00"/>
    <n v="1008"/>
    <x v="0"/>
    <x v="1"/>
    <x v="2"/>
    <x v="3"/>
    <x v="0"/>
    <s v="Card"/>
    <n v="14.59"/>
    <n v="12.35"/>
    <x v="1"/>
    <n v="36.04"/>
    <n v="144.15"/>
    <n v="99.07"/>
    <n v="3.16"/>
    <n v="2.7"/>
    <n v="10.06"/>
    <n v="0"/>
    <n v="0"/>
    <n v="114.99"/>
    <n v="29.16"/>
    <s v="Profit"/>
    <x v="0"/>
    <n v="0"/>
    <n v="18"/>
    <s v="0-15"/>
    <s v="Yes"/>
    <n v="2"/>
    <s v="At Risk"/>
    <n v="1"/>
  </r>
  <r>
    <n v="100649"/>
    <d v="2025-10-21T00:00:00"/>
    <n v="1078"/>
    <x v="1"/>
    <x v="4"/>
    <x v="3"/>
    <x v="1"/>
    <x v="1"/>
    <s v="UPI"/>
    <n v="15.9"/>
    <n v="14.69"/>
    <x v="3"/>
    <n v="0"/>
    <n v="233.57"/>
    <n v="97.22"/>
    <n v="8.49"/>
    <n v="1.63"/>
    <n v="10.55"/>
    <n v="0"/>
    <n v="0"/>
    <n v="117.89"/>
    <n v="115.68"/>
    <s v="Profit"/>
    <x v="0"/>
    <n v="0"/>
    <n v="7"/>
    <s v="0-15"/>
    <s v="No"/>
    <n v="0"/>
    <s v="Healthy"/>
    <n v="0"/>
  </r>
  <r>
    <n v="100650"/>
    <d v="2025-12-20T00:00:00"/>
    <n v="1025"/>
    <x v="2"/>
    <x v="10"/>
    <x v="3"/>
    <x v="0"/>
    <x v="0"/>
    <s v="UPI"/>
    <n v="24.25"/>
    <n v="18.96"/>
    <x v="0"/>
    <n v="68.97"/>
    <n v="390.81"/>
    <n v="167.16"/>
    <n v="7.85"/>
    <n v="3.22"/>
    <n v="5.15"/>
    <n v="307.12"/>
    <n v="0"/>
    <n v="490.5"/>
    <n v="-99.69"/>
    <s v="Loss"/>
    <x v="2"/>
    <n v="0"/>
    <n v="3"/>
    <s v="0-15"/>
    <s v="No"/>
    <n v="1"/>
    <s v="At Risk"/>
    <n v="0"/>
  </r>
  <r>
    <n v="100651"/>
    <d v="2025-11-18T00:00:00"/>
    <n v="1136"/>
    <x v="0"/>
    <x v="0"/>
    <x v="0"/>
    <x v="0"/>
    <x v="0"/>
    <s v="Card"/>
    <n v="29.35"/>
    <n v="18.66"/>
    <x v="3"/>
    <n v="0"/>
    <n v="547.66999999999996"/>
    <n v="202.04"/>
    <n v="2.5299999999999998"/>
    <n v="8.2200000000000006"/>
    <n v="6.65"/>
    <n v="0"/>
    <n v="0"/>
    <n v="219.44"/>
    <n v="328.23"/>
    <s v="Profit"/>
    <x v="0"/>
    <n v="10"/>
    <n v="3"/>
    <s v="0-15"/>
    <s v="No"/>
    <n v="0"/>
    <s v="Healthy"/>
    <n v="0"/>
  </r>
  <r>
    <n v="100652"/>
    <d v="2025-12-30T00:00:00"/>
    <n v="1004"/>
    <x v="1"/>
    <x v="4"/>
    <x v="0"/>
    <x v="2"/>
    <x v="0"/>
    <s v="UPI"/>
    <n v="26.14"/>
    <n v="18.100000000000001"/>
    <x v="3"/>
    <n v="0"/>
    <n v="473.13"/>
    <n v="172.5"/>
    <n v="10.87"/>
    <n v="3.31"/>
    <n v="8.2200000000000006"/>
    <n v="0"/>
    <n v="0"/>
    <n v="194.9"/>
    <n v="278.23"/>
    <s v="Profit"/>
    <x v="0"/>
    <n v="11"/>
    <n v="11"/>
    <s v="0-15"/>
    <s v="No"/>
    <n v="0"/>
    <s v="Healthy"/>
    <n v="0"/>
  </r>
  <r>
    <n v="100653"/>
    <d v="2025-11-24T00:00:00"/>
    <n v="1149"/>
    <x v="2"/>
    <x v="12"/>
    <x v="3"/>
    <x v="3"/>
    <x v="2"/>
    <s v="Card"/>
    <n v="23.96"/>
    <n v="12.86"/>
    <x v="4"/>
    <n v="15.41"/>
    <n v="292.72000000000003"/>
    <n v="151.02000000000001"/>
    <n v="9.24"/>
    <n v="4.62"/>
    <n v="11.87"/>
    <n v="0"/>
    <n v="0"/>
    <n v="176.75"/>
    <n v="115.97"/>
    <s v="Profit"/>
    <x v="0"/>
    <n v="35"/>
    <n v="31"/>
    <s v="30+"/>
    <s v="Yes"/>
    <n v="1"/>
    <s v="At Risk"/>
    <n v="1"/>
  </r>
  <r>
    <n v="100654"/>
    <d v="2025-12-28T00:00:00"/>
    <n v="1017"/>
    <x v="1"/>
    <x v="4"/>
    <x v="4"/>
    <x v="3"/>
    <x v="0"/>
    <s v="UPI"/>
    <n v="13.5"/>
    <n v="13.26"/>
    <x v="2"/>
    <n v="17.899999999999999"/>
    <n v="161.11000000000001"/>
    <n v="119.1"/>
    <n v="10.95"/>
    <n v="1.25"/>
    <n v="4.26"/>
    <n v="126.17"/>
    <n v="0"/>
    <n v="261.73"/>
    <n v="-100.62"/>
    <s v="Loss"/>
    <x v="1"/>
    <n v="20"/>
    <n v="1"/>
    <s v="16-30"/>
    <s v="Yes"/>
    <n v="2"/>
    <s v="At Risk"/>
    <n v="1"/>
  </r>
  <r>
    <n v="100655"/>
    <d v="2025-10-03T00:00:00"/>
    <n v="1104"/>
    <x v="1"/>
    <x v="13"/>
    <x v="0"/>
    <x v="0"/>
    <x v="0"/>
    <s v="Fleet_Invoice"/>
    <n v="28.09"/>
    <n v="18.12"/>
    <x v="0"/>
    <n v="76.349999999999994"/>
    <n v="432.64"/>
    <n v="184.51"/>
    <n v="8.76"/>
    <n v="2.04"/>
    <n v="5.19"/>
    <n v="0"/>
    <n v="0"/>
    <n v="200.5"/>
    <n v="232.14"/>
    <s v="Profit"/>
    <x v="0"/>
    <n v="0"/>
    <n v="0"/>
    <s v="0-15"/>
    <s v="No"/>
    <n v="0"/>
    <s v="Healthy"/>
    <n v="0"/>
  </r>
  <r>
    <n v="100656"/>
    <d v="2025-12-16T00:00:00"/>
    <n v="1033"/>
    <x v="0"/>
    <x v="0"/>
    <x v="1"/>
    <x v="0"/>
    <x v="2"/>
    <s v="UPI"/>
    <n v="37.880000000000003"/>
    <n v="18.93"/>
    <x v="3"/>
    <n v="0"/>
    <n v="717.07"/>
    <n v="276.70999999999998"/>
    <n v="6.66"/>
    <n v="5.0199999999999996"/>
    <n v="7.08"/>
    <n v="0"/>
    <n v="0"/>
    <n v="295.47000000000003"/>
    <n v="421.6"/>
    <s v="Profit"/>
    <x v="0"/>
    <n v="6"/>
    <n v="0"/>
    <s v="0-15"/>
    <s v="No"/>
    <n v="1"/>
    <s v="Healthy"/>
    <n v="0"/>
  </r>
  <r>
    <n v="100657"/>
    <d v="2025-11-21T00:00:00"/>
    <n v="1098"/>
    <x v="3"/>
    <x v="15"/>
    <x v="3"/>
    <x v="3"/>
    <x v="0"/>
    <s v="Fleet_Invoice"/>
    <n v="17.07"/>
    <n v="11.66"/>
    <x v="3"/>
    <n v="0"/>
    <n v="199.04"/>
    <n v="131"/>
    <n v="7.15"/>
    <n v="0.8"/>
    <n v="1.58"/>
    <n v="0"/>
    <n v="0"/>
    <n v="140.53"/>
    <n v="58.51"/>
    <s v="Profit"/>
    <x v="0"/>
    <n v="26"/>
    <n v="1"/>
    <s v="16-30"/>
    <s v="Yes"/>
    <n v="2"/>
    <s v="At Risk"/>
    <n v="1"/>
  </r>
  <r>
    <n v="100658"/>
    <d v="2025-12-09T00:00:00"/>
    <n v="1001"/>
    <x v="2"/>
    <x v="5"/>
    <x v="4"/>
    <x v="3"/>
    <x v="2"/>
    <s v="Wallet"/>
    <n v="30.64"/>
    <n v="12.56"/>
    <x v="4"/>
    <n v="19.239999999999998"/>
    <n v="365.6"/>
    <n v="230.87"/>
    <n v="11.47"/>
    <n v="4.62"/>
    <n v="12.15"/>
    <n v="0"/>
    <n v="0"/>
    <n v="259.11"/>
    <n v="106.49"/>
    <s v="Profit"/>
    <x v="0"/>
    <n v="0"/>
    <n v="0"/>
    <s v="0-15"/>
    <s v="No"/>
    <n v="0"/>
    <s v="Healthy"/>
    <n v="0"/>
  </r>
  <r>
    <n v="100659"/>
    <d v="2025-12-18T00:00:00"/>
    <n v="1049"/>
    <x v="0"/>
    <x v="11"/>
    <x v="1"/>
    <x v="2"/>
    <x v="2"/>
    <s v="Card"/>
    <n v="30.52"/>
    <n v="18.78"/>
    <x v="3"/>
    <n v="0"/>
    <n v="573.16999999999996"/>
    <n v="230.87"/>
    <n v="11.16"/>
    <n v="8.6"/>
    <n v="7.65"/>
    <n v="0"/>
    <n v="0"/>
    <n v="258.27999999999997"/>
    <n v="314.89"/>
    <s v="Profit"/>
    <x v="0"/>
    <n v="8"/>
    <n v="0"/>
    <s v="0-15"/>
    <s v="No"/>
    <n v="0"/>
    <s v="Healthy"/>
    <n v="0"/>
  </r>
  <r>
    <n v="100660"/>
    <d v="2025-12-04T00:00:00"/>
    <n v="1045"/>
    <x v="3"/>
    <x v="14"/>
    <x v="3"/>
    <x v="3"/>
    <x v="0"/>
    <s v="UPI"/>
    <n v="24.23"/>
    <n v="12.31"/>
    <x v="3"/>
    <n v="0"/>
    <n v="298.27"/>
    <n v="189.92"/>
    <n v="4.51"/>
    <n v="2.09"/>
    <n v="3.8"/>
    <n v="0"/>
    <n v="0"/>
    <n v="200.32"/>
    <n v="97.95"/>
    <s v="Profit"/>
    <x v="0"/>
    <n v="6"/>
    <n v="2"/>
    <s v="0-15"/>
    <s v="No"/>
    <n v="0"/>
    <s v="Healthy"/>
    <n v="0"/>
  </r>
  <r>
    <n v="100661"/>
    <d v="2025-10-05T00:00:00"/>
    <n v="1134"/>
    <x v="3"/>
    <x v="15"/>
    <x v="2"/>
    <x v="3"/>
    <x v="0"/>
    <s v="Fleet_Invoice"/>
    <n v="10.050000000000001"/>
    <n v="12.32"/>
    <x v="3"/>
    <n v="0"/>
    <n v="123.82"/>
    <n v="66.03"/>
    <n v="6.71"/>
    <n v="0.5"/>
    <n v="5.33"/>
    <n v="0"/>
    <n v="0"/>
    <n v="78.569999999999993"/>
    <n v="45.25"/>
    <s v="Profit"/>
    <x v="0"/>
    <n v="4"/>
    <n v="8"/>
    <s v="0-15"/>
    <s v="No"/>
    <n v="0"/>
    <s v="Healthy"/>
    <n v="0"/>
  </r>
  <r>
    <n v="100662"/>
    <d v="2025-12-23T00:00:00"/>
    <n v="1102"/>
    <x v="3"/>
    <x v="8"/>
    <x v="2"/>
    <x v="3"/>
    <x v="0"/>
    <s v="UPI"/>
    <n v="20.260000000000002"/>
    <n v="11.15"/>
    <x v="3"/>
    <n v="0"/>
    <n v="225.9"/>
    <n v="163.22999999999999"/>
    <n v="7.88"/>
    <n v="1.58"/>
    <n v="1.18"/>
    <n v="0"/>
    <n v="0"/>
    <n v="173.87"/>
    <n v="52.03"/>
    <s v="Profit"/>
    <x v="0"/>
    <n v="15"/>
    <n v="3"/>
    <s v="0-15"/>
    <s v="No"/>
    <n v="0"/>
    <s v="Healthy"/>
    <n v="0"/>
  </r>
  <r>
    <n v="100663"/>
    <d v="2025-10-15T00:00:00"/>
    <n v="1066"/>
    <x v="1"/>
    <x v="3"/>
    <x v="3"/>
    <x v="0"/>
    <x v="2"/>
    <s v="UPI"/>
    <n v="33.07"/>
    <n v="20.34"/>
    <x v="4"/>
    <n v="33.630000000000003"/>
    <n v="639.01"/>
    <n v="235.49"/>
    <n v="5.85"/>
    <n v="4.71"/>
    <n v="2.2599999999999998"/>
    <n v="0"/>
    <n v="0"/>
    <n v="248.31"/>
    <n v="390.7"/>
    <s v="Profit"/>
    <x v="0"/>
    <n v="25"/>
    <n v="8"/>
    <s v="16-30"/>
    <s v="Yes"/>
    <n v="1"/>
    <s v="At Risk"/>
    <n v="1"/>
  </r>
  <r>
    <n v="100664"/>
    <d v="2025-10-26T00:00:00"/>
    <n v="1086"/>
    <x v="2"/>
    <x v="12"/>
    <x v="2"/>
    <x v="3"/>
    <x v="1"/>
    <s v="Wallet"/>
    <n v="18.52"/>
    <n v="15.26"/>
    <x v="2"/>
    <n v="28.26"/>
    <n v="254.36"/>
    <n v="126.36"/>
    <n v="15.75"/>
    <n v="3.39"/>
    <n v="9.5"/>
    <n v="0"/>
    <n v="0"/>
    <n v="155"/>
    <n v="99.36"/>
    <s v="Profit"/>
    <x v="0"/>
    <n v="3"/>
    <n v="9"/>
    <s v="0-15"/>
    <s v="No"/>
    <n v="0"/>
    <s v="Healthy"/>
    <n v="0"/>
  </r>
  <r>
    <n v="100665"/>
    <d v="2025-10-03T00:00:00"/>
    <n v="1137"/>
    <x v="1"/>
    <x v="13"/>
    <x v="1"/>
    <x v="3"/>
    <x v="2"/>
    <s v="Fleet_Invoice"/>
    <n v="5.98"/>
    <n v="12.98"/>
    <x v="3"/>
    <n v="0"/>
    <n v="77.62"/>
    <n v="43.75"/>
    <n v="11.59"/>
    <n v="0.31"/>
    <n v="6.74"/>
    <n v="0"/>
    <n v="0"/>
    <n v="62.39"/>
    <n v="15.23"/>
    <s v="Profit"/>
    <x v="0"/>
    <n v="12"/>
    <n v="2"/>
    <s v="0-15"/>
    <s v="No"/>
    <n v="0"/>
    <s v="Healthy"/>
    <n v="0"/>
  </r>
  <r>
    <n v="100666"/>
    <d v="2025-11-07T00:00:00"/>
    <n v="1031"/>
    <x v="0"/>
    <x v="11"/>
    <x v="4"/>
    <x v="1"/>
    <x v="2"/>
    <s v="UPI"/>
    <n v="12.26"/>
    <n v="16.36"/>
    <x v="3"/>
    <n v="0"/>
    <n v="200.57"/>
    <n v="81.489999999999995"/>
    <n v="6.1"/>
    <n v="1.4"/>
    <n v="3.26"/>
    <n v="117.6"/>
    <n v="15.45"/>
    <n v="225.3"/>
    <n v="-24.73"/>
    <s v="Loss"/>
    <x v="2"/>
    <n v="3"/>
    <n v="2"/>
    <s v="0-15"/>
    <s v="No"/>
    <n v="4"/>
    <s v="At Risk"/>
    <n v="0"/>
  </r>
  <r>
    <n v="100667"/>
    <d v="2025-12-14T00:00:00"/>
    <n v="1028"/>
    <x v="0"/>
    <x v="6"/>
    <x v="1"/>
    <x v="2"/>
    <x v="0"/>
    <s v="UPI"/>
    <n v="22.19"/>
    <n v="16.64"/>
    <x v="3"/>
    <n v="0"/>
    <n v="369.24"/>
    <n v="160.72"/>
    <n v="9.77"/>
    <n v="2.58"/>
    <n v="10.68"/>
    <n v="264.02"/>
    <n v="0"/>
    <n v="447.77"/>
    <n v="-78.53"/>
    <s v="Loss"/>
    <x v="1"/>
    <n v="8"/>
    <n v="2"/>
    <s v="0-15"/>
    <s v="Yes"/>
    <n v="3"/>
    <s v="At Risk"/>
    <n v="1"/>
  </r>
  <r>
    <n v="100668"/>
    <d v="2025-11-07T00:00:00"/>
    <n v="1149"/>
    <x v="0"/>
    <x v="0"/>
    <x v="4"/>
    <x v="0"/>
    <x v="2"/>
    <s v="Fleet_Invoice"/>
    <n v="21.43"/>
    <n v="20.78"/>
    <x v="4"/>
    <n v="22.27"/>
    <n v="423.05"/>
    <n v="192.84"/>
    <n v="8.74"/>
    <n v="1.78"/>
    <n v="8.2899999999999991"/>
    <n v="0"/>
    <n v="0"/>
    <n v="211.65"/>
    <n v="211.4"/>
    <s v="Profit"/>
    <x v="0"/>
    <n v="12"/>
    <n v="5"/>
    <s v="0-15"/>
    <s v="No"/>
    <n v="0"/>
    <s v="Healthy"/>
    <n v="0"/>
  </r>
  <r>
    <n v="100669"/>
    <d v="2025-12-06T00:00:00"/>
    <n v="1070"/>
    <x v="0"/>
    <x v="1"/>
    <x v="1"/>
    <x v="1"/>
    <x v="2"/>
    <s v="Card"/>
    <n v="42.07"/>
    <n v="16.07"/>
    <x v="3"/>
    <n v="0"/>
    <n v="676.06"/>
    <n v="284.3"/>
    <n v="6.9"/>
    <n v="10.14"/>
    <n v="1.92"/>
    <n v="0"/>
    <n v="0"/>
    <n v="303.26"/>
    <n v="372.8"/>
    <s v="Profit"/>
    <x v="0"/>
    <n v="7"/>
    <n v="0"/>
    <s v="0-15"/>
    <s v="No"/>
    <n v="0"/>
    <s v="Healthy"/>
    <n v="0"/>
  </r>
  <r>
    <n v="100670"/>
    <d v="2025-12-31T00:00:00"/>
    <n v="1119"/>
    <x v="2"/>
    <x v="5"/>
    <x v="2"/>
    <x v="3"/>
    <x v="0"/>
    <s v="UPI"/>
    <n v="20.56"/>
    <n v="12.48"/>
    <x v="4"/>
    <n v="12.83"/>
    <n v="243.76"/>
    <n v="145.82"/>
    <n v="4.0199999999999996"/>
    <n v="1.8"/>
    <n v="4.1399999999999997"/>
    <n v="0"/>
    <n v="0"/>
    <n v="155.78"/>
    <n v="87.98"/>
    <s v="Profit"/>
    <x v="0"/>
    <n v="6"/>
    <n v="3"/>
    <s v="0-15"/>
    <s v="No"/>
    <n v="0"/>
    <s v="Healthy"/>
    <n v="0"/>
  </r>
  <r>
    <n v="100671"/>
    <d v="2025-12-23T00:00:00"/>
    <n v="1115"/>
    <x v="1"/>
    <x v="2"/>
    <x v="4"/>
    <x v="2"/>
    <x v="0"/>
    <s v="UPI"/>
    <n v="14.89"/>
    <n v="17.04"/>
    <x v="0"/>
    <n v="38.06"/>
    <n v="215.67"/>
    <n v="118.53"/>
    <n v="7.7"/>
    <n v="1.78"/>
    <n v="0.83"/>
    <n v="0"/>
    <n v="0"/>
    <n v="128.84"/>
    <n v="86.83"/>
    <s v="Profit"/>
    <x v="0"/>
    <n v="7"/>
    <n v="15"/>
    <s v="0-15"/>
    <s v="No"/>
    <n v="0"/>
    <s v="Healthy"/>
    <n v="0"/>
  </r>
  <r>
    <n v="100672"/>
    <d v="2025-10-13T00:00:00"/>
    <n v="1051"/>
    <x v="2"/>
    <x v="5"/>
    <x v="1"/>
    <x v="3"/>
    <x v="0"/>
    <s v="Wallet"/>
    <n v="20.87"/>
    <n v="13.12"/>
    <x v="4"/>
    <n v="13.69"/>
    <n v="260.12"/>
    <n v="143.68"/>
    <n v="5.79"/>
    <n v="3.29"/>
    <n v="5.59"/>
    <n v="178.94"/>
    <n v="0"/>
    <n v="337.29"/>
    <n v="-77.17"/>
    <s v="Loss"/>
    <x v="1"/>
    <n v="0"/>
    <n v="11"/>
    <s v="0-15"/>
    <s v="Yes"/>
    <n v="2"/>
    <s v="At Risk"/>
    <n v="1"/>
  </r>
  <r>
    <n v="100673"/>
    <d v="2025-12-15T00:00:00"/>
    <n v="1019"/>
    <x v="0"/>
    <x v="11"/>
    <x v="1"/>
    <x v="3"/>
    <x v="0"/>
    <s v="UPI"/>
    <n v="16.420000000000002"/>
    <n v="14.72"/>
    <x v="3"/>
    <n v="0"/>
    <n v="241.7"/>
    <n v="129.56"/>
    <n v="9.85"/>
    <n v="1.69"/>
    <n v="9.06"/>
    <n v="0"/>
    <n v="0"/>
    <n v="150.16"/>
    <n v="91.54"/>
    <s v="Profit"/>
    <x v="0"/>
    <n v="1"/>
    <n v="5"/>
    <s v="0-15"/>
    <s v="No"/>
    <n v="0"/>
    <s v="Healthy"/>
    <n v="0"/>
  </r>
  <r>
    <n v="100674"/>
    <d v="2025-12-21T00:00:00"/>
    <n v="1150"/>
    <x v="1"/>
    <x v="3"/>
    <x v="1"/>
    <x v="1"/>
    <x v="0"/>
    <s v="UPI"/>
    <n v="10.71"/>
    <n v="15.8"/>
    <x v="4"/>
    <n v="8.4600000000000009"/>
    <n v="160.76"/>
    <n v="68.89"/>
    <n v="5.21"/>
    <n v="1.18"/>
    <n v="8.06"/>
    <n v="144.12"/>
    <n v="0"/>
    <n v="227.46"/>
    <n v="-66.7"/>
    <s v="Loss"/>
    <x v="1"/>
    <n v="7"/>
    <n v="0"/>
    <s v="0-15"/>
    <s v="Yes"/>
    <n v="3"/>
    <s v="At Risk"/>
    <n v="1"/>
  </r>
  <r>
    <n v="100675"/>
    <d v="2025-10-10T00:00:00"/>
    <n v="1145"/>
    <x v="1"/>
    <x v="3"/>
    <x v="3"/>
    <x v="1"/>
    <x v="0"/>
    <s v="UPI"/>
    <n v="43.94"/>
    <n v="15.55"/>
    <x v="3"/>
    <n v="0"/>
    <n v="683.27"/>
    <n v="316.79000000000002"/>
    <n v="9.4700000000000006"/>
    <n v="4.78"/>
    <n v="4.0199999999999996"/>
    <n v="0"/>
    <n v="0"/>
    <n v="335.06"/>
    <n v="348.21"/>
    <s v="Profit"/>
    <x v="0"/>
    <n v="6"/>
    <n v="4"/>
    <s v="0-15"/>
    <s v="No"/>
    <n v="0"/>
    <s v="Healthy"/>
    <n v="0"/>
  </r>
  <r>
    <n v="100676"/>
    <d v="2025-10-24T00:00:00"/>
    <n v="1047"/>
    <x v="3"/>
    <x v="7"/>
    <x v="2"/>
    <x v="3"/>
    <x v="2"/>
    <s v="Fleet_Invoice"/>
    <n v="37.64"/>
    <n v="13.25"/>
    <x v="3"/>
    <n v="0"/>
    <n v="498.73"/>
    <n v="271.77999999999997"/>
    <n v="8.49"/>
    <n v="1.99"/>
    <n v="7.95"/>
    <n v="0"/>
    <n v="0"/>
    <n v="290.20999999999998"/>
    <n v="208.52"/>
    <s v="Profit"/>
    <x v="0"/>
    <n v="1"/>
    <n v="7"/>
    <s v="0-15"/>
    <s v="No"/>
    <n v="0"/>
    <s v="Healthy"/>
    <n v="0"/>
  </r>
  <r>
    <n v="100677"/>
    <d v="2025-12-17T00:00:00"/>
    <n v="1134"/>
    <x v="1"/>
    <x v="4"/>
    <x v="3"/>
    <x v="2"/>
    <x v="0"/>
    <s v="Card"/>
    <n v="42.73"/>
    <n v="17.809999999999999"/>
    <x v="4"/>
    <n v="38.049999999999997"/>
    <n v="722.97"/>
    <n v="316.43"/>
    <n v="7.65"/>
    <n v="11.42"/>
    <n v="12.26"/>
    <n v="0"/>
    <n v="0"/>
    <n v="347.76"/>
    <n v="375.21"/>
    <s v="Profit"/>
    <x v="0"/>
    <n v="1"/>
    <n v="12"/>
    <s v="0-15"/>
    <s v="No"/>
    <n v="0"/>
    <s v="Healthy"/>
    <n v="0"/>
  </r>
  <r>
    <n v="100678"/>
    <d v="2025-11-24T00:00:00"/>
    <n v="1027"/>
    <x v="2"/>
    <x v="9"/>
    <x v="3"/>
    <x v="3"/>
    <x v="1"/>
    <s v="Fleet_Invoice"/>
    <n v="25.46"/>
    <n v="13.08"/>
    <x v="3"/>
    <n v="0"/>
    <n v="333.02"/>
    <n v="197.55"/>
    <n v="5.98"/>
    <n v="1.33"/>
    <n v="5.53"/>
    <n v="0"/>
    <n v="0"/>
    <n v="210.39"/>
    <n v="122.63"/>
    <s v="Profit"/>
    <x v="0"/>
    <n v="7"/>
    <n v="20"/>
    <s v="0-15"/>
    <s v="Yes"/>
    <n v="2"/>
    <s v="At Risk"/>
    <n v="1"/>
  </r>
  <r>
    <n v="100679"/>
    <d v="2025-11-13T00:00:00"/>
    <n v="1065"/>
    <x v="3"/>
    <x v="7"/>
    <x v="1"/>
    <x v="2"/>
    <x v="1"/>
    <s v="Wallet"/>
    <n v="22.97"/>
    <n v="18.440000000000001"/>
    <x v="4"/>
    <n v="21.18"/>
    <n v="402.39"/>
    <n v="174.31"/>
    <n v="4.88"/>
    <n v="5.08"/>
    <n v="12.11"/>
    <n v="0"/>
    <n v="0"/>
    <n v="196.38"/>
    <n v="206.01"/>
    <s v="Profit"/>
    <x v="0"/>
    <n v="0"/>
    <n v="0"/>
    <s v="0-15"/>
    <s v="No"/>
    <n v="0"/>
    <s v="Healthy"/>
    <n v="0"/>
  </r>
  <r>
    <n v="100680"/>
    <d v="2025-10-20T00:00:00"/>
    <n v="1137"/>
    <x v="1"/>
    <x v="2"/>
    <x v="2"/>
    <x v="3"/>
    <x v="1"/>
    <s v="UPI"/>
    <n v="6.48"/>
    <n v="12.51"/>
    <x v="3"/>
    <n v="0"/>
    <n v="81.06"/>
    <n v="44.1"/>
    <n v="7.71"/>
    <n v="0.56999999999999995"/>
    <n v="11.38"/>
    <n v="0"/>
    <n v="0"/>
    <n v="63.76"/>
    <n v="17.3"/>
    <s v="Profit"/>
    <x v="0"/>
    <n v="0"/>
    <n v="12"/>
    <s v="0-15"/>
    <s v="No"/>
    <n v="0"/>
    <s v="Healthy"/>
    <n v="0"/>
  </r>
  <r>
    <n v="100681"/>
    <d v="2025-10-14T00:00:00"/>
    <n v="1071"/>
    <x v="2"/>
    <x v="5"/>
    <x v="3"/>
    <x v="3"/>
    <x v="2"/>
    <s v="UPI"/>
    <n v="28.72"/>
    <n v="11.83"/>
    <x v="3"/>
    <n v="0"/>
    <n v="339.76"/>
    <n v="214.62"/>
    <n v="9.32"/>
    <n v="2.38"/>
    <n v="9.49"/>
    <n v="0"/>
    <n v="0"/>
    <n v="235.81"/>
    <n v="103.95"/>
    <s v="Profit"/>
    <x v="0"/>
    <n v="22"/>
    <n v="3"/>
    <s v="16-30"/>
    <s v="Yes"/>
    <n v="2"/>
    <s v="At Risk"/>
    <n v="1"/>
  </r>
  <r>
    <n v="100682"/>
    <d v="2025-10-07T00:00:00"/>
    <n v="1016"/>
    <x v="0"/>
    <x v="11"/>
    <x v="3"/>
    <x v="1"/>
    <x v="0"/>
    <s v="Wallet"/>
    <n v="32.43"/>
    <n v="14.9"/>
    <x v="3"/>
    <n v="0"/>
    <n v="483.21"/>
    <n v="227.53"/>
    <n v="12.6"/>
    <n v="5.8"/>
    <n v="6.15"/>
    <n v="0"/>
    <n v="0"/>
    <n v="252.08"/>
    <n v="231.13"/>
    <s v="Profit"/>
    <x v="0"/>
    <n v="6"/>
    <n v="1"/>
    <s v="0-15"/>
    <s v="No"/>
    <n v="0"/>
    <s v="Healthy"/>
    <n v="0"/>
  </r>
  <r>
    <n v="100683"/>
    <d v="2025-10-07T00:00:00"/>
    <n v="1122"/>
    <x v="2"/>
    <x v="5"/>
    <x v="0"/>
    <x v="0"/>
    <x v="0"/>
    <s v="Fleet_Invoice"/>
    <n v="24.61"/>
    <n v="20.329999999999998"/>
    <x v="3"/>
    <n v="0"/>
    <n v="500.32"/>
    <n v="183.71"/>
    <n v="12.45"/>
    <n v="2"/>
    <n v="8.26"/>
    <n v="0"/>
    <n v="0"/>
    <n v="206.42"/>
    <n v="293.89999999999998"/>
    <s v="Profit"/>
    <x v="0"/>
    <n v="9"/>
    <n v="15"/>
    <s v="0-15"/>
    <s v="No"/>
    <n v="0"/>
    <s v="Healthy"/>
    <n v="0"/>
  </r>
  <r>
    <n v="100684"/>
    <d v="2025-11-06T00:00:00"/>
    <n v="1112"/>
    <x v="0"/>
    <x v="6"/>
    <x v="0"/>
    <x v="2"/>
    <x v="0"/>
    <s v="UPI"/>
    <n v="48.63"/>
    <n v="17.350000000000001"/>
    <x v="4"/>
    <n v="42.19"/>
    <n v="801.54"/>
    <n v="402.48"/>
    <n v="13.15"/>
    <n v="5.91"/>
    <n v="7.89"/>
    <n v="0"/>
    <n v="0"/>
    <n v="429.43"/>
    <n v="372.11"/>
    <s v="Profit"/>
    <x v="0"/>
    <n v="12"/>
    <n v="1"/>
    <s v="0-15"/>
    <s v="No"/>
    <n v="0"/>
    <s v="Healthy"/>
    <n v="0"/>
  </r>
  <r>
    <n v="100685"/>
    <d v="2025-10-13T00:00:00"/>
    <n v="1098"/>
    <x v="3"/>
    <x v="15"/>
    <x v="4"/>
    <x v="3"/>
    <x v="0"/>
    <s v="Card"/>
    <n v="14.4"/>
    <n v="12.43"/>
    <x v="4"/>
    <n v="8.9499999999999993"/>
    <n v="170.04"/>
    <n v="110.78"/>
    <n v="10.73"/>
    <n v="2.68"/>
    <n v="8.84"/>
    <n v="0"/>
    <n v="0"/>
    <n v="133.03"/>
    <n v="37.01"/>
    <s v="Profit"/>
    <x v="0"/>
    <n v="20"/>
    <n v="5"/>
    <s v="16-30"/>
    <s v="No"/>
    <n v="0"/>
    <s v="Healthy"/>
    <n v="0"/>
  </r>
  <r>
    <n v="100686"/>
    <d v="2025-11-09T00:00:00"/>
    <n v="1031"/>
    <x v="2"/>
    <x v="10"/>
    <x v="1"/>
    <x v="3"/>
    <x v="0"/>
    <s v="UPI"/>
    <n v="21.84"/>
    <n v="12.91"/>
    <x v="0"/>
    <n v="42.29"/>
    <n v="239.66"/>
    <n v="159.15"/>
    <n v="18.21"/>
    <n v="1.97"/>
    <n v="7.98"/>
    <n v="111.37"/>
    <n v="0"/>
    <n v="298.68"/>
    <n v="-59.02"/>
    <s v="Loss"/>
    <x v="2"/>
    <n v="2"/>
    <n v="2"/>
    <s v="0-15"/>
    <s v="No"/>
    <n v="1"/>
    <s v="At Risk"/>
    <n v="0"/>
  </r>
  <r>
    <n v="100687"/>
    <d v="2025-10-08T00:00:00"/>
    <n v="1001"/>
    <x v="2"/>
    <x v="9"/>
    <x v="0"/>
    <x v="3"/>
    <x v="0"/>
    <s v="Card"/>
    <n v="23.35"/>
    <n v="12.46"/>
    <x v="0"/>
    <n v="43.64"/>
    <n v="247.3"/>
    <n v="204.88"/>
    <n v="13.44"/>
    <n v="4.3600000000000003"/>
    <n v="7.96"/>
    <n v="0"/>
    <n v="0"/>
    <n v="230.64"/>
    <n v="16.66"/>
    <s v="Profit"/>
    <x v="0"/>
    <n v="4"/>
    <n v="3"/>
    <s v="0-15"/>
    <s v="No"/>
    <n v="0"/>
    <s v="Healthy"/>
    <n v="0"/>
  </r>
  <r>
    <n v="100688"/>
    <d v="2025-11-10T00:00:00"/>
    <n v="1109"/>
    <x v="0"/>
    <x v="1"/>
    <x v="0"/>
    <x v="2"/>
    <x v="0"/>
    <s v="Card"/>
    <n v="30.3"/>
    <n v="17.37"/>
    <x v="3"/>
    <n v="0"/>
    <n v="526.30999999999995"/>
    <n v="204.94"/>
    <n v="7.78"/>
    <n v="7.89"/>
    <n v="7.08"/>
    <n v="0"/>
    <n v="0"/>
    <n v="227.69"/>
    <n v="298.62"/>
    <s v="Profit"/>
    <x v="0"/>
    <n v="75"/>
    <n v="10"/>
    <s v="30+"/>
    <s v="Yes"/>
    <n v="3"/>
    <s v="At Risk"/>
    <n v="1"/>
  </r>
  <r>
    <n v="100689"/>
    <d v="2025-11-21T00:00:00"/>
    <n v="1012"/>
    <x v="1"/>
    <x v="2"/>
    <x v="1"/>
    <x v="1"/>
    <x v="0"/>
    <s v="Card"/>
    <n v="22.4"/>
    <n v="16.03"/>
    <x v="4"/>
    <n v="17.95"/>
    <n v="341.12"/>
    <n v="154.85"/>
    <n v="5.3"/>
    <n v="5.39"/>
    <n v="12.34"/>
    <n v="0"/>
    <n v="0"/>
    <n v="177.88"/>
    <n v="163.24"/>
    <s v="Profit"/>
    <x v="0"/>
    <n v="18"/>
    <n v="0"/>
    <s v="16-30"/>
    <s v="No"/>
    <n v="0"/>
    <s v="Healthy"/>
    <n v="0"/>
  </r>
  <r>
    <n v="100690"/>
    <d v="2025-10-24T00:00:00"/>
    <n v="1041"/>
    <x v="2"/>
    <x v="12"/>
    <x v="0"/>
    <x v="1"/>
    <x v="2"/>
    <s v="Fleet_Invoice"/>
    <n v="27.25"/>
    <n v="15.31"/>
    <x v="0"/>
    <n v="62.58"/>
    <n v="354.62"/>
    <n v="213.15"/>
    <n v="4"/>
    <n v="1.67"/>
    <n v="5.44"/>
    <n v="0"/>
    <n v="0"/>
    <n v="224.26"/>
    <n v="130.36000000000001"/>
    <s v="Profit"/>
    <x v="0"/>
    <n v="2"/>
    <n v="2"/>
    <s v="0-15"/>
    <s v="No"/>
    <n v="0"/>
    <s v="Healthy"/>
    <n v="0"/>
  </r>
  <r>
    <n v="100691"/>
    <d v="2025-10-25T00:00:00"/>
    <n v="1059"/>
    <x v="0"/>
    <x v="6"/>
    <x v="3"/>
    <x v="3"/>
    <x v="1"/>
    <s v="UPI"/>
    <n v="20.02"/>
    <n v="12.31"/>
    <x v="2"/>
    <n v="24.64"/>
    <n v="221.81"/>
    <n v="130.25"/>
    <n v="4.57"/>
    <n v="1.73"/>
    <n v="2.88"/>
    <n v="0"/>
    <n v="0"/>
    <n v="139.43"/>
    <n v="82.38"/>
    <s v="Profit"/>
    <x v="0"/>
    <n v="10"/>
    <n v="9"/>
    <s v="0-15"/>
    <s v="No"/>
    <n v="0"/>
    <s v="Healthy"/>
    <n v="0"/>
  </r>
  <r>
    <n v="100692"/>
    <d v="2025-11-03T00:00:00"/>
    <n v="1067"/>
    <x v="2"/>
    <x v="12"/>
    <x v="2"/>
    <x v="3"/>
    <x v="0"/>
    <s v="Card"/>
    <n v="13.77"/>
    <n v="12.3"/>
    <x v="2"/>
    <n v="16.940000000000001"/>
    <n v="152.43"/>
    <n v="104.66"/>
    <n v="3.68"/>
    <n v="2.54"/>
    <n v="4.0599999999999996"/>
    <n v="0"/>
    <n v="0"/>
    <n v="114.94"/>
    <n v="37.49"/>
    <s v="Profit"/>
    <x v="0"/>
    <n v="17"/>
    <n v="9"/>
    <s v="16-30"/>
    <s v="No"/>
    <n v="0"/>
    <s v="Healthy"/>
    <n v="0"/>
  </r>
  <r>
    <n v="100693"/>
    <d v="2025-11-12T00:00:00"/>
    <n v="1032"/>
    <x v="2"/>
    <x v="10"/>
    <x v="2"/>
    <x v="3"/>
    <x v="0"/>
    <s v="Fleet_Invoice"/>
    <n v="12.55"/>
    <n v="13.31"/>
    <x v="4"/>
    <n v="8.35"/>
    <n v="158.69"/>
    <n v="96.77"/>
    <n v="13.25"/>
    <n v="0.67"/>
    <n v="3.13"/>
    <n v="0"/>
    <n v="0"/>
    <n v="113.82"/>
    <n v="44.87"/>
    <s v="Profit"/>
    <x v="0"/>
    <n v="1"/>
    <n v="10"/>
    <s v="0-15"/>
    <s v="No"/>
    <n v="0"/>
    <s v="Healthy"/>
    <n v="0"/>
  </r>
  <r>
    <n v="100694"/>
    <d v="2025-10-30T00:00:00"/>
    <n v="1040"/>
    <x v="3"/>
    <x v="7"/>
    <x v="4"/>
    <x v="3"/>
    <x v="0"/>
    <s v="UPI"/>
    <n v="20.52"/>
    <n v="12.97"/>
    <x v="3"/>
    <n v="0"/>
    <n v="266.14"/>
    <n v="141.21"/>
    <n v="9.8699999999999992"/>
    <n v="1.86"/>
    <n v="11"/>
    <n v="0"/>
    <n v="0"/>
    <n v="163.94"/>
    <n v="102.2"/>
    <s v="Profit"/>
    <x v="0"/>
    <n v="15"/>
    <n v="26"/>
    <s v="0-15"/>
    <s v="Yes"/>
    <n v="2"/>
    <s v="At Risk"/>
    <n v="1"/>
  </r>
  <r>
    <n v="100695"/>
    <d v="2025-11-18T00:00:00"/>
    <n v="1057"/>
    <x v="2"/>
    <x v="10"/>
    <x v="3"/>
    <x v="2"/>
    <x v="0"/>
    <s v="UPI"/>
    <n v="29.27"/>
    <n v="17.34"/>
    <x v="3"/>
    <n v="0"/>
    <n v="507.54"/>
    <n v="195.4"/>
    <n v="6.18"/>
    <n v="3.55"/>
    <n v="0"/>
    <n v="0"/>
    <n v="0"/>
    <n v="205.13"/>
    <n v="302.41000000000003"/>
    <s v="Profit"/>
    <x v="0"/>
    <n v="12"/>
    <n v="0"/>
    <s v="0-15"/>
    <s v="No"/>
    <n v="0"/>
    <s v="Healthy"/>
    <n v="0"/>
  </r>
  <r>
    <n v="100696"/>
    <d v="2025-11-03T00:00:00"/>
    <n v="1146"/>
    <x v="3"/>
    <x v="15"/>
    <x v="1"/>
    <x v="2"/>
    <x v="0"/>
    <s v="Wallet"/>
    <n v="27.16"/>
    <n v="16.47"/>
    <x v="3"/>
    <n v="0"/>
    <n v="447.33"/>
    <n v="210.75"/>
    <n v="6.24"/>
    <n v="5.37"/>
    <n v="9.1999999999999993"/>
    <n v="0"/>
    <n v="0"/>
    <n v="231.56"/>
    <n v="215.77"/>
    <s v="Profit"/>
    <x v="0"/>
    <n v="10"/>
    <n v="0"/>
    <s v="0-15"/>
    <s v="No"/>
    <n v="0"/>
    <s v="Healthy"/>
    <n v="0"/>
  </r>
  <r>
    <n v="100697"/>
    <d v="2025-12-08T00:00:00"/>
    <n v="1018"/>
    <x v="3"/>
    <x v="8"/>
    <x v="2"/>
    <x v="1"/>
    <x v="1"/>
    <s v="Card"/>
    <n v="28.16"/>
    <n v="15.47"/>
    <x v="2"/>
    <n v="43.56"/>
    <n v="392.08"/>
    <n v="160.30000000000001"/>
    <n v="11.18"/>
    <n v="6.53"/>
    <n v="3.65"/>
    <n v="291.91000000000003"/>
    <n v="22.48"/>
    <n v="496.05"/>
    <n v="-103.97"/>
    <s v="Loss"/>
    <x v="2"/>
    <n v="5"/>
    <n v="9"/>
    <s v="0-15"/>
    <s v="No"/>
    <n v="1"/>
    <s v="At Risk"/>
    <n v="0"/>
  </r>
  <r>
    <n v="100698"/>
    <d v="2025-12-31T00:00:00"/>
    <n v="1046"/>
    <x v="1"/>
    <x v="3"/>
    <x v="4"/>
    <x v="3"/>
    <x v="1"/>
    <s v="UPI"/>
    <n v="15.02"/>
    <n v="12.93"/>
    <x v="3"/>
    <n v="0"/>
    <n v="194.21"/>
    <n v="102.63"/>
    <n v="11.03"/>
    <n v="1.36"/>
    <n v="6.37"/>
    <n v="0"/>
    <n v="0"/>
    <n v="121.39"/>
    <n v="72.819999999999993"/>
    <s v="Profit"/>
    <x v="0"/>
    <n v="2"/>
    <n v="62"/>
    <s v="0-15"/>
    <s v="Yes"/>
    <n v="1"/>
    <s v="At Risk"/>
    <n v="1"/>
  </r>
  <r>
    <n v="100699"/>
    <d v="2025-12-23T00:00:00"/>
    <n v="1148"/>
    <x v="1"/>
    <x v="4"/>
    <x v="4"/>
    <x v="0"/>
    <x v="0"/>
    <s v="UPI"/>
    <n v="29.33"/>
    <n v="17.239999999999998"/>
    <x v="2"/>
    <n v="50.56"/>
    <n v="455.09"/>
    <n v="201.28"/>
    <n v="8.4700000000000006"/>
    <n v="3.54"/>
    <n v="5.74"/>
    <n v="0"/>
    <n v="0"/>
    <n v="219.03"/>
    <n v="236.06"/>
    <s v="Profit"/>
    <x v="0"/>
    <n v="11"/>
    <n v="17"/>
    <s v="0-15"/>
    <s v="Yes"/>
    <n v="4"/>
    <s v="At Risk"/>
    <n v="1"/>
  </r>
  <r>
    <n v="100700"/>
    <d v="2025-10-23T00:00:00"/>
    <n v="1135"/>
    <x v="0"/>
    <x v="0"/>
    <x v="3"/>
    <x v="0"/>
    <x v="0"/>
    <s v="Wallet"/>
    <n v="26.24"/>
    <n v="20.98"/>
    <x v="3"/>
    <n v="0"/>
    <n v="550.52"/>
    <n v="179.98"/>
    <n v="6.06"/>
    <n v="6.61"/>
    <n v="7.9"/>
    <n v="0"/>
    <n v="0"/>
    <n v="200.55"/>
    <n v="349.97"/>
    <s v="Profit"/>
    <x v="0"/>
    <n v="13"/>
    <n v="8"/>
    <s v="0-15"/>
    <s v="No"/>
    <n v="0"/>
    <s v="Healthy"/>
    <n v="0"/>
  </r>
  <r>
    <n v="100701"/>
    <d v="2025-12-22T00:00:00"/>
    <n v="1113"/>
    <x v="1"/>
    <x v="3"/>
    <x v="4"/>
    <x v="1"/>
    <x v="0"/>
    <s v="UPI"/>
    <n v="33.840000000000003"/>
    <n v="14.68"/>
    <x v="3"/>
    <n v="0"/>
    <n v="496.77"/>
    <n v="212.44"/>
    <n v="5.52"/>
    <n v="3.48"/>
    <n v="10.33"/>
    <n v="0"/>
    <n v="0"/>
    <n v="231.77"/>
    <n v="265"/>
    <s v="Profit"/>
    <x v="0"/>
    <n v="5"/>
    <n v="35"/>
    <s v="0-15"/>
    <s v="Yes"/>
    <n v="1"/>
    <s v="At Risk"/>
    <n v="1"/>
  </r>
  <r>
    <n v="100702"/>
    <d v="2025-11-23T00:00:00"/>
    <n v="1125"/>
    <x v="1"/>
    <x v="3"/>
    <x v="4"/>
    <x v="1"/>
    <x v="2"/>
    <s v="UPI"/>
    <n v="30.55"/>
    <n v="15.4"/>
    <x v="0"/>
    <n v="70.569999999999993"/>
    <n v="399.9"/>
    <n v="274.51"/>
    <n v="5.31"/>
    <n v="3.29"/>
    <n v="3.9"/>
    <n v="394.7"/>
    <n v="8.51"/>
    <n v="690.22"/>
    <n v="-290.32"/>
    <s v="Loss"/>
    <x v="2"/>
    <n v="3"/>
    <n v="0"/>
    <s v="0-15"/>
    <s v="No"/>
    <n v="1"/>
    <s v="At Risk"/>
    <n v="0"/>
  </r>
  <r>
    <n v="100703"/>
    <d v="2025-11-22T00:00:00"/>
    <n v="1056"/>
    <x v="0"/>
    <x v="11"/>
    <x v="4"/>
    <x v="2"/>
    <x v="1"/>
    <s v="Card"/>
    <n v="33"/>
    <n v="16.79"/>
    <x v="4"/>
    <n v="27.7"/>
    <n v="526.37"/>
    <n v="210.49"/>
    <n v="9.3000000000000007"/>
    <n v="8.31"/>
    <n v="9.07"/>
    <n v="0"/>
    <n v="0"/>
    <n v="237.17"/>
    <n v="289.2"/>
    <s v="Profit"/>
    <x v="0"/>
    <n v="6"/>
    <n v="18"/>
    <s v="0-15"/>
    <s v="Yes"/>
    <n v="1"/>
    <s v="At Risk"/>
    <n v="1"/>
  </r>
  <r>
    <n v="100704"/>
    <d v="2025-10-06T00:00:00"/>
    <n v="1059"/>
    <x v="1"/>
    <x v="3"/>
    <x v="4"/>
    <x v="1"/>
    <x v="0"/>
    <s v="UPI"/>
    <n v="13.73"/>
    <n v="15.72"/>
    <x v="2"/>
    <n v="21.58"/>
    <n v="194.26"/>
    <n v="92.62"/>
    <n v="4.1900000000000004"/>
    <n v="1.51"/>
    <n v="0"/>
    <n v="0"/>
    <n v="0"/>
    <n v="98.32"/>
    <n v="95.94"/>
    <s v="Profit"/>
    <x v="0"/>
    <n v="27"/>
    <n v="6"/>
    <s v="16-30"/>
    <s v="Yes"/>
    <n v="2"/>
    <s v="At Risk"/>
    <n v="1"/>
  </r>
  <r>
    <n v="100705"/>
    <d v="2025-12-25T00:00:00"/>
    <n v="1107"/>
    <x v="0"/>
    <x v="0"/>
    <x v="4"/>
    <x v="1"/>
    <x v="1"/>
    <s v="Card"/>
    <n v="18.88"/>
    <n v="15.47"/>
    <x v="4"/>
    <n v="14.6"/>
    <n v="277.47000000000003"/>
    <n v="149.16999999999999"/>
    <n v="11"/>
    <n v="4.38"/>
    <n v="14.46"/>
    <n v="0"/>
    <n v="0"/>
    <n v="179.01"/>
    <n v="98.46"/>
    <s v="Profit"/>
    <x v="0"/>
    <n v="1"/>
    <n v="23"/>
    <s v="0-15"/>
    <s v="Yes"/>
    <n v="3"/>
    <s v="At Risk"/>
    <n v="1"/>
  </r>
  <r>
    <n v="100706"/>
    <d v="2025-12-02T00:00:00"/>
    <n v="1041"/>
    <x v="0"/>
    <x v="0"/>
    <x v="1"/>
    <x v="3"/>
    <x v="0"/>
    <s v="Wallet"/>
    <n v="29.1"/>
    <n v="12.91"/>
    <x v="4"/>
    <n v="18.78"/>
    <n v="356.9"/>
    <n v="210.83"/>
    <n v="9.4700000000000006"/>
    <n v="4.51"/>
    <n v="0"/>
    <n v="199.65"/>
    <n v="0"/>
    <n v="424.46"/>
    <n v="-67.56"/>
    <s v="Loss"/>
    <x v="2"/>
    <n v="2"/>
    <n v="0"/>
    <s v="0-15"/>
    <s v="No"/>
    <n v="1"/>
    <s v="At Risk"/>
    <n v="0"/>
  </r>
  <r>
    <n v="100707"/>
    <d v="2025-11-17T00:00:00"/>
    <n v="1084"/>
    <x v="2"/>
    <x v="12"/>
    <x v="4"/>
    <x v="1"/>
    <x v="0"/>
    <s v="UPI"/>
    <n v="24.22"/>
    <n v="14.23"/>
    <x v="2"/>
    <n v="34.46"/>
    <n v="310.19"/>
    <n v="190.96"/>
    <n v="2.7"/>
    <n v="2.41"/>
    <n v="1.98"/>
    <n v="0"/>
    <n v="0"/>
    <n v="198.05"/>
    <n v="112.14"/>
    <s v="Profit"/>
    <x v="0"/>
    <n v="14"/>
    <n v="3"/>
    <s v="0-15"/>
    <s v="No"/>
    <n v="0"/>
    <s v="Healthy"/>
    <n v="0"/>
  </r>
  <r>
    <n v="100708"/>
    <d v="2025-10-11T00:00:00"/>
    <n v="1126"/>
    <x v="1"/>
    <x v="2"/>
    <x v="3"/>
    <x v="0"/>
    <x v="2"/>
    <s v="UPI"/>
    <n v="28.98"/>
    <n v="20.12"/>
    <x v="3"/>
    <n v="0"/>
    <n v="583.08000000000004"/>
    <n v="202.83"/>
    <n v="11.79"/>
    <n v="4.08"/>
    <n v="9.8699999999999992"/>
    <n v="0"/>
    <n v="0"/>
    <n v="228.57"/>
    <n v="354.51"/>
    <s v="Profit"/>
    <x v="0"/>
    <n v="28"/>
    <n v="5"/>
    <s v="16-30"/>
    <s v="Yes"/>
    <n v="3"/>
    <s v="At Risk"/>
    <n v="1"/>
  </r>
  <r>
    <n v="100709"/>
    <d v="2025-11-08T00:00:00"/>
    <n v="1062"/>
    <x v="0"/>
    <x v="11"/>
    <x v="1"/>
    <x v="1"/>
    <x v="0"/>
    <s v="UPI"/>
    <n v="28.67"/>
    <n v="14.73"/>
    <x v="3"/>
    <n v="0"/>
    <n v="422.31"/>
    <n v="202.7"/>
    <n v="12.67"/>
    <n v="2.96"/>
    <n v="4.7300000000000004"/>
    <n v="0"/>
    <n v="0"/>
    <n v="223.06"/>
    <n v="199.25"/>
    <s v="Profit"/>
    <x v="0"/>
    <n v="0"/>
    <n v="8"/>
    <s v="0-15"/>
    <s v="No"/>
    <n v="0"/>
    <s v="Healthy"/>
    <n v="0"/>
  </r>
  <r>
    <n v="100710"/>
    <d v="2025-12-16T00:00:00"/>
    <n v="1108"/>
    <x v="2"/>
    <x v="5"/>
    <x v="4"/>
    <x v="2"/>
    <x v="0"/>
    <s v="Card"/>
    <n v="25.75"/>
    <n v="19.38"/>
    <x v="4"/>
    <n v="24.95"/>
    <n v="474.09"/>
    <n v="166.57"/>
    <n v="11.71"/>
    <n v="7.49"/>
    <n v="6.37"/>
    <n v="374.19"/>
    <n v="0"/>
    <n v="566.33000000000004"/>
    <n v="-92.24"/>
    <s v="Loss"/>
    <x v="1"/>
    <n v="15"/>
    <n v="15"/>
    <s v="0-15"/>
    <s v="Yes"/>
    <n v="3"/>
    <s v="At Risk"/>
    <n v="1"/>
  </r>
  <r>
    <n v="100711"/>
    <d v="2025-12-02T00:00:00"/>
    <n v="1080"/>
    <x v="0"/>
    <x v="1"/>
    <x v="2"/>
    <x v="1"/>
    <x v="0"/>
    <s v="Wallet"/>
    <n v="31.93"/>
    <n v="18.63"/>
    <x v="2"/>
    <n v="59.49"/>
    <n v="535.37"/>
    <n v="229.71"/>
    <n v="7.13"/>
    <n v="7.14"/>
    <n v="7.94"/>
    <n v="0"/>
    <n v="0"/>
    <n v="251.92"/>
    <n v="283.45"/>
    <s v="Profit"/>
    <x v="0"/>
    <n v="4"/>
    <n v="8"/>
    <s v="0-15"/>
    <s v="No"/>
    <n v="0"/>
    <s v="Healthy"/>
    <n v="0"/>
  </r>
  <r>
    <n v="100712"/>
    <d v="2025-12-13T00:00:00"/>
    <n v="1086"/>
    <x v="1"/>
    <x v="2"/>
    <x v="3"/>
    <x v="1"/>
    <x v="2"/>
    <s v="Fleet_Invoice"/>
    <n v="42.83"/>
    <n v="16.350000000000001"/>
    <x v="4"/>
    <n v="35.01"/>
    <n v="665.26"/>
    <n v="282"/>
    <n v="11.97"/>
    <n v="2.8"/>
    <n v="2.93"/>
    <n v="418.35"/>
    <n v="10.38"/>
    <n v="728.43"/>
    <n v="-63.17"/>
    <s v="Loss"/>
    <x v="2"/>
    <n v="2"/>
    <n v="14"/>
    <s v="0-15"/>
    <s v="No"/>
    <n v="1"/>
    <s v="At Risk"/>
    <n v="0"/>
  </r>
  <r>
    <n v="100713"/>
    <d v="2025-12-20T00:00:00"/>
    <n v="1047"/>
    <x v="0"/>
    <x v="11"/>
    <x v="4"/>
    <x v="3"/>
    <x v="2"/>
    <s v="UPI"/>
    <n v="17.399999999999999"/>
    <n v="11.77"/>
    <x v="2"/>
    <n v="20.48"/>
    <n v="184.32"/>
    <n v="93.96"/>
    <n v="10.029999999999999"/>
    <n v="1.43"/>
    <n v="11.87"/>
    <n v="0"/>
    <n v="0"/>
    <n v="117.29"/>
    <n v="67.03"/>
    <s v="Profit"/>
    <x v="0"/>
    <n v="11"/>
    <n v="37"/>
    <s v="0-15"/>
    <s v="Yes"/>
    <n v="4"/>
    <s v="At Risk"/>
    <n v="1"/>
  </r>
  <r>
    <n v="100714"/>
    <d v="2025-11-11T00:00:00"/>
    <n v="1066"/>
    <x v="1"/>
    <x v="2"/>
    <x v="3"/>
    <x v="1"/>
    <x v="0"/>
    <s v="Card"/>
    <n v="43.98"/>
    <n v="15.29"/>
    <x v="0"/>
    <n v="100.87"/>
    <n v="571.58000000000004"/>
    <n v="355.37"/>
    <n v="6.65"/>
    <n v="10.09"/>
    <n v="7.58"/>
    <n v="0"/>
    <n v="0"/>
    <n v="379.69"/>
    <n v="191.89"/>
    <s v="Profit"/>
    <x v="0"/>
    <n v="21"/>
    <n v="5"/>
    <s v="16-30"/>
    <s v="Yes"/>
    <n v="3"/>
    <s v="At Risk"/>
    <n v="1"/>
  </r>
  <r>
    <n v="100715"/>
    <d v="2025-12-04T00:00:00"/>
    <n v="1049"/>
    <x v="2"/>
    <x v="5"/>
    <x v="4"/>
    <x v="2"/>
    <x v="2"/>
    <s v="Wallet"/>
    <n v="34.97"/>
    <n v="17.96"/>
    <x v="3"/>
    <n v="0"/>
    <n v="628.05999999999995"/>
    <n v="229.6"/>
    <n v="12.58"/>
    <n v="7.54"/>
    <n v="9.49"/>
    <n v="0"/>
    <n v="0"/>
    <n v="259.20999999999998"/>
    <n v="368.85"/>
    <s v="Profit"/>
    <x v="0"/>
    <n v="0"/>
    <n v="9"/>
    <s v="0-15"/>
    <s v="No"/>
    <n v="0"/>
    <s v="Healthy"/>
    <n v="0"/>
  </r>
  <r>
    <n v="100716"/>
    <d v="2025-11-13T00:00:00"/>
    <n v="1068"/>
    <x v="3"/>
    <x v="14"/>
    <x v="4"/>
    <x v="1"/>
    <x v="0"/>
    <s v="Wallet"/>
    <n v="25.46"/>
    <n v="16.829999999999998"/>
    <x v="4"/>
    <n v="21.42"/>
    <n v="407.07"/>
    <n v="153.22"/>
    <n v="5.63"/>
    <n v="5.14"/>
    <n v="7.31"/>
    <n v="0"/>
    <n v="0"/>
    <n v="171.3"/>
    <n v="235.77"/>
    <s v="Profit"/>
    <x v="0"/>
    <n v="4"/>
    <n v="0"/>
    <s v="0-15"/>
    <s v="No"/>
    <n v="0"/>
    <s v="Healthy"/>
    <n v="0"/>
  </r>
  <r>
    <n v="100717"/>
    <d v="2025-12-15T00:00:00"/>
    <n v="1022"/>
    <x v="0"/>
    <x v="1"/>
    <x v="4"/>
    <x v="2"/>
    <x v="1"/>
    <s v="Card"/>
    <n v="24.46"/>
    <n v="17.489999999999998"/>
    <x v="2"/>
    <n v="42.78"/>
    <n v="385.03"/>
    <n v="181.72"/>
    <n v="8.6"/>
    <n v="6.42"/>
    <n v="0"/>
    <n v="0"/>
    <n v="0"/>
    <n v="196.74"/>
    <n v="188.29"/>
    <s v="Profit"/>
    <x v="0"/>
    <n v="2"/>
    <n v="19"/>
    <s v="0-15"/>
    <s v="Yes"/>
    <n v="1"/>
    <s v="At Risk"/>
    <n v="1"/>
  </r>
  <r>
    <n v="100718"/>
    <d v="2025-12-30T00:00:00"/>
    <n v="1042"/>
    <x v="1"/>
    <x v="13"/>
    <x v="2"/>
    <x v="1"/>
    <x v="0"/>
    <s v="UPI"/>
    <n v="34.9"/>
    <n v="16.260000000000002"/>
    <x v="1"/>
    <n v="113.49"/>
    <n v="453.98"/>
    <n v="215.84"/>
    <n v="11.31"/>
    <n v="3.97"/>
    <n v="3.91"/>
    <n v="0"/>
    <n v="0"/>
    <n v="235.03"/>
    <n v="218.95"/>
    <s v="Profit"/>
    <x v="0"/>
    <n v="0"/>
    <n v="12"/>
    <s v="0-15"/>
    <s v="No"/>
    <n v="1"/>
    <s v="Healthy"/>
    <n v="0"/>
  </r>
  <r>
    <n v="100719"/>
    <d v="2025-12-03T00:00:00"/>
    <n v="1085"/>
    <x v="3"/>
    <x v="14"/>
    <x v="4"/>
    <x v="3"/>
    <x v="2"/>
    <s v="UPI"/>
    <n v="20.239999999999998"/>
    <n v="13.28"/>
    <x v="2"/>
    <n v="26.88"/>
    <n v="241.91"/>
    <n v="114.95"/>
    <n v="7.38"/>
    <n v="1.88"/>
    <n v="0"/>
    <n v="95.76"/>
    <n v="11.74"/>
    <n v="231.71"/>
    <n v="10.199999999999999"/>
    <s v="Profit"/>
    <x v="1"/>
    <n v="2"/>
    <n v="1"/>
    <s v="0-15"/>
    <s v="Yes"/>
    <n v="2"/>
    <s v="At Risk"/>
    <n v="1"/>
  </r>
  <r>
    <n v="100720"/>
    <d v="2025-10-05T00:00:00"/>
    <n v="1008"/>
    <x v="0"/>
    <x v="1"/>
    <x v="0"/>
    <x v="2"/>
    <x v="2"/>
    <s v="UPI"/>
    <n v="26.09"/>
    <n v="16.89"/>
    <x v="4"/>
    <n v="22.03"/>
    <n v="418.63"/>
    <n v="160.5"/>
    <n v="13.26"/>
    <n v="3.08"/>
    <n v="3.59"/>
    <n v="0"/>
    <n v="0"/>
    <n v="180.43"/>
    <n v="238.2"/>
    <s v="Profit"/>
    <x v="0"/>
    <n v="7"/>
    <n v="7"/>
    <s v="0-15"/>
    <s v="No"/>
    <n v="0"/>
    <s v="Healthy"/>
    <n v="0"/>
  </r>
  <r>
    <n v="100721"/>
    <d v="2025-12-09T00:00:00"/>
    <n v="1037"/>
    <x v="3"/>
    <x v="15"/>
    <x v="3"/>
    <x v="3"/>
    <x v="2"/>
    <s v="Fleet_Invoice"/>
    <n v="22.36"/>
    <n v="12.55"/>
    <x v="2"/>
    <n v="28.06"/>
    <n v="252.56"/>
    <n v="151.82"/>
    <n v="7.37"/>
    <n v="1.1200000000000001"/>
    <n v="11.78"/>
    <n v="0"/>
    <n v="0"/>
    <n v="172.09"/>
    <n v="80.47"/>
    <s v="Profit"/>
    <x v="0"/>
    <n v="13"/>
    <n v="12"/>
    <s v="0-15"/>
    <s v="No"/>
    <n v="0"/>
    <s v="Healthy"/>
    <n v="0"/>
  </r>
  <r>
    <n v="100722"/>
    <d v="2025-11-01T00:00:00"/>
    <n v="1114"/>
    <x v="0"/>
    <x v="0"/>
    <x v="0"/>
    <x v="3"/>
    <x v="0"/>
    <s v="Card"/>
    <n v="8.6300000000000008"/>
    <n v="12.56"/>
    <x v="3"/>
    <n v="0"/>
    <n v="108.39"/>
    <n v="66.849999999999994"/>
    <n v="5.49"/>
    <n v="1.63"/>
    <n v="1.1599999999999999"/>
    <n v="0"/>
    <n v="0"/>
    <n v="75.13"/>
    <n v="33.26"/>
    <s v="Profit"/>
    <x v="0"/>
    <n v="21"/>
    <n v="16"/>
    <s v="16-30"/>
    <s v="Yes"/>
    <n v="2"/>
    <s v="At Risk"/>
    <n v="1"/>
  </r>
  <r>
    <n v="100723"/>
    <d v="2025-12-20T00:00:00"/>
    <n v="1100"/>
    <x v="1"/>
    <x v="4"/>
    <x v="4"/>
    <x v="2"/>
    <x v="0"/>
    <s v="Card"/>
    <n v="32.28"/>
    <n v="18.03"/>
    <x v="2"/>
    <n v="58.2"/>
    <n v="523.80999999999995"/>
    <n v="270.14"/>
    <n v="3.32"/>
    <n v="8.73"/>
    <n v="10.87"/>
    <n v="0"/>
    <n v="0"/>
    <n v="293.06"/>
    <n v="230.75"/>
    <s v="Profit"/>
    <x v="0"/>
    <n v="17"/>
    <n v="15"/>
    <s v="16-30"/>
    <s v="No"/>
    <n v="2"/>
    <s v="Healthy"/>
    <n v="0"/>
  </r>
  <r>
    <n v="100724"/>
    <d v="2025-11-28T00:00:00"/>
    <n v="1092"/>
    <x v="2"/>
    <x v="5"/>
    <x v="1"/>
    <x v="3"/>
    <x v="1"/>
    <s v="Wallet"/>
    <n v="21.1"/>
    <n v="13.79"/>
    <x v="3"/>
    <n v="0"/>
    <n v="290.97000000000003"/>
    <n v="142.06"/>
    <n v="3.06"/>
    <n v="3.49"/>
    <n v="2.1800000000000002"/>
    <n v="0"/>
    <n v="0"/>
    <n v="150.79"/>
    <n v="140.18"/>
    <s v="Profit"/>
    <x v="0"/>
    <n v="32"/>
    <n v="5"/>
    <s v="30+"/>
    <s v="Yes"/>
    <n v="1"/>
    <s v="At Risk"/>
    <n v="1"/>
  </r>
  <r>
    <n v="100725"/>
    <d v="2025-12-07T00:00:00"/>
    <n v="1024"/>
    <x v="3"/>
    <x v="8"/>
    <x v="3"/>
    <x v="3"/>
    <x v="2"/>
    <s v="UPI"/>
    <n v="10.130000000000001"/>
    <n v="12.55"/>
    <x v="3"/>
    <n v="0"/>
    <n v="127.13"/>
    <n v="80.19"/>
    <n v="8.1300000000000008"/>
    <n v="0.89"/>
    <n v="6.79"/>
    <n v="0"/>
    <n v="0"/>
    <n v="96"/>
    <n v="31.13"/>
    <s v="Profit"/>
    <x v="0"/>
    <n v="7"/>
    <n v="12"/>
    <s v="0-15"/>
    <s v="No"/>
    <n v="0"/>
    <s v="Healthy"/>
    <n v="0"/>
  </r>
  <r>
    <n v="100726"/>
    <d v="2025-10-28T00:00:00"/>
    <n v="1082"/>
    <x v="2"/>
    <x v="10"/>
    <x v="3"/>
    <x v="3"/>
    <x v="1"/>
    <s v="Fleet_Invoice"/>
    <n v="7.95"/>
    <n v="14.45"/>
    <x v="4"/>
    <n v="5.74"/>
    <n v="109.14"/>
    <n v="54.01"/>
    <n v="11.02"/>
    <n v="0.46"/>
    <n v="4.91"/>
    <n v="0"/>
    <n v="0"/>
    <n v="70.400000000000006"/>
    <n v="38.74"/>
    <s v="Profit"/>
    <x v="0"/>
    <n v="7"/>
    <n v="29"/>
    <s v="0-15"/>
    <s v="Yes"/>
    <n v="2"/>
    <s v="At Risk"/>
    <n v="1"/>
  </r>
  <r>
    <n v="100727"/>
    <d v="2025-10-27T00:00:00"/>
    <n v="1001"/>
    <x v="3"/>
    <x v="8"/>
    <x v="3"/>
    <x v="3"/>
    <x v="0"/>
    <s v="Fleet_Invoice"/>
    <n v="25.69"/>
    <n v="12.51"/>
    <x v="3"/>
    <n v="0"/>
    <n v="321.38"/>
    <n v="195.48"/>
    <n v="13.95"/>
    <n v="1.29"/>
    <n v="3.1"/>
    <n v="0"/>
    <n v="0"/>
    <n v="213.82"/>
    <n v="107.56"/>
    <s v="Profit"/>
    <x v="0"/>
    <n v="11"/>
    <n v="6"/>
    <s v="0-15"/>
    <s v="No"/>
    <n v="0"/>
    <s v="Healthy"/>
    <n v="0"/>
  </r>
  <r>
    <n v="100728"/>
    <d v="2025-12-18T00:00:00"/>
    <n v="1049"/>
    <x v="3"/>
    <x v="15"/>
    <x v="1"/>
    <x v="2"/>
    <x v="2"/>
    <s v="UPI"/>
    <n v="20.49"/>
    <n v="17.670000000000002"/>
    <x v="3"/>
    <n v="0"/>
    <n v="362.06"/>
    <n v="160.6"/>
    <n v="5.94"/>
    <n v="2.5299999999999998"/>
    <n v="7.71"/>
    <n v="0"/>
    <n v="0"/>
    <n v="176.78"/>
    <n v="185.28"/>
    <s v="Profit"/>
    <x v="0"/>
    <n v="2"/>
    <n v="6"/>
    <s v="0-15"/>
    <s v="No"/>
    <n v="0"/>
    <s v="Healthy"/>
    <n v="0"/>
  </r>
  <r>
    <n v="100729"/>
    <d v="2025-10-25T00:00:00"/>
    <n v="1087"/>
    <x v="1"/>
    <x v="3"/>
    <x v="4"/>
    <x v="0"/>
    <x v="1"/>
    <s v="Card"/>
    <n v="42.67"/>
    <n v="18.48"/>
    <x v="2"/>
    <n v="78.849999999999994"/>
    <n v="709.69"/>
    <n v="303.11"/>
    <n v="4.63"/>
    <n v="11.83"/>
    <n v="10.23"/>
    <n v="0"/>
    <n v="0"/>
    <n v="329.8"/>
    <n v="379.89"/>
    <s v="Profit"/>
    <x v="0"/>
    <n v="1"/>
    <n v="10"/>
    <s v="0-15"/>
    <s v="No"/>
    <n v="0"/>
    <s v="Healthy"/>
    <n v="0"/>
  </r>
  <r>
    <n v="100730"/>
    <d v="2025-11-10T00:00:00"/>
    <n v="1133"/>
    <x v="0"/>
    <x v="6"/>
    <x v="3"/>
    <x v="0"/>
    <x v="1"/>
    <s v="UPI"/>
    <n v="30.48"/>
    <n v="19.510000000000002"/>
    <x v="3"/>
    <n v="0"/>
    <n v="594.66"/>
    <n v="225.36"/>
    <n v="5.51"/>
    <n v="4.16"/>
    <n v="9.0399999999999991"/>
    <n v="0"/>
    <n v="0"/>
    <n v="244.07"/>
    <n v="350.59"/>
    <s v="Profit"/>
    <x v="0"/>
    <n v="10"/>
    <n v="1"/>
    <s v="0-15"/>
    <s v="No"/>
    <n v="1"/>
    <s v="Healthy"/>
    <n v="0"/>
  </r>
  <r>
    <n v="100731"/>
    <d v="2025-11-13T00:00:00"/>
    <n v="1005"/>
    <x v="0"/>
    <x v="11"/>
    <x v="0"/>
    <x v="1"/>
    <x v="0"/>
    <s v="UPI"/>
    <n v="27.68"/>
    <n v="14.27"/>
    <x v="3"/>
    <n v="0"/>
    <n v="394.99"/>
    <n v="196.38"/>
    <n v="3.52"/>
    <n v="2.76"/>
    <n v="9.0500000000000007"/>
    <n v="0"/>
    <n v="0"/>
    <n v="211.71"/>
    <n v="183.28"/>
    <s v="Profit"/>
    <x v="0"/>
    <n v="1"/>
    <n v="3"/>
    <s v="0-15"/>
    <s v="No"/>
    <n v="1"/>
    <s v="Healthy"/>
    <n v="0"/>
  </r>
  <r>
    <n v="100732"/>
    <d v="2025-11-24T00:00:00"/>
    <n v="1070"/>
    <x v="1"/>
    <x v="4"/>
    <x v="1"/>
    <x v="1"/>
    <x v="2"/>
    <s v="Fleet_Invoice"/>
    <n v="34.369999999999997"/>
    <n v="15.91"/>
    <x v="0"/>
    <n v="82.02"/>
    <n v="464.81"/>
    <n v="280.77999999999997"/>
    <n v="9.84"/>
    <n v="2.19"/>
    <n v="0.14000000000000001"/>
    <n v="0"/>
    <n v="0"/>
    <n v="292.95"/>
    <n v="171.86"/>
    <s v="Profit"/>
    <x v="0"/>
    <n v="13"/>
    <n v="11"/>
    <s v="0-15"/>
    <s v="No"/>
    <n v="1"/>
    <s v="Healthy"/>
    <n v="0"/>
  </r>
  <r>
    <n v="100733"/>
    <d v="2025-11-24T00:00:00"/>
    <n v="1061"/>
    <x v="1"/>
    <x v="13"/>
    <x v="4"/>
    <x v="2"/>
    <x v="0"/>
    <s v="UPI"/>
    <n v="26.19"/>
    <n v="17.48"/>
    <x v="2"/>
    <n v="45.78"/>
    <n v="412.02"/>
    <n v="218.26"/>
    <n v="4.93"/>
    <n v="3.2"/>
    <n v="10.130000000000001"/>
    <n v="0"/>
    <n v="0"/>
    <n v="236.52"/>
    <n v="175.5"/>
    <s v="Profit"/>
    <x v="0"/>
    <n v="3"/>
    <n v="8"/>
    <s v="0-15"/>
    <s v="No"/>
    <n v="0"/>
    <s v="Healthy"/>
    <n v="0"/>
  </r>
  <r>
    <n v="100734"/>
    <d v="2025-11-20T00:00:00"/>
    <n v="1071"/>
    <x v="3"/>
    <x v="14"/>
    <x v="1"/>
    <x v="1"/>
    <x v="0"/>
    <s v="Wallet"/>
    <n v="24.28"/>
    <n v="15.36"/>
    <x v="3"/>
    <n v="0"/>
    <n v="372.94"/>
    <n v="173.94"/>
    <n v="9.0500000000000007"/>
    <n v="4.4800000000000004"/>
    <n v="8.08"/>
    <n v="0"/>
    <n v="0"/>
    <n v="195.55"/>
    <n v="177.39"/>
    <s v="Profit"/>
    <x v="0"/>
    <n v="5"/>
    <n v="7"/>
    <s v="0-15"/>
    <s v="No"/>
    <n v="0"/>
    <s v="Healthy"/>
    <n v="0"/>
  </r>
  <r>
    <n v="100735"/>
    <d v="2025-10-11T00:00:00"/>
    <n v="1150"/>
    <x v="0"/>
    <x v="11"/>
    <x v="4"/>
    <x v="3"/>
    <x v="1"/>
    <s v="Wallet"/>
    <n v="20.27"/>
    <n v="12.46"/>
    <x v="4"/>
    <n v="12.63"/>
    <n v="239.93"/>
    <n v="132.97999999999999"/>
    <n v="4.22"/>
    <n v="3.03"/>
    <n v="12.56"/>
    <n v="0"/>
    <n v="0"/>
    <n v="152.79"/>
    <n v="87.14"/>
    <s v="Profit"/>
    <x v="0"/>
    <n v="11"/>
    <n v="24"/>
    <s v="0-15"/>
    <s v="Yes"/>
    <n v="3"/>
    <s v="At Risk"/>
    <n v="1"/>
  </r>
  <r>
    <n v="100736"/>
    <d v="2025-10-01T00:00:00"/>
    <n v="1061"/>
    <x v="0"/>
    <x v="6"/>
    <x v="0"/>
    <x v="1"/>
    <x v="2"/>
    <s v="Wallet"/>
    <n v="33.049999999999997"/>
    <n v="15.26"/>
    <x v="3"/>
    <n v="0"/>
    <n v="504.34"/>
    <n v="202.42"/>
    <n v="10.47"/>
    <n v="6.05"/>
    <n v="3.23"/>
    <n v="0"/>
    <n v="0"/>
    <n v="222.17"/>
    <n v="282.17"/>
    <s v="Profit"/>
    <x v="0"/>
    <n v="1"/>
    <n v="15"/>
    <s v="0-15"/>
    <s v="No"/>
    <n v="0"/>
    <s v="Healthy"/>
    <n v="0"/>
  </r>
  <r>
    <n v="100737"/>
    <d v="2025-12-27T00:00:00"/>
    <n v="1115"/>
    <x v="0"/>
    <x v="0"/>
    <x v="1"/>
    <x v="0"/>
    <x v="2"/>
    <s v="UPI"/>
    <n v="34.81"/>
    <n v="19.09"/>
    <x v="2"/>
    <n v="66.45"/>
    <n v="598.07000000000005"/>
    <n v="266.57"/>
    <n v="9.66"/>
    <n v="4.6500000000000004"/>
    <n v="6.79"/>
    <n v="0"/>
    <n v="0"/>
    <n v="287.67"/>
    <n v="310.39999999999998"/>
    <s v="Profit"/>
    <x v="0"/>
    <n v="24"/>
    <n v="0"/>
    <s v="16-30"/>
    <s v="Yes"/>
    <n v="1"/>
    <s v="At Risk"/>
    <n v="1"/>
  </r>
  <r>
    <n v="100738"/>
    <d v="2025-12-26T00:00:00"/>
    <n v="1051"/>
    <x v="3"/>
    <x v="8"/>
    <x v="4"/>
    <x v="2"/>
    <x v="0"/>
    <s v="UPI"/>
    <n v="6.87"/>
    <n v="17.25"/>
    <x v="3"/>
    <n v="0"/>
    <n v="118.51"/>
    <n v="42.82"/>
    <n v="3.37"/>
    <n v="0.83"/>
    <n v="2.11"/>
    <n v="106.82"/>
    <n v="0"/>
    <n v="155.94999999999999"/>
    <n v="-37.44"/>
    <s v="Loss"/>
    <x v="1"/>
    <n v="0"/>
    <n v="4"/>
    <s v="0-15"/>
    <s v="Yes"/>
    <n v="3"/>
    <s v="At Risk"/>
    <n v="1"/>
  </r>
  <r>
    <n v="100739"/>
    <d v="2025-10-02T00:00:00"/>
    <n v="1081"/>
    <x v="0"/>
    <x v="0"/>
    <x v="1"/>
    <x v="1"/>
    <x v="0"/>
    <s v="UPI"/>
    <n v="18.43"/>
    <n v="14.07"/>
    <x v="4"/>
    <n v="12.97"/>
    <n v="246.34"/>
    <n v="108.18"/>
    <n v="9.35"/>
    <n v="1.82"/>
    <n v="5.48"/>
    <n v="0"/>
    <n v="0"/>
    <n v="124.83"/>
    <n v="121.51"/>
    <s v="Profit"/>
    <x v="0"/>
    <n v="21"/>
    <n v="2"/>
    <s v="16-30"/>
    <s v="Yes"/>
    <n v="4"/>
    <s v="At Risk"/>
    <n v="1"/>
  </r>
  <r>
    <n v="100740"/>
    <d v="2025-10-02T00:00:00"/>
    <n v="1011"/>
    <x v="1"/>
    <x v="4"/>
    <x v="2"/>
    <x v="1"/>
    <x v="2"/>
    <s v="Fleet_Invoice"/>
    <n v="21.68"/>
    <n v="14.69"/>
    <x v="4"/>
    <n v="15.92"/>
    <n v="302.56"/>
    <n v="129.97999999999999"/>
    <n v="5.01"/>
    <n v="1.27"/>
    <n v="8.5"/>
    <n v="0"/>
    <n v="0"/>
    <n v="144.76"/>
    <n v="157.80000000000001"/>
    <s v="Profit"/>
    <x v="0"/>
    <n v="10"/>
    <n v="17"/>
    <s v="0-15"/>
    <s v="Yes"/>
    <n v="1"/>
    <s v="At Risk"/>
    <n v="1"/>
  </r>
  <r>
    <n v="100741"/>
    <d v="2025-12-18T00:00:00"/>
    <n v="1077"/>
    <x v="2"/>
    <x v="10"/>
    <x v="2"/>
    <x v="3"/>
    <x v="2"/>
    <s v="Card"/>
    <n v="34.22"/>
    <n v="12.99"/>
    <x v="2"/>
    <n v="44.45"/>
    <n v="400.07"/>
    <n v="250.68"/>
    <n v="6.4"/>
    <n v="6.67"/>
    <n v="5.55"/>
    <n v="358.6"/>
    <n v="20.81"/>
    <n v="648.71"/>
    <n v="-248.64"/>
    <s v="Loss"/>
    <x v="1"/>
    <n v="9"/>
    <n v="3"/>
    <s v="0-15"/>
    <s v="Yes"/>
    <n v="1"/>
    <s v="At Risk"/>
    <n v="1"/>
  </r>
  <r>
    <n v="100742"/>
    <d v="2025-10-29T00:00:00"/>
    <n v="1025"/>
    <x v="3"/>
    <x v="8"/>
    <x v="3"/>
    <x v="0"/>
    <x v="0"/>
    <s v="Fleet_Invoice"/>
    <n v="20.52"/>
    <n v="18.23"/>
    <x v="4"/>
    <n v="18.7"/>
    <n v="355.38"/>
    <n v="157.12"/>
    <n v="5.36"/>
    <n v="1.5"/>
    <n v="11.3"/>
    <n v="0"/>
    <n v="0"/>
    <n v="175.28"/>
    <n v="180.1"/>
    <s v="Profit"/>
    <x v="0"/>
    <n v="11"/>
    <n v="6"/>
    <s v="0-15"/>
    <s v="No"/>
    <n v="0"/>
    <s v="Healthy"/>
    <n v="0"/>
  </r>
  <r>
    <n v="100743"/>
    <d v="2025-12-21T00:00:00"/>
    <n v="1044"/>
    <x v="1"/>
    <x v="3"/>
    <x v="4"/>
    <x v="1"/>
    <x v="0"/>
    <s v="UPI"/>
    <n v="24.5"/>
    <n v="15.16"/>
    <x v="4"/>
    <n v="18.57"/>
    <n v="352.85"/>
    <n v="209.76"/>
    <n v="7.18"/>
    <n v="2.6"/>
    <n v="8.33"/>
    <n v="0"/>
    <n v="0"/>
    <n v="227.87"/>
    <n v="124.98"/>
    <s v="Profit"/>
    <x v="0"/>
    <n v="3"/>
    <n v="5"/>
    <s v="0-15"/>
    <s v="No"/>
    <n v="0"/>
    <s v="Healthy"/>
    <n v="0"/>
  </r>
  <r>
    <n v="100744"/>
    <d v="2025-10-27T00:00:00"/>
    <n v="1085"/>
    <x v="0"/>
    <x v="1"/>
    <x v="0"/>
    <x v="0"/>
    <x v="0"/>
    <s v="Card"/>
    <n v="35.479999999999997"/>
    <n v="19.89"/>
    <x v="2"/>
    <n v="70.569999999999993"/>
    <n v="635.13"/>
    <n v="250.54"/>
    <n v="10.26"/>
    <n v="10.59"/>
    <n v="11.33"/>
    <n v="332.36"/>
    <n v="0"/>
    <n v="615.08000000000004"/>
    <n v="20.05"/>
    <s v="Profit"/>
    <x v="2"/>
    <n v="2"/>
    <n v="8"/>
    <s v="0-15"/>
    <s v="No"/>
    <n v="3"/>
    <s v="At Risk"/>
    <n v="0"/>
  </r>
  <r>
    <n v="100745"/>
    <d v="2025-11-20T00:00:00"/>
    <n v="1062"/>
    <x v="1"/>
    <x v="13"/>
    <x v="2"/>
    <x v="3"/>
    <x v="1"/>
    <s v="UPI"/>
    <n v="25.3"/>
    <n v="12.23"/>
    <x v="4"/>
    <n v="15.47"/>
    <n v="293.95"/>
    <n v="190.43"/>
    <n v="10.37"/>
    <n v="2.17"/>
    <n v="9.0399999999999991"/>
    <n v="0"/>
    <n v="0"/>
    <n v="212.01"/>
    <n v="81.94"/>
    <s v="Profit"/>
    <x v="0"/>
    <n v="38"/>
    <n v="4"/>
    <s v="30+"/>
    <s v="Yes"/>
    <n v="2"/>
    <s v="At Risk"/>
    <n v="1"/>
  </r>
  <r>
    <n v="100746"/>
    <d v="2025-12-25T00:00:00"/>
    <n v="1112"/>
    <x v="2"/>
    <x v="9"/>
    <x v="3"/>
    <x v="3"/>
    <x v="0"/>
    <s v="UPI"/>
    <n v="20.73"/>
    <n v="13"/>
    <x v="0"/>
    <n v="40.42"/>
    <n v="229.07"/>
    <n v="149.94999999999999"/>
    <n v="8.83"/>
    <n v="1.89"/>
    <n v="4.2300000000000004"/>
    <n v="0"/>
    <n v="0"/>
    <n v="164.9"/>
    <n v="64.17"/>
    <s v="Profit"/>
    <x v="0"/>
    <n v="12"/>
    <n v="1"/>
    <s v="0-15"/>
    <s v="No"/>
    <n v="1"/>
    <s v="Healthy"/>
    <n v="0"/>
  </r>
  <r>
    <n v="100747"/>
    <d v="2025-10-07T00:00:00"/>
    <n v="1148"/>
    <x v="0"/>
    <x v="0"/>
    <x v="0"/>
    <x v="2"/>
    <x v="0"/>
    <s v="UPI"/>
    <n v="22.14"/>
    <n v="17.34"/>
    <x v="2"/>
    <n v="38.39"/>
    <n v="345.52"/>
    <n v="187.51"/>
    <n v="7.85"/>
    <n v="2.69"/>
    <n v="2.91"/>
    <n v="148.57"/>
    <n v="0"/>
    <n v="349.53"/>
    <n v="-4.01"/>
    <s v="Loss"/>
    <x v="1"/>
    <n v="4"/>
    <n v="13"/>
    <s v="0-15"/>
    <s v="Yes"/>
    <n v="3"/>
    <s v="At Risk"/>
    <n v="1"/>
  </r>
  <r>
    <n v="100748"/>
    <d v="2025-12-11T00:00:00"/>
    <n v="1008"/>
    <x v="3"/>
    <x v="14"/>
    <x v="1"/>
    <x v="3"/>
    <x v="1"/>
    <s v="Card"/>
    <n v="20.79"/>
    <n v="13.74"/>
    <x v="4"/>
    <n v="14.28"/>
    <n v="271.37"/>
    <n v="159.69"/>
    <n v="2.73"/>
    <n v="4.28"/>
    <n v="1.1499999999999999"/>
    <n v="0"/>
    <n v="0"/>
    <n v="167.85"/>
    <n v="103.52"/>
    <s v="Profit"/>
    <x v="0"/>
    <n v="51"/>
    <n v="14"/>
    <s v="30+"/>
    <s v="Yes"/>
    <n v="3"/>
    <s v="At Risk"/>
    <n v="1"/>
  </r>
  <r>
    <n v="100749"/>
    <d v="2025-10-04T00:00:00"/>
    <n v="1021"/>
    <x v="0"/>
    <x v="11"/>
    <x v="1"/>
    <x v="1"/>
    <x v="2"/>
    <s v="Fleet_Invoice"/>
    <n v="30.31"/>
    <n v="15.97"/>
    <x v="3"/>
    <n v="0"/>
    <n v="484.05"/>
    <n v="255.62"/>
    <n v="10.87"/>
    <n v="1.94"/>
    <n v="8.8699999999999992"/>
    <n v="0"/>
    <n v="0"/>
    <n v="277.3"/>
    <n v="206.75"/>
    <s v="Profit"/>
    <x v="0"/>
    <n v="7"/>
    <n v="9"/>
    <s v="0-15"/>
    <s v="No"/>
    <n v="0"/>
    <s v="Healthy"/>
    <n v="0"/>
  </r>
  <r>
    <n v="100750"/>
    <d v="2025-10-26T00:00:00"/>
    <n v="1059"/>
    <x v="0"/>
    <x v="1"/>
    <x v="4"/>
    <x v="1"/>
    <x v="1"/>
    <s v="UPI"/>
    <n v="40.26"/>
    <n v="15.48"/>
    <x v="0"/>
    <n v="93.48"/>
    <n v="529.74"/>
    <n v="255.94"/>
    <n v="7.82"/>
    <n v="4.3600000000000003"/>
    <n v="9.3699999999999992"/>
    <n v="0"/>
    <n v="0"/>
    <n v="277.49"/>
    <n v="252.25"/>
    <s v="Profit"/>
    <x v="0"/>
    <n v="13"/>
    <n v="7"/>
    <s v="0-15"/>
    <s v="No"/>
    <n v="0"/>
    <s v="Healthy"/>
    <n v="0"/>
  </r>
  <r>
    <n v="100751"/>
    <d v="2025-11-08T00:00:00"/>
    <n v="1117"/>
    <x v="0"/>
    <x v="6"/>
    <x v="3"/>
    <x v="1"/>
    <x v="0"/>
    <s v="UPI"/>
    <n v="24.19"/>
    <n v="15.17"/>
    <x v="0"/>
    <n v="55.04"/>
    <n v="311.92"/>
    <n v="183.83"/>
    <n v="11.85"/>
    <n v="2.57"/>
    <n v="15.15"/>
    <n v="289.07"/>
    <n v="0"/>
    <n v="502.47"/>
    <n v="-190.55"/>
    <s v="Loss"/>
    <x v="1"/>
    <n v="9"/>
    <n v="4"/>
    <s v="0-15"/>
    <s v="Yes"/>
    <n v="2"/>
    <s v="At Risk"/>
    <n v="1"/>
  </r>
  <r>
    <n v="100752"/>
    <d v="2025-11-30T00:00:00"/>
    <n v="1113"/>
    <x v="3"/>
    <x v="14"/>
    <x v="3"/>
    <x v="1"/>
    <x v="0"/>
    <s v="UPI"/>
    <n v="34.79"/>
    <n v="16.89"/>
    <x v="4"/>
    <n v="29.38"/>
    <n v="558.22"/>
    <n v="233.73"/>
    <n v="6.75"/>
    <n v="4.1100000000000003"/>
    <n v="4.9400000000000004"/>
    <n v="0"/>
    <n v="0"/>
    <n v="249.53"/>
    <n v="308.69"/>
    <s v="Profit"/>
    <x v="0"/>
    <n v="3"/>
    <n v="2"/>
    <s v="0-15"/>
    <s v="No"/>
    <n v="0"/>
    <s v="Healthy"/>
    <n v="0"/>
  </r>
  <r>
    <n v="100753"/>
    <d v="2025-10-31T00:00:00"/>
    <n v="1051"/>
    <x v="0"/>
    <x v="0"/>
    <x v="0"/>
    <x v="2"/>
    <x v="2"/>
    <s v="UPI"/>
    <n v="36.79"/>
    <n v="18.010000000000002"/>
    <x v="2"/>
    <n v="66.260000000000005"/>
    <n v="596.33000000000004"/>
    <n v="248.87"/>
    <n v="3.38"/>
    <n v="4.6399999999999997"/>
    <n v="7.28"/>
    <n v="0"/>
    <n v="0"/>
    <n v="264.17"/>
    <n v="332.16"/>
    <s v="Profit"/>
    <x v="0"/>
    <n v="37"/>
    <n v="6"/>
    <s v="30+"/>
    <s v="Yes"/>
    <n v="1"/>
    <s v="At Risk"/>
    <n v="1"/>
  </r>
  <r>
    <n v="100754"/>
    <d v="2025-12-02T00:00:00"/>
    <n v="1024"/>
    <x v="0"/>
    <x v="1"/>
    <x v="3"/>
    <x v="3"/>
    <x v="1"/>
    <s v="Card"/>
    <n v="26.51"/>
    <n v="13.75"/>
    <x v="4"/>
    <n v="18.23"/>
    <n v="346.28"/>
    <n v="190.29"/>
    <n v="4.4400000000000004"/>
    <n v="5.47"/>
    <n v="6.33"/>
    <n v="0"/>
    <n v="0"/>
    <n v="206.53"/>
    <n v="139.75"/>
    <s v="Profit"/>
    <x v="0"/>
    <n v="3"/>
    <n v="34"/>
    <s v="0-15"/>
    <s v="Yes"/>
    <n v="3"/>
    <s v="At Risk"/>
    <n v="1"/>
  </r>
  <r>
    <n v="100755"/>
    <d v="2025-11-24T00:00:00"/>
    <n v="1085"/>
    <x v="0"/>
    <x v="6"/>
    <x v="0"/>
    <x v="0"/>
    <x v="0"/>
    <s v="Wallet"/>
    <n v="26.88"/>
    <n v="20.62"/>
    <x v="3"/>
    <n v="0"/>
    <n v="554.27"/>
    <n v="176.62"/>
    <n v="2.21"/>
    <n v="6.65"/>
    <n v="8.48"/>
    <n v="0"/>
    <n v="0"/>
    <n v="193.96"/>
    <n v="360.31"/>
    <s v="Profit"/>
    <x v="0"/>
    <n v="10"/>
    <n v="1"/>
    <s v="0-15"/>
    <s v="No"/>
    <n v="0"/>
    <s v="Healthy"/>
    <n v="0"/>
  </r>
  <r>
    <n v="100756"/>
    <d v="2025-10-16T00:00:00"/>
    <n v="1032"/>
    <x v="0"/>
    <x v="6"/>
    <x v="3"/>
    <x v="1"/>
    <x v="2"/>
    <s v="UPI"/>
    <n v="37.58"/>
    <n v="15.56"/>
    <x v="1"/>
    <n v="116.95"/>
    <n v="467.79"/>
    <n v="254.06"/>
    <n v="6.65"/>
    <n v="4.09"/>
    <n v="4.05"/>
    <n v="0"/>
    <n v="0"/>
    <n v="268.85000000000002"/>
    <n v="198.94"/>
    <s v="Profit"/>
    <x v="0"/>
    <n v="12"/>
    <n v="3"/>
    <s v="0-15"/>
    <s v="No"/>
    <n v="0"/>
    <s v="Healthy"/>
    <n v="0"/>
  </r>
  <r>
    <n v="100757"/>
    <d v="2025-11-27T00:00:00"/>
    <n v="1109"/>
    <x v="0"/>
    <x v="11"/>
    <x v="3"/>
    <x v="0"/>
    <x v="0"/>
    <s v="UPI"/>
    <n v="28.31"/>
    <n v="18.93"/>
    <x v="0"/>
    <n v="80.39"/>
    <n v="455.52"/>
    <n v="191.73"/>
    <n v="12.79"/>
    <n v="3.75"/>
    <n v="4.6100000000000003"/>
    <n v="0"/>
    <n v="0"/>
    <n v="212.88"/>
    <n v="242.64"/>
    <s v="Profit"/>
    <x v="0"/>
    <n v="11"/>
    <n v="4"/>
    <s v="0-15"/>
    <s v="No"/>
    <n v="0"/>
    <s v="Healthy"/>
    <n v="0"/>
  </r>
  <r>
    <n v="100758"/>
    <d v="2025-11-29T00:00:00"/>
    <n v="1142"/>
    <x v="2"/>
    <x v="5"/>
    <x v="4"/>
    <x v="2"/>
    <x v="1"/>
    <s v="Wallet"/>
    <n v="28.83"/>
    <n v="17.71"/>
    <x v="2"/>
    <n v="51.06"/>
    <n v="459.52"/>
    <n v="233.65"/>
    <n v="9.73"/>
    <n v="6.13"/>
    <n v="2.4300000000000002"/>
    <n v="0"/>
    <n v="0"/>
    <n v="251.94"/>
    <n v="207.58"/>
    <s v="Profit"/>
    <x v="0"/>
    <n v="24"/>
    <n v="12"/>
    <s v="16-30"/>
    <s v="Yes"/>
    <n v="3"/>
    <s v="At Risk"/>
    <n v="1"/>
  </r>
  <r>
    <n v="100759"/>
    <d v="2025-11-16T00:00:00"/>
    <n v="1072"/>
    <x v="1"/>
    <x v="3"/>
    <x v="1"/>
    <x v="3"/>
    <x v="0"/>
    <s v="Card"/>
    <n v="23.93"/>
    <n v="13.41"/>
    <x v="3"/>
    <n v="0"/>
    <n v="320.89999999999998"/>
    <n v="168.32"/>
    <n v="6.49"/>
    <n v="4.8099999999999996"/>
    <n v="7.18"/>
    <n v="0"/>
    <n v="0"/>
    <n v="186.8"/>
    <n v="134.1"/>
    <s v="Profit"/>
    <x v="0"/>
    <n v="3"/>
    <n v="5"/>
    <s v="0-15"/>
    <s v="No"/>
    <n v="1"/>
    <s v="Healthy"/>
    <n v="0"/>
  </r>
  <r>
    <n v="100760"/>
    <d v="2025-12-26T00:00:00"/>
    <n v="1056"/>
    <x v="3"/>
    <x v="14"/>
    <x v="3"/>
    <x v="3"/>
    <x v="0"/>
    <s v="Wallet"/>
    <n v="34.82"/>
    <n v="12.74"/>
    <x v="3"/>
    <n v="0"/>
    <n v="443.61"/>
    <n v="333.63"/>
    <n v="9.07"/>
    <n v="5.32"/>
    <n v="4.3899999999999997"/>
    <n v="0"/>
    <n v="0"/>
    <n v="352.41"/>
    <n v="91.2"/>
    <s v="Profit"/>
    <x v="0"/>
    <n v="14"/>
    <n v="0"/>
    <s v="0-15"/>
    <s v="No"/>
    <n v="0"/>
    <s v="Healthy"/>
    <n v="0"/>
  </r>
  <r>
    <n v="100761"/>
    <d v="2025-10-17T00:00:00"/>
    <n v="1026"/>
    <x v="1"/>
    <x v="3"/>
    <x v="1"/>
    <x v="1"/>
    <x v="1"/>
    <s v="Wallet"/>
    <n v="26.88"/>
    <n v="13.97"/>
    <x v="3"/>
    <n v="0"/>
    <n v="375.51"/>
    <n v="187.04"/>
    <n v="7.71"/>
    <n v="4.51"/>
    <n v="6.3"/>
    <n v="0"/>
    <n v="0"/>
    <n v="205.56"/>
    <n v="169.95"/>
    <s v="Profit"/>
    <x v="0"/>
    <n v="5"/>
    <n v="4"/>
    <s v="0-15"/>
    <s v="No"/>
    <n v="1"/>
    <s v="Healthy"/>
    <n v="0"/>
  </r>
  <r>
    <n v="100762"/>
    <d v="2025-11-09T00:00:00"/>
    <n v="1047"/>
    <x v="1"/>
    <x v="3"/>
    <x v="3"/>
    <x v="3"/>
    <x v="1"/>
    <s v="Fleet_Invoice"/>
    <n v="3"/>
    <n v="12.14"/>
    <x v="4"/>
    <n v="1.82"/>
    <n v="34.6"/>
    <n v="17.760000000000002"/>
    <n v="8.86"/>
    <n v="0.15"/>
    <n v="0"/>
    <n v="0"/>
    <n v="0"/>
    <n v="26.77"/>
    <n v="7.83"/>
    <s v="Profit"/>
    <x v="0"/>
    <n v="0"/>
    <n v="14"/>
    <s v="0-15"/>
    <s v="No"/>
    <n v="0"/>
    <s v="Healthy"/>
    <n v="0"/>
  </r>
  <r>
    <n v="100763"/>
    <d v="2025-11-14T00:00:00"/>
    <n v="1069"/>
    <x v="2"/>
    <x v="12"/>
    <x v="4"/>
    <x v="1"/>
    <x v="2"/>
    <s v="UPI"/>
    <n v="16.940000000000001"/>
    <n v="15.23"/>
    <x v="2"/>
    <n v="25.8"/>
    <n v="232.2"/>
    <n v="105.67"/>
    <n v="8.9499999999999993"/>
    <n v="1.81"/>
    <n v="6.24"/>
    <n v="0"/>
    <n v="0"/>
    <n v="122.67"/>
    <n v="109.53"/>
    <s v="Profit"/>
    <x v="0"/>
    <n v="7"/>
    <n v="1"/>
    <s v="0-15"/>
    <s v="No"/>
    <n v="0"/>
    <s v="Healthy"/>
    <n v="0"/>
  </r>
  <r>
    <n v="100764"/>
    <d v="2025-12-06T00:00:00"/>
    <n v="1013"/>
    <x v="3"/>
    <x v="14"/>
    <x v="4"/>
    <x v="1"/>
    <x v="2"/>
    <s v="UPI"/>
    <n v="28.44"/>
    <n v="15.94"/>
    <x v="3"/>
    <n v="0"/>
    <n v="453.33"/>
    <n v="226.94"/>
    <n v="6.28"/>
    <n v="3.17"/>
    <n v="2.84"/>
    <n v="0"/>
    <n v="0"/>
    <n v="239.23"/>
    <n v="214.1"/>
    <s v="Profit"/>
    <x v="0"/>
    <n v="13"/>
    <n v="11"/>
    <s v="0-15"/>
    <s v="No"/>
    <n v="1"/>
    <s v="Healthy"/>
    <n v="0"/>
  </r>
  <r>
    <n v="100765"/>
    <d v="2025-11-03T00:00:00"/>
    <n v="1043"/>
    <x v="1"/>
    <x v="3"/>
    <x v="0"/>
    <x v="1"/>
    <x v="0"/>
    <s v="UPI"/>
    <n v="21.41"/>
    <n v="15.6"/>
    <x v="3"/>
    <n v="0"/>
    <n v="334"/>
    <n v="151.79"/>
    <n v="6.08"/>
    <n v="2.34"/>
    <n v="1.02"/>
    <n v="0"/>
    <n v="0"/>
    <n v="161.22999999999999"/>
    <n v="172.77"/>
    <s v="Profit"/>
    <x v="0"/>
    <n v="15"/>
    <n v="5"/>
    <s v="0-15"/>
    <s v="No"/>
    <n v="0"/>
    <s v="Healthy"/>
    <n v="0"/>
  </r>
  <r>
    <n v="100766"/>
    <d v="2025-12-02T00:00:00"/>
    <n v="1105"/>
    <x v="1"/>
    <x v="3"/>
    <x v="3"/>
    <x v="0"/>
    <x v="1"/>
    <s v="Wallet"/>
    <n v="27.36"/>
    <n v="19.93"/>
    <x v="4"/>
    <n v="27.26"/>
    <n v="518.02"/>
    <n v="203.38"/>
    <n v="7.39"/>
    <n v="6.54"/>
    <n v="7.79"/>
    <n v="272.23"/>
    <n v="23.13"/>
    <n v="520.46"/>
    <n v="-2.44"/>
    <s v="Loss"/>
    <x v="2"/>
    <n v="2"/>
    <n v="5"/>
    <s v="0-15"/>
    <s v="No"/>
    <n v="2"/>
    <s v="At Risk"/>
    <n v="0"/>
  </r>
  <r>
    <n v="100767"/>
    <d v="2025-11-30T00:00:00"/>
    <n v="1142"/>
    <x v="0"/>
    <x v="0"/>
    <x v="4"/>
    <x v="1"/>
    <x v="1"/>
    <s v="UPI"/>
    <n v="41.56"/>
    <n v="15.3"/>
    <x v="2"/>
    <n v="63.59"/>
    <n v="572.28"/>
    <n v="300.06"/>
    <n v="9.77"/>
    <n v="4.45"/>
    <n v="7.12"/>
    <n v="0"/>
    <n v="0"/>
    <n v="321.39999999999998"/>
    <n v="250.88"/>
    <s v="Profit"/>
    <x v="0"/>
    <n v="37"/>
    <n v="25"/>
    <s v="30+"/>
    <s v="Yes"/>
    <n v="2"/>
    <s v="At Risk"/>
    <n v="1"/>
  </r>
  <r>
    <n v="100768"/>
    <d v="2025-12-13T00:00:00"/>
    <n v="1041"/>
    <x v="3"/>
    <x v="7"/>
    <x v="4"/>
    <x v="3"/>
    <x v="0"/>
    <s v="Wallet"/>
    <n v="9.6"/>
    <n v="13.73"/>
    <x v="3"/>
    <n v="0"/>
    <n v="131.81"/>
    <n v="69"/>
    <n v="10.47"/>
    <n v="1.58"/>
    <n v="7.61"/>
    <n v="107.02"/>
    <n v="0"/>
    <n v="195.68"/>
    <n v="-63.87"/>
    <s v="Loss"/>
    <x v="1"/>
    <n v="46"/>
    <n v="21"/>
    <s v="30+"/>
    <s v="Yes"/>
    <n v="3"/>
    <s v="At Risk"/>
    <n v="1"/>
  </r>
  <r>
    <n v="100769"/>
    <d v="2025-12-30T00:00:00"/>
    <n v="1087"/>
    <x v="3"/>
    <x v="14"/>
    <x v="3"/>
    <x v="1"/>
    <x v="1"/>
    <s v="Fleet_Invoice"/>
    <n v="34.1"/>
    <n v="16.36"/>
    <x v="2"/>
    <n v="55.79"/>
    <n v="502.09"/>
    <n v="223.71"/>
    <n v="2.42"/>
    <n v="2.23"/>
    <n v="4.83"/>
    <n v="0"/>
    <n v="0"/>
    <n v="233.19"/>
    <n v="268.89999999999998"/>
    <s v="Profit"/>
    <x v="0"/>
    <n v="2"/>
    <n v="2"/>
    <s v="0-15"/>
    <s v="No"/>
    <n v="0"/>
    <s v="Healthy"/>
    <n v="0"/>
  </r>
  <r>
    <n v="100770"/>
    <d v="2025-11-20T00:00:00"/>
    <n v="1125"/>
    <x v="1"/>
    <x v="13"/>
    <x v="1"/>
    <x v="1"/>
    <x v="2"/>
    <s v="Fleet_Invoice"/>
    <n v="20.16"/>
    <n v="16.22"/>
    <x v="4"/>
    <n v="16.350000000000001"/>
    <n v="310.64999999999998"/>
    <n v="150.4"/>
    <n v="5.72"/>
    <n v="1.31"/>
    <n v="5.05"/>
    <n v="0"/>
    <n v="0"/>
    <n v="162.47999999999999"/>
    <n v="148.16999999999999"/>
    <s v="Profit"/>
    <x v="0"/>
    <n v="15"/>
    <n v="4"/>
    <s v="0-15"/>
    <s v="No"/>
    <n v="0"/>
    <s v="Healthy"/>
    <n v="0"/>
  </r>
  <r>
    <n v="100771"/>
    <d v="2025-12-23T00:00:00"/>
    <n v="1049"/>
    <x v="0"/>
    <x v="0"/>
    <x v="0"/>
    <x v="0"/>
    <x v="0"/>
    <s v="Card"/>
    <n v="22.27"/>
    <n v="18.329999999999998"/>
    <x v="3"/>
    <n v="0"/>
    <n v="408.21"/>
    <n v="153.88999999999999"/>
    <n v="9.16"/>
    <n v="6.12"/>
    <n v="9.5399999999999991"/>
    <n v="0"/>
    <n v="0"/>
    <n v="178.71"/>
    <n v="229.5"/>
    <s v="Profit"/>
    <x v="0"/>
    <n v="0"/>
    <n v="2"/>
    <s v="0-15"/>
    <s v="No"/>
    <n v="0"/>
    <s v="Healthy"/>
    <n v="0"/>
  </r>
  <r>
    <n v="100772"/>
    <d v="2025-10-04T00:00:00"/>
    <n v="1066"/>
    <x v="1"/>
    <x v="2"/>
    <x v="2"/>
    <x v="3"/>
    <x v="1"/>
    <s v="UPI"/>
    <n v="28.76"/>
    <n v="13.2"/>
    <x v="2"/>
    <n v="37.96"/>
    <n v="341.67"/>
    <n v="232.75"/>
    <n v="6.85"/>
    <n v="2.66"/>
    <n v="1.34"/>
    <n v="0"/>
    <n v="0"/>
    <n v="243.6"/>
    <n v="98.07"/>
    <s v="Profit"/>
    <x v="0"/>
    <n v="0"/>
    <n v="14"/>
    <s v="0-15"/>
    <s v="No"/>
    <n v="0"/>
    <s v="Healthy"/>
    <n v="0"/>
  </r>
  <r>
    <n v="100773"/>
    <d v="2025-11-09T00:00:00"/>
    <n v="1111"/>
    <x v="2"/>
    <x v="12"/>
    <x v="1"/>
    <x v="0"/>
    <x v="2"/>
    <s v="Fleet_Invoice"/>
    <n v="30.86"/>
    <n v="18.600000000000001"/>
    <x v="4"/>
    <n v="28.7"/>
    <n v="545.29999999999995"/>
    <n v="223.92"/>
    <n v="7.29"/>
    <n v="2.2999999999999998"/>
    <n v="5.34"/>
    <n v="0"/>
    <n v="0"/>
    <n v="238.85"/>
    <n v="306.45"/>
    <s v="Profit"/>
    <x v="0"/>
    <n v="8"/>
    <n v="3"/>
    <s v="0-15"/>
    <s v="No"/>
    <n v="0"/>
    <s v="Healthy"/>
    <n v="0"/>
  </r>
  <r>
    <n v="100774"/>
    <d v="2025-10-19T00:00:00"/>
    <n v="1071"/>
    <x v="2"/>
    <x v="5"/>
    <x v="3"/>
    <x v="3"/>
    <x v="2"/>
    <s v="UPI"/>
    <n v="11.64"/>
    <n v="13.72"/>
    <x v="3"/>
    <n v="0"/>
    <n v="159.69999999999999"/>
    <n v="95.61"/>
    <n v="10.08"/>
    <n v="1.1200000000000001"/>
    <n v="13.31"/>
    <n v="0"/>
    <n v="0"/>
    <n v="120.12"/>
    <n v="39.58"/>
    <s v="Profit"/>
    <x v="0"/>
    <n v="5"/>
    <n v="8"/>
    <s v="0-15"/>
    <s v="No"/>
    <n v="0"/>
    <s v="Healthy"/>
    <n v="0"/>
  </r>
  <r>
    <n v="100775"/>
    <d v="2025-10-19T00:00:00"/>
    <n v="1007"/>
    <x v="3"/>
    <x v="14"/>
    <x v="1"/>
    <x v="3"/>
    <x v="2"/>
    <s v="Fleet_Invoice"/>
    <n v="26.35"/>
    <n v="12.49"/>
    <x v="3"/>
    <n v="0"/>
    <n v="329.11"/>
    <n v="202.44"/>
    <n v="11.51"/>
    <n v="1.32"/>
    <n v="7.0000000000000007E-2"/>
    <n v="0"/>
    <n v="0"/>
    <n v="215.34"/>
    <n v="113.77"/>
    <s v="Profit"/>
    <x v="0"/>
    <n v="1"/>
    <n v="2"/>
    <s v="0-15"/>
    <s v="No"/>
    <n v="0"/>
    <s v="Healthy"/>
    <n v="0"/>
  </r>
  <r>
    <n v="100776"/>
    <d v="2025-10-24T00:00:00"/>
    <n v="1041"/>
    <x v="3"/>
    <x v="8"/>
    <x v="1"/>
    <x v="3"/>
    <x v="0"/>
    <s v="UPI"/>
    <n v="11.01"/>
    <n v="14.57"/>
    <x v="2"/>
    <n v="16.04"/>
    <n v="144.38"/>
    <n v="81.7"/>
    <n v="3.88"/>
    <n v="1.1200000000000001"/>
    <n v="10.61"/>
    <n v="0"/>
    <n v="0"/>
    <n v="97.31"/>
    <n v="47.07"/>
    <s v="Profit"/>
    <x v="0"/>
    <n v="12"/>
    <n v="0"/>
    <s v="0-15"/>
    <s v="No"/>
    <n v="0"/>
    <s v="Healthy"/>
    <n v="0"/>
  </r>
  <r>
    <n v="100777"/>
    <d v="2025-11-01T00:00:00"/>
    <n v="1083"/>
    <x v="1"/>
    <x v="3"/>
    <x v="0"/>
    <x v="2"/>
    <x v="0"/>
    <s v="UPI"/>
    <n v="24.17"/>
    <n v="17.16"/>
    <x v="2"/>
    <n v="41.48"/>
    <n v="373.28"/>
    <n v="162.38"/>
    <n v="4.47"/>
    <n v="2.9"/>
    <n v="0"/>
    <n v="0"/>
    <n v="0"/>
    <n v="169.75"/>
    <n v="203.53"/>
    <s v="Profit"/>
    <x v="0"/>
    <n v="1"/>
    <n v="7"/>
    <s v="0-15"/>
    <s v="No"/>
    <n v="0"/>
    <s v="Healthy"/>
    <n v="0"/>
  </r>
  <r>
    <n v="100778"/>
    <d v="2025-11-04T00:00:00"/>
    <n v="1025"/>
    <x v="2"/>
    <x v="12"/>
    <x v="3"/>
    <x v="0"/>
    <x v="0"/>
    <s v="Wallet"/>
    <n v="29.22"/>
    <n v="19.07"/>
    <x v="3"/>
    <n v="0"/>
    <n v="557.23"/>
    <n v="184.55"/>
    <n v="9.65"/>
    <n v="6.69"/>
    <n v="11.72"/>
    <n v="337.96"/>
    <n v="0"/>
    <n v="550.57000000000005"/>
    <n v="6.66"/>
    <s v="Profit"/>
    <x v="2"/>
    <n v="11"/>
    <n v="4"/>
    <s v="0-15"/>
    <s v="No"/>
    <n v="1"/>
    <s v="At Risk"/>
    <n v="0"/>
  </r>
  <r>
    <n v="100779"/>
    <d v="2025-12-29T00:00:00"/>
    <n v="1027"/>
    <x v="3"/>
    <x v="8"/>
    <x v="1"/>
    <x v="3"/>
    <x v="2"/>
    <s v="UPI"/>
    <n v="25.54"/>
    <n v="12.46"/>
    <x v="0"/>
    <n v="47.73"/>
    <n v="270.5"/>
    <n v="172.19"/>
    <n v="4.08"/>
    <n v="2.23"/>
    <n v="8.41"/>
    <n v="0"/>
    <n v="0"/>
    <n v="186.91"/>
    <n v="83.59"/>
    <s v="Profit"/>
    <x v="0"/>
    <n v="7"/>
    <n v="1"/>
    <s v="0-15"/>
    <s v="No"/>
    <n v="0"/>
    <s v="Healthy"/>
    <n v="0"/>
  </r>
  <r>
    <n v="100780"/>
    <d v="2025-11-23T00:00:00"/>
    <n v="1026"/>
    <x v="1"/>
    <x v="2"/>
    <x v="0"/>
    <x v="3"/>
    <x v="2"/>
    <s v="UPI"/>
    <n v="28.75"/>
    <n v="12.92"/>
    <x v="3"/>
    <n v="0"/>
    <n v="371.45"/>
    <n v="217.18"/>
    <n v="11.65"/>
    <n v="2.6"/>
    <n v="5.82"/>
    <n v="0"/>
    <n v="0"/>
    <n v="237.25"/>
    <n v="134.19999999999999"/>
    <s v="Profit"/>
    <x v="0"/>
    <n v="26"/>
    <n v="9"/>
    <s v="16-30"/>
    <s v="Yes"/>
    <n v="2"/>
    <s v="At Risk"/>
    <n v="1"/>
  </r>
  <r>
    <n v="100781"/>
    <d v="2025-12-05T00:00:00"/>
    <n v="1112"/>
    <x v="2"/>
    <x v="12"/>
    <x v="2"/>
    <x v="2"/>
    <x v="2"/>
    <s v="Wallet"/>
    <n v="18.55"/>
    <n v="18.07"/>
    <x v="0"/>
    <n v="50.28"/>
    <n v="284.92"/>
    <n v="157"/>
    <n v="2.5499999999999998"/>
    <n v="4.0199999999999996"/>
    <n v="1.98"/>
    <n v="273.83"/>
    <n v="15.88"/>
    <n v="455.26"/>
    <n v="-170.34"/>
    <s v="Loss"/>
    <x v="1"/>
    <n v="13"/>
    <n v="10"/>
    <s v="0-15"/>
    <s v="Yes"/>
    <n v="3"/>
    <s v="At Risk"/>
    <n v="1"/>
  </r>
  <r>
    <n v="100782"/>
    <d v="2025-12-02T00:00:00"/>
    <n v="1145"/>
    <x v="0"/>
    <x v="11"/>
    <x v="4"/>
    <x v="1"/>
    <x v="0"/>
    <s v="UPI"/>
    <n v="30.81"/>
    <n v="15.33"/>
    <x v="0"/>
    <n v="70.849999999999994"/>
    <n v="401.47"/>
    <n v="260.77"/>
    <n v="7.45"/>
    <n v="3.31"/>
    <n v="6.13"/>
    <n v="0"/>
    <n v="0"/>
    <n v="277.66000000000003"/>
    <n v="123.81"/>
    <s v="Profit"/>
    <x v="0"/>
    <n v="41"/>
    <n v="9"/>
    <s v="30+"/>
    <s v="Yes"/>
    <n v="3"/>
    <s v="At Risk"/>
    <n v="1"/>
  </r>
  <r>
    <n v="100783"/>
    <d v="2025-12-01T00:00:00"/>
    <n v="1104"/>
    <x v="0"/>
    <x v="6"/>
    <x v="0"/>
    <x v="3"/>
    <x v="2"/>
    <s v="Wallet"/>
    <n v="33.72"/>
    <n v="11.37"/>
    <x v="2"/>
    <n v="38.340000000000003"/>
    <n v="345.06"/>
    <n v="239.25"/>
    <n v="12.16"/>
    <n v="4.5999999999999996"/>
    <n v="10.93"/>
    <n v="0"/>
    <n v="0"/>
    <n v="266.94"/>
    <n v="78.12"/>
    <s v="Profit"/>
    <x v="0"/>
    <n v="7"/>
    <n v="2"/>
    <s v="0-15"/>
    <s v="No"/>
    <n v="0"/>
    <s v="Healthy"/>
    <n v="0"/>
  </r>
  <r>
    <n v="100784"/>
    <d v="2025-10-08T00:00:00"/>
    <n v="1013"/>
    <x v="0"/>
    <x v="6"/>
    <x v="1"/>
    <x v="3"/>
    <x v="0"/>
    <s v="UPI"/>
    <n v="29.25"/>
    <n v="12.71"/>
    <x v="4"/>
    <n v="18.59"/>
    <n v="353.18"/>
    <n v="231.46"/>
    <n v="6.2"/>
    <n v="2.6"/>
    <n v="10.85"/>
    <n v="0"/>
    <n v="0"/>
    <n v="251.11"/>
    <n v="102.07"/>
    <s v="Profit"/>
    <x v="0"/>
    <n v="0"/>
    <n v="0"/>
    <s v="0-15"/>
    <s v="No"/>
    <n v="0"/>
    <s v="Healthy"/>
    <n v="0"/>
  </r>
  <r>
    <n v="100785"/>
    <d v="2025-10-04T00:00:00"/>
    <n v="1133"/>
    <x v="2"/>
    <x v="9"/>
    <x v="0"/>
    <x v="2"/>
    <x v="2"/>
    <s v="Fleet_Invoice"/>
    <n v="22.36"/>
    <n v="17.73"/>
    <x v="3"/>
    <n v="0"/>
    <n v="396.44"/>
    <n v="187.02"/>
    <n v="11.13"/>
    <n v="1.59"/>
    <n v="4.5999999999999996"/>
    <n v="255.85"/>
    <n v="0.53"/>
    <n v="460.72"/>
    <n v="-64.28"/>
    <s v="Loss"/>
    <x v="1"/>
    <n v="0"/>
    <n v="6"/>
    <s v="0-15"/>
    <s v="Yes"/>
    <n v="1"/>
    <s v="At Risk"/>
    <n v="1"/>
  </r>
  <r>
    <n v="100786"/>
    <d v="2025-10-10T00:00:00"/>
    <n v="1097"/>
    <x v="2"/>
    <x v="5"/>
    <x v="1"/>
    <x v="1"/>
    <x v="1"/>
    <s v="Card"/>
    <n v="30.91"/>
    <n v="15.75"/>
    <x v="4"/>
    <n v="24.34"/>
    <n v="462.49"/>
    <n v="227.23"/>
    <n v="6.4"/>
    <n v="7.3"/>
    <n v="0.93"/>
    <n v="0"/>
    <n v="0"/>
    <n v="241.86"/>
    <n v="220.63"/>
    <s v="Profit"/>
    <x v="0"/>
    <n v="3"/>
    <n v="2"/>
    <s v="0-15"/>
    <s v="No"/>
    <n v="0"/>
    <s v="Healthy"/>
    <n v="0"/>
  </r>
  <r>
    <n v="100787"/>
    <d v="2025-10-12T00:00:00"/>
    <n v="1088"/>
    <x v="3"/>
    <x v="14"/>
    <x v="1"/>
    <x v="3"/>
    <x v="2"/>
    <s v="UPI"/>
    <n v="19.12"/>
    <n v="12.64"/>
    <x v="3"/>
    <n v="0"/>
    <n v="241.68"/>
    <n v="138.6"/>
    <n v="9.66"/>
    <n v="1.69"/>
    <n v="5.58"/>
    <n v="0"/>
    <n v="0"/>
    <n v="155.53"/>
    <n v="86.15"/>
    <s v="Profit"/>
    <x v="0"/>
    <n v="1"/>
    <n v="6"/>
    <s v="0-15"/>
    <s v="No"/>
    <n v="0"/>
    <s v="Healthy"/>
    <n v="0"/>
  </r>
  <r>
    <n v="100788"/>
    <d v="2025-11-18T00:00:00"/>
    <n v="1013"/>
    <x v="0"/>
    <x v="0"/>
    <x v="0"/>
    <x v="1"/>
    <x v="2"/>
    <s v="UPI"/>
    <n v="29.48"/>
    <n v="16.05"/>
    <x v="2"/>
    <n v="47.32"/>
    <n v="425.83"/>
    <n v="197.67"/>
    <n v="7.37"/>
    <n v="3.31"/>
    <n v="4.3499999999999996"/>
    <n v="0"/>
    <n v="0"/>
    <n v="212.7"/>
    <n v="213.13"/>
    <s v="Profit"/>
    <x v="0"/>
    <n v="6"/>
    <n v="6"/>
    <s v="0-15"/>
    <s v="No"/>
    <n v="0"/>
    <s v="Healthy"/>
    <n v="0"/>
  </r>
  <r>
    <n v="100789"/>
    <d v="2025-11-18T00:00:00"/>
    <n v="1031"/>
    <x v="0"/>
    <x v="1"/>
    <x v="4"/>
    <x v="0"/>
    <x v="0"/>
    <s v="UPI"/>
    <n v="23.92"/>
    <n v="18.649999999999999"/>
    <x v="1"/>
    <n v="89.22"/>
    <n v="356.89"/>
    <n v="180.65"/>
    <n v="13.72"/>
    <n v="3.12"/>
    <n v="7.65"/>
    <n v="0"/>
    <n v="0"/>
    <n v="205.14"/>
    <n v="151.75"/>
    <s v="Profit"/>
    <x v="0"/>
    <n v="6"/>
    <n v="0"/>
    <s v="0-15"/>
    <s v="No"/>
    <n v="0"/>
    <s v="Healthy"/>
    <n v="0"/>
  </r>
  <r>
    <n v="100790"/>
    <d v="2025-12-16T00:00:00"/>
    <n v="1106"/>
    <x v="0"/>
    <x v="6"/>
    <x v="3"/>
    <x v="3"/>
    <x v="0"/>
    <s v="UPI"/>
    <n v="11.99"/>
    <n v="12.43"/>
    <x v="2"/>
    <n v="14.9"/>
    <n v="134.13999999999999"/>
    <n v="93.67"/>
    <n v="5.09"/>
    <n v="1.04"/>
    <n v="4.75"/>
    <n v="0"/>
    <n v="0"/>
    <n v="104.55"/>
    <n v="29.59"/>
    <s v="Profit"/>
    <x v="0"/>
    <n v="7"/>
    <n v="3"/>
    <s v="0-15"/>
    <s v="No"/>
    <n v="0"/>
    <s v="Healthy"/>
    <n v="0"/>
  </r>
  <r>
    <n v="100791"/>
    <d v="2025-11-18T00:00:00"/>
    <n v="1009"/>
    <x v="0"/>
    <x v="0"/>
    <x v="1"/>
    <x v="1"/>
    <x v="0"/>
    <s v="Card"/>
    <n v="38.04"/>
    <n v="15.94"/>
    <x v="3"/>
    <n v="0"/>
    <n v="606.36"/>
    <n v="328.96"/>
    <n v="7.75"/>
    <n v="9.1"/>
    <n v="3.89"/>
    <n v="0"/>
    <n v="0"/>
    <n v="349.7"/>
    <n v="256.66000000000003"/>
    <s v="Profit"/>
    <x v="0"/>
    <n v="16"/>
    <n v="22"/>
    <s v="16-30"/>
    <s v="Yes"/>
    <n v="2"/>
    <s v="At Risk"/>
    <n v="1"/>
  </r>
  <r>
    <n v="100792"/>
    <d v="2025-12-26T00:00:00"/>
    <n v="1130"/>
    <x v="0"/>
    <x v="0"/>
    <x v="2"/>
    <x v="1"/>
    <x v="0"/>
    <s v="UPI"/>
    <n v="20.84"/>
    <n v="15.76"/>
    <x v="3"/>
    <n v="0"/>
    <n v="328.44"/>
    <n v="169.91"/>
    <n v="6.08"/>
    <n v="2.2999999999999998"/>
    <n v="11.63"/>
    <n v="0"/>
    <n v="0"/>
    <n v="189.92"/>
    <n v="138.52000000000001"/>
    <s v="Profit"/>
    <x v="0"/>
    <n v="4"/>
    <n v="12"/>
    <s v="0-15"/>
    <s v="No"/>
    <n v="0"/>
    <s v="Healthy"/>
    <n v="0"/>
  </r>
  <r>
    <n v="100793"/>
    <d v="2025-12-14T00:00:00"/>
    <n v="1147"/>
    <x v="3"/>
    <x v="15"/>
    <x v="2"/>
    <x v="3"/>
    <x v="1"/>
    <s v="Card"/>
    <n v="28.16"/>
    <n v="10.61"/>
    <x v="1"/>
    <n v="59.76"/>
    <n v="239.02"/>
    <n v="208.98"/>
    <n v="7.15"/>
    <n v="4.4800000000000004"/>
    <n v="5.91"/>
    <n v="0"/>
    <n v="0"/>
    <n v="226.52"/>
    <n v="12.5"/>
    <s v="Profit"/>
    <x v="0"/>
    <n v="60"/>
    <n v="1"/>
    <s v="30+"/>
    <s v="Yes"/>
    <n v="2"/>
    <s v="At Risk"/>
    <n v="1"/>
  </r>
  <r>
    <n v="100794"/>
    <d v="2025-10-31T00:00:00"/>
    <n v="1074"/>
    <x v="1"/>
    <x v="4"/>
    <x v="3"/>
    <x v="2"/>
    <x v="0"/>
    <s v="Fleet_Invoice"/>
    <n v="32.08"/>
    <n v="16.37"/>
    <x v="3"/>
    <n v="0"/>
    <n v="525.15"/>
    <n v="234.71"/>
    <n v="8.07"/>
    <n v="2.1"/>
    <n v="0"/>
    <n v="0"/>
    <n v="0"/>
    <n v="244.88"/>
    <n v="280.27"/>
    <s v="Profit"/>
    <x v="0"/>
    <n v="7"/>
    <n v="4"/>
    <s v="0-15"/>
    <s v="No"/>
    <n v="0"/>
    <s v="Healthy"/>
    <n v="0"/>
  </r>
  <r>
    <n v="100795"/>
    <d v="2025-11-05T00:00:00"/>
    <n v="1005"/>
    <x v="1"/>
    <x v="4"/>
    <x v="1"/>
    <x v="3"/>
    <x v="0"/>
    <s v="UPI"/>
    <n v="29.15"/>
    <n v="12.74"/>
    <x v="3"/>
    <n v="0"/>
    <n v="371.37"/>
    <n v="181.67"/>
    <n v="9.2899999999999991"/>
    <n v="2.6"/>
    <n v="12.75"/>
    <n v="0"/>
    <n v="0"/>
    <n v="206.31"/>
    <n v="165.06"/>
    <s v="Profit"/>
    <x v="0"/>
    <n v="28"/>
    <n v="16"/>
    <s v="16-30"/>
    <s v="Yes"/>
    <n v="3"/>
    <s v="At Risk"/>
    <n v="1"/>
  </r>
  <r>
    <n v="100796"/>
    <d v="2025-12-03T00:00:00"/>
    <n v="1063"/>
    <x v="0"/>
    <x v="0"/>
    <x v="1"/>
    <x v="1"/>
    <x v="2"/>
    <s v="UPI"/>
    <n v="29.66"/>
    <n v="15.6"/>
    <x v="3"/>
    <n v="0"/>
    <n v="462.7"/>
    <n v="196.47"/>
    <n v="1"/>
    <n v="3.24"/>
    <n v="5.65"/>
    <n v="0"/>
    <n v="0"/>
    <n v="206.36"/>
    <n v="256.33999999999997"/>
    <s v="Profit"/>
    <x v="0"/>
    <n v="3"/>
    <n v="15"/>
    <s v="0-15"/>
    <s v="No"/>
    <n v="0"/>
    <s v="Healthy"/>
    <n v="0"/>
  </r>
  <r>
    <n v="100797"/>
    <d v="2025-10-25T00:00:00"/>
    <n v="1023"/>
    <x v="0"/>
    <x v="6"/>
    <x v="3"/>
    <x v="0"/>
    <x v="0"/>
    <s v="UPI"/>
    <n v="16.96"/>
    <n v="19.87"/>
    <x v="2"/>
    <n v="33.700000000000003"/>
    <n v="303.3"/>
    <n v="123.95"/>
    <n v="3.85"/>
    <n v="2.36"/>
    <n v="8.84"/>
    <n v="0"/>
    <n v="0"/>
    <n v="139"/>
    <n v="164.3"/>
    <s v="Profit"/>
    <x v="0"/>
    <n v="15"/>
    <n v="2"/>
    <s v="0-15"/>
    <s v="No"/>
    <n v="0"/>
    <s v="Healthy"/>
    <n v="0"/>
  </r>
  <r>
    <n v="100798"/>
    <d v="2025-11-26T00:00:00"/>
    <n v="1021"/>
    <x v="0"/>
    <x v="6"/>
    <x v="2"/>
    <x v="0"/>
    <x v="0"/>
    <s v="UPI"/>
    <n v="30.37"/>
    <n v="19.72"/>
    <x v="4"/>
    <n v="29.94"/>
    <n v="568.96"/>
    <n v="214.81"/>
    <n v="9.85"/>
    <n v="4.1900000000000004"/>
    <n v="5.48"/>
    <n v="0"/>
    <n v="0"/>
    <n v="234.33"/>
    <n v="334.63"/>
    <s v="Profit"/>
    <x v="0"/>
    <n v="20"/>
    <n v="10"/>
    <s v="16-30"/>
    <s v="No"/>
    <n v="0"/>
    <s v="Healthy"/>
    <n v="0"/>
  </r>
  <r>
    <n v="100799"/>
    <d v="2025-12-18T00:00:00"/>
    <n v="1144"/>
    <x v="2"/>
    <x v="5"/>
    <x v="4"/>
    <x v="1"/>
    <x v="1"/>
    <s v="UPI"/>
    <n v="17.63"/>
    <n v="15.75"/>
    <x v="3"/>
    <n v="0"/>
    <n v="277.67"/>
    <n v="129.13"/>
    <n v="5.38"/>
    <n v="1.94"/>
    <n v="4.17"/>
    <n v="0"/>
    <n v="0"/>
    <n v="140.62"/>
    <n v="137.05000000000001"/>
    <s v="Profit"/>
    <x v="0"/>
    <n v="7"/>
    <n v="4"/>
    <s v="0-15"/>
    <s v="No"/>
    <n v="0"/>
    <s v="Healthy"/>
    <n v="0"/>
  </r>
  <r>
    <n v="100800"/>
    <d v="2025-12-18T00:00:00"/>
    <n v="1005"/>
    <x v="1"/>
    <x v="2"/>
    <x v="4"/>
    <x v="2"/>
    <x v="0"/>
    <s v="Card"/>
    <n v="29.97"/>
    <n v="19.73"/>
    <x v="3"/>
    <n v="0"/>
    <n v="591.30999999999995"/>
    <n v="178.47"/>
    <n v="4.47"/>
    <n v="8.8699999999999992"/>
    <n v="8.67"/>
    <n v="301.54000000000002"/>
    <n v="0"/>
    <n v="502.02"/>
    <n v="89.29"/>
    <s v="Profit"/>
    <x v="1"/>
    <n v="17"/>
    <n v="5"/>
    <s v="16-30"/>
    <s v="Yes"/>
    <n v="1"/>
    <s v="At Risk"/>
    <n v="1"/>
  </r>
  <r>
    <n v="100801"/>
    <d v="2025-11-22T00:00:00"/>
    <n v="1121"/>
    <x v="3"/>
    <x v="15"/>
    <x v="4"/>
    <x v="3"/>
    <x v="0"/>
    <s v="Card"/>
    <n v="9.15"/>
    <n v="13.27"/>
    <x v="3"/>
    <n v="0"/>
    <n v="121.42"/>
    <n v="62.82"/>
    <n v="9.0299999999999994"/>
    <n v="1.82"/>
    <n v="14.08"/>
    <n v="0"/>
    <n v="0"/>
    <n v="87.75"/>
    <n v="33.67"/>
    <s v="Profit"/>
    <x v="0"/>
    <n v="1"/>
    <n v="5"/>
    <s v="0-15"/>
    <s v="No"/>
    <n v="1"/>
    <s v="Healthy"/>
    <n v="0"/>
  </r>
  <r>
    <n v="100802"/>
    <d v="2025-10-27T00:00:00"/>
    <n v="1013"/>
    <x v="0"/>
    <x v="6"/>
    <x v="4"/>
    <x v="1"/>
    <x v="0"/>
    <s v="Fleet_Invoice"/>
    <n v="27.29"/>
    <n v="15"/>
    <x v="3"/>
    <n v="0"/>
    <n v="409.35"/>
    <n v="218.08"/>
    <n v="12.39"/>
    <n v="1.64"/>
    <n v="6.86"/>
    <n v="0"/>
    <n v="0"/>
    <n v="238.97"/>
    <n v="170.38"/>
    <s v="Profit"/>
    <x v="0"/>
    <n v="5"/>
    <n v="1"/>
    <s v="0-15"/>
    <s v="No"/>
    <n v="0"/>
    <s v="Healthy"/>
    <n v="0"/>
  </r>
  <r>
    <n v="100803"/>
    <d v="2025-11-19T00:00:00"/>
    <n v="1089"/>
    <x v="1"/>
    <x v="3"/>
    <x v="4"/>
    <x v="2"/>
    <x v="2"/>
    <s v="UPI"/>
    <n v="29.64"/>
    <n v="18.670000000000002"/>
    <x v="3"/>
    <n v="0"/>
    <n v="553.38"/>
    <n v="199.38"/>
    <n v="1.23"/>
    <n v="3.87"/>
    <n v="7.82"/>
    <n v="0"/>
    <n v="0"/>
    <n v="212.3"/>
    <n v="341.08"/>
    <s v="Profit"/>
    <x v="0"/>
    <n v="36"/>
    <n v="9"/>
    <s v="30+"/>
    <s v="Yes"/>
    <n v="3"/>
    <s v="At Risk"/>
    <n v="1"/>
  </r>
  <r>
    <n v="100804"/>
    <d v="2025-10-08T00:00:00"/>
    <n v="1057"/>
    <x v="0"/>
    <x v="0"/>
    <x v="4"/>
    <x v="1"/>
    <x v="0"/>
    <s v="Wallet"/>
    <n v="34.21"/>
    <n v="15.03"/>
    <x v="3"/>
    <n v="0"/>
    <n v="514.17999999999995"/>
    <n v="264.75"/>
    <n v="12.49"/>
    <n v="6.17"/>
    <n v="6.7"/>
    <n v="0"/>
    <n v="0"/>
    <n v="290.11"/>
    <n v="224.07"/>
    <s v="Profit"/>
    <x v="0"/>
    <n v="9"/>
    <n v="0"/>
    <s v="0-15"/>
    <s v="No"/>
    <n v="0"/>
    <s v="Healthy"/>
    <n v="0"/>
  </r>
  <r>
    <n v="100805"/>
    <d v="2025-11-08T00:00:00"/>
    <n v="1147"/>
    <x v="3"/>
    <x v="8"/>
    <x v="2"/>
    <x v="3"/>
    <x v="1"/>
    <s v="UPI"/>
    <n v="12.84"/>
    <n v="13.35"/>
    <x v="3"/>
    <n v="0"/>
    <n v="171.41"/>
    <n v="88.69"/>
    <n v="3.97"/>
    <n v="1.2"/>
    <n v="12.6"/>
    <n v="0"/>
    <n v="0"/>
    <n v="106.46"/>
    <n v="64.95"/>
    <s v="Profit"/>
    <x v="0"/>
    <n v="14"/>
    <n v="0"/>
    <s v="0-15"/>
    <s v="No"/>
    <n v="0"/>
    <s v="Healthy"/>
    <n v="0"/>
  </r>
  <r>
    <n v="100806"/>
    <d v="2025-10-14T00:00:00"/>
    <n v="1040"/>
    <x v="0"/>
    <x v="1"/>
    <x v="3"/>
    <x v="1"/>
    <x v="0"/>
    <s v="Wallet"/>
    <n v="28.99"/>
    <n v="15.81"/>
    <x v="3"/>
    <n v="0"/>
    <n v="458.33"/>
    <n v="208.91"/>
    <n v="15.57"/>
    <n v="5.5"/>
    <n v="11.19"/>
    <n v="0"/>
    <n v="0"/>
    <n v="241.17"/>
    <n v="217.16"/>
    <s v="Profit"/>
    <x v="0"/>
    <n v="57"/>
    <n v="3"/>
    <s v="30+"/>
    <s v="Yes"/>
    <n v="1"/>
    <s v="At Risk"/>
    <n v="1"/>
  </r>
  <r>
    <n v="100807"/>
    <d v="2025-12-28T00:00:00"/>
    <n v="1118"/>
    <x v="3"/>
    <x v="14"/>
    <x v="4"/>
    <x v="3"/>
    <x v="2"/>
    <s v="Wallet"/>
    <n v="24.19"/>
    <n v="13.17"/>
    <x v="3"/>
    <n v="0"/>
    <n v="318.58"/>
    <n v="132.59"/>
    <n v="7.15"/>
    <n v="3.82"/>
    <n v="5.89"/>
    <n v="0"/>
    <n v="0"/>
    <n v="149.44999999999999"/>
    <n v="169.13"/>
    <s v="Profit"/>
    <x v="0"/>
    <n v="0"/>
    <n v="24"/>
    <s v="0-15"/>
    <s v="Yes"/>
    <n v="2"/>
    <s v="At Risk"/>
    <n v="1"/>
  </r>
  <r>
    <n v="100808"/>
    <d v="2025-11-06T00:00:00"/>
    <n v="1082"/>
    <x v="2"/>
    <x v="5"/>
    <x v="4"/>
    <x v="0"/>
    <x v="0"/>
    <s v="UPI"/>
    <n v="21.72"/>
    <n v="21.04"/>
    <x v="4"/>
    <n v="22.85"/>
    <n v="434.14"/>
    <n v="156.77000000000001"/>
    <n v="9.07"/>
    <n v="3.2"/>
    <n v="2.84"/>
    <n v="0"/>
    <n v="0"/>
    <n v="171.88"/>
    <n v="262.26"/>
    <s v="Profit"/>
    <x v="0"/>
    <n v="2"/>
    <n v="2"/>
    <s v="0-15"/>
    <s v="No"/>
    <n v="0"/>
    <s v="Healthy"/>
    <n v="0"/>
  </r>
  <r>
    <n v="100809"/>
    <d v="2025-10-06T00:00:00"/>
    <n v="1013"/>
    <x v="0"/>
    <x v="1"/>
    <x v="0"/>
    <x v="1"/>
    <x v="2"/>
    <s v="Card"/>
    <n v="30.31"/>
    <n v="15.44"/>
    <x v="3"/>
    <n v="0"/>
    <n v="467.99"/>
    <n v="201.58"/>
    <n v="8.3000000000000007"/>
    <n v="7.02"/>
    <n v="9.8699999999999992"/>
    <n v="0"/>
    <n v="0"/>
    <n v="226.77"/>
    <n v="241.22"/>
    <s v="Profit"/>
    <x v="0"/>
    <n v="31"/>
    <n v="12"/>
    <s v="30+"/>
    <s v="Yes"/>
    <n v="1"/>
    <s v="At Risk"/>
    <n v="1"/>
  </r>
  <r>
    <n v="100810"/>
    <d v="2025-12-14T00:00:00"/>
    <n v="1007"/>
    <x v="2"/>
    <x v="9"/>
    <x v="4"/>
    <x v="3"/>
    <x v="0"/>
    <s v="Card"/>
    <n v="10.26"/>
    <n v="11.68"/>
    <x v="3"/>
    <n v="0"/>
    <n v="119.84"/>
    <n v="80.06"/>
    <n v="10.26"/>
    <n v="1.8"/>
    <n v="6.44"/>
    <n v="0"/>
    <n v="0"/>
    <n v="98.56"/>
    <n v="21.28"/>
    <s v="Profit"/>
    <x v="0"/>
    <n v="26"/>
    <n v="3"/>
    <s v="16-30"/>
    <s v="Yes"/>
    <n v="2"/>
    <s v="At Risk"/>
    <n v="1"/>
  </r>
  <r>
    <n v="100811"/>
    <d v="2025-11-19T00:00:00"/>
    <n v="1099"/>
    <x v="0"/>
    <x v="11"/>
    <x v="4"/>
    <x v="3"/>
    <x v="0"/>
    <s v="UPI"/>
    <n v="27.62"/>
    <n v="11.88"/>
    <x v="3"/>
    <n v="0"/>
    <n v="328.13"/>
    <n v="143.83000000000001"/>
    <n v="12.52"/>
    <n v="2.2999999999999998"/>
    <n v="7.6"/>
    <n v="0"/>
    <n v="0"/>
    <n v="166.25"/>
    <n v="161.88"/>
    <s v="Profit"/>
    <x v="0"/>
    <n v="6"/>
    <n v="1"/>
    <s v="0-15"/>
    <s v="No"/>
    <n v="0"/>
    <s v="Healthy"/>
    <n v="0"/>
  </r>
  <r>
    <n v="100812"/>
    <d v="2025-10-21T00:00:00"/>
    <n v="1063"/>
    <x v="3"/>
    <x v="14"/>
    <x v="4"/>
    <x v="3"/>
    <x v="0"/>
    <s v="UPI"/>
    <n v="22.61"/>
    <n v="12.8"/>
    <x v="3"/>
    <n v="0"/>
    <n v="289.41000000000003"/>
    <n v="162.91999999999999"/>
    <n v="7.18"/>
    <n v="2.0299999999999998"/>
    <n v="9.23"/>
    <n v="0"/>
    <n v="0"/>
    <n v="181.36"/>
    <n v="108.05"/>
    <s v="Profit"/>
    <x v="0"/>
    <n v="18"/>
    <n v="1"/>
    <s v="16-30"/>
    <s v="No"/>
    <n v="0"/>
    <s v="Healthy"/>
    <n v="0"/>
  </r>
  <r>
    <n v="100813"/>
    <d v="2025-12-16T00:00:00"/>
    <n v="1032"/>
    <x v="2"/>
    <x v="5"/>
    <x v="2"/>
    <x v="1"/>
    <x v="0"/>
    <s v="Card"/>
    <n v="29.47"/>
    <n v="16.43"/>
    <x v="0"/>
    <n v="72.63"/>
    <n v="411.56"/>
    <n v="221.58"/>
    <n v="2.4900000000000002"/>
    <n v="7.26"/>
    <n v="8.9499999999999993"/>
    <n v="0"/>
    <n v="0"/>
    <n v="240.28"/>
    <n v="171.28"/>
    <s v="Profit"/>
    <x v="0"/>
    <n v="14"/>
    <n v="8"/>
    <s v="0-15"/>
    <s v="No"/>
    <n v="0"/>
    <s v="Healthy"/>
    <n v="0"/>
  </r>
  <r>
    <n v="100814"/>
    <d v="2025-12-12T00:00:00"/>
    <n v="1116"/>
    <x v="0"/>
    <x v="1"/>
    <x v="0"/>
    <x v="3"/>
    <x v="0"/>
    <s v="Fleet_Invoice"/>
    <n v="12.88"/>
    <n v="14.47"/>
    <x v="3"/>
    <n v="0"/>
    <n v="186.37"/>
    <n v="95.87"/>
    <n v="11.78"/>
    <n v="0.75"/>
    <n v="9.99"/>
    <n v="0"/>
    <n v="0"/>
    <n v="118.39"/>
    <n v="67.98"/>
    <s v="Profit"/>
    <x v="0"/>
    <n v="4"/>
    <n v="7"/>
    <s v="0-15"/>
    <s v="No"/>
    <n v="0"/>
    <s v="Healthy"/>
    <n v="0"/>
  </r>
  <r>
    <n v="100815"/>
    <d v="2025-11-19T00:00:00"/>
    <n v="1082"/>
    <x v="3"/>
    <x v="8"/>
    <x v="3"/>
    <x v="3"/>
    <x v="0"/>
    <s v="UPI"/>
    <n v="6.13"/>
    <n v="13.15"/>
    <x v="3"/>
    <n v="0"/>
    <n v="80.61"/>
    <n v="49.12"/>
    <n v="4.59"/>
    <n v="0.56000000000000005"/>
    <n v="8.4"/>
    <n v="0"/>
    <n v="0"/>
    <n v="62.67"/>
    <n v="17.940000000000001"/>
    <s v="Profit"/>
    <x v="0"/>
    <n v="4"/>
    <n v="6"/>
    <s v="0-15"/>
    <s v="No"/>
    <n v="0"/>
    <s v="Healthy"/>
    <n v="0"/>
  </r>
  <r>
    <n v="100816"/>
    <d v="2025-11-22T00:00:00"/>
    <n v="1142"/>
    <x v="2"/>
    <x v="10"/>
    <x v="0"/>
    <x v="3"/>
    <x v="0"/>
    <s v="Fleet_Invoice"/>
    <n v="10.130000000000001"/>
    <n v="12.96"/>
    <x v="3"/>
    <n v="0"/>
    <n v="131.28"/>
    <n v="64.930000000000007"/>
    <n v="6.3"/>
    <n v="0.53"/>
    <n v="9.73"/>
    <n v="0"/>
    <n v="0"/>
    <n v="81.489999999999995"/>
    <n v="49.79"/>
    <s v="Profit"/>
    <x v="0"/>
    <n v="13"/>
    <n v="4"/>
    <s v="0-15"/>
    <s v="No"/>
    <n v="0"/>
    <s v="Healthy"/>
    <n v="0"/>
  </r>
  <r>
    <n v="100817"/>
    <d v="2025-11-02T00:00:00"/>
    <n v="1123"/>
    <x v="0"/>
    <x v="0"/>
    <x v="4"/>
    <x v="0"/>
    <x v="0"/>
    <s v="Card"/>
    <n v="23.25"/>
    <n v="19.84"/>
    <x v="0"/>
    <n v="69.19"/>
    <n v="392.09"/>
    <n v="150.41999999999999"/>
    <n v="8.51"/>
    <n v="6.92"/>
    <n v="10.55"/>
    <n v="0"/>
    <n v="0"/>
    <n v="176.4"/>
    <n v="215.69"/>
    <s v="Profit"/>
    <x v="0"/>
    <n v="16"/>
    <n v="7"/>
    <s v="16-30"/>
    <s v="No"/>
    <n v="0"/>
    <s v="Healthy"/>
    <n v="0"/>
  </r>
  <r>
    <n v="100818"/>
    <d v="2025-10-13T00:00:00"/>
    <n v="1044"/>
    <x v="2"/>
    <x v="10"/>
    <x v="3"/>
    <x v="2"/>
    <x v="0"/>
    <s v="UPI"/>
    <n v="25.13"/>
    <n v="16.36"/>
    <x v="3"/>
    <n v="0"/>
    <n v="411.13"/>
    <n v="184.5"/>
    <n v="13.95"/>
    <n v="2.88"/>
    <n v="3.58"/>
    <n v="0"/>
    <n v="0"/>
    <n v="204.91"/>
    <n v="206.22"/>
    <s v="Profit"/>
    <x v="0"/>
    <n v="0"/>
    <n v="28"/>
    <s v="0-15"/>
    <s v="Yes"/>
    <n v="1"/>
    <s v="At Risk"/>
    <n v="1"/>
  </r>
  <r>
    <n v="100819"/>
    <d v="2025-12-31T00:00:00"/>
    <n v="1024"/>
    <x v="2"/>
    <x v="10"/>
    <x v="3"/>
    <x v="3"/>
    <x v="0"/>
    <s v="Wallet"/>
    <n v="16.11"/>
    <n v="12.1"/>
    <x v="3"/>
    <n v="0"/>
    <n v="194.93"/>
    <n v="110.87"/>
    <n v="8.2200000000000006"/>
    <n v="2.34"/>
    <n v="6.28"/>
    <n v="81.36"/>
    <n v="0"/>
    <n v="209.07"/>
    <n v="-14.14"/>
    <s v="Loss"/>
    <x v="2"/>
    <n v="1"/>
    <n v="4"/>
    <s v="0-15"/>
    <s v="No"/>
    <n v="4"/>
    <s v="At Risk"/>
    <n v="0"/>
  </r>
  <r>
    <n v="100820"/>
    <d v="2025-11-21T00:00:00"/>
    <n v="1013"/>
    <x v="1"/>
    <x v="2"/>
    <x v="0"/>
    <x v="3"/>
    <x v="0"/>
    <s v="UPI"/>
    <n v="5.3"/>
    <n v="14.55"/>
    <x v="3"/>
    <n v="0"/>
    <n v="77.11"/>
    <n v="36.85"/>
    <n v="12.35"/>
    <n v="0.54"/>
    <n v="4.7"/>
    <n v="0"/>
    <n v="0"/>
    <n v="54.44"/>
    <n v="22.67"/>
    <s v="Profit"/>
    <x v="0"/>
    <n v="9"/>
    <n v="15"/>
    <s v="0-15"/>
    <s v="No"/>
    <n v="0"/>
    <s v="Healthy"/>
    <n v="0"/>
  </r>
  <r>
    <n v="100821"/>
    <d v="2025-12-05T00:00:00"/>
    <n v="1136"/>
    <x v="2"/>
    <x v="12"/>
    <x v="4"/>
    <x v="1"/>
    <x v="0"/>
    <s v="UPI"/>
    <n v="31.96"/>
    <n v="15.89"/>
    <x v="2"/>
    <n v="50.78"/>
    <n v="457.06"/>
    <n v="244.63"/>
    <n v="7.69"/>
    <n v="3.55"/>
    <n v="10.52"/>
    <n v="0"/>
    <n v="0"/>
    <n v="266.39"/>
    <n v="190.67"/>
    <s v="Profit"/>
    <x v="0"/>
    <n v="0"/>
    <n v="14"/>
    <s v="0-15"/>
    <s v="No"/>
    <n v="0"/>
    <s v="Healthy"/>
    <n v="0"/>
  </r>
  <r>
    <n v="100822"/>
    <d v="2025-11-02T00:00:00"/>
    <n v="1087"/>
    <x v="1"/>
    <x v="13"/>
    <x v="0"/>
    <x v="1"/>
    <x v="2"/>
    <s v="Card"/>
    <n v="32.04"/>
    <n v="15.59"/>
    <x v="2"/>
    <n v="49.95"/>
    <n v="449.55"/>
    <n v="240.84"/>
    <n v="8.3699999999999992"/>
    <n v="7.49"/>
    <n v="6.78"/>
    <n v="0"/>
    <n v="0"/>
    <n v="263.48"/>
    <n v="186.07"/>
    <s v="Profit"/>
    <x v="0"/>
    <n v="0"/>
    <n v="16"/>
    <s v="0-15"/>
    <s v="Yes"/>
    <n v="3"/>
    <s v="At Risk"/>
    <n v="1"/>
  </r>
  <r>
    <n v="100823"/>
    <d v="2025-10-08T00:00:00"/>
    <n v="1075"/>
    <x v="1"/>
    <x v="3"/>
    <x v="1"/>
    <x v="2"/>
    <x v="0"/>
    <s v="Fleet_Invoice"/>
    <n v="30.44"/>
    <n v="16.95"/>
    <x v="4"/>
    <n v="25.8"/>
    <n v="490.16"/>
    <n v="224.49"/>
    <n v="6.91"/>
    <n v="2.06"/>
    <n v="12.58"/>
    <n v="0"/>
    <n v="0"/>
    <n v="246.04"/>
    <n v="244.12"/>
    <s v="Profit"/>
    <x v="0"/>
    <n v="12"/>
    <n v="7"/>
    <s v="0-15"/>
    <s v="No"/>
    <n v="0"/>
    <s v="Healthy"/>
    <n v="0"/>
  </r>
  <r>
    <n v="100824"/>
    <d v="2025-11-10T00:00:00"/>
    <n v="1020"/>
    <x v="0"/>
    <x v="6"/>
    <x v="0"/>
    <x v="3"/>
    <x v="0"/>
    <s v="UPI"/>
    <n v="19.760000000000002"/>
    <n v="12.74"/>
    <x v="1"/>
    <n v="50.35"/>
    <n v="201.39"/>
    <n v="160.58000000000001"/>
    <n v="10.79"/>
    <n v="1.76"/>
    <n v="7.03"/>
    <n v="0"/>
    <n v="0"/>
    <n v="180.16"/>
    <n v="21.23"/>
    <s v="Profit"/>
    <x v="0"/>
    <n v="10"/>
    <n v="10"/>
    <s v="0-15"/>
    <s v="No"/>
    <n v="0"/>
    <s v="Healthy"/>
    <n v="0"/>
  </r>
  <r>
    <n v="100825"/>
    <d v="2025-10-08T00:00:00"/>
    <n v="1052"/>
    <x v="2"/>
    <x v="10"/>
    <x v="0"/>
    <x v="0"/>
    <x v="0"/>
    <s v="UPI"/>
    <n v="21.82"/>
    <n v="19.87"/>
    <x v="4"/>
    <n v="21.68"/>
    <n v="411.88"/>
    <n v="142.77000000000001"/>
    <n v="8.48"/>
    <n v="3.03"/>
    <n v="7.04"/>
    <n v="412.29"/>
    <n v="0"/>
    <n v="573.61"/>
    <n v="-161.72999999999999"/>
    <s v="Loss"/>
    <x v="1"/>
    <n v="0"/>
    <n v="5"/>
    <s v="0-15"/>
    <s v="Yes"/>
    <n v="1"/>
    <s v="At Risk"/>
    <n v="1"/>
  </r>
  <r>
    <n v="100826"/>
    <d v="2025-10-31T00:00:00"/>
    <n v="1119"/>
    <x v="0"/>
    <x v="11"/>
    <x v="1"/>
    <x v="1"/>
    <x v="2"/>
    <s v="UPI"/>
    <n v="31.91"/>
    <n v="14.84"/>
    <x v="3"/>
    <n v="0"/>
    <n v="473.54"/>
    <n v="253.73"/>
    <n v="3.41"/>
    <n v="3.31"/>
    <n v="7.13"/>
    <n v="302.98"/>
    <n v="4.13"/>
    <n v="574.69000000000005"/>
    <n v="-101.15"/>
    <s v="Loss"/>
    <x v="2"/>
    <n v="1"/>
    <n v="13"/>
    <s v="0-15"/>
    <s v="No"/>
    <n v="2"/>
    <s v="At Risk"/>
    <n v="0"/>
  </r>
  <r>
    <n v="100827"/>
    <d v="2025-11-04T00:00:00"/>
    <n v="1056"/>
    <x v="1"/>
    <x v="2"/>
    <x v="0"/>
    <x v="1"/>
    <x v="1"/>
    <s v="UPI"/>
    <n v="29.46"/>
    <n v="15.52"/>
    <x v="4"/>
    <n v="22.86"/>
    <n v="434.36"/>
    <n v="245.99"/>
    <n v="7.65"/>
    <n v="3.2"/>
    <n v="3.56"/>
    <n v="244.59"/>
    <n v="24.66"/>
    <n v="529.65"/>
    <n v="-95.29"/>
    <s v="Loss"/>
    <x v="1"/>
    <n v="13"/>
    <n v="18"/>
    <s v="0-15"/>
    <s v="Yes"/>
    <n v="2"/>
    <s v="At Risk"/>
    <n v="1"/>
  </r>
  <r>
    <n v="100828"/>
    <d v="2025-10-02T00:00:00"/>
    <n v="1128"/>
    <x v="0"/>
    <x v="11"/>
    <x v="2"/>
    <x v="1"/>
    <x v="0"/>
    <s v="UPI"/>
    <n v="32.86"/>
    <n v="15.29"/>
    <x v="4"/>
    <n v="25.12"/>
    <n v="477.31"/>
    <n v="240"/>
    <n v="9.64"/>
    <n v="3.52"/>
    <n v="8.16"/>
    <n v="0"/>
    <n v="0"/>
    <n v="261.32"/>
    <n v="215.99"/>
    <s v="Profit"/>
    <x v="0"/>
    <n v="3"/>
    <n v="7"/>
    <s v="0-15"/>
    <s v="No"/>
    <n v="0"/>
    <s v="Healthy"/>
    <n v="0"/>
  </r>
  <r>
    <n v="100829"/>
    <d v="2025-10-14T00:00:00"/>
    <n v="1134"/>
    <x v="1"/>
    <x v="4"/>
    <x v="4"/>
    <x v="1"/>
    <x v="1"/>
    <s v="UPI"/>
    <n v="12.61"/>
    <n v="15.6"/>
    <x v="0"/>
    <n v="29.51"/>
    <n v="167.21"/>
    <n v="91.6"/>
    <n v="5.45"/>
    <n v="1.38"/>
    <n v="0"/>
    <n v="138.29"/>
    <n v="11.3"/>
    <n v="248.02"/>
    <n v="-80.81"/>
    <s v="Loss"/>
    <x v="1"/>
    <n v="3"/>
    <n v="4"/>
    <s v="0-15"/>
    <s v="Yes"/>
    <n v="3"/>
    <s v="At Risk"/>
    <n v="1"/>
  </r>
  <r>
    <n v="100830"/>
    <d v="2025-11-12T00:00:00"/>
    <n v="1129"/>
    <x v="0"/>
    <x v="1"/>
    <x v="4"/>
    <x v="2"/>
    <x v="0"/>
    <s v="UPI"/>
    <n v="20.39"/>
    <n v="19.3"/>
    <x v="3"/>
    <n v="0"/>
    <n v="393.53"/>
    <n v="127.86"/>
    <n v="11.46"/>
    <n v="2.75"/>
    <n v="6.21"/>
    <n v="0"/>
    <n v="0"/>
    <n v="148.28"/>
    <n v="245.25"/>
    <s v="Profit"/>
    <x v="0"/>
    <n v="4"/>
    <n v="20"/>
    <s v="0-15"/>
    <s v="Yes"/>
    <n v="1"/>
    <s v="At Risk"/>
    <n v="1"/>
  </r>
  <r>
    <n v="100831"/>
    <d v="2025-12-05T00:00:00"/>
    <n v="1056"/>
    <x v="3"/>
    <x v="15"/>
    <x v="2"/>
    <x v="1"/>
    <x v="0"/>
    <s v="Card"/>
    <n v="27.08"/>
    <n v="15.15"/>
    <x v="1"/>
    <n v="82.05"/>
    <n v="328.21"/>
    <n v="199.35"/>
    <n v="3.14"/>
    <n v="6.15"/>
    <n v="1.46"/>
    <n v="259.45"/>
    <n v="0"/>
    <n v="469.55"/>
    <n v="-141.34"/>
    <s v="Loss"/>
    <x v="2"/>
    <n v="5"/>
    <n v="10"/>
    <s v="0-15"/>
    <s v="No"/>
    <n v="1"/>
    <s v="At Risk"/>
    <n v="0"/>
  </r>
  <r>
    <n v="100832"/>
    <d v="2025-11-01T00:00:00"/>
    <n v="1026"/>
    <x v="3"/>
    <x v="8"/>
    <x v="4"/>
    <x v="2"/>
    <x v="0"/>
    <s v="UPI"/>
    <n v="21.71"/>
    <n v="19.28"/>
    <x v="3"/>
    <n v="0"/>
    <n v="418.57"/>
    <n v="132.78"/>
    <n v="12.04"/>
    <n v="2.93"/>
    <n v="7.72"/>
    <n v="322.02"/>
    <n v="0"/>
    <n v="477.49"/>
    <n v="-58.92"/>
    <s v="Loss"/>
    <x v="1"/>
    <n v="18"/>
    <n v="0"/>
    <s v="16-30"/>
    <s v="Yes"/>
    <n v="3"/>
    <s v="At Risk"/>
    <n v="1"/>
  </r>
  <r>
    <n v="100833"/>
    <d v="2025-12-08T00:00:00"/>
    <n v="1013"/>
    <x v="3"/>
    <x v="7"/>
    <x v="2"/>
    <x v="1"/>
    <x v="0"/>
    <s v="UPI"/>
    <n v="24.76"/>
    <n v="15.89"/>
    <x v="2"/>
    <n v="39.340000000000003"/>
    <n v="354.1"/>
    <n v="173.72"/>
    <n v="7.52"/>
    <n v="2.75"/>
    <n v="7.94"/>
    <n v="179.8"/>
    <n v="0"/>
    <n v="371.73"/>
    <n v="-17.63"/>
    <s v="Loss"/>
    <x v="2"/>
    <n v="0"/>
    <n v="1"/>
    <s v="0-15"/>
    <s v="No"/>
    <n v="3"/>
    <s v="At Risk"/>
    <n v="0"/>
  </r>
  <r>
    <n v="100834"/>
    <d v="2025-12-04T00:00:00"/>
    <n v="1083"/>
    <x v="3"/>
    <x v="15"/>
    <x v="2"/>
    <x v="2"/>
    <x v="2"/>
    <s v="UPI"/>
    <n v="14.74"/>
    <n v="18.239999999999998"/>
    <x v="2"/>
    <n v="26.89"/>
    <n v="241.97"/>
    <n v="111.67"/>
    <n v="3.24"/>
    <n v="1.88"/>
    <n v="3.29"/>
    <n v="0"/>
    <n v="0"/>
    <n v="120.08"/>
    <n v="121.89"/>
    <s v="Profit"/>
    <x v="0"/>
    <n v="14"/>
    <n v="9"/>
    <s v="0-15"/>
    <s v="No"/>
    <n v="0"/>
    <s v="Healthy"/>
    <n v="0"/>
  </r>
  <r>
    <n v="100835"/>
    <d v="2025-11-27T00:00:00"/>
    <n v="1002"/>
    <x v="0"/>
    <x v="11"/>
    <x v="4"/>
    <x v="1"/>
    <x v="2"/>
    <s v="UPI"/>
    <n v="17.18"/>
    <n v="14.79"/>
    <x v="3"/>
    <n v="0"/>
    <n v="254.09"/>
    <n v="137.47999999999999"/>
    <n v="12.46"/>
    <n v="1.78"/>
    <n v="7.9"/>
    <n v="0"/>
    <n v="0"/>
    <n v="159.62"/>
    <n v="94.47"/>
    <s v="Profit"/>
    <x v="0"/>
    <n v="13"/>
    <n v="0"/>
    <s v="0-15"/>
    <s v="No"/>
    <n v="0"/>
    <s v="Healthy"/>
    <n v="0"/>
  </r>
  <r>
    <n v="100836"/>
    <d v="2025-12-26T00:00:00"/>
    <n v="1037"/>
    <x v="2"/>
    <x v="9"/>
    <x v="4"/>
    <x v="2"/>
    <x v="0"/>
    <s v="UPI"/>
    <n v="40.85"/>
    <n v="17.420000000000002"/>
    <x v="0"/>
    <n v="106.74"/>
    <n v="604.87"/>
    <n v="346.95"/>
    <n v="13.2"/>
    <n v="4.9800000000000004"/>
    <n v="8.1199999999999992"/>
    <n v="0"/>
    <n v="0"/>
    <n v="373.25"/>
    <n v="231.62"/>
    <s v="Profit"/>
    <x v="0"/>
    <n v="0"/>
    <n v="9"/>
    <s v="0-15"/>
    <s v="No"/>
    <n v="0"/>
    <s v="Healthy"/>
    <n v="0"/>
  </r>
  <r>
    <n v="100837"/>
    <d v="2025-10-30T00:00:00"/>
    <n v="1108"/>
    <x v="2"/>
    <x v="10"/>
    <x v="3"/>
    <x v="3"/>
    <x v="0"/>
    <s v="UPI"/>
    <n v="19.72"/>
    <n v="11.95"/>
    <x v="4"/>
    <n v="11.78"/>
    <n v="223.87"/>
    <n v="117.86"/>
    <n v="1"/>
    <n v="1.65"/>
    <n v="2.81"/>
    <n v="0"/>
    <n v="0"/>
    <n v="123.32"/>
    <n v="100.55"/>
    <s v="Profit"/>
    <x v="0"/>
    <n v="13"/>
    <n v="2"/>
    <s v="0-15"/>
    <s v="No"/>
    <n v="1"/>
    <s v="Healthy"/>
    <n v="0"/>
  </r>
  <r>
    <n v="100838"/>
    <d v="2025-11-19T00:00:00"/>
    <n v="1021"/>
    <x v="0"/>
    <x v="11"/>
    <x v="1"/>
    <x v="1"/>
    <x v="0"/>
    <s v="UPI"/>
    <n v="35.770000000000003"/>
    <n v="17.88"/>
    <x v="4"/>
    <n v="31.98"/>
    <n v="607.59"/>
    <n v="285.42"/>
    <n v="7.05"/>
    <n v="4.4800000000000004"/>
    <n v="0"/>
    <n v="0"/>
    <n v="0"/>
    <n v="296.95"/>
    <n v="310.64"/>
    <s v="Profit"/>
    <x v="0"/>
    <n v="28"/>
    <n v="6"/>
    <s v="16-30"/>
    <s v="Yes"/>
    <n v="1"/>
    <s v="At Risk"/>
    <n v="1"/>
  </r>
  <r>
    <n v="100839"/>
    <d v="2025-10-18T00:00:00"/>
    <n v="1111"/>
    <x v="1"/>
    <x v="13"/>
    <x v="1"/>
    <x v="1"/>
    <x v="2"/>
    <s v="UPI"/>
    <n v="27.34"/>
    <n v="15.29"/>
    <x v="3"/>
    <n v="0"/>
    <n v="418.03"/>
    <n v="210.25"/>
    <n v="7.69"/>
    <n v="2.93"/>
    <n v="5.34"/>
    <n v="0"/>
    <n v="0"/>
    <n v="226.21"/>
    <n v="191.82"/>
    <s v="Profit"/>
    <x v="0"/>
    <n v="7"/>
    <n v="11"/>
    <s v="0-15"/>
    <s v="No"/>
    <n v="0"/>
    <s v="Healthy"/>
    <n v="0"/>
  </r>
  <r>
    <n v="100840"/>
    <d v="2025-12-23T00:00:00"/>
    <n v="1019"/>
    <x v="0"/>
    <x v="11"/>
    <x v="3"/>
    <x v="1"/>
    <x v="2"/>
    <s v="UPI"/>
    <n v="16.690000000000001"/>
    <n v="15.7"/>
    <x v="0"/>
    <n v="39.299999999999997"/>
    <n v="222.73"/>
    <n v="145.06"/>
    <n v="7.97"/>
    <n v="1.83"/>
    <n v="0"/>
    <n v="0"/>
    <n v="0"/>
    <n v="154.86000000000001"/>
    <n v="67.87"/>
    <s v="Profit"/>
    <x v="0"/>
    <n v="6"/>
    <n v="8"/>
    <s v="0-15"/>
    <s v="No"/>
    <n v="0"/>
    <s v="Healthy"/>
    <n v="0"/>
  </r>
  <r>
    <n v="100841"/>
    <d v="2025-11-30T00:00:00"/>
    <n v="1087"/>
    <x v="3"/>
    <x v="7"/>
    <x v="0"/>
    <x v="2"/>
    <x v="0"/>
    <s v="Card"/>
    <n v="26.16"/>
    <n v="19.45"/>
    <x v="0"/>
    <n v="76.319999999999993"/>
    <n v="432.49"/>
    <n v="195.61"/>
    <n v="12.2"/>
    <n v="7.63"/>
    <n v="5.3"/>
    <n v="229.25"/>
    <n v="0"/>
    <n v="449.99"/>
    <n v="-17.5"/>
    <s v="Loss"/>
    <x v="2"/>
    <n v="16"/>
    <n v="25"/>
    <s v="16-30"/>
    <s v="Yes"/>
    <n v="3"/>
    <s v="At Risk"/>
    <n v="1"/>
  </r>
  <r>
    <n v="100842"/>
    <d v="2025-12-02T00:00:00"/>
    <n v="1094"/>
    <x v="0"/>
    <x v="11"/>
    <x v="3"/>
    <x v="1"/>
    <x v="0"/>
    <s v="Card"/>
    <n v="24.15"/>
    <n v="15.29"/>
    <x v="3"/>
    <n v="0"/>
    <n v="369.25"/>
    <n v="158.19999999999999"/>
    <n v="7.22"/>
    <n v="5.54"/>
    <n v="2.89"/>
    <n v="0"/>
    <n v="0"/>
    <n v="173.85"/>
    <n v="195.4"/>
    <s v="Profit"/>
    <x v="0"/>
    <n v="41"/>
    <n v="2"/>
    <s v="30+"/>
    <s v="Yes"/>
    <n v="1"/>
    <s v="At Risk"/>
    <n v="1"/>
  </r>
  <r>
    <n v="100843"/>
    <d v="2025-11-29T00:00:00"/>
    <n v="1039"/>
    <x v="2"/>
    <x v="12"/>
    <x v="4"/>
    <x v="0"/>
    <x v="0"/>
    <s v="UPI"/>
    <n v="36.25"/>
    <n v="19.3"/>
    <x v="2"/>
    <n v="69.959999999999994"/>
    <n v="629.66"/>
    <n v="287.17"/>
    <n v="5.72"/>
    <n v="4.9000000000000004"/>
    <n v="0"/>
    <n v="655.79"/>
    <n v="0"/>
    <n v="953.58"/>
    <n v="-323.92"/>
    <s v="Loss"/>
    <x v="1"/>
    <n v="9"/>
    <n v="3"/>
    <s v="0-15"/>
    <s v="Yes"/>
    <n v="2"/>
    <s v="At Risk"/>
    <n v="1"/>
  </r>
  <r>
    <n v="100844"/>
    <d v="2025-11-04T00:00:00"/>
    <n v="1130"/>
    <x v="1"/>
    <x v="13"/>
    <x v="1"/>
    <x v="0"/>
    <x v="0"/>
    <s v="Fleet_Invoice"/>
    <n v="33.380000000000003"/>
    <n v="18.29"/>
    <x v="3"/>
    <n v="0"/>
    <n v="610.52"/>
    <n v="264.14"/>
    <n v="2.42"/>
    <n v="2.44"/>
    <n v="5.71"/>
    <n v="0"/>
    <n v="0"/>
    <n v="274.70999999999998"/>
    <n v="335.81"/>
    <s v="Profit"/>
    <x v="0"/>
    <n v="10"/>
    <n v="4"/>
    <s v="0-15"/>
    <s v="No"/>
    <n v="0"/>
    <s v="Healthy"/>
    <n v="0"/>
  </r>
  <r>
    <n v="100845"/>
    <d v="2025-12-21T00:00:00"/>
    <n v="1022"/>
    <x v="3"/>
    <x v="14"/>
    <x v="3"/>
    <x v="3"/>
    <x v="0"/>
    <s v="Wallet"/>
    <n v="17.940000000000001"/>
    <n v="12.7"/>
    <x v="0"/>
    <n v="34.18"/>
    <n v="193.66"/>
    <n v="142.82"/>
    <n v="5.39"/>
    <n v="2.73"/>
    <n v="5.33"/>
    <n v="0"/>
    <n v="0"/>
    <n v="156.27000000000001"/>
    <n v="37.39"/>
    <s v="Profit"/>
    <x v="0"/>
    <n v="1"/>
    <n v="8"/>
    <s v="0-15"/>
    <s v="No"/>
    <n v="0"/>
    <s v="Healthy"/>
    <n v="0"/>
  </r>
  <r>
    <n v="100846"/>
    <d v="2025-11-01T00:00:00"/>
    <n v="1149"/>
    <x v="3"/>
    <x v="8"/>
    <x v="0"/>
    <x v="1"/>
    <x v="2"/>
    <s v="Fleet_Invoice"/>
    <n v="33.409999999999997"/>
    <n v="15.87"/>
    <x v="0"/>
    <n v="79.53"/>
    <n v="450.69"/>
    <n v="226.43"/>
    <n v="11.98"/>
    <n v="2.12"/>
    <n v="6.07"/>
    <n v="229.9"/>
    <n v="19.7"/>
    <n v="496.2"/>
    <n v="-45.51"/>
    <s v="Loss"/>
    <x v="1"/>
    <n v="1"/>
    <n v="29"/>
    <s v="0-15"/>
    <s v="Yes"/>
    <n v="1"/>
    <s v="At Risk"/>
    <n v="1"/>
  </r>
  <r>
    <n v="100847"/>
    <d v="2025-11-19T00:00:00"/>
    <n v="1002"/>
    <x v="1"/>
    <x v="3"/>
    <x v="0"/>
    <x v="3"/>
    <x v="0"/>
    <s v="UPI"/>
    <n v="27.95"/>
    <n v="14.05"/>
    <x v="3"/>
    <n v="0"/>
    <n v="392.7"/>
    <n v="165.11"/>
    <n v="10.82"/>
    <n v="2.75"/>
    <n v="11.37"/>
    <n v="188.35"/>
    <n v="0"/>
    <n v="378.4"/>
    <n v="14.3"/>
    <s v="Profit"/>
    <x v="1"/>
    <n v="8"/>
    <n v="7"/>
    <s v="0-15"/>
    <s v="Yes"/>
    <n v="2"/>
    <s v="At Risk"/>
    <n v="1"/>
  </r>
  <r>
    <n v="100848"/>
    <d v="2025-12-23T00:00:00"/>
    <n v="1103"/>
    <x v="0"/>
    <x v="1"/>
    <x v="0"/>
    <x v="1"/>
    <x v="0"/>
    <s v="UPI"/>
    <n v="32.56"/>
    <n v="15.09"/>
    <x v="4"/>
    <n v="24.57"/>
    <n v="466.76"/>
    <n v="211.2"/>
    <n v="8.8000000000000007"/>
    <n v="3.44"/>
    <n v="9.2200000000000006"/>
    <n v="0"/>
    <n v="0"/>
    <n v="232.66"/>
    <n v="234.1"/>
    <s v="Profit"/>
    <x v="0"/>
    <n v="4"/>
    <n v="17"/>
    <s v="0-15"/>
    <s v="Yes"/>
    <n v="3"/>
    <s v="At Risk"/>
    <n v="1"/>
  </r>
  <r>
    <n v="100849"/>
    <d v="2025-12-01T00:00:00"/>
    <n v="1018"/>
    <x v="0"/>
    <x v="11"/>
    <x v="1"/>
    <x v="3"/>
    <x v="1"/>
    <s v="UPI"/>
    <n v="20.46"/>
    <n v="12.4"/>
    <x v="4"/>
    <n v="12.68"/>
    <n v="241.02"/>
    <n v="148.65"/>
    <n v="8.8000000000000007"/>
    <n v="1.78"/>
    <n v="3.54"/>
    <n v="0"/>
    <n v="0"/>
    <n v="162.77000000000001"/>
    <n v="78.25"/>
    <s v="Profit"/>
    <x v="0"/>
    <n v="0"/>
    <n v="9"/>
    <s v="0-15"/>
    <s v="No"/>
    <n v="0"/>
    <s v="Healthy"/>
    <n v="0"/>
  </r>
  <r>
    <n v="100850"/>
    <d v="2025-11-09T00:00:00"/>
    <n v="1063"/>
    <x v="0"/>
    <x v="0"/>
    <x v="2"/>
    <x v="3"/>
    <x v="0"/>
    <s v="Card"/>
    <n v="14.4"/>
    <n v="12.29"/>
    <x v="4"/>
    <n v="8.85"/>
    <n v="168.13"/>
    <n v="113.46"/>
    <n v="3.57"/>
    <n v="2.65"/>
    <n v="11.81"/>
    <n v="0"/>
    <n v="0"/>
    <n v="131.49"/>
    <n v="36.64"/>
    <s v="Profit"/>
    <x v="0"/>
    <n v="8"/>
    <n v="0"/>
    <s v="0-15"/>
    <s v="No"/>
    <n v="0"/>
    <s v="Healthy"/>
    <n v="0"/>
  </r>
  <r>
    <n v="100851"/>
    <d v="2025-12-03T00:00:00"/>
    <n v="1026"/>
    <x v="3"/>
    <x v="8"/>
    <x v="0"/>
    <x v="2"/>
    <x v="0"/>
    <s v="UPI"/>
    <n v="19.05"/>
    <n v="19.62"/>
    <x v="2"/>
    <n v="37.380000000000003"/>
    <n v="336.38"/>
    <n v="143.62"/>
    <n v="6.14"/>
    <n v="2.62"/>
    <n v="6.2"/>
    <n v="0"/>
    <n v="0"/>
    <n v="158.58000000000001"/>
    <n v="177.8"/>
    <s v="Profit"/>
    <x v="0"/>
    <n v="20"/>
    <n v="4"/>
    <s v="16-30"/>
    <s v="No"/>
    <n v="0"/>
    <s v="Healthy"/>
    <n v="0"/>
  </r>
  <r>
    <n v="100852"/>
    <d v="2025-12-27T00:00:00"/>
    <n v="1139"/>
    <x v="1"/>
    <x v="13"/>
    <x v="4"/>
    <x v="1"/>
    <x v="0"/>
    <s v="Wallet"/>
    <n v="37.83"/>
    <n v="16.170000000000002"/>
    <x v="4"/>
    <n v="30.59"/>
    <n v="581.12"/>
    <n v="325.32"/>
    <n v="8.85"/>
    <n v="7.34"/>
    <n v="5.99"/>
    <n v="0"/>
    <n v="0"/>
    <n v="347.5"/>
    <n v="233.62"/>
    <s v="Profit"/>
    <x v="0"/>
    <n v="36"/>
    <n v="3"/>
    <s v="30+"/>
    <s v="Yes"/>
    <n v="2"/>
    <s v="At Risk"/>
    <n v="1"/>
  </r>
  <r>
    <n v="100853"/>
    <d v="2025-12-22T00:00:00"/>
    <n v="1099"/>
    <x v="1"/>
    <x v="13"/>
    <x v="1"/>
    <x v="2"/>
    <x v="0"/>
    <s v="Card"/>
    <n v="31.68"/>
    <n v="20.16"/>
    <x v="3"/>
    <n v="0"/>
    <n v="638.66999999999996"/>
    <n v="228.53"/>
    <n v="7.85"/>
    <n v="9.58"/>
    <n v="8.58"/>
    <n v="0"/>
    <n v="0"/>
    <n v="254.54"/>
    <n v="384.13"/>
    <s v="Profit"/>
    <x v="0"/>
    <n v="9"/>
    <n v="2"/>
    <s v="0-15"/>
    <s v="No"/>
    <n v="0"/>
    <s v="Healthy"/>
    <n v="0"/>
  </r>
  <r>
    <n v="100854"/>
    <d v="2025-10-28T00:00:00"/>
    <n v="1125"/>
    <x v="3"/>
    <x v="8"/>
    <x v="1"/>
    <x v="0"/>
    <x v="1"/>
    <s v="UPI"/>
    <n v="27.21"/>
    <n v="19.05"/>
    <x v="3"/>
    <n v="0"/>
    <n v="518.35"/>
    <n v="207.41"/>
    <n v="7.33"/>
    <n v="3.63"/>
    <n v="8.19"/>
    <n v="0"/>
    <n v="0"/>
    <n v="226.56"/>
    <n v="291.79000000000002"/>
    <s v="Profit"/>
    <x v="0"/>
    <n v="1"/>
    <n v="2"/>
    <s v="0-15"/>
    <s v="No"/>
    <n v="0"/>
    <s v="Healthy"/>
    <n v="0"/>
  </r>
  <r>
    <n v="100855"/>
    <d v="2025-11-02T00:00:00"/>
    <n v="1127"/>
    <x v="2"/>
    <x v="5"/>
    <x v="1"/>
    <x v="2"/>
    <x v="0"/>
    <s v="Wallet"/>
    <n v="31.3"/>
    <n v="17.940000000000001"/>
    <x v="3"/>
    <n v="0"/>
    <n v="561.52"/>
    <n v="262.72000000000003"/>
    <n v="8.75"/>
    <n v="6.74"/>
    <n v="6.26"/>
    <n v="0"/>
    <n v="0"/>
    <n v="284.47000000000003"/>
    <n v="277.05"/>
    <s v="Profit"/>
    <x v="0"/>
    <n v="14"/>
    <n v="43"/>
    <s v="0-15"/>
    <s v="Yes"/>
    <n v="2"/>
    <s v="At Risk"/>
    <n v="1"/>
  </r>
  <r>
    <n v="100856"/>
    <d v="2025-10-31T00:00:00"/>
    <n v="1049"/>
    <x v="3"/>
    <x v="8"/>
    <x v="3"/>
    <x v="0"/>
    <x v="0"/>
    <s v="UPI"/>
    <n v="10.23"/>
    <n v="18.68"/>
    <x v="0"/>
    <n v="28.66"/>
    <n v="162.44"/>
    <n v="83.91"/>
    <n v="3.55"/>
    <n v="1.34"/>
    <n v="0.34"/>
    <n v="0"/>
    <n v="0"/>
    <n v="89.14"/>
    <n v="73.3"/>
    <s v="Profit"/>
    <x v="0"/>
    <n v="7"/>
    <n v="23"/>
    <s v="0-15"/>
    <s v="Yes"/>
    <n v="1"/>
    <s v="At Risk"/>
    <n v="1"/>
  </r>
  <r>
    <n v="100857"/>
    <d v="2025-10-02T00:00:00"/>
    <n v="1134"/>
    <x v="1"/>
    <x v="4"/>
    <x v="2"/>
    <x v="1"/>
    <x v="0"/>
    <s v="UPI"/>
    <n v="40"/>
    <n v="15.76"/>
    <x v="0"/>
    <n v="94.56"/>
    <n v="535.84"/>
    <n v="308.67"/>
    <n v="8.81"/>
    <n v="4.41"/>
    <n v="13.39"/>
    <n v="0"/>
    <n v="0"/>
    <n v="335.28"/>
    <n v="200.56"/>
    <s v="Profit"/>
    <x v="0"/>
    <n v="1"/>
    <n v="13"/>
    <s v="0-15"/>
    <s v="No"/>
    <n v="0"/>
    <s v="Healthy"/>
    <n v="0"/>
  </r>
  <r>
    <n v="100858"/>
    <d v="2025-10-09T00:00:00"/>
    <n v="1060"/>
    <x v="1"/>
    <x v="2"/>
    <x v="0"/>
    <x v="2"/>
    <x v="0"/>
    <s v="UPI"/>
    <n v="29.72"/>
    <n v="16.87"/>
    <x v="3"/>
    <n v="0"/>
    <n v="501.38"/>
    <n v="209.45"/>
    <n v="13.49"/>
    <n v="3.51"/>
    <n v="6.14"/>
    <n v="0"/>
    <n v="0"/>
    <n v="232.59"/>
    <n v="268.79000000000002"/>
    <s v="Profit"/>
    <x v="0"/>
    <n v="13"/>
    <n v="0"/>
    <s v="0-15"/>
    <s v="No"/>
    <n v="0"/>
    <s v="Healthy"/>
    <n v="0"/>
  </r>
  <r>
    <n v="100859"/>
    <d v="2025-11-18T00:00:00"/>
    <n v="1109"/>
    <x v="2"/>
    <x v="12"/>
    <x v="1"/>
    <x v="2"/>
    <x v="0"/>
    <s v="UPI"/>
    <n v="9.56"/>
    <n v="17.55"/>
    <x v="3"/>
    <n v="0"/>
    <n v="167.78"/>
    <n v="68.209999999999994"/>
    <n v="9.1199999999999992"/>
    <n v="1.17"/>
    <n v="0"/>
    <n v="0"/>
    <n v="0"/>
    <n v="78.5"/>
    <n v="89.28"/>
    <s v="Profit"/>
    <x v="0"/>
    <n v="5"/>
    <n v="1"/>
    <s v="0-15"/>
    <s v="No"/>
    <n v="1"/>
    <s v="Healthy"/>
    <n v="0"/>
  </r>
  <r>
    <n v="100860"/>
    <d v="2025-10-16T00:00:00"/>
    <n v="1028"/>
    <x v="3"/>
    <x v="15"/>
    <x v="3"/>
    <x v="0"/>
    <x v="0"/>
    <s v="UPI"/>
    <n v="27.1"/>
    <n v="18.57"/>
    <x v="3"/>
    <n v="0"/>
    <n v="503.25"/>
    <n v="161.69999999999999"/>
    <n v="4.07"/>
    <n v="3.52"/>
    <n v="0"/>
    <n v="0"/>
    <n v="0"/>
    <n v="169.29"/>
    <n v="333.96"/>
    <s v="Profit"/>
    <x v="0"/>
    <n v="13"/>
    <n v="45"/>
    <s v="0-15"/>
    <s v="Yes"/>
    <n v="2"/>
    <s v="At Risk"/>
    <n v="1"/>
  </r>
  <r>
    <n v="100861"/>
    <d v="2025-10-24T00:00:00"/>
    <n v="1140"/>
    <x v="2"/>
    <x v="5"/>
    <x v="1"/>
    <x v="3"/>
    <x v="0"/>
    <s v="Card"/>
    <n v="23.78"/>
    <n v="12.59"/>
    <x v="0"/>
    <n v="44.91"/>
    <n v="254.48"/>
    <n v="148.94999999999999"/>
    <n v="8.6199999999999992"/>
    <n v="4.49"/>
    <n v="1.52"/>
    <n v="0"/>
    <n v="0"/>
    <n v="163.58000000000001"/>
    <n v="90.9"/>
    <s v="Profit"/>
    <x v="0"/>
    <n v="11"/>
    <n v="16"/>
    <s v="0-15"/>
    <s v="Yes"/>
    <n v="3"/>
    <s v="At Risk"/>
    <n v="1"/>
  </r>
  <r>
    <n v="100862"/>
    <d v="2025-10-25T00:00:00"/>
    <n v="1074"/>
    <x v="3"/>
    <x v="15"/>
    <x v="2"/>
    <x v="1"/>
    <x v="0"/>
    <s v="UPI"/>
    <n v="29.93"/>
    <n v="15.97"/>
    <x v="4"/>
    <n v="23.9"/>
    <n v="454.08"/>
    <n v="191.89"/>
    <n v="1.7"/>
    <n v="3.35"/>
    <n v="11.43"/>
    <n v="0"/>
    <n v="0"/>
    <n v="208.37"/>
    <n v="245.71"/>
    <s v="Profit"/>
    <x v="0"/>
    <n v="27"/>
    <n v="12"/>
    <s v="16-30"/>
    <s v="Yes"/>
    <n v="1"/>
    <s v="At Risk"/>
    <n v="1"/>
  </r>
  <r>
    <n v="100863"/>
    <d v="2025-11-14T00:00:00"/>
    <n v="1055"/>
    <x v="2"/>
    <x v="12"/>
    <x v="3"/>
    <x v="3"/>
    <x v="0"/>
    <s v="Wallet"/>
    <n v="11.86"/>
    <n v="13.39"/>
    <x v="4"/>
    <n v="7.94"/>
    <n v="150.87"/>
    <n v="78.67"/>
    <n v="11.02"/>
    <n v="1.91"/>
    <n v="3.45"/>
    <n v="0"/>
    <n v="0"/>
    <n v="95.05"/>
    <n v="55.82"/>
    <s v="Profit"/>
    <x v="0"/>
    <n v="2"/>
    <n v="9"/>
    <s v="0-15"/>
    <s v="No"/>
    <n v="2"/>
    <s v="Healthy"/>
    <n v="0"/>
  </r>
  <r>
    <n v="100864"/>
    <d v="2025-10-18T00:00:00"/>
    <n v="1143"/>
    <x v="1"/>
    <x v="13"/>
    <x v="1"/>
    <x v="2"/>
    <x v="2"/>
    <s v="Fleet_Invoice"/>
    <n v="28.62"/>
    <n v="16.53"/>
    <x v="4"/>
    <n v="23.65"/>
    <n v="449.44"/>
    <n v="201.57"/>
    <n v="8.0500000000000007"/>
    <n v="1.89"/>
    <n v="5.24"/>
    <n v="0"/>
    <n v="0"/>
    <n v="216.75"/>
    <n v="232.69"/>
    <s v="Profit"/>
    <x v="0"/>
    <n v="0"/>
    <n v="17"/>
    <s v="0-15"/>
    <s v="Yes"/>
    <n v="2"/>
    <s v="At Risk"/>
    <n v="1"/>
  </r>
  <r>
    <n v="100865"/>
    <d v="2025-12-24T00:00:00"/>
    <n v="1047"/>
    <x v="3"/>
    <x v="15"/>
    <x v="0"/>
    <x v="1"/>
    <x v="2"/>
    <s v="Fleet_Invoice"/>
    <n v="21.38"/>
    <n v="17.12"/>
    <x v="3"/>
    <n v="0"/>
    <n v="366.03"/>
    <n v="160.34"/>
    <n v="6.76"/>
    <n v="1.46"/>
    <n v="5.09"/>
    <n v="0"/>
    <n v="0"/>
    <n v="173.65"/>
    <n v="192.38"/>
    <s v="Profit"/>
    <x v="0"/>
    <n v="4"/>
    <n v="0"/>
    <s v="0-15"/>
    <s v="No"/>
    <n v="0"/>
    <s v="Healthy"/>
    <n v="0"/>
  </r>
  <r>
    <n v="100866"/>
    <d v="2025-12-05T00:00:00"/>
    <n v="1015"/>
    <x v="3"/>
    <x v="15"/>
    <x v="1"/>
    <x v="3"/>
    <x v="0"/>
    <s v="UPI"/>
    <n v="9.6199999999999992"/>
    <n v="11.61"/>
    <x v="3"/>
    <n v="0"/>
    <n v="111.69"/>
    <n v="75.63"/>
    <n v="10.7"/>
    <n v="0.78"/>
    <n v="10.79"/>
    <n v="0"/>
    <n v="0"/>
    <n v="97.9"/>
    <n v="13.79"/>
    <s v="Profit"/>
    <x v="0"/>
    <n v="16"/>
    <n v="4"/>
    <s v="16-30"/>
    <s v="No"/>
    <n v="0"/>
    <s v="Healthy"/>
    <n v="0"/>
  </r>
  <r>
    <n v="100867"/>
    <d v="2025-11-17T00:00:00"/>
    <n v="1005"/>
    <x v="3"/>
    <x v="7"/>
    <x v="3"/>
    <x v="2"/>
    <x v="2"/>
    <s v="UPI"/>
    <n v="41.64"/>
    <n v="18.190000000000001"/>
    <x v="3"/>
    <n v="0"/>
    <n v="757.43"/>
    <n v="297.57"/>
    <n v="8.83"/>
    <n v="5.3"/>
    <n v="4.28"/>
    <n v="0"/>
    <n v="0"/>
    <n v="315.98"/>
    <n v="441.45"/>
    <s v="Profit"/>
    <x v="0"/>
    <n v="3"/>
    <n v="2"/>
    <s v="0-15"/>
    <s v="No"/>
    <n v="0"/>
    <s v="Healthy"/>
    <n v="0"/>
  </r>
  <r>
    <n v="100868"/>
    <d v="2025-12-31T00:00:00"/>
    <n v="1098"/>
    <x v="1"/>
    <x v="4"/>
    <x v="4"/>
    <x v="3"/>
    <x v="0"/>
    <s v="Fleet_Invoice"/>
    <n v="27.76"/>
    <n v="11.65"/>
    <x v="3"/>
    <n v="0"/>
    <n v="323.39999999999998"/>
    <n v="216.69"/>
    <n v="7.55"/>
    <n v="1.29"/>
    <n v="0.9"/>
    <n v="0"/>
    <n v="0"/>
    <n v="226.43"/>
    <n v="96.97"/>
    <s v="Profit"/>
    <x v="0"/>
    <n v="5"/>
    <n v="11"/>
    <s v="0-15"/>
    <s v="No"/>
    <n v="0"/>
    <s v="Healthy"/>
    <n v="0"/>
  </r>
  <r>
    <n v="100869"/>
    <d v="2025-12-19T00:00:00"/>
    <n v="1072"/>
    <x v="0"/>
    <x v="0"/>
    <x v="3"/>
    <x v="3"/>
    <x v="0"/>
    <s v="UPI"/>
    <n v="11.4"/>
    <n v="14.79"/>
    <x v="4"/>
    <n v="8.43"/>
    <n v="160.18"/>
    <n v="75.64"/>
    <n v="4.78"/>
    <n v="1.18"/>
    <n v="5.32"/>
    <n v="0"/>
    <n v="0"/>
    <n v="86.92"/>
    <n v="73.260000000000005"/>
    <s v="Profit"/>
    <x v="0"/>
    <n v="1"/>
    <n v="3"/>
    <s v="0-15"/>
    <s v="No"/>
    <n v="0"/>
    <s v="Healthy"/>
    <n v="0"/>
  </r>
  <r>
    <n v="100870"/>
    <d v="2025-12-31T00:00:00"/>
    <n v="1063"/>
    <x v="0"/>
    <x v="1"/>
    <x v="0"/>
    <x v="3"/>
    <x v="0"/>
    <s v="Wallet"/>
    <n v="16.3"/>
    <n v="12.02"/>
    <x v="0"/>
    <n v="29.39"/>
    <n v="166.54"/>
    <n v="141.69999999999999"/>
    <n v="8.64"/>
    <n v="2.35"/>
    <n v="1.71"/>
    <n v="139.91"/>
    <n v="0"/>
    <n v="294.31"/>
    <n v="-127.77"/>
    <s v="Loss"/>
    <x v="1"/>
    <n v="0"/>
    <n v="1"/>
    <s v="0-15"/>
    <s v="Yes"/>
    <n v="1"/>
    <s v="At Risk"/>
    <n v="1"/>
  </r>
  <r>
    <n v="100871"/>
    <d v="2025-12-26T00:00:00"/>
    <n v="1020"/>
    <x v="3"/>
    <x v="14"/>
    <x v="2"/>
    <x v="1"/>
    <x v="0"/>
    <s v="Card"/>
    <n v="31.74"/>
    <n v="15.9"/>
    <x v="2"/>
    <n v="50.47"/>
    <n v="454.2"/>
    <n v="197.95"/>
    <n v="13.62"/>
    <n v="7.57"/>
    <n v="4.45"/>
    <n v="0"/>
    <n v="0"/>
    <n v="223.59"/>
    <n v="230.61"/>
    <s v="Profit"/>
    <x v="0"/>
    <n v="0"/>
    <n v="4"/>
    <s v="0-15"/>
    <s v="No"/>
    <n v="0"/>
    <s v="Healthy"/>
    <n v="0"/>
  </r>
  <r>
    <n v="100872"/>
    <d v="2025-11-03T00:00:00"/>
    <n v="1022"/>
    <x v="0"/>
    <x v="1"/>
    <x v="3"/>
    <x v="2"/>
    <x v="0"/>
    <s v="UPI"/>
    <n v="31.03"/>
    <n v="17.84"/>
    <x v="1"/>
    <n v="110.72"/>
    <n v="442.86"/>
    <n v="243.19"/>
    <n v="8.56"/>
    <n v="3.88"/>
    <n v="11.47"/>
    <n v="0"/>
    <n v="0"/>
    <n v="267.10000000000002"/>
    <n v="175.76"/>
    <s v="Profit"/>
    <x v="0"/>
    <n v="1"/>
    <n v="0"/>
    <s v="0-15"/>
    <s v="No"/>
    <n v="0"/>
    <s v="Healthy"/>
    <n v="0"/>
  </r>
  <r>
    <n v="100873"/>
    <d v="2025-11-01T00:00:00"/>
    <n v="1105"/>
    <x v="2"/>
    <x v="10"/>
    <x v="2"/>
    <x v="3"/>
    <x v="2"/>
    <s v="Wallet"/>
    <n v="18.46"/>
    <n v="13.17"/>
    <x v="0"/>
    <n v="36.47"/>
    <n v="206.65"/>
    <n v="159.87"/>
    <n v="3.94"/>
    <n v="2.92"/>
    <n v="5.23"/>
    <n v="0"/>
    <n v="0"/>
    <n v="171.96"/>
    <n v="34.69"/>
    <s v="Profit"/>
    <x v="0"/>
    <n v="5"/>
    <n v="29"/>
    <s v="0-15"/>
    <s v="Yes"/>
    <n v="2"/>
    <s v="At Risk"/>
    <n v="1"/>
  </r>
  <r>
    <n v="100874"/>
    <d v="2025-12-11T00:00:00"/>
    <n v="1134"/>
    <x v="0"/>
    <x v="0"/>
    <x v="4"/>
    <x v="3"/>
    <x v="2"/>
    <s v="UPI"/>
    <n v="13.09"/>
    <n v="13.16"/>
    <x v="4"/>
    <n v="8.61"/>
    <n v="163.65"/>
    <n v="81.14"/>
    <n v="4"/>
    <n v="1.21"/>
    <n v="7.17"/>
    <n v="0"/>
    <n v="0"/>
    <n v="93.52"/>
    <n v="70.13"/>
    <s v="Profit"/>
    <x v="0"/>
    <n v="38"/>
    <n v="0"/>
    <s v="30+"/>
    <s v="Yes"/>
    <n v="3"/>
    <s v="At Risk"/>
    <n v="1"/>
  </r>
  <r>
    <n v="100875"/>
    <d v="2025-10-16T00:00:00"/>
    <n v="1108"/>
    <x v="3"/>
    <x v="14"/>
    <x v="0"/>
    <x v="3"/>
    <x v="1"/>
    <s v="Fleet_Invoice"/>
    <n v="17.25"/>
    <n v="12.77"/>
    <x v="3"/>
    <n v="0"/>
    <n v="220.28"/>
    <n v="124.59"/>
    <n v="9.67"/>
    <n v="0.88"/>
    <n v="6.74"/>
    <n v="145.79"/>
    <n v="0.32"/>
    <n v="287.99"/>
    <n v="-67.709999999999994"/>
    <s v="Loss"/>
    <x v="2"/>
    <n v="11"/>
    <n v="2"/>
    <s v="0-15"/>
    <s v="No"/>
    <n v="1"/>
    <s v="At Risk"/>
    <n v="0"/>
  </r>
  <r>
    <n v="100876"/>
    <d v="2025-12-02T00:00:00"/>
    <n v="1035"/>
    <x v="3"/>
    <x v="15"/>
    <x v="3"/>
    <x v="1"/>
    <x v="0"/>
    <s v="UPI"/>
    <n v="26.46"/>
    <n v="14.93"/>
    <x v="3"/>
    <n v="0"/>
    <n v="395.05"/>
    <n v="215.43"/>
    <n v="8.4700000000000006"/>
    <n v="2.77"/>
    <n v="6.78"/>
    <n v="200.54"/>
    <n v="0"/>
    <n v="433.99"/>
    <n v="-38.94"/>
    <s v="Loss"/>
    <x v="1"/>
    <n v="52"/>
    <n v="8"/>
    <s v="30+"/>
    <s v="Yes"/>
    <n v="2"/>
    <s v="At Risk"/>
    <n v="1"/>
  </r>
  <r>
    <n v="100877"/>
    <d v="2025-10-18T00:00:00"/>
    <n v="1103"/>
    <x v="1"/>
    <x v="3"/>
    <x v="1"/>
    <x v="1"/>
    <x v="0"/>
    <s v="Fleet_Invoice"/>
    <n v="30.07"/>
    <n v="15.56"/>
    <x v="3"/>
    <n v="0"/>
    <n v="467.89"/>
    <n v="242.14"/>
    <n v="5.73"/>
    <n v="1.87"/>
    <n v="2.41"/>
    <n v="0"/>
    <n v="0"/>
    <n v="252.15"/>
    <n v="215.74"/>
    <s v="Profit"/>
    <x v="0"/>
    <n v="13"/>
    <n v="26"/>
    <s v="0-15"/>
    <s v="Yes"/>
    <n v="2"/>
    <s v="At Risk"/>
    <n v="1"/>
  </r>
  <r>
    <n v="100878"/>
    <d v="2025-10-21T00:00:00"/>
    <n v="1007"/>
    <x v="2"/>
    <x v="12"/>
    <x v="0"/>
    <x v="3"/>
    <x v="2"/>
    <s v="UPI"/>
    <n v="19.170000000000002"/>
    <n v="12.47"/>
    <x v="0"/>
    <n v="35.86"/>
    <n v="203.19"/>
    <n v="136.93"/>
    <n v="4.0999999999999996"/>
    <n v="1.67"/>
    <n v="5.36"/>
    <n v="0"/>
    <n v="0"/>
    <n v="148.06"/>
    <n v="55.13"/>
    <s v="Profit"/>
    <x v="0"/>
    <n v="14"/>
    <n v="7"/>
    <s v="0-15"/>
    <s v="No"/>
    <n v="0"/>
    <s v="Healthy"/>
    <n v="0"/>
  </r>
  <r>
    <n v="100879"/>
    <d v="2025-10-20T00:00:00"/>
    <n v="1011"/>
    <x v="0"/>
    <x v="6"/>
    <x v="4"/>
    <x v="0"/>
    <x v="0"/>
    <s v="UPI"/>
    <n v="28.38"/>
    <n v="20.07"/>
    <x v="4"/>
    <n v="28.48"/>
    <n v="541.11"/>
    <n v="244.34"/>
    <n v="7.12"/>
    <n v="3.99"/>
    <n v="13.48"/>
    <n v="216.87"/>
    <n v="0"/>
    <n v="485.8"/>
    <n v="55.31"/>
    <s v="Profit"/>
    <x v="1"/>
    <n v="2"/>
    <n v="8"/>
    <s v="0-15"/>
    <s v="Yes"/>
    <n v="3"/>
    <s v="At Risk"/>
    <n v="1"/>
  </r>
  <r>
    <n v="100880"/>
    <d v="2025-12-08T00:00:00"/>
    <n v="1034"/>
    <x v="1"/>
    <x v="2"/>
    <x v="1"/>
    <x v="3"/>
    <x v="0"/>
    <s v="UPI"/>
    <n v="14.29"/>
    <n v="11.72"/>
    <x v="0"/>
    <n v="25.12"/>
    <n v="142.36000000000001"/>
    <n v="117.59"/>
    <n v="9.36"/>
    <n v="1.17"/>
    <n v="1.0900000000000001"/>
    <n v="0"/>
    <n v="0"/>
    <n v="129.21"/>
    <n v="13.15"/>
    <s v="Profit"/>
    <x v="0"/>
    <n v="2"/>
    <n v="5"/>
    <s v="0-15"/>
    <s v="No"/>
    <n v="0"/>
    <s v="Healthy"/>
    <n v="0"/>
  </r>
  <r>
    <n v="100881"/>
    <d v="2025-12-19T00:00:00"/>
    <n v="1090"/>
    <x v="2"/>
    <x v="5"/>
    <x v="3"/>
    <x v="0"/>
    <x v="0"/>
    <s v="UPI"/>
    <n v="19.45"/>
    <n v="18.649999999999999"/>
    <x v="3"/>
    <n v="0"/>
    <n v="362.74"/>
    <n v="121.26"/>
    <n v="5.27"/>
    <n v="2.54"/>
    <n v="8.9600000000000009"/>
    <n v="0"/>
    <n v="0"/>
    <n v="138.03"/>
    <n v="224.71"/>
    <s v="Profit"/>
    <x v="0"/>
    <n v="1"/>
    <n v="6"/>
    <s v="0-15"/>
    <s v="No"/>
    <n v="0"/>
    <s v="Healthy"/>
    <n v="0"/>
  </r>
  <r>
    <n v="100882"/>
    <d v="2025-12-28T00:00:00"/>
    <n v="1013"/>
    <x v="2"/>
    <x v="10"/>
    <x v="1"/>
    <x v="2"/>
    <x v="0"/>
    <s v="Fleet_Invoice"/>
    <n v="35.18"/>
    <n v="17.02"/>
    <x v="2"/>
    <n v="59.88"/>
    <n v="538.88"/>
    <n v="256.61"/>
    <n v="8.07"/>
    <n v="2.4"/>
    <n v="10.7"/>
    <n v="0"/>
    <n v="0"/>
    <n v="277.77999999999997"/>
    <n v="261.10000000000002"/>
    <s v="Profit"/>
    <x v="0"/>
    <n v="3"/>
    <n v="2"/>
    <s v="0-15"/>
    <s v="No"/>
    <n v="1"/>
    <s v="Healthy"/>
    <n v="0"/>
  </r>
  <r>
    <n v="100883"/>
    <d v="2025-11-21T00:00:00"/>
    <n v="1087"/>
    <x v="0"/>
    <x v="1"/>
    <x v="4"/>
    <x v="3"/>
    <x v="1"/>
    <s v="UPI"/>
    <n v="11.13"/>
    <n v="14.17"/>
    <x v="3"/>
    <n v="0"/>
    <n v="157.71"/>
    <n v="85.62"/>
    <n v="8.6999999999999993"/>
    <n v="1.1000000000000001"/>
    <n v="7.91"/>
    <n v="0"/>
    <n v="0"/>
    <n v="103.33"/>
    <n v="54.38"/>
    <s v="Profit"/>
    <x v="0"/>
    <n v="17"/>
    <n v="1"/>
    <s v="16-30"/>
    <s v="No"/>
    <n v="0"/>
    <s v="Healthy"/>
    <n v="0"/>
  </r>
  <r>
    <n v="100884"/>
    <d v="2025-10-28T00:00:00"/>
    <n v="1126"/>
    <x v="1"/>
    <x v="13"/>
    <x v="3"/>
    <x v="2"/>
    <x v="2"/>
    <s v="UPI"/>
    <n v="16.43"/>
    <n v="17.670000000000002"/>
    <x v="2"/>
    <n v="29.03"/>
    <n v="261.29000000000002"/>
    <n v="139.33000000000001"/>
    <n v="3.54"/>
    <n v="2.0299999999999998"/>
    <n v="1.95"/>
    <n v="0"/>
    <n v="0"/>
    <n v="146.85"/>
    <n v="114.44"/>
    <s v="Profit"/>
    <x v="0"/>
    <n v="1"/>
    <n v="2"/>
    <s v="0-15"/>
    <s v="No"/>
    <n v="0"/>
    <s v="Healthy"/>
    <n v="0"/>
  </r>
  <r>
    <n v="100885"/>
    <d v="2025-12-21T00:00:00"/>
    <n v="1045"/>
    <x v="2"/>
    <x v="9"/>
    <x v="2"/>
    <x v="3"/>
    <x v="0"/>
    <s v="UPI"/>
    <n v="19.3"/>
    <n v="12.66"/>
    <x v="0"/>
    <n v="36.65"/>
    <n v="207.69"/>
    <n v="124.72"/>
    <n v="6.65"/>
    <n v="1.71"/>
    <n v="8.9600000000000009"/>
    <n v="0"/>
    <n v="0"/>
    <n v="142.04"/>
    <n v="65.650000000000006"/>
    <s v="Profit"/>
    <x v="0"/>
    <n v="11"/>
    <n v="0"/>
    <s v="0-15"/>
    <s v="No"/>
    <n v="0"/>
    <s v="Healthy"/>
    <n v="0"/>
  </r>
  <r>
    <n v="100886"/>
    <d v="2025-11-28T00:00:00"/>
    <n v="1108"/>
    <x v="0"/>
    <x v="1"/>
    <x v="0"/>
    <x v="1"/>
    <x v="0"/>
    <s v="UPI"/>
    <n v="40.729999999999997"/>
    <n v="15.94"/>
    <x v="3"/>
    <n v="0"/>
    <n v="649.24"/>
    <n v="293.02999999999997"/>
    <n v="6.91"/>
    <n v="4.54"/>
    <n v="11.35"/>
    <n v="0"/>
    <n v="0"/>
    <n v="315.83"/>
    <n v="333.41"/>
    <s v="Profit"/>
    <x v="0"/>
    <n v="26"/>
    <n v="8"/>
    <s v="16-30"/>
    <s v="Yes"/>
    <n v="1"/>
    <s v="At Risk"/>
    <n v="1"/>
  </r>
  <r>
    <n v="100887"/>
    <d v="2025-12-21T00:00:00"/>
    <n v="1063"/>
    <x v="1"/>
    <x v="3"/>
    <x v="3"/>
    <x v="0"/>
    <x v="2"/>
    <s v="UPI"/>
    <n v="21.67"/>
    <n v="19.68"/>
    <x v="3"/>
    <n v="0"/>
    <n v="426.47"/>
    <n v="159.35"/>
    <n v="11.79"/>
    <n v="2.99"/>
    <n v="10.66"/>
    <n v="0"/>
    <n v="0"/>
    <n v="184.79"/>
    <n v="241.68"/>
    <s v="Profit"/>
    <x v="0"/>
    <n v="13"/>
    <n v="4"/>
    <s v="0-15"/>
    <s v="No"/>
    <n v="0"/>
    <s v="Healthy"/>
    <n v="0"/>
  </r>
  <r>
    <n v="100888"/>
    <d v="2025-10-14T00:00:00"/>
    <n v="1090"/>
    <x v="1"/>
    <x v="13"/>
    <x v="1"/>
    <x v="3"/>
    <x v="0"/>
    <s v="Fleet_Invoice"/>
    <n v="35.82"/>
    <n v="12.1"/>
    <x v="3"/>
    <n v="0"/>
    <n v="433.42"/>
    <n v="265.56"/>
    <n v="3.34"/>
    <n v="1.73"/>
    <n v="13.87"/>
    <n v="0"/>
    <n v="0"/>
    <n v="284.5"/>
    <n v="148.91999999999999"/>
    <s v="Profit"/>
    <x v="0"/>
    <n v="11"/>
    <n v="18"/>
    <s v="0-15"/>
    <s v="Yes"/>
    <n v="1"/>
    <s v="At Risk"/>
    <n v="1"/>
  </r>
  <r>
    <n v="100889"/>
    <d v="2025-11-20T00:00:00"/>
    <n v="1147"/>
    <x v="0"/>
    <x v="11"/>
    <x v="2"/>
    <x v="0"/>
    <x v="0"/>
    <s v="Card"/>
    <n v="32.18"/>
    <n v="19.649999999999999"/>
    <x v="2"/>
    <n v="63.23"/>
    <n v="569.11"/>
    <n v="249.67"/>
    <n v="8.8000000000000007"/>
    <n v="9.49"/>
    <n v="7.34"/>
    <n v="262.36"/>
    <n v="0"/>
    <n v="537.66"/>
    <n v="31.45"/>
    <s v="Profit"/>
    <x v="1"/>
    <n v="17"/>
    <n v="2"/>
    <s v="16-30"/>
    <s v="Yes"/>
    <n v="1"/>
    <s v="At Risk"/>
    <n v="1"/>
  </r>
  <r>
    <n v="100890"/>
    <d v="2025-10-28T00:00:00"/>
    <n v="1132"/>
    <x v="2"/>
    <x v="5"/>
    <x v="0"/>
    <x v="0"/>
    <x v="1"/>
    <s v="UPI"/>
    <n v="24.27"/>
    <n v="19.100000000000001"/>
    <x v="2"/>
    <n v="46.36"/>
    <n v="417.2"/>
    <n v="177.14"/>
    <n v="8.68"/>
    <n v="3.24"/>
    <n v="8.67"/>
    <n v="0"/>
    <n v="0"/>
    <n v="197.73"/>
    <n v="219.47"/>
    <s v="Profit"/>
    <x v="0"/>
    <n v="11"/>
    <n v="0"/>
    <s v="0-15"/>
    <s v="No"/>
    <n v="0"/>
    <s v="Healthy"/>
    <n v="0"/>
  </r>
  <r>
    <n v="100891"/>
    <d v="2025-11-05T00:00:00"/>
    <n v="1142"/>
    <x v="2"/>
    <x v="5"/>
    <x v="4"/>
    <x v="1"/>
    <x v="0"/>
    <s v="UPI"/>
    <n v="24.26"/>
    <n v="14.76"/>
    <x v="2"/>
    <n v="35.81"/>
    <n v="322.27"/>
    <n v="172.17"/>
    <n v="7.65"/>
    <n v="2.5099999999999998"/>
    <n v="6.73"/>
    <n v="0"/>
    <n v="0"/>
    <n v="189.06"/>
    <n v="133.21"/>
    <s v="Profit"/>
    <x v="0"/>
    <n v="19"/>
    <n v="4"/>
    <s v="16-30"/>
    <s v="No"/>
    <n v="0"/>
    <s v="Healthy"/>
    <n v="0"/>
  </r>
  <r>
    <n v="100892"/>
    <d v="2025-11-25T00:00:00"/>
    <n v="1051"/>
    <x v="1"/>
    <x v="3"/>
    <x v="0"/>
    <x v="3"/>
    <x v="2"/>
    <s v="Wallet"/>
    <n v="11.02"/>
    <n v="10.98"/>
    <x v="4"/>
    <n v="6.05"/>
    <n v="114.95"/>
    <n v="89.53"/>
    <n v="5.22"/>
    <n v="1.45"/>
    <n v="6.9"/>
    <n v="84.76"/>
    <n v="14.01"/>
    <n v="201.87"/>
    <n v="-86.92"/>
    <s v="Loss"/>
    <x v="2"/>
    <n v="5"/>
    <n v="18"/>
    <s v="0-15"/>
    <s v="Yes"/>
    <n v="3"/>
    <s v="At Risk"/>
    <n v="1"/>
  </r>
  <r>
    <n v="100893"/>
    <d v="2025-10-30T00:00:00"/>
    <n v="1122"/>
    <x v="0"/>
    <x v="0"/>
    <x v="3"/>
    <x v="0"/>
    <x v="1"/>
    <s v="Card"/>
    <n v="23.24"/>
    <n v="20.69"/>
    <x v="0"/>
    <n v="72.13"/>
    <n v="408.71"/>
    <n v="180.97"/>
    <n v="10.54"/>
    <n v="7.21"/>
    <n v="10.39"/>
    <n v="0"/>
    <n v="0"/>
    <n v="209.11"/>
    <n v="199.6"/>
    <s v="Profit"/>
    <x v="0"/>
    <n v="5"/>
    <n v="9"/>
    <s v="0-15"/>
    <s v="No"/>
    <n v="0"/>
    <s v="Healthy"/>
    <n v="0"/>
  </r>
  <r>
    <n v="100894"/>
    <d v="2025-12-04T00:00:00"/>
    <n v="1011"/>
    <x v="1"/>
    <x v="4"/>
    <x v="2"/>
    <x v="3"/>
    <x v="0"/>
    <s v="UPI"/>
    <n v="20.83"/>
    <n v="13.28"/>
    <x v="0"/>
    <n v="41.49"/>
    <n v="235.13"/>
    <n v="169.54"/>
    <n v="2.0499999999999998"/>
    <n v="1.94"/>
    <n v="0"/>
    <n v="0"/>
    <n v="0"/>
    <n v="173.53"/>
    <n v="61.6"/>
    <s v="Profit"/>
    <x v="0"/>
    <n v="2"/>
    <n v="6"/>
    <s v="0-15"/>
    <s v="No"/>
    <n v="0"/>
    <s v="Healthy"/>
    <n v="0"/>
  </r>
  <r>
    <n v="100895"/>
    <d v="2025-12-12T00:00:00"/>
    <n v="1147"/>
    <x v="1"/>
    <x v="13"/>
    <x v="4"/>
    <x v="1"/>
    <x v="2"/>
    <s v="UPI"/>
    <n v="39.99"/>
    <n v="15.46"/>
    <x v="4"/>
    <n v="30.91"/>
    <n v="587.34"/>
    <n v="364.97"/>
    <n v="10.85"/>
    <n v="4.33"/>
    <n v="1.94"/>
    <n v="0"/>
    <n v="0"/>
    <n v="382.09"/>
    <n v="205.25"/>
    <s v="Profit"/>
    <x v="0"/>
    <n v="58"/>
    <n v="2"/>
    <s v="30+"/>
    <s v="Yes"/>
    <n v="2"/>
    <s v="At Risk"/>
    <n v="1"/>
  </r>
  <r>
    <n v="100896"/>
    <d v="2025-12-23T00:00:00"/>
    <n v="1018"/>
    <x v="1"/>
    <x v="4"/>
    <x v="3"/>
    <x v="1"/>
    <x v="0"/>
    <s v="Card"/>
    <n v="28.08"/>
    <n v="14.52"/>
    <x v="3"/>
    <n v="0"/>
    <n v="407.72"/>
    <n v="229.57"/>
    <n v="8.85"/>
    <n v="6.12"/>
    <n v="1.71"/>
    <n v="0"/>
    <n v="0"/>
    <n v="246.25"/>
    <n v="161.47"/>
    <s v="Profit"/>
    <x v="0"/>
    <n v="7"/>
    <n v="10"/>
    <s v="0-15"/>
    <s v="No"/>
    <n v="0"/>
    <s v="Healthy"/>
    <n v="0"/>
  </r>
  <r>
    <n v="100897"/>
    <d v="2025-11-11T00:00:00"/>
    <n v="1018"/>
    <x v="3"/>
    <x v="7"/>
    <x v="1"/>
    <x v="3"/>
    <x v="0"/>
    <s v="UPI"/>
    <n v="18.899999999999999"/>
    <n v="12.6"/>
    <x v="2"/>
    <n v="23.81"/>
    <n v="214.33"/>
    <n v="128.11000000000001"/>
    <n v="7.48"/>
    <n v="1.67"/>
    <n v="2.6"/>
    <n v="0"/>
    <n v="0"/>
    <n v="139.86000000000001"/>
    <n v="74.47"/>
    <s v="Profit"/>
    <x v="0"/>
    <n v="2"/>
    <n v="0"/>
    <s v="0-15"/>
    <s v="No"/>
    <n v="0"/>
    <s v="Healthy"/>
    <n v="0"/>
  </r>
  <r>
    <n v="100898"/>
    <d v="2025-11-04T00:00:00"/>
    <n v="1136"/>
    <x v="1"/>
    <x v="3"/>
    <x v="1"/>
    <x v="1"/>
    <x v="0"/>
    <s v="Wallet"/>
    <n v="31.67"/>
    <n v="16.350000000000001"/>
    <x v="0"/>
    <n v="77.67"/>
    <n v="440.13"/>
    <n v="212.42"/>
    <n v="11.82"/>
    <n v="6.21"/>
    <n v="6.4"/>
    <n v="447.53"/>
    <n v="0"/>
    <n v="684.38"/>
    <n v="-244.25"/>
    <s v="Loss"/>
    <x v="2"/>
    <n v="30"/>
    <n v="12"/>
    <s v="16-30"/>
    <s v="Yes"/>
    <n v="1"/>
    <s v="At Risk"/>
    <n v="1"/>
  </r>
  <r>
    <n v="100899"/>
    <d v="2025-12-12T00:00:00"/>
    <n v="1117"/>
    <x v="3"/>
    <x v="7"/>
    <x v="1"/>
    <x v="3"/>
    <x v="1"/>
    <s v="Wallet"/>
    <n v="11.6"/>
    <n v="11.66"/>
    <x v="3"/>
    <n v="0"/>
    <n v="135.26"/>
    <n v="92.18"/>
    <n v="4.93"/>
    <n v="1.62"/>
    <n v="1.94"/>
    <n v="0"/>
    <n v="0"/>
    <n v="100.67"/>
    <n v="34.590000000000003"/>
    <s v="Profit"/>
    <x v="0"/>
    <n v="12"/>
    <n v="10"/>
    <s v="0-15"/>
    <s v="No"/>
    <n v="0"/>
    <s v="Healthy"/>
    <n v="0"/>
  </r>
  <r>
    <n v="100900"/>
    <d v="2025-12-11T00:00:00"/>
    <n v="1082"/>
    <x v="3"/>
    <x v="7"/>
    <x v="1"/>
    <x v="0"/>
    <x v="0"/>
    <s v="UPI"/>
    <n v="39.22"/>
    <n v="19.329999999999998"/>
    <x v="4"/>
    <n v="37.909999999999997"/>
    <n v="720.21"/>
    <n v="229.99"/>
    <n v="9.0299999999999994"/>
    <n v="5.31"/>
    <n v="6.35"/>
    <n v="0"/>
    <n v="0"/>
    <n v="250.68"/>
    <n v="469.53"/>
    <s v="Profit"/>
    <x v="0"/>
    <n v="12"/>
    <n v="36"/>
    <s v="0-15"/>
    <s v="Yes"/>
    <n v="1"/>
    <s v="At Risk"/>
    <n v="1"/>
  </r>
  <r>
    <n v="100901"/>
    <d v="2025-10-03T00:00:00"/>
    <n v="1028"/>
    <x v="1"/>
    <x v="4"/>
    <x v="0"/>
    <x v="3"/>
    <x v="0"/>
    <s v="Wallet"/>
    <n v="15.35"/>
    <n v="11.75"/>
    <x v="0"/>
    <n v="27.05"/>
    <n v="153.31"/>
    <n v="102.23"/>
    <n v="2.3199999999999998"/>
    <n v="2.16"/>
    <n v="0.11"/>
    <n v="0"/>
    <n v="0"/>
    <n v="106.82"/>
    <n v="46.49"/>
    <s v="Profit"/>
    <x v="0"/>
    <n v="2"/>
    <n v="4"/>
    <s v="0-15"/>
    <s v="No"/>
    <n v="0"/>
    <s v="Healthy"/>
    <n v="0"/>
  </r>
  <r>
    <n v="100902"/>
    <d v="2025-10-25T00:00:00"/>
    <n v="1129"/>
    <x v="2"/>
    <x v="5"/>
    <x v="0"/>
    <x v="2"/>
    <x v="2"/>
    <s v="UPI"/>
    <n v="27.12"/>
    <n v="18.03"/>
    <x v="0"/>
    <n v="73.349999999999994"/>
    <n v="415.62"/>
    <n v="201.24"/>
    <n v="8.86"/>
    <n v="3.42"/>
    <n v="6.82"/>
    <n v="0"/>
    <n v="0"/>
    <n v="220.34"/>
    <n v="195.28"/>
    <s v="Profit"/>
    <x v="0"/>
    <n v="9"/>
    <n v="15"/>
    <s v="0-15"/>
    <s v="No"/>
    <n v="0"/>
    <s v="Healthy"/>
    <n v="0"/>
  </r>
  <r>
    <n v="100903"/>
    <d v="2025-10-20T00:00:00"/>
    <n v="1120"/>
    <x v="1"/>
    <x v="13"/>
    <x v="3"/>
    <x v="0"/>
    <x v="0"/>
    <s v="UPI"/>
    <n v="24.33"/>
    <n v="19.04"/>
    <x v="4"/>
    <n v="23.16"/>
    <n v="440.08"/>
    <n v="190.37"/>
    <n v="7.59"/>
    <n v="3.24"/>
    <n v="3.8"/>
    <n v="0"/>
    <n v="0"/>
    <n v="205"/>
    <n v="235.08"/>
    <s v="Profit"/>
    <x v="0"/>
    <n v="0"/>
    <n v="3"/>
    <s v="0-15"/>
    <s v="No"/>
    <n v="0"/>
    <s v="Healthy"/>
    <n v="0"/>
  </r>
  <r>
    <n v="100904"/>
    <d v="2025-11-06T00:00:00"/>
    <n v="1004"/>
    <x v="3"/>
    <x v="7"/>
    <x v="1"/>
    <x v="2"/>
    <x v="2"/>
    <s v="Fleet_Invoice"/>
    <n v="37.97"/>
    <n v="17.68"/>
    <x v="4"/>
    <n v="33.57"/>
    <n v="637.74"/>
    <n v="243.4"/>
    <n v="7.39"/>
    <n v="2.69"/>
    <n v="5.85"/>
    <n v="0"/>
    <n v="0"/>
    <n v="259.33"/>
    <n v="378.41"/>
    <s v="Profit"/>
    <x v="0"/>
    <n v="3"/>
    <n v="19"/>
    <s v="0-15"/>
    <s v="Yes"/>
    <n v="2"/>
    <s v="At Risk"/>
    <n v="1"/>
  </r>
  <r>
    <n v="100905"/>
    <d v="2025-11-21T00:00:00"/>
    <n v="1001"/>
    <x v="1"/>
    <x v="13"/>
    <x v="3"/>
    <x v="2"/>
    <x v="0"/>
    <s v="UPI"/>
    <n v="32.6"/>
    <n v="18.23"/>
    <x v="4"/>
    <n v="29.72"/>
    <n v="564.58000000000004"/>
    <n v="239.78"/>
    <n v="7.56"/>
    <n v="4.16"/>
    <n v="8.7100000000000009"/>
    <n v="503.48"/>
    <n v="0"/>
    <n v="763.69"/>
    <n v="-199.11"/>
    <s v="Loss"/>
    <x v="1"/>
    <n v="19"/>
    <n v="12"/>
    <s v="16-30"/>
    <s v="Yes"/>
    <n v="1"/>
    <s v="At Risk"/>
    <n v="1"/>
  </r>
  <r>
    <n v="100906"/>
    <d v="2025-12-22T00:00:00"/>
    <n v="1049"/>
    <x v="3"/>
    <x v="8"/>
    <x v="1"/>
    <x v="3"/>
    <x v="1"/>
    <s v="UPI"/>
    <n v="39.950000000000003"/>
    <n v="12.28"/>
    <x v="2"/>
    <n v="49.06"/>
    <n v="441.53"/>
    <n v="254.59"/>
    <n v="4.9800000000000004"/>
    <n v="3.43"/>
    <n v="0"/>
    <n v="0"/>
    <n v="0"/>
    <n v="263"/>
    <n v="178.53"/>
    <s v="Profit"/>
    <x v="0"/>
    <n v="59"/>
    <n v="7"/>
    <s v="30+"/>
    <s v="Yes"/>
    <n v="2"/>
    <s v="At Risk"/>
    <n v="1"/>
  </r>
  <r>
    <n v="100907"/>
    <d v="2025-10-20T00:00:00"/>
    <n v="1113"/>
    <x v="2"/>
    <x v="5"/>
    <x v="1"/>
    <x v="2"/>
    <x v="0"/>
    <s v="UPI"/>
    <n v="38.47"/>
    <n v="17.829999999999998"/>
    <x v="4"/>
    <n v="34.299999999999997"/>
    <n v="651.62"/>
    <n v="298.01"/>
    <n v="8.0399999999999991"/>
    <n v="4.8"/>
    <n v="2.02"/>
    <n v="519.44000000000005"/>
    <n v="0"/>
    <n v="832.31"/>
    <n v="-180.69"/>
    <s v="Loss"/>
    <x v="1"/>
    <n v="16"/>
    <n v="11"/>
    <s v="16-30"/>
    <s v="Yes"/>
    <n v="1"/>
    <s v="At Risk"/>
    <n v="1"/>
  </r>
  <r>
    <n v="100908"/>
    <d v="2025-12-09T00:00:00"/>
    <n v="1133"/>
    <x v="0"/>
    <x v="11"/>
    <x v="2"/>
    <x v="3"/>
    <x v="2"/>
    <s v="Fleet_Invoice"/>
    <n v="5.13"/>
    <n v="12.33"/>
    <x v="2"/>
    <n v="6.32"/>
    <n v="56.93"/>
    <n v="26.84"/>
    <n v="8.51"/>
    <n v="0.25"/>
    <n v="0.86"/>
    <n v="0"/>
    <n v="0"/>
    <n v="36.46"/>
    <n v="20.47"/>
    <s v="Profit"/>
    <x v="0"/>
    <n v="32"/>
    <n v="2"/>
    <s v="30+"/>
    <s v="Yes"/>
    <n v="1"/>
    <s v="At Risk"/>
    <n v="1"/>
  </r>
  <r>
    <n v="100909"/>
    <d v="2025-11-09T00:00:00"/>
    <n v="1095"/>
    <x v="2"/>
    <x v="12"/>
    <x v="2"/>
    <x v="3"/>
    <x v="0"/>
    <s v="UPI"/>
    <n v="23.18"/>
    <n v="12.13"/>
    <x v="0"/>
    <n v="42.18"/>
    <n v="238.99"/>
    <n v="175.18"/>
    <n v="13.87"/>
    <n v="1.97"/>
    <n v="6.95"/>
    <n v="0"/>
    <n v="0"/>
    <n v="197.97"/>
    <n v="41.02"/>
    <s v="Profit"/>
    <x v="0"/>
    <n v="10"/>
    <n v="0"/>
    <s v="0-15"/>
    <s v="No"/>
    <n v="1"/>
    <s v="Healthy"/>
    <n v="0"/>
  </r>
  <r>
    <n v="100910"/>
    <d v="2025-10-08T00:00:00"/>
    <n v="1048"/>
    <x v="3"/>
    <x v="7"/>
    <x v="0"/>
    <x v="0"/>
    <x v="1"/>
    <s v="Wallet"/>
    <n v="32.71"/>
    <n v="21.99"/>
    <x v="2"/>
    <n v="71.930000000000007"/>
    <n v="647.36"/>
    <n v="240.31"/>
    <n v="4.12"/>
    <n v="8.6300000000000008"/>
    <n v="6.03"/>
    <n v="0"/>
    <n v="0"/>
    <n v="259.08999999999997"/>
    <n v="388.27"/>
    <s v="Profit"/>
    <x v="0"/>
    <n v="6"/>
    <n v="14"/>
    <s v="0-15"/>
    <s v="No"/>
    <n v="0"/>
    <s v="Healthy"/>
    <n v="0"/>
  </r>
  <r>
    <n v="100911"/>
    <d v="2025-12-10T00:00:00"/>
    <n v="1015"/>
    <x v="2"/>
    <x v="9"/>
    <x v="1"/>
    <x v="1"/>
    <x v="2"/>
    <s v="Fleet_Invoice"/>
    <n v="31.99"/>
    <n v="16.91"/>
    <x v="0"/>
    <n v="81.14"/>
    <n v="459.81"/>
    <n v="238.02"/>
    <n v="8.8000000000000007"/>
    <n v="2.16"/>
    <n v="7.05"/>
    <n v="0"/>
    <n v="0"/>
    <n v="256.02999999999997"/>
    <n v="203.78"/>
    <s v="Profit"/>
    <x v="0"/>
    <n v="14"/>
    <n v="1"/>
    <s v="0-15"/>
    <s v="No"/>
    <n v="0"/>
    <s v="Healthy"/>
    <n v="0"/>
  </r>
  <r>
    <n v="100912"/>
    <d v="2025-12-13T00:00:00"/>
    <n v="1133"/>
    <x v="3"/>
    <x v="14"/>
    <x v="2"/>
    <x v="3"/>
    <x v="0"/>
    <s v="UPI"/>
    <n v="10.7"/>
    <n v="12.11"/>
    <x v="3"/>
    <n v="0"/>
    <n v="129.58000000000001"/>
    <n v="78.44"/>
    <n v="9.6300000000000008"/>
    <n v="0.91"/>
    <n v="6.72"/>
    <n v="0"/>
    <n v="0"/>
    <n v="95.7"/>
    <n v="33.880000000000003"/>
    <s v="Profit"/>
    <x v="0"/>
    <n v="3"/>
    <n v="9"/>
    <s v="0-15"/>
    <s v="No"/>
    <n v="0"/>
    <s v="Healthy"/>
    <n v="0"/>
  </r>
  <r>
    <n v="100913"/>
    <d v="2025-12-31T00:00:00"/>
    <n v="1136"/>
    <x v="2"/>
    <x v="12"/>
    <x v="3"/>
    <x v="2"/>
    <x v="1"/>
    <s v="UPI"/>
    <n v="36.840000000000003"/>
    <n v="16.649999999999999"/>
    <x v="3"/>
    <n v="0"/>
    <n v="613.39"/>
    <n v="212.53"/>
    <n v="13.71"/>
    <n v="4.29"/>
    <n v="11.08"/>
    <n v="591.39"/>
    <n v="15.14"/>
    <n v="848.14"/>
    <n v="-234.75"/>
    <s v="Loss"/>
    <x v="2"/>
    <n v="21"/>
    <n v="5"/>
    <s v="16-30"/>
    <s v="Yes"/>
    <n v="3"/>
    <s v="At Risk"/>
    <n v="1"/>
  </r>
  <r>
    <n v="100914"/>
    <d v="2025-10-09T00:00:00"/>
    <n v="1025"/>
    <x v="2"/>
    <x v="12"/>
    <x v="3"/>
    <x v="0"/>
    <x v="0"/>
    <s v="Wallet"/>
    <n v="32.97"/>
    <n v="19.52"/>
    <x v="3"/>
    <n v="0"/>
    <n v="643.57000000000005"/>
    <n v="259.86"/>
    <n v="12.77"/>
    <n v="7.72"/>
    <n v="5.93"/>
    <n v="0"/>
    <n v="0"/>
    <n v="286.27999999999997"/>
    <n v="357.29"/>
    <s v="Profit"/>
    <x v="0"/>
    <n v="20"/>
    <n v="9"/>
    <s v="16-30"/>
    <s v="No"/>
    <n v="0"/>
    <s v="Healthy"/>
    <n v="0"/>
  </r>
  <r>
    <n v="100915"/>
    <d v="2025-12-12T00:00:00"/>
    <n v="1002"/>
    <x v="0"/>
    <x v="11"/>
    <x v="1"/>
    <x v="3"/>
    <x v="0"/>
    <s v="UPI"/>
    <n v="24.25"/>
    <n v="11.74"/>
    <x v="2"/>
    <n v="28.47"/>
    <n v="256.23"/>
    <n v="199.34"/>
    <n v="9.85"/>
    <n v="1.99"/>
    <n v="2.59"/>
    <n v="0"/>
    <n v="0"/>
    <n v="213.77"/>
    <n v="42.46"/>
    <s v="Profit"/>
    <x v="0"/>
    <n v="4"/>
    <n v="8"/>
    <s v="0-15"/>
    <s v="No"/>
    <n v="0"/>
    <s v="Healthy"/>
    <n v="0"/>
  </r>
  <r>
    <n v="100916"/>
    <d v="2025-10-28T00:00:00"/>
    <n v="1103"/>
    <x v="2"/>
    <x v="10"/>
    <x v="1"/>
    <x v="0"/>
    <x v="2"/>
    <s v="UPI"/>
    <n v="27.04"/>
    <n v="18.8"/>
    <x v="3"/>
    <n v="0"/>
    <n v="508.35"/>
    <n v="209.28"/>
    <n v="8.5299999999999994"/>
    <n v="3.56"/>
    <n v="9.6199999999999992"/>
    <n v="0"/>
    <n v="0"/>
    <n v="230.99"/>
    <n v="277.36"/>
    <s v="Profit"/>
    <x v="0"/>
    <n v="9"/>
    <n v="7"/>
    <s v="0-15"/>
    <s v="No"/>
    <n v="0"/>
    <s v="Healthy"/>
    <n v="0"/>
  </r>
  <r>
    <n v="100917"/>
    <d v="2025-12-17T00:00:00"/>
    <n v="1053"/>
    <x v="1"/>
    <x v="3"/>
    <x v="4"/>
    <x v="1"/>
    <x v="0"/>
    <s v="UPI"/>
    <n v="22.15"/>
    <n v="15.53"/>
    <x v="4"/>
    <n v="17.2"/>
    <n v="326.79000000000002"/>
    <n v="159.52000000000001"/>
    <n v="11.71"/>
    <n v="2.41"/>
    <n v="5.93"/>
    <n v="0"/>
    <n v="0"/>
    <n v="179.57"/>
    <n v="147.22"/>
    <s v="Profit"/>
    <x v="0"/>
    <n v="25"/>
    <n v="4"/>
    <s v="16-30"/>
    <s v="Yes"/>
    <n v="2"/>
    <s v="At Risk"/>
    <n v="1"/>
  </r>
  <r>
    <n v="100918"/>
    <d v="2025-12-09T00:00:00"/>
    <n v="1048"/>
    <x v="2"/>
    <x v="12"/>
    <x v="1"/>
    <x v="3"/>
    <x v="0"/>
    <s v="Card"/>
    <n v="24.59"/>
    <n v="12.76"/>
    <x v="3"/>
    <n v="0"/>
    <n v="313.77"/>
    <n v="171.28"/>
    <n v="8.2899999999999991"/>
    <n v="4.71"/>
    <n v="1.05"/>
    <n v="0"/>
    <n v="0"/>
    <n v="185.33"/>
    <n v="128.44"/>
    <s v="Profit"/>
    <x v="0"/>
    <n v="1"/>
    <n v="5"/>
    <s v="0-15"/>
    <s v="No"/>
    <n v="0"/>
    <s v="Healthy"/>
    <n v="0"/>
  </r>
  <r>
    <n v="100919"/>
    <d v="2025-11-09T00:00:00"/>
    <n v="1084"/>
    <x v="0"/>
    <x v="0"/>
    <x v="1"/>
    <x v="0"/>
    <x v="0"/>
    <s v="Fleet_Invoice"/>
    <n v="15.82"/>
    <n v="20.23"/>
    <x v="3"/>
    <n v="0"/>
    <n v="320.04000000000002"/>
    <n v="117.4"/>
    <n v="8.91"/>
    <n v="1.28"/>
    <n v="7.76"/>
    <n v="0"/>
    <n v="0"/>
    <n v="135.35"/>
    <n v="184.69"/>
    <s v="Profit"/>
    <x v="0"/>
    <n v="7"/>
    <n v="6"/>
    <s v="0-15"/>
    <s v="No"/>
    <n v="0"/>
    <s v="Healthy"/>
    <n v="0"/>
  </r>
  <r>
    <n v="100920"/>
    <d v="2025-10-25T00:00:00"/>
    <n v="1028"/>
    <x v="3"/>
    <x v="14"/>
    <x v="0"/>
    <x v="3"/>
    <x v="0"/>
    <s v="Wallet"/>
    <n v="21.62"/>
    <n v="13.54"/>
    <x v="3"/>
    <n v="0"/>
    <n v="292.73"/>
    <n v="158.01"/>
    <n v="4.25"/>
    <n v="3.51"/>
    <n v="4.78"/>
    <n v="0"/>
    <n v="0"/>
    <n v="170.55"/>
    <n v="122.18"/>
    <s v="Profit"/>
    <x v="0"/>
    <n v="11"/>
    <n v="54"/>
    <s v="0-15"/>
    <s v="Yes"/>
    <n v="1"/>
    <s v="At Risk"/>
    <n v="1"/>
  </r>
  <r>
    <n v="100921"/>
    <d v="2025-12-25T00:00:00"/>
    <n v="1028"/>
    <x v="3"/>
    <x v="14"/>
    <x v="1"/>
    <x v="0"/>
    <x v="0"/>
    <s v="UPI"/>
    <n v="28.24"/>
    <n v="18.82"/>
    <x v="3"/>
    <n v="0"/>
    <n v="531.48"/>
    <n v="240.37"/>
    <n v="11.31"/>
    <n v="3.72"/>
    <n v="0.7"/>
    <n v="0"/>
    <n v="0"/>
    <n v="256.10000000000002"/>
    <n v="275.38"/>
    <s v="Profit"/>
    <x v="0"/>
    <n v="2"/>
    <n v="0"/>
    <s v="0-15"/>
    <s v="No"/>
    <n v="0"/>
    <s v="Healthy"/>
    <n v="0"/>
  </r>
  <r>
    <n v="100922"/>
    <d v="2025-11-17T00:00:00"/>
    <n v="1050"/>
    <x v="3"/>
    <x v="15"/>
    <x v="0"/>
    <x v="3"/>
    <x v="0"/>
    <s v="UPI"/>
    <n v="18.25"/>
    <n v="12.05"/>
    <x v="4"/>
    <n v="11"/>
    <n v="208.91"/>
    <n v="138.97"/>
    <n v="8.99"/>
    <n v="1.54"/>
    <n v="4.09"/>
    <n v="0"/>
    <n v="0"/>
    <n v="153.59"/>
    <n v="55.32"/>
    <s v="Profit"/>
    <x v="0"/>
    <n v="4"/>
    <n v="28"/>
    <s v="0-15"/>
    <s v="Yes"/>
    <n v="1"/>
    <s v="At Risk"/>
    <n v="1"/>
  </r>
  <r>
    <n v="100923"/>
    <d v="2025-12-25T00:00:00"/>
    <n v="1097"/>
    <x v="2"/>
    <x v="9"/>
    <x v="2"/>
    <x v="3"/>
    <x v="2"/>
    <s v="UPI"/>
    <n v="24.87"/>
    <n v="13.46"/>
    <x v="3"/>
    <n v="0"/>
    <n v="334.75"/>
    <n v="196.19"/>
    <n v="11.55"/>
    <n v="2.34"/>
    <n v="8.18"/>
    <n v="0"/>
    <n v="0"/>
    <n v="218.26"/>
    <n v="116.49"/>
    <s v="Profit"/>
    <x v="0"/>
    <n v="1"/>
    <n v="9"/>
    <s v="0-15"/>
    <s v="No"/>
    <n v="0"/>
    <s v="Healthy"/>
    <n v="0"/>
  </r>
  <r>
    <n v="100924"/>
    <d v="2025-12-07T00:00:00"/>
    <n v="1137"/>
    <x v="0"/>
    <x v="0"/>
    <x v="2"/>
    <x v="2"/>
    <x v="0"/>
    <s v="UPI"/>
    <n v="27.44"/>
    <n v="18.03"/>
    <x v="3"/>
    <n v="0"/>
    <n v="494.74"/>
    <n v="212.29"/>
    <n v="7.46"/>
    <n v="3.46"/>
    <n v="4.3899999999999997"/>
    <n v="0"/>
    <n v="0"/>
    <n v="227.6"/>
    <n v="267.14"/>
    <s v="Profit"/>
    <x v="0"/>
    <n v="5"/>
    <n v="5"/>
    <s v="0-15"/>
    <s v="No"/>
    <n v="0"/>
    <s v="Healthy"/>
    <n v="0"/>
  </r>
  <r>
    <n v="100925"/>
    <d v="2025-10-18T00:00:00"/>
    <n v="1072"/>
    <x v="0"/>
    <x v="1"/>
    <x v="4"/>
    <x v="3"/>
    <x v="0"/>
    <s v="Fleet_Invoice"/>
    <n v="21.97"/>
    <n v="13.14"/>
    <x v="4"/>
    <n v="14.43"/>
    <n v="274.26"/>
    <n v="134.41999999999999"/>
    <n v="10.199999999999999"/>
    <n v="1.1499999999999999"/>
    <n v="3.23"/>
    <n v="0"/>
    <n v="0"/>
    <n v="149"/>
    <n v="125.26"/>
    <s v="Profit"/>
    <x v="0"/>
    <n v="0"/>
    <n v="8"/>
    <s v="0-15"/>
    <s v="No"/>
    <n v="0"/>
    <s v="Healthy"/>
    <n v="0"/>
  </r>
  <r>
    <n v="100926"/>
    <d v="2025-10-18T00:00:00"/>
    <n v="1073"/>
    <x v="3"/>
    <x v="14"/>
    <x v="3"/>
    <x v="3"/>
    <x v="0"/>
    <s v="UPI"/>
    <n v="14.9"/>
    <n v="12.46"/>
    <x v="4"/>
    <n v="9.2799999999999994"/>
    <n v="176.37"/>
    <n v="114.26"/>
    <n v="3.94"/>
    <n v="1.3"/>
    <n v="7.06"/>
    <n v="0"/>
    <n v="0"/>
    <n v="126.56"/>
    <n v="49.81"/>
    <s v="Profit"/>
    <x v="0"/>
    <n v="7"/>
    <n v="6"/>
    <s v="0-15"/>
    <s v="No"/>
    <n v="0"/>
    <s v="Healthy"/>
    <n v="0"/>
  </r>
  <r>
    <n v="100927"/>
    <d v="2025-12-23T00:00:00"/>
    <n v="1109"/>
    <x v="2"/>
    <x v="10"/>
    <x v="0"/>
    <x v="1"/>
    <x v="2"/>
    <s v="Wallet"/>
    <n v="7.66"/>
    <n v="14.46"/>
    <x v="1"/>
    <n v="22.15"/>
    <n v="88.61"/>
    <n v="45.63"/>
    <n v="6.96"/>
    <n v="1.33"/>
    <n v="7.68"/>
    <n v="0"/>
    <n v="0"/>
    <n v="61.6"/>
    <n v="27.01"/>
    <s v="Profit"/>
    <x v="0"/>
    <n v="3"/>
    <n v="17"/>
    <s v="0-15"/>
    <s v="Yes"/>
    <n v="4"/>
    <s v="At Risk"/>
    <n v="1"/>
  </r>
  <r>
    <n v="100928"/>
    <d v="2025-10-27T00:00:00"/>
    <n v="1097"/>
    <x v="1"/>
    <x v="4"/>
    <x v="4"/>
    <x v="2"/>
    <x v="0"/>
    <s v="Card"/>
    <n v="20.69"/>
    <n v="17.64"/>
    <x v="0"/>
    <n v="54.75"/>
    <n v="310.22000000000003"/>
    <n v="156.1"/>
    <n v="8.5399999999999991"/>
    <n v="5.47"/>
    <n v="10.25"/>
    <n v="0"/>
    <n v="0"/>
    <n v="180.36"/>
    <n v="129.86000000000001"/>
    <s v="Profit"/>
    <x v="0"/>
    <n v="8"/>
    <n v="4"/>
    <s v="0-15"/>
    <s v="No"/>
    <n v="0"/>
    <s v="Healthy"/>
    <n v="0"/>
  </r>
  <r>
    <n v="100929"/>
    <d v="2025-12-06T00:00:00"/>
    <n v="1087"/>
    <x v="1"/>
    <x v="13"/>
    <x v="1"/>
    <x v="1"/>
    <x v="0"/>
    <s v="Fleet_Invoice"/>
    <n v="24.14"/>
    <n v="14.79"/>
    <x v="4"/>
    <n v="17.850000000000001"/>
    <n v="339.18"/>
    <n v="198.5"/>
    <n v="11.83"/>
    <n v="1.43"/>
    <n v="11.52"/>
    <n v="0"/>
    <n v="0"/>
    <n v="223.28"/>
    <n v="115.9"/>
    <s v="Profit"/>
    <x v="0"/>
    <n v="4"/>
    <n v="25"/>
    <s v="0-15"/>
    <s v="Yes"/>
    <n v="2"/>
    <s v="At Risk"/>
    <n v="1"/>
  </r>
  <r>
    <n v="100930"/>
    <d v="2025-10-26T00:00:00"/>
    <n v="1065"/>
    <x v="1"/>
    <x v="13"/>
    <x v="2"/>
    <x v="2"/>
    <x v="2"/>
    <s v="UPI"/>
    <n v="24.98"/>
    <n v="18.84"/>
    <x v="1"/>
    <n v="94.12"/>
    <n v="376.5"/>
    <n v="160.35"/>
    <n v="2.08"/>
    <n v="3.29"/>
    <n v="2.57"/>
    <n v="0"/>
    <n v="0"/>
    <n v="168.29"/>
    <n v="208.21"/>
    <s v="Profit"/>
    <x v="0"/>
    <n v="14"/>
    <n v="17"/>
    <s v="0-15"/>
    <s v="Yes"/>
    <n v="2"/>
    <s v="At Risk"/>
    <n v="1"/>
  </r>
  <r>
    <n v="100931"/>
    <d v="2025-12-28T00:00:00"/>
    <n v="1059"/>
    <x v="2"/>
    <x v="10"/>
    <x v="3"/>
    <x v="1"/>
    <x v="0"/>
    <s v="UPI"/>
    <n v="15.3"/>
    <n v="16.170000000000002"/>
    <x v="3"/>
    <n v="0"/>
    <n v="247.4"/>
    <n v="105.2"/>
    <n v="8.06"/>
    <n v="1.73"/>
    <n v="6.3"/>
    <n v="0"/>
    <n v="0"/>
    <n v="121.29"/>
    <n v="126.11"/>
    <s v="Profit"/>
    <x v="0"/>
    <n v="16"/>
    <n v="4"/>
    <s v="16-30"/>
    <s v="No"/>
    <n v="0"/>
    <s v="Healthy"/>
    <n v="0"/>
  </r>
  <r>
    <n v="100932"/>
    <d v="2025-10-09T00:00:00"/>
    <n v="1044"/>
    <x v="3"/>
    <x v="7"/>
    <x v="4"/>
    <x v="1"/>
    <x v="0"/>
    <s v="UPI"/>
    <n v="25.42"/>
    <n v="15.89"/>
    <x v="0"/>
    <n v="60.59"/>
    <n v="343.33"/>
    <n v="175.67"/>
    <n v="11.5"/>
    <n v="2.83"/>
    <n v="6.06"/>
    <n v="0"/>
    <n v="0"/>
    <n v="196.06"/>
    <n v="147.27000000000001"/>
    <s v="Profit"/>
    <x v="0"/>
    <n v="19"/>
    <n v="7"/>
    <s v="16-30"/>
    <s v="No"/>
    <n v="0"/>
    <s v="Healthy"/>
    <n v="0"/>
  </r>
  <r>
    <n v="100933"/>
    <d v="2025-12-16T00:00:00"/>
    <n v="1010"/>
    <x v="2"/>
    <x v="9"/>
    <x v="2"/>
    <x v="2"/>
    <x v="2"/>
    <s v="UPI"/>
    <n v="33.35"/>
    <n v="18.22"/>
    <x v="3"/>
    <n v="0"/>
    <n v="607.64"/>
    <n v="212.52"/>
    <n v="4.99"/>
    <n v="4.25"/>
    <n v="7.2"/>
    <n v="0"/>
    <n v="0"/>
    <n v="228.96"/>
    <n v="378.68"/>
    <s v="Profit"/>
    <x v="0"/>
    <n v="2"/>
    <n v="15"/>
    <s v="0-15"/>
    <s v="No"/>
    <n v="0"/>
    <s v="Healthy"/>
    <n v="0"/>
  </r>
  <r>
    <n v="100934"/>
    <d v="2025-10-07T00:00:00"/>
    <n v="1130"/>
    <x v="2"/>
    <x v="10"/>
    <x v="1"/>
    <x v="0"/>
    <x v="0"/>
    <s v="Card"/>
    <n v="14.93"/>
    <n v="18.37"/>
    <x v="4"/>
    <n v="13.71"/>
    <n v="260.55"/>
    <n v="96.14"/>
    <n v="9.75"/>
    <n v="4.1100000000000003"/>
    <n v="1.83"/>
    <n v="0"/>
    <n v="0"/>
    <n v="111.83"/>
    <n v="148.72"/>
    <s v="Profit"/>
    <x v="0"/>
    <n v="6"/>
    <n v="4"/>
    <s v="0-15"/>
    <s v="No"/>
    <n v="0"/>
    <s v="Healthy"/>
    <n v="0"/>
  </r>
  <r>
    <n v="100935"/>
    <d v="2025-11-06T00:00:00"/>
    <n v="1121"/>
    <x v="2"/>
    <x v="9"/>
    <x v="0"/>
    <x v="2"/>
    <x v="0"/>
    <s v="UPI"/>
    <n v="39.32"/>
    <n v="17.989999999999998"/>
    <x v="3"/>
    <n v="0"/>
    <n v="707.37"/>
    <n v="282.70999999999998"/>
    <n v="5.24"/>
    <n v="4.95"/>
    <n v="3.12"/>
    <n v="0"/>
    <n v="0"/>
    <n v="296.02"/>
    <n v="411.35"/>
    <s v="Profit"/>
    <x v="0"/>
    <n v="5"/>
    <n v="8"/>
    <s v="0-15"/>
    <s v="No"/>
    <n v="0"/>
    <s v="Healthy"/>
    <n v="0"/>
  </r>
  <r>
    <n v="100936"/>
    <d v="2025-10-06T00:00:00"/>
    <n v="1002"/>
    <x v="1"/>
    <x v="2"/>
    <x v="2"/>
    <x v="3"/>
    <x v="0"/>
    <s v="UPI"/>
    <n v="22.81"/>
    <n v="12.89"/>
    <x v="1"/>
    <n v="58.8"/>
    <n v="235.22"/>
    <n v="168.72"/>
    <n v="8.2799999999999994"/>
    <n v="2.06"/>
    <n v="7.84"/>
    <n v="0"/>
    <n v="0"/>
    <n v="186.9"/>
    <n v="48.32"/>
    <s v="Profit"/>
    <x v="0"/>
    <n v="3"/>
    <n v="1"/>
    <s v="0-15"/>
    <s v="No"/>
    <n v="0"/>
    <s v="Healthy"/>
    <n v="0"/>
  </r>
  <r>
    <n v="100937"/>
    <d v="2025-11-05T00:00:00"/>
    <n v="1049"/>
    <x v="1"/>
    <x v="3"/>
    <x v="1"/>
    <x v="2"/>
    <x v="2"/>
    <s v="Fleet_Invoice"/>
    <n v="34.020000000000003"/>
    <n v="18.38"/>
    <x v="0"/>
    <n v="93.79"/>
    <n v="531.5"/>
    <n v="268.37"/>
    <n v="10.63"/>
    <n v="2.5"/>
    <n v="2.92"/>
    <n v="0"/>
    <n v="0"/>
    <n v="284.42"/>
    <n v="247.08"/>
    <s v="Profit"/>
    <x v="0"/>
    <n v="1"/>
    <n v="28"/>
    <s v="0-15"/>
    <s v="Yes"/>
    <n v="1"/>
    <s v="At Risk"/>
    <n v="1"/>
  </r>
  <r>
    <n v="100938"/>
    <d v="2025-12-09T00:00:00"/>
    <n v="1141"/>
    <x v="0"/>
    <x v="11"/>
    <x v="2"/>
    <x v="0"/>
    <x v="0"/>
    <s v="Card"/>
    <n v="19.84"/>
    <n v="19.329999999999998"/>
    <x v="0"/>
    <n v="57.53"/>
    <n v="325.98"/>
    <n v="135.55000000000001"/>
    <n v="8.35"/>
    <n v="5.75"/>
    <n v="9.77"/>
    <n v="222.8"/>
    <n v="0"/>
    <n v="382.22"/>
    <n v="-56.24"/>
    <s v="Loss"/>
    <x v="2"/>
    <n v="40"/>
    <n v="16"/>
    <s v="30+"/>
    <s v="Yes"/>
    <n v="3"/>
    <s v="At Risk"/>
    <n v="1"/>
  </r>
  <r>
    <n v="100939"/>
    <d v="2025-12-04T00:00:00"/>
    <n v="1042"/>
    <x v="0"/>
    <x v="0"/>
    <x v="1"/>
    <x v="3"/>
    <x v="0"/>
    <s v="Fleet_Invoice"/>
    <n v="26.39"/>
    <n v="12.17"/>
    <x v="3"/>
    <n v="0"/>
    <n v="321.17"/>
    <n v="217.36"/>
    <n v="12.28"/>
    <n v="1.28"/>
    <n v="0"/>
    <n v="0"/>
    <n v="0"/>
    <n v="230.92"/>
    <n v="90.25"/>
    <s v="Profit"/>
    <x v="0"/>
    <n v="6"/>
    <n v="35"/>
    <s v="0-15"/>
    <s v="Yes"/>
    <n v="1"/>
    <s v="At Risk"/>
    <n v="1"/>
  </r>
  <r>
    <n v="100940"/>
    <d v="2025-12-26T00:00:00"/>
    <n v="1005"/>
    <x v="1"/>
    <x v="4"/>
    <x v="2"/>
    <x v="0"/>
    <x v="2"/>
    <s v="Wallet"/>
    <n v="24.3"/>
    <n v="20.36"/>
    <x v="3"/>
    <n v="0"/>
    <n v="494.75"/>
    <n v="181.48"/>
    <n v="6.16"/>
    <n v="5.94"/>
    <n v="5.83"/>
    <n v="0"/>
    <n v="0"/>
    <n v="199.41"/>
    <n v="295.33999999999997"/>
    <s v="Profit"/>
    <x v="0"/>
    <n v="3"/>
    <n v="27"/>
    <s v="0-15"/>
    <s v="Yes"/>
    <n v="2"/>
    <s v="At Risk"/>
    <n v="1"/>
  </r>
  <r>
    <n v="100941"/>
    <d v="2025-10-21T00:00:00"/>
    <n v="1044"/>
    <x v="1"/>
    <x v="2"/>
    <x v="3"/>
    <x v="0"/>
    <x v="0"/>
    <s v="UPI"/>
    <n v="29.09"/>
    <n v="18.07"/>
    <x v="3"/>
    <n v="0"/>
    <n v="525.66"/>
    <n v="188.4"/>
    <n v="9.86"/>
    <n v="3.68"/>
    <n v="13.16"/>
    <n v="0"/>
    <n v="0"/>
    <n v="215.1"/>
    <n v="310.56"/>
    <s v="Profit"/>
    <x v="0"/>
    <n v="0"/>
    <n v="16"/>
    <s v="0-15"/>
    <s v="Yes"/>
    <n v="2"/>
    <s v="At Risk"/>
    <n v="1"/>
  </r>
  <r>
    <n v="100942"/>
    <d v="2025-11-15T00:00:00"/>
    <n v="1010"/>
    <x v="0"/>
    <x v="1"/>
    <x v="4"/>
    <x v="2"/>
    <x v="0"/>
    <s v="UPI"/>
    <n v="40.950000000000003"/>
    <n v="18.22"/>
    <x v="0"/>
    <n v="111.92"/>
    <n v="634.19000000000005"/>
    <n v="309.41000000000003"/>
    <n v="8.91"/>
    <n v="5.22"/>
    <n v="4.13"/>
    <n v="0"/>
    <n v="0"/>
    <n v="327.67"/>
    <n v="306.52"/>
    <s v="Profit"/>
    <x v="0"/>
    <n v="28"/>
    <n v="0"/>
    <s v="16-30"/>
    <s v="Yes"/>
    <n v="2"/>
    <s v="At Risk"/>
    <n v="1"/>
  </r>
  <r>
    <n v="100943"/>
    <d v="2025-10-13T00:00:00"/>
    <n v="1007"/>
    <x v="2"/>
    <x v="10"/>
    <x v="1"/>
    <x v="0"/>
    <x v="0"/>
    <s v="UPI"/>
    <n v="24.41"/>
    <n v="19.48"/>
    <x v="2"/>
    <n v="47.55"/>
    <n v="427.96"/>
    <n v="190.84"/>
    <n v="7.73"/>
    <n v="3.33"/>
    <n v="10.039999999999999"/>
    <n v="403.91"/>
    <n v="0"/>
    <n v="615.85"/>
    <n v="-187.89"/>
    <s v="Loss"/>
    <x v="1"/>
    <n v="3"/>
    <n v="4"/>
    <s v="0-15"/>
    <s v="Yes"/>
    <n v="2"/>
    <s v="At Risk"/>
    <n v="1"/>
  </r>
  <r>
    <n v="100944"/>
    <d v="2025-10-18T00:00:00"/>
    <n v="1055"/>
    <x v="0"/>
    <x v="11"/>
    <x v="2"/>
    <x v="1"/>
    <x v="2"/>
    <s v="UPI"/>
    <n v="23.06"/>
    <n v="17.62"/>
    <x v="3"/>
    <n v="0"/>
    <n v="406.32"/>
    <n v="184.92"/>
    <n v="10.54"/>
    <n v="2.84"/>
    <n v="2.04"/>
    <n v="0"/>
    <n v="0"/>
    <n v="200.34"/>
    <n v="205.98"/>
    <s v="Profit"/>
    <x v="0"/>
    <n v="8"/>
    <n v="0"/>
    <s v="0-15"/>
    <s v="No"/>
    <n v="0"/>
    <s v="Healthy"/>
    <n v="0"/>
  </r>
  <r>
    <n v="100945"/>
    <d v="2025-10-13T00:00:00"/>
    <n v="1122"/>
    <x v="2"/>
    <x v="12"/>
    <x v="2"/>
    <x v="0"/>
    <x v="0"/>
    <s v="Fleet_Invoice"/>
    <n v="33.479999999999997"/>
    <n v="19.760000000000002"/>
    <x v="0"/>
    <n v="99.23"/>
    <n v="562.33000000000004"/>
    <n v="199.09"/>
    <n v="5.18"/>
    <n v="2.65"/>
    <n v="8.93"/>
    <n v="0"/>
    <n v="0"/>
    <n v="215.85"/>
    <n v="346.48"/>
    <s v="Profit"/>
    <x v="0"/>
    <n v="30"/>
    <n v="1"/>
    <s v="16-30"/>
    <s v="Yes"/>
    <n v="2"/>
    <s v="At Risk"/>
    <n v="1"/>
  </r>
  <r>
    <n v="100946"/>
    <d v="2025-10-05T00:00:00"/>
    <n v="1143"/>
    <x v="0"/>
    <x v="6"/>
    <x v="3"/>
    <x v="0"/>
    <x v="0"/>
    <s v="UPI"/>
    <n v="37.880000000000003"/>
    <n v="19.12"/>
    <x v="4"/>
    <n v="36.21"/>
    <n v="688.06"/>
    <n v="284.24"/>
    <n v="7.22"/>
    <n v="5.07"/>
    <n v="11.64"/>
    <n v="0"/>
    <n v="0"/>
    <n v="308.17"/>
    <n v="379.89"/>
    <s v="Profit"/>
    <x v="0"/>
    <n v="28"/>
    <n v="12"/>
    <s v="16-30"/>
    <s v="Yes"/>
    <n v="1"/>
    <s v="At Risk"/>
    <n v="1"/>
  </r>
  <r>
    <n v="100947"/>
    <d v="2025-12-13T00:00:00"/>
    <n v="1124"/>
    <x v="2"/>
    <x v="5"/>
    <x v="2"/>
    <x v="3"/>
    <x v="1"/>
    <s v="UPI"/>
    <n v="4.24"/>
    <n v="12.12"/>
    <x v="1"/>
    <n v="10.28"/>
    <n v="41.11"/>
    <n v="25.63"/>
    <n v="7.47"/>
    <n v="0.36"/>
    <n v="13.43"/>
    <n v="0"/>
    <n v="0"/>
    <n v="46.89"/>
    <n v="-5.78"/>
    <s v="Loss"/>
    <x v="0"/>
    <n v="3"/>
    <n v="14"/>
    <s v="0-15"/>
    <s v="No"/>
    <n v="0"/>
    <s v="Healthy"/>
    <n v="0"/>
  </r>
  <r>
    <n v="100948"/>
    <d v="2025-12-07T00:00:00"/>
    <n v="1104"/>
    <x v="3"/>
    <x v="14"/>
    <x v="2"/>
    <x v="3"/>
    <x v="1"/>
    <s v="UPI"/>
    <n v="19.7"/>
    <n v="11.92"/>
    <x v="2"/>
    <n v="23.48"/>
    <n v="211.34"/>
    <n v="174.85"/>
    <n v="12.6"/>
    <n v="1.64"/>
    <n v="3"/>
    <n v="0"/>
    <n v="0"/>
    <n v="192.09"/>
    <n v="19.25"/>
    <s v="Profit"/>
    <x v="0"/>
    <n v="20"/>
    <n v="0"/>
    <s v="16-30"/>
    <s v="No"/>
    <n v="0"/>
    <s v="Healthy"/>
    <n v="0"/>
  </r>
  <r>
    <n v="100949"/>
    <d v="2025-12-13T00:00:00"/>
    <n v="1053"/>
    <x v="2"/>
    <x v="9"/>
    <x v="4"/>
    <x v="1"/>
    <x v="1"/>
    <s v="UPI"/>
    <n v="17.739999999999998"/>
    <n v="15.47"/>
    <x v="3"/>
    <n v="0"/>
    <n v="274.44"/>
    <n v="105.21"/>
    <n v="9.77"/>
    <n v="1.92"/>
    <n v="3.84"/>
    <n v="0"/>
    <n v="0"/>
    <n v="120.74"/>
    <n v="153.69999999999999"/>
    <s v="Profit"/>
    <x v="0"/>
    <n v="1"/>
    <n v="7"/>
    <s v="0-15"/>
    <s v="No"/>
    <n v="0"/>
    <s v="Healthy"/>
    <n v="0"/>
  </r>
  <r>
    <n v="100950"/>
    <d v="2025-11-23T00:00:00"/>
    <n v="1132"/>
    <x v="0"/>
    <x v="6"/>
    <x v="3"/>
    <x v="3"/>
    <x v="0"/>
    <s v="Card"/>
    <n v="16.84"/>
    <n v="12.58"/>
    <x v="4"/>
    <n v="10.59"/>
    <n v="201.26"/>
    <n v="115.09"/>
    <n v="5.35"/>
    <n v="3.18"/>
    <n v="0.78"/>
    <n v="0"/>
    <n v="0"/>
    <n v="124.4"/>
    <n v="76.86"/>
    <s v="Profit"/>
    <x v="0"/>
    <n v="9"/>
    <n v="6"/>
    <s v="0-15"/>
    <s v="No"/>
    <n v="0"/>
    <s v="Healthy"/>
    <n v="0"/>
  </r>
  <r>
    <n v="100951"/>
    <d v="2025-12-26T00:00:00"/>
    <n v="1054"/>
    <x v="2"/>
    <x v="10"/>
    <x v="1"/>
    <x v="2"/>
    <x v="0"/>
    <s v="Card"/>
    <n v="14.8"/>
    <n v="17.72"/>
    <x v="3"/>
    <n v="0"/>
    <n v="262.26"/>
    <n v="119.5"/>
    <n v="3.12"/>
    <n v="3.93"/>
    <n v="2.82"/>
    <n v="0"/>
    <n v="0"/>
    <n v="129.37"/>
    <n v="132.88999999999999"/>
    <s v="Profit"/>
    <x v="0"/>
    <n v="9"/>
    <n v="39"/>
    <s v="0-15"/>
    <s v="Yes"/>
    <n v="1"/>
    <s v="At Risk"/>
    <n v="1"/>
  </r>
  <r>
    <n v="100952"/>
    <d v="2025-12-23T00:00:00"/>
    <n v="1006"/>
    <x v="0"/>
    <x v="6"/>
    <x v="3"/>
    <x v="3"/>
    <x v="2"/>
    <s v="UPI"/>
    <n v="17.510000000000002"/>
    <n v="12.38"/>
    <x v="0"/>
    <n v="32.520000000000003"/>
    <n v="184.25"/>
    <n v="116.72"/>
    <n v="3.31"/>
    <n v="1.52"/>
    <n v="0"/>
    <n v="0"/>
    <n v="0"/>
    <n v="121.55"/>
    <n v="62.7"/>
    <s v="Profit"/>
    <x v="0"/>
    <n v="21"/>
    <n v="7"/>
    <s v="16-30"/>
    <s v="Yes"/>
    <n v="1"/>
    <s v="At Risk"/>
    <n v="1"/>
  </r>
  <r>
    <n v="100953"/>
    <d v="2025-12-28T00:00:00"/>
    <n v="1057"/>
    <x v="2"/>
    <x v="5"/>
    <x v="1"/>
    <x v="0"/>
    <x v="0"/>
    <s v="Card"/>
    <n v="46.09"/>
    <n v="19.8"/>
    <x v="3"/>
    <n v="0"/>
    <n v="912.58"/>
    <n v="273.02"/>
    <n v="6.01"/>
    <n v="13.69"/>
    <n v="2.29"/>
    <n v="0"/>
    <n v="0"/>
    <n v="295.01"/>
    <n v="617.57000000000005"/>
    <s v="Profit"/>
    <x v="0"/>
    <n v="7"/>
    <n v="7"/>
    <s v="0-15"/>
    <s v="No"/>
    <n v="1"/>
    <s v="Healthy"/>
    <n v="0"/>
  </r>
  <r>
    <n v="100954"/>
    <d v="2025-10-03T00:00:00"/>
    <n v="1089"/>
    <x v="2"/>
    <x v="5"/>
    <x v="2"/>
    <x v="1"/>
    <x v="2"/>
    <s v="UPI"/>
    <n v="31.31"/>
    <n v="14.47"/>
    <x v="1"/>
    <n v="90.61"/>
    <n v="362.45"/>
    <n v="240.74"/>
    <n v="9.68"/>
    <n v="3.17"/>
    <n v="6.69"/>
    <n v="409.87"/>
    <n v="9.6"/>
    <n v="679.75"/>
    <n v="-317.3"/>
    <s v="Loss"/>
    <x v="1"/>
    <n v="22"/>
    <n v="20"/>
    <s v="16-30"/>
    <s v="Yes"/>
    <n v="1"/>
    <s v="At Risk"/>
    <n v="1"/>
  </r>
  <r>
    <n v="100955"/>
    <d v="2025-10-27T00:00:00"/>
    <n v="1103"/>
    <x v="1"/>
    <x v="13"/>
    <x v="2"/>
    <x v="0"/>
    <x v="0"/>
    <s v="UPI"/>
    <n v="37.64"/>
    <n v="19.579999999999998"/>
    <x v="2"/>
    <n v="73.7"/>
    <n v="663.29"/>
    <n v="191.29"/>
    <n v="10.42"/>
    <n v="5.16"/>
    <n v="11.01"/>
    <n v="0"/>
    <n v="0"/>
    <n v="217.88"/>
    <n v="445.41"/>
    <s v="Profit"/>
    <x v="0"/>
    <n v="1"/>
    <n v="8"/>
    <s v="0-15"/>
    <s v="No"/>
    <n v="0"/>
    <s v="Healthy"/>
    <n v="0"/>
  </r>
  <r>
    <n v="100956"/>
    <d v="2025-11-30T00:00:00"/>
    <n v="1018"/>
    <x v="2"/>
    <x v="5"/>
    <x v="3"/>
    <x v="2"/>
    <x v="2"/>
    <s v="Card"/>
    <n v="26.39"/>
    <n v="18.149999999999999"/>
    <x v="2"/>
    <n v="47.9"/>
    <n v="431.08"/>
    <n v="220.05"/>
    <n v="7.73"/>
    <n v="7.18"/>
    <n v="3.14"/>
    <n v="0"/>
    <n v="0"/>
    <n v="238.1"/>
    <n v="192.98"/>
    <s v="Profit"/>
    <x v="0"/>
    <n v="10"/>
    <n v="1"/>
    <s v="0-15"/>
    <s v="No"/>
    <n v="0"/>
    <s v="Healthy"/>
    <n v="0"/>
  </r>
  <r>
    <n v="100957"/>
    <d v="2025-12-08T00:00:00"/>
    <n v="1095"/>
    <x v="3"/>
    <x v="15"/>
    <x v="0"/>
    <x v="2"/>
    <x v="1"/>
    <s v="UPI"/>
    <n v="24.36"/>
    <n v="17.3"/>
    <x v="0"/>
    <n v="63.21"/>
    <n v="358.22"/>
    <n v="161.30000000000001"/>
    <n v="1"/>
    <n v="2.95"/>
    <n v="7.56"/>
    <n v="0"/>
    <n v="0"/>
    <n v="172.81"/>
    <n v="185.41"/>
    <s v="Profit"/>
    <x v="0"/>
    <n v="24"/>
    <n v="26"/>
    <s v="16-30"/>
    <s v="Yes"/>
    <n v="1"/>
    <s v="At Risk"/>
    <n v="1"/>
  </r>
  <r>
    <n v="100958"/>
    <d v="2025-11-21T00:00:00"/>
    <n v="1128"/>
    <x v="1"/>
    <x v="2"/>
    <x v="4"/>
    <x v="1"/>
    <x v="0"/>
    <s v="Wallet"/>
    <n v="12.87"/>
    <n v="15.67"/>
    <x v="3"/>
    <n v="0"/>
    <n v="201.67"/>
    <n v="91.3"/>
    <n v="8.6300000000000008"/>
    <n v="2.42"/>
    <n v="1.7"/>
    <n v="0"/>
    <n v="0"/>
    <n v="104.05"/>
    <n v="97.62"/>
    <s v="Profit"/>
    <x v="0"/>
    <n v="12"/>
    <n v="11"/>
    <s v="0-15"/>
    <s v="No"/>
    <n v="1"/>
    <s v="Healthy"/>
    <n v="0"/>
  </r>
  <r>
    <n v="100959"/>
    <d v="2025-11-29T00:00:00"/>
    <n v="1066"/>
    <x v="2"/>
    <x v="5"/>
    <x v="1"/>
    <x v="3"/>
    <x v="0"/>
    <s v="Card"/>
    <n v="9.14"/>
    <n v="11.76"/>
    <x v="4"/>
    <n v="5.37"/>
    <n v="102.12"/>
    <n v="71.709999999999994"/>
    <n v="11.52"/>
    <n v="1.61"/>
    <n v="9.73"/>
    <n v="71.33"/>
    <n v="0"/>
    <n v="165.9"/>
    <n v="-63.78"/>
    <s v="Loss"/>
    <x v="2"/>
    <n v="14"/>
    <n v="8"/>
    <s v="0-15"/>
    <s v="No"/>
    <n v="3"/>
    <s v="At Risk"/>
    <n v="0"/>
  </r>
  <r>
    <n v="100960"/>
    <d v="2025-10-21T00:00:00"/>
    <n v="1147"/>
    <x v="2"/>
    <x v="9"/>
    <x v="3"/>
    <x v="3"/>
    <x v="0"/>
    <s v="UPI"/>
    <n v="16.55"/>
    <n v="11.4"/>
    <x v="3"/>
    <n v="0"/>
    <n v="188.67"/>
    <n v="118.01"/>
    <n v="4.88"/>
    <n v="1.32"/>
    <n v="4.66"/>
    <n v="0"/>
    <n v="0"/>
    <n v="128.87"/>
    <n v="59.8"/>
    <s v="Profit"/>
    <x v="0"/>
    <n v="13"/>
    <n v="9"/>
    <s v="0-15"/>
    <s v="No"/>
    <n v="0"/>
    <s v="Healthy"/>
    <n v="0"/>
  </r>
  <r>
    <n v="100961"/>
    <d v="2025-11-08T00:00:00"/>
    <n v="1001"/>
    <x v="2"/>
    <x v="9"/>
    <x v="1"/>
    <x v="1"/>
    <x v="0"/>
    <s v="UPI"/>
    <n v="22.25"/>
    <n v="14.81"/>
    <x v="3"/>
    <n v="0"/>
    <n v="329.52"/>
    <n v="145.79"/>
    <n v="7.82"/>
    <n v="2.31"/>
    <n v="12.79"/>
    <n v="0"/>
    <n v="0"/>
    <n v="168.71"/>
    <n v="160.81"/>
    <s v="Profit"/>
    <x v="0"/>
    <n v="7"/>
    <n v="3"/>
    <s v="0-15"/>
    <s v="No"/>
    <n v="0"/>
    <s v="Healthy"/>
    <n v="0"/>
  </r>
  <r>
    <n v="100962"/>
    <d v="2025-12-29T00:00:00"/>
    <n v="1036"/>
    <x v="2"/>
    <x v="5"/>
    <x v="2"/>
    <x v="0"/>
    <x v="0"/>
    <s v="UPI"/>
    <n v="31.14"/>
    <n v="20.350000000000001"/>
    <x v="2"/>
    <n v="63.37"/>
    <n v="570.33000000000004"/>
    <n v="213.48"/>
    <n v="10.36"/>
    <n v="4.4400000000000004"/>
    <n v="5.88"/>
    <n v="0"/>
    <n v="0"/>
    <n v="234.16"/>
    <n v="336.17"/>
    <s v="Profit"/>
    <x v="0"/>
    <n v="14"/>
    <n v="14"/>
    <s v="0-15"/>
    <s v="No"/>
    <n v="0"/>
    <s v="Healthy"/>
    <n v="0"/>
  </r>
  <r>
    <n v="100963"/>
    <d v="2025-11-21T00:00:00"/>
    <n v="1082"/>
    <x v="1"/>
    <x v="3"/>
    <x v="0"/>
    <x v="1"/>
    <x v="0"/>
    <s v="UPI"/>
    <n v="27.02"/>
    <n v="15.28"/>
    <x v="3"/>
    <n v="0"/>
    <n v="412.87"/>
    <n v="247.27"/>
    <n v="8.11"/>
    <n v="2.89"/>
    <n v="0"/>
    <n v="0"/>
    <n v="0"/>
    <n v="258.27"/>
    <n v="154.6"/>
    <s v="Profit"/>
    <x v="0"/>
    <n v="8"/>
    <n v="10"/>
    <s v="0-15"/>
    <s v="No"/>
    <n v="0"/>
    <s v="Healthy"/>
    <n v="0"/>
  </r>
  <r>
    <n v="100964"/>
    <d v="2025-11-09T00:00:00"/>
    <n v="1036"/>
    <x v="1"/>
    <x v="4"/>
    <x v="2"/>
    <x v="0"/>
    <x v="0"/>
    <s v="Wallet"/>
    <n v="36.9"/>
    <n v="18.53"/>
    <x v="3"/>
    <n v="0"/>
    <n v="683.76"/>
    <n v="245.15"/>
    <n v="5.37"/>
    <n v="8.2100000000000009"/>
    <n v="8.44"/>
    <n v="0"/>
    <n v="0"/>
    <n v="267.17"/>
    <n v="416.59"/>
    <s v="Profit"/>
    <x v="0"/>
    <n v="13"/>
    <n v="13"/>
    <s v="0-15"/>
    <s v="No"/>
    <n v="0"/>
    <s v="Healthy"/>
    <n v="0"/>
  </r>
  <r>
    <n v="100965"/>
    <d v="2025-12-06T00:00:00"/>
    <n v="1019"/>
    <x v="3"/>
    <x v="7"/>
    <x v="3"/>
    <x v="3"/>
    <x v="0"/>
    <s v="Fleet_Invoice"/>
    <n v="27.71"/>
    <n v="13.4"/>
    <x v="3"/>
    <n v="0"/>
    <n v="371.31"/>
    <n v="207.72"/>
    <n v="8.8699999999999992"/>
    <n v="1.49"/>
    <n v="0.27"/>
    <n v="0"/>
    <n v="0"/>
    <n v="218.35"/>
    <n v="152.96"/>
    <s v="Profit"/>
    <x v="0"/>
    <n v="5"/>
    <n v="0"/>
    <s v="0-15"/>
    <s v="No"/>
    <n v="0"/>
    <s v="Healthy"/>
    <n v="0"/>
  </r>
  <r>
    <n v="100966"/>
    <d v="2025-11-05T00:00:00"/>
    <n v="1005"/>
    <x v="2"/>
    <x v="12"/>
    <x v="3"/>
    <x v="1"/>
    <x v="2"/>
    <s v="UPI"/>
    <n v="31.32"/>
    <n v="16.32"/>
    <x v="0"/>
    <n v="76.67"/>
    <n v="434.47"/>
    <n v="218.31"/>
    <n v="10.99"/>
    <n v="3.58"/>
    <n v="5.38"/>
    <n v="0"/>
    <n v="0"/>
    <n v="238.26"/>
    <n v="196.21"/>
    <s v="Profit"/>
    <x v="0"/>
    <n v="13"/>
    <n v="23"/>
    <s v="0-15"/>
    <s v="Yes"/>
    <n v="2"/>
    <s v="At Risk"/>
    <n v="1"/>
  </r>
  <r>
    <n v="100967"/>
    <d v="2025-10-24T00:00:00"/>
    <n v="1069"/>
    <x v="2"/>
    <x v="12"/>
    <x v="2"/>
    <x v="3"/>
    <x v="0"/>
    <s v="UPI"/>
    <n v="23.28"/>
    <n v="12.54"/>
    <x v="3"/>
    <n v="0"/>
    <n v="291.93"/>
    <n v="181.57"/>
    <n v="9.3800000000000008"/>
    <n v="2.04"/>
    <n v="7.37"/>
    <n v="0"/>
    <n v="0"/>
    <n v="200.36"/>
    <n v="91.57"/>
    <s v="Profit"/>
    <x v="0"/>
    <n v="1"/>
    <n v="5"/>
    <s v="0-15"/>
    <s v="No"/>
    <n v="0"/>
    <s v="Healthy"/>
    <n v="0"/>
  </r>
  <r>
    <n v="100968"/>
    <d v="2025-12-23T00:00:00"/>
    <n v="1136"/>
    <x v="1"/>
    <x v="13"/>
    <x v="3"/>
    <x v="3"/>
    <x v="0"/>
    <s v="Card"/>
    <n v="20.04"/>
    <n v="12.16"/>
    <x v="2"/>
    <n v="24.37"/>
    <n v="219.32"/>
    <n v="148.72"/>
    <n v="6.86"/>
    <n v="3.66"/>
    <n v="11.89"/>
    <n v="0"/>
    <n v="0"/>
    <n v="171.13"/>
    <n v="48.19"/>
    <s v="Profit"/>
    <x v="0"/>
    <n v="32"/>
    <n v="15"/>
    <s v="30+"/>
    <s v="Yes"/>
    <n v="2"/>
    <s v="At Risk"/>
    <n v="1"/>
  </r>
  <r>
    <n v="100969"/>
    <d v="2025-12-23T00:00:00"/>
    <n v="1123"/>
    <x v="1"/>
    <x v="13"/>
    <x v="4"/>
    <x v="1"/>
    <x v="0"/>
    <s v="Card"/>
    <n v="34.590000000000003"/>
    <n v="16.54"/>
    <x v="2"/>
    <n v="57.21"/>
    <n v="514.91"/>
    <n v="229.26"/>
    <n v="12.65"/>
    <n v="8.58"/>
    <n v="8.6"/>
    <n v="479.93"/>
    <n v="0"/>
    <n v="739.02"/>
    <n v="-224.11"/>
    <s v="Loss"/>
    <x v="1"/>
    <n v="25"/>
    <n v="0"/>
    <s v="16-30"/>
    <s v="Yes"/>
    <n v="2"/>
    <s v="At Risk"/>
    <n v="1"/>
  </r>
  <r>
    <n v="100970"/>
    <d v="2025-10-13T00:00:00"/>
    <n v="1072"/>
    <x v="1"/>
    <x v="2"/>
    <x v="4"/>
    <x v="1"/>
    <x v="0"/>
    <s v="Card"/>
    <n v="35.340000000000003"/>
    <n v="15.43"/>
    <x v="3"/>
    <n v="0"/>
    <n v="545.29999999999995"/>
    <n v="245.26"/>
    <n v="5.38"/>
    <n v="8.18"/>
    <n v="5.5"/>
    <n v="0"/>
    <n v="0"/>
    <n v="264.32"/>
    <n v="280.98"/>
    <s v="Profit"/>
    <x v="0"/>
    <n v="25"/>
    <n v="6"/>
    <s v="16-30"/>
    <s v="Yes"/>
    <n v="4"/>
    <s v="At Risk"/>
    <n v="1"/>
  </r>
  <r>
    <n v="100971"/>
    <d v="2025-10-09T00:00:00"/>
    <n v="1121"/>
    <x v="0"/>
    <x v="11"/>
    <x v="3"/>
    <x v="2"/>
    <x v="0"/>
    <s v="UPI"/>
    <n v="36.130000000000003"/>
    <n v="18.5"/>
    <x v="4"/>
    <n v="33.42"/>
    <n v="634.99"/>
    <n v="283.61"/>
    <n v="6.98"/>
    <n v="4.68"/>
    <n v="6.96"/>
    <n v="0"/>
    <n v="0"/>
    <n v="302.23"/>
    <n v="332.76"/>
    <s v="Profit"/>
    <x v="0"/>
    <n v="50"/>
    <n v="2"/>
    <s v="30+"/>
    <s v="Yes"/>
    <n v="4"/>
    <s v="At Risk"/>
    <n v="1"/>
  </r>
  <r>
    <n v="100972"/>
    <d v="2025-11-13T00:00:00"/>
    <n v="1139"/>
    <x v="2"/>
    <x v="9"/>
    <x v="2"/>
    <x v="1"/>
    <x v="0"/>
    <s v="UPI"/>
    <n v="31.37"/>
    <n v="14.21"/>
    <x v="3"/>
    <n v="0"/>
    <n v="445.77"/>
    <n v="201.31"/>
    <n v="13.49"/>
    <n v="3.12"/>
    <n v="5.3"/>
    <n v="189.22"/>
    <n v="0"/>
    <n v="412.44"/>
    <n v="33.33"/>
    <s v="Profit"/>
    <x v="1"/>
    <n v="2"/>
    <n v="1"/>
    <s v="0-15"/>
    <s v="Yes"/>
    <n v="1"/>
    <s v="At Risk"/>
    <n v="1"/>
  </r>
  <r>
    <n v="100973"/>
    <d v="2025-12-20T00:00:00"/>
    <n v="1100"/>
    <x v="3"/>
    <x v="15"/>
    <x v="3"/>
    <x v="2"/>
    <x v="0"/>
    <s v="Fleet_Invoice"/>
    <n v="40.85"/>
    <n v="17.77"/>
    <x v="4"/>
    <n v="36.299999999999997"/>
    <n v="689.6"/>
    <n v="329.17"/>
    <n v="13.34"/>
    <n v="2.9"/>
    <n v="4.8600000000000003"/>
    <n v="0"/>
    <n v="0"/>
    <n v="350.27"/>
    <n v="339.33"/>
    <s v="Profit"/>
    <x v="0"/>
    <n v="6"/>
    <n v="1"/>
    <s v="0-15"/>
    <s v="No"/>
    <n v="0"/>
    <s v="Healthy"/>
    <n v="0"/>
  </r>
  <r>
    <n v="100974"/>
    <d v="2025-12-15T00:00:00"/>
    <n v="1104"/>
    <x v="0"/>
    <x v="6"/>
    <x v="2"/>
    <x v="1"/>
    <x v="0"/>
    <s v="Card"/>
    <n v="29.37"/>
    <n v="15.64"/>
    <x v="4"/>
    <n v="22.97"/>
    <n v="436.38"/>
    <n v="240.65"/>
    <n v="11.08"/>
    <n v="6.89"/>
    <n v="13.76"/>
    <n v="0"/>
    <n v="0"/>
    <n v="272.38"/>
    <n v="164"/>
    <s v="Profit"/>
    <x v="0"/>
    <n v="11"/>
    <n v="9"/>
    <s v="0-15"/>
    <s v="No"/>
    <n v="0"/>
    <s v="Healthy"/>
    <n v="0"/>
  </r>
  <r>
    <n v="100975"/>
    <d v="2025-11-26T00:00:00"/>
    <n v="1143"/>
    <x v="2"/>
    <x v="5"/>
    <x v="0"/>
    <x v="0"/>
    <x v="0"/>
    <s v="Card"/>
    <n v="30.69"/>
    <n v="18.420000000000002"/>
    <x v="3"/>
    <n v="0"/>
    <n v="565.30999999999995"/>
    <n v="201.92"/>
    <n v="10.95"/>
    <n v="8.48"/>
    <n v="5.56"/>
    <n v="459.33"/>
    <n v="0"/>
    <n v="686.24"/>
    <n v="-120.93"/>
    <s v="Loss"/>
    <x v="2"/>
    <n v="6"/>
    <n v="7"/>
    <s v="0-15"/>
    <s v="No"/>
    <n v="2"/>
    <s v="At Risk"/>
    <n v="0"/>
  </r>
  <r>
    <n v="100976"/>
    <d v="2025-11-12T00:00:00"/>
    <n v="1039"/>
    <x v="0"/>
    <x v="11"/>
    <x v="4"/>
    <x v="3"/>
    <x v="0"/>
    <s v="Wallet"/>
    <n v="10.16"/>
    <n v="12.12"/>
    <x v="4"/>
    <n v="6.16"/>
    <n v="116.98"/>
    <n v="75.680000000000007"/>
    <n v="4.46"/>
    <n v="1.48"/>
    <n v="8.6199999999999992"/>
    <n v="0"/>
    <n v="0"/>
    <n v="90.24"/>
    <n v="26.74"/>
    <s v="Profit"/>
    <x v="0"/>
    <n v="11"/>
    <n v="1"/>
    <s v="0-15"/>
    <s v="No"/>
    <n v="0"/>
    <s v="Healthy"/>
    <n v="0"/>
  </r>
  <r>
    <n v="100977"/>
    <d v="2025-10-15T00:00:00"/>
    <n v="1023"/>
    <x v="2"/>
    <x v="9"/>
    <x v="4"/>
    <x v="2"/>
    <x v="0"/>
    <s v="UPI"/>
    <n v="29.72"/>
    <n v="18.22"/>
    <x v="3"/>
    <n v="0"/>
    <n v="541.5"/>
    <n v="192.22"/>
    <n v="4.9800000000000004"/>
    <n v="3.79"/>
    <n v="3.12"/>
    <n v="0"/>
    <n v="0"/>
    <n v="204.11"/>
    <n v="337.39"/>
    <s v="Profit"/>
    <x v="0"/>
    <n v="8"/>
    <n v="0"/>
    <s v="0-15"/>
    <s v="No"/>
    <n v="0"/>
    <s v="Healthy"/>
    <n v="0"/>
  </r>
  <r>
    <n v="100978"/>
    <d v="2025-10-23T00:00:00"/>
    <n v="1109"/>
    <x v="2"/>
    <x v="5"/>
    <x v="3"/>
    <x v="0"/>
    <x v="0"/>
    <s v="UPI"/>
    <n v="35.97"/>
    <n v="18.09"/>
    <x v="2"/>
    <n v="65.069999999999993"/>
    <n v="585.63"/>
    <n v="217.07"/>
    <n v="8.33"/>
    <n v="4.55"/>
    <n v="9.32"/>
    <n v="0"/>
    <n v="0"/>
    <n v="239.27"/>
    <n v="346.36"/>
    <s v="Profit"/>
    <x v="0"/>
    <n v="7"/>
    <n v="7"/>
    <s v="0-15"/>
    <s v="No"/>
    <n v="0"/>
    <s v="Healthy"/>
    <n v="0"/>
  </r>
  <r>
    <n v="100979"/>
    <d v="2025-11-06T00:00:00"/>
    <n v="1100"/>
    <x v="0"/>
    <x v="1"/>
    <x v="4"/>
    <x v="1"/>
    <x v="2"/>
    <s v="Fleet_Invoice"/>
    <n v="28.3"/>
    <n v="15.77"/>
    <x v="3"/>
    <n v="0"/>
    <n v="446.29"/>
    <n v="204.94"/>
    <n v="12.61"/>
    <n v="1.79"/>
    <n v="3.76"/>
    <n v="0"/>
    <n v="0"/>
    <n v="223.1"/>
    <n v="223.19"/>
    <s v="Profit"/>
    <x v="0"/>
    <n v="6"/>
    <n v="17"/>
    <s v="0-15"/>
    <s v="Yes"/>
    <n v="2"/>
    <s v="At Risk"/>
    <n v="1"/>
  </r>
  <r>
    <n v="100980"/>
    <d v="2025-12-21T00:00:00"/>
    <n v="1024"/>
    <x v="2"/>
    <x v="5"/>
    <x v="3"/>
    <x v="0"/>
    <x v="0"/>
    <s v="UPI"/>
    <n v="37.6"/>
    <n v="19.28"/>
    <x v="2"/>
    <n v="72.489999999999995"/>
    <n v="652.44000000000005"/>
    <n v="302.70999999999998"/>
    <n v="5.01"/>
    <n v="5.07"/>
    <n v="14.83"/>
    <n v="0"/>
    <n v="0"/>
    <n v="327.62"/>
    <n v="324.82"/>
    <s v="Profit"/>
    <x v="0"/>
    <n v="10"/>
    <n v="25"/>
    <s v="0-15"/>
    <s v="Yes"/>
    <n v="1"/>
    <s v="At Risk"/>
    <n v="1"/>
  </r>
  <r>
    <n v="100981"/>
    <d v="2025-12-11T00:00:00"/>
    <n v="1006"/>
    <x v="1"/>
    <x v="13"/>
    <x v="4"/>
    <x v="0"/>
    <x v="2"/>
    <s v="UPI"/>
    <n v="33.82"/>
    <n v="18.899999999999999"/>
    <x v="3"/>
    <n v="0"/>
    <n v="639.20000000000005"/>
    <n v="216.28"/>
    <n v="11.18"/>
    <n v="4.47"/>
    <n v="2.97"/>
    <n v="561.98"/>
    <n v="5.26"/>
    <n v="802.14"/>
    <n v="-162.94"/>
    <s v="Loss"/>
    <x v="2"/>
    <n v="4"/>
    <n v="6"/>
    <s v="0-15"/>
    <s v="No"/>
    <n v="1"/>
    <s v="At Risk"/>
    <n v="0"/>
  </r>
  <r>
    <n v="100982"/>
    <d v="2025-12-13T00:00:00"/>
    <n v="1086"/>
    <x v="0"/>
    <x v="1"/>
    <x v="1"/>
    <x v="3"/>
    <x v="0"/>
    <s v="Fleet_Invoice"/>
    <n v="11.65"/>
    <n v="12.23"/>
    <x v="2"/>
    <n v="14.25"/>
    <n v="128.22999999999999"/>
    <n v="80.55"/>
    <n v="11.5"/>
    <n v="0.56999999999999995"/>
    <n v="6.25"/>
    <n v="0"/>
    <n v="0"/>
    <n v="98.87"/>
    <n v="29.36"/>
    <s v="Profit"/>
    <x v="0"/>
    <n v="6"/>
    <n v="1"/>
    <s v="0-15"/>
    <s v="No"/>
    <n v="0"/>
    <s v="Healthy"/>
    <n v="0"/>
  </r>
  <r>
    <n v="100983"/>
    <d v="2025-12-16T00:00:00"/>
    <n v="1141"/>
    <x v="2"/>
    <x v="5"/>
    <x v="3"/>
    <x v="1"/>
    <x v="0"/>
    <s v="Fleet_Invoice"/>
    <n v="23.83"/>
    <n v="15.5"/>
    <x v="3"/>
    <n v="0"/>
    <n v="369.36"/>
    <n v="134.44"/>
    <n v="5.13"/>
    <n v="1.48"/>
    <n v="4.04"/>
    <n v="0"/>
    <n v="0"/>
    <n v="145.09"/>
    <n v="224.27"/>
    <s v="Profit"/>
    <x v="0"/>
    <n v="28"/>
    <n v="0"/>
    <s v="16-30"/>
    <s v="Yes"/>
    <n v="1"/>
    <s v="At Risk"/>
    <n v="1"/>
  </r>
  <r>
    <n v="100984"/>
    <d v="2025-12-15T00:00:00"/>
    <n v="1004"/>
    <x v="1"/>
    <x v="3"/>
    <x v="3"/>
    <x v="2"/>
    <x v="0"/>
    <s v="UPI"/>
    <n v="34.46"/>
    <n v="17.53"/>
    <x v="0"/>
    <n v="90.61"/>
    <n v="513.47"/>
    <n v="215.71"/>
    <n v="15.31"/>
    <n v="4.2300000000000004"/>
    <n v="9.26"/>
    <n v="0"/>
    <n v="0"/>
    <n v="244.51"/>
    <n v="268.95999999999998"/>
    <s v="Profit"/>
    <x v="0"/>
    <n v="35"/>
    <n v="7"/>
    <s v="30+"/>
    <s v="Yes"/>
    <n v="2"/>
    <s v="At Risk"/>
    <n v="1"/>
  </r>
  <r>
    <n v="100985"/>
    <d v="2025-12-14T00:00:00"/>
    <n v="1082"/>
    <x v="1"/>
    <x v="3"/>
    <x v="1"/>
    <x v="1"/>
    <x v="2"/>
    <s v="UPI"/>
    <n v="32.909999999999997"/>
    <n v="17.21"/>
    <x v="3"/>
    <n v="0"/>
    <n v="566.38"/>
    <n v="203.29"/>
    <n v="6.26"/>
    <n v="3.96"/>
    <n v="4.3099999999999996"/>
    <n v="0"/>
    <n v="0"/>
    <n v="217.82"/>
    <n v="348.56"/>
    <s v="Profit"/>
    <x v="0"/>
    <n v="4"/>
    <n v="3"/>
    <s v="0-15"/>
    <s v="No"/>
    <n v="0"/>
    <s v="Healthy"/>
    <n v="0"/>
  </r>
  <r>
    <n v="100986"/>
    <d v="2025-10-15T00:00:00"/>
    <n v="1039"/>
    <x v="1"/>
    <x v="13"/>
    <x v="1"/>
    <x v="0"/>
    <x v="0"/>
    <s v="UPI"/>
    <n v="42.49"/>
    <n v="18.95"/>
    <x v="3"/>
    <n v="0"/>
    <n v="805.19"/>
    <n v="324.8"/>
    <n v="8.57"/>
    <n v="5.64"/>
    <n v="2.87"/>
    <n v="0"/>
    <n v="0"/>
    <n v="341.88"/>
    <n v="463.31"/>
    <s v="Profit"/>
    <x v="0"/>
    <n v="9"/>
    <n v="9"/>
    <s v="0-15"/>
    <s v="No"/>
    <n v="0"/>
    <s v="Healthy"/>
    <n v="0"/>
  </r>
  <r>
    <n v="100987"/>
    <d v="2025-10-25T00:00:00"/>
    <n v="1015"/>
    <x v="2"/>
    <x v="12"/>
    <x v="2"/>
    <x v="2"/>
    <x v="0"/>
    <s v="UPI"/>
    <n v="24.56"/>
    <n v="17.62"/>
    <x v="0"/>
    <n v="64.91"/>
    <n v="367.84"/>
    <n v="159.13"/>
    <n v="10.41"/>
    <n v="3.03"/>
    <n v="5.79"/>
    <n v="0"/>
    <n v="0"/>
    <n v="178.36"/>
    <n v="189.48"/>
    <s v="Profit"/>
    <x v="0"/>
    <n v="13"/>
    <n v="12"/>
    <s v="0-15"/>
    <s v="No"/>
    <n v="0"/>
    <s v="Healthy"/>
    <n v="0"/>
  </r>
  <r>
    <n v="100988"/>
    <d v="2025-11-11T00:00:00"/>
    <n v="1121"/>
    <x v="0"/>
    <x v="0"/>
    <x v="2"/>
    <x v="2"/>
    <x v="2"/>
    <s v="Wallet"/>
    <n v="31.51"/>
    <n v="17.12"/>
    <x v="3"/>
    <n v="0"/>
    <n v="539.45000000000005"/>
    <n v="216.96"/>
    <n v="5.05"/>
    <n v="6.47"/>
    <n v="7.07"/>
    <n v="0"/>
    <n v="0"/>
    <n v="235.55"/>
    <n v="303.89999999999998"/>
    <s v="Profit"/>
    <x v="0"/>
    <n v="5"/>
    <n v="7"/>
    <s v="0-15"/>
    <s v="No"/>
    <n v="0"/>
    <s v="Healthy"/>
    <n v="0"/>
  </r>
  <r>
    <n v="100989"/>
    <d v="2025-12-11T00:00:00"/>
    <n v="1028"/>
    <x v="3"/>
    <x v="8"/>
    <x v="0"/>
    <x v="2"/>
    <x v="2"/>
    <s v="UPI"/>
    <n v="26.36"/>
    <n v="17.399999999999999"/>
    <x v="3"/>
    <n v="0"/>
    <n v="458.66"/>
    <n v="223.16"/>
    <n v="1"/>
    <n v="3.21"/>
    <n v="5.99"/>
    <n v="330.33"/>
    <n v="13.82"/>
    <n v="577.51"/>
    <n v="-118.85"/>
    <s v="Loss"/>
    <x v="1"/>
    <n v="2"/>
    <n v="11"/>
    <s v="0-15"/>
    <s v="Yes"/>
    <n v="1"/>
    <s v="At Risk"/>
    <n v="1"/>
  </r>
  <r>
    <n v="100990"/>
    <d v="2025-10-25T00:00:00"/>
    <n v="1026"/>
    <x v="0"/>
    <x v="0"/>
    <x v="4"/>
    <x v="2"/>
    <x v="0"/>
    <s v="UPI"/>
    <n v="31.89"/>
    <n v="17.52"/>
    <x v="3"/>
    <n v="0"/>
    <n v="558.71"/>
    <n v="214.34"/>
    <n v="5.99"/>
    <n v="3.91"/>
    <n v="1.36"/>
    <n v="0"/>
    <n v="0"/>
    <n v="225.6"/>
    <n v="333.11"/>
    <s v="Profit"/>
    <x v="0"/>
    <n v="15"/>
    <n v="2"/>
    <s v="0-15"/>
    <s v="No"/>
    <n v="0"/>
    <s v="Healthy"/>
    <n v="0"/>
  </r>
  <r>
    <n v="100991"/>
    <d v="2025-12-02T00:00:00"/>
    <n v="1076"/>
    <x v="0"/>
    <x v="0"/>
    <x v="2"/>
    <x v="2"/>
    <x v="0"/>
    <s v="UPI"/>
    <n v="15.84"/>
    <n v="17.48"/>
    <x v="1"/>
    <n v="55.38"/>
    <n v="221.5"/>
    <n v="119.16"/>
    <n v="8.98"/>
    <n v="1.94"/>
    <n v="1.01"/>
    <n v="0"/>
    <n v="0"/>
    <n v="131.09"/>
    <n v="90.41"/>
    <s v="Profit"/>
    <x v="0"/>
    <n v="1"/>
    <n v="2"/>
    <s v="0-15"/>
    <s v="No"/>
    <n v="0"/>
    <s v="Healthy"/>
    <n v="0"/>
  </r>
  <r>
    <n v="100992"/>
    <d v="2025-12-08T00:00:00"/>
    <n v="1105"/>
    <x v="0"/>
    <x v="1"/>
    <x v="1"/>
    <x v="1"/>
    <x v="2"/>
    <s v="Wallet"/>
    <n v="27.83"/>
    <n v="15.71"/>
    <x v="3"/>
    <n v="0"/>
    <n v="437.21"/>
    <n v="204.22"/>
    <n v="6.28"/>
    <n v="5.25"/>
    <n v="9.07"/>
    <n v="0"/>
    <n v="0"/>
    <n v="224.82"/>
    <n v="212.39"/>
    <s v="Profit"/>
    <x v="0"/>
    <n v="26"/>
    <n v="10"/>
    <s v="16-30"/>
    <s v="Yes"/>
    <n v="2"/>
    <s v="At Risk"/>
    <n v="1"/>
  </r>
  <r>
    <n v="100993"/>
    <d v="2025-12-03T00:00:00"/>
    <n v="1139"/>
    <x v="1"/>
    <x v="13"/>
    <x v="4"/>
    <x v="0"/>
    <x v="2"/>
    <s v="UPI"/>
    <n v="27.79"/>
    <n v="19.809999999999999"/>
    <x v="4"/>
    <n v="27.53"/>
    <n v="522.99"/>
    <n v="176.46"/>
    <n v="6.31"/>
    <n v="3.85"/>
    <n v="0"/>
    <n v="0"/>
    <n v="0"/>
    <n v="186.62"/>
    <n v="336.37"/>
    <s v="Profit"/>
    <x v="0"/>
    <n v="3"/>
    <n v="15"/>
    <s v="0-15"/>
    <s v="No"/>
    <n v="0"/>
    <s v="Healthy"/>
    <n v="0"/>
  </r>
  <r>
    <n v="100994"/>
    <d v="2025-11-23T00:00:00"/>
    <n v="1102"/>
    <x v="0"/>
    <x v="1"/>
    <x v="4"/>
    <x v="1"/>
    <x v="1"/>
    <s v="Card"/>
    <n v="31.95"/>
    <n v="16.5"/>
    <x v="3"/>
    <n v="0"/>
    <n v="527.16999999999996"/>
    <n v="260.36"/>
    <n v="11.23"/>
    <n v="7.91"/>
    <n v="5.21"/>
    <n v="0"/>
    <n v="0"/>
    <n v="284.70999999999998"/>
    <n v="242.46"/>
    <s v="Profit"/>
    <x v="0"/>
    <n v="0"/>
    <n v="14"/>
    <s v="0-15"/>
    <s v="No"/>
    <n v="1"/>
    <s v="Healthy"/>
    <n v="0"/>
  </r>
  <r>
    <n v="100995"/>
    <d v="2025-10-03T00:00:00"/>
    <n v="1113"/>
    <x v="0"/>
    <x v="11"/>
    <x v="0"/>
    <x v="1"/>
    <x v="0"/>
    <s v="UPI"/>
    <n v="32.11"/>
    <n v="15.84"/>
    <x v="0"/>
    <n v="76.290000000000006"/>
    <n v="432.33"/>
    <n v="217.03"/>
    <n v="8.82"/>
    <n v="3.56"/>
    <n v="1.17"/>
    <n v="0"/>
    <n v="0"/>
    <n v="230.58"/>
    <n v="201.75"/>
    <s v="Profit"/>
    <x v="0"/>
    <n v="1"/>
    <n v="10"/>
    <s v="0-15"/>
    <s v="No"/>
    <n v="0"/>
    <s v="Healthy"/>
    <n v="0"/>
  </r>
  <r>
    <n v="100996"/>
    <d v="2025-12-01T00:00:00"/>
    <n v="1092"/>
    <x v="3"/>
    <x v="8"/>
    <x v="3"/>
    <x v="3"/>
    <x v="1"/>
    <s v="UPI"/>
    <n v="14.84"/>
    <n v="13.1"/>
    <x v="2"/>
    <n v="19.440000000000001"/>
    <n v="174.96"/>
    <n v="118.02"/>
    <n v="14.53"/>
    <n v="1.36"/>
    <n v="6.81"/>
    <n v="0"/>
    <n v="0"/>
    <n v="140.72"/>
    <n v="34.24"/>
    <s v="Profit"/>
    <x v="0"/>
    <n v="15"/>
    <n v="10"/>
    <s v="0-15"/>
    <s v="No"/>
    <n v="0"/>
    <s v="Healthy"/>
    <n v="0"/>
  </r>
  <r>
    <n v="100997"/>
    <d v="2025-11-02T00:00:00"/>
    <n v="1046"/>
    <x v="1"/>
    <x v="3"/>
    <x v="3"/>
    <x v="0"/>
    <x v="0"/>
    <s v="Card"/>
    <n v="34.619999999999997"/>
    <n v="18.98"/>
    <x v="2"/>
    <n v="65.709999999999994"/>
    <n v="591.38"/>
    <n v="250.56"/>
    <n v="9.94"/>
    <n v="9.86"/>
    <n v="9.94"/>
    <n v="0"/>
    <n v="0"/>
    <n v="280.3"/>
    <n v="311.08"/>
    <s v="Profit"/>
    <x v="0"/>
    <n v="9"/>
    <n v="9"/>
    <s v="0-15"/>
    <s v="No"/>
    <n v="2"/>
    <s v="Healthy"/>
    <n v="0"/>
  </r>
  <r>
    <n v="100998"/>
    <d v="2025-12-10T00:00:00"/>
    <n v="1100"/>
    <x v="3"/>
    <x v="14"/>
    <x v="3"/>
    <x v="2"/>
    <x v="2"/>
    <s v="UPI"/>
    <n v="23.78"/>
    <n v="19.100000000000001"/>
    <x v="1"/>
    <n v="90.84"/>
    <n v="363.36"/>
    <n v="177.21"/>
    <n v="6.46"/>
    <n v="3.18"/>
    <n v="8.56"/>
    <n v="0"/>
    <n v="0"/>
    <n v="195.41"/>
    <n v="167.95"/>
    <s v="Profit"/>
    <x v="0"/>
    <n v="12"/>
    <n v="1"/>
    <s v="0-15"/>
    <s v="No"/>
    <n v="0"/>
    <s v="Healthy"/>
    <n v="0"/>
  </r>
  <r>
    <n v="100999"/>
    <d v="2025-12-31T00:00:00"/>
    <n v="1114"/>
    <x v="0"/>
    <x v="0"/>
    <x v="2"/>
    <x v="3"/>
    <x v="0"/>
    <s v="UPI"/>
    <n v="5.56"/>
    <n v="12.98"/>
    <x v="3"/>
    <n v="0"/>
    <n v="72.17"/>
    <n v="44.37"/>
    <n v="8.52"/>
    <n v="0.51"/>
    <n v="2.9"/>
    <n v="0"/>
    <n v="0"/>
    <n v="56.3"/>
    <n v="15.87"/>
    <s v="Profit"/>
    <x v="0"/>
    <n v="5"/>
    <n v="6"/>
    <s v="0-15"/>
    <s v="No"/>
    <n v="0"/>
    <s v="Healthy"/>
    <n v="0"/>
  </r>
  <r>
    <n v="101000"/>
    <d v="2025-11-21T00:00:00"/>
    <n v="1061"/>
    <x v="1"/>
    <x v="2"/>
    <x v="0"/>
    <x v="3"/>
    <x v="0"/>
    <s v="Fleet_Invoice"/>
    <n v="23.58"/>
    <n v="13.15"/>
    <x v="4"/>
    <n v="15.5"/>
    <n v="294.58"/>
    <n v="177.4"/>
    <n v="12.7"/>
    <n v="1.24"/>
    <n v="3.85"/>
    <n v="0"/>
    <n v="0"/>
    <n v="195.19"/>
    <n v="99.39"/>
    <s v="Profit"/>
    <x v="0"/>
    <n v="4"/>
    <n v="28"/>
    <s v="0-15"/>
    <s v="Yes"/>
    <n v="1"/>
    <s v="At Risk"/>
    <n v="1"/>
  </r>
  <r>
    <n v="101001"/>
    <d v="2025-11-04T00:00:00"/>
    <n v="1118"/>
    <x v="2"/>
    <x v="5"/>
    <x v="4"/>
    <x v="2"/>
    <x v="0"/>
    <s v="UPI"/>
    <n v="48.17"/>
    <n v="18.989999999999998"/>
    <x v="3"/>
    <n v="0"/>
    <n v="914.75"/>
    <n v="240.88"/>
    <n v="8.17"/>
    <n v="6.4"/>
    <n v="10.34"/>
    <n v="0"/>
    <n v="0"/>
    <n v="265.79000000000002"/>
    <n v="648.96"/>
    <s v="Profit"/>
    <x v="0"/>
    <n v="23"/>
    <n v="21"/>
    <s v="16-30"/>
    <s v="Yes"/>
    <n v="2"/>
    <s v="At Risk"/>
    <n v="1"/>
  </r>
  <r>
    <n v="101002"/>
    <d v="2025-10-31T00:00:00"/>
    <n v="1121"/>
    <x v="0"/>
    <x v="0"/>
    <x v="2"/>
    <x v="3"/>
    <x v="0"/>
    <s v="Fleet_Invoice"/>
    <n v="17.45"/>
    <n v="14.36"/>
    <x v="2"/>
    <n v="25.06"/>
    <n v="225.52"/>
    <n v="131.94999999999999"/>
    <n v="5.95"/>
    <n v="1"/>
    <n v="4.3099999999999996"/>
    <n v="0"/>
    <n v="0"/>
    <n v="143.21"/>
    <n v="82.31"/>
    <s v="Profit"/>
    <x v="0"/>
    <n v="2"/>
    <n v="2"/>
    <s v="0-15"/>
    <s v="No"/>
    <n v="0"/>
    <s v="Healthy"/>
    <n v="0"/>
  </r>
  <r>
    <n v="101003"/>
    <d v="2025-10-01T00:00:00"/>
    <n v="1002"/>
    <x v="3"/>
    <x v="7"/>
    <x v="0"/>
    <x v="2"/>
    <x v="1"/>
    <s v="UPI"/>
    <n v="35.78"/>
    <n v="17.5"/>
    <x v="4"/>
    <n v="31.31"/>
    <n v="594.84"/>
    <n v="281.94"/>
    <n v="8.89"/>
    <n v="4.38"/>
    <n v="5.66"/>
    <n v="0"/>
    <n v="0"/>
    <n v="300.87"/>
    <n v="293.97000000000003"/>
    <s v="Profit"/>
    <x v="0"/>
    <n v="3"/>
    <n v="18"/>
    <s v="0-15"/>
    <s v="Yes"/>
    <n v="2"/>
    <s v="At Risk"/>
    <n v="1"/>
  </r>
  <r>
    <n v="101004"/>
    <d v="2025-10-14T00:00:00"/>
    <n v="1101"/>
    <x v="1"/>
    <x v="3"/>
    <x v="1"/>
    <x v="0"/>
    <x v="0"/>
    <s v="UPI"/>
    <n v="26.09"/>
    <n v="19.54"/>
    <x v="2"/>
    <n v="50.98"/>
    <n v="458.82"/>
    <n v="174.69"/>
    <n v="4.28"/>
    <n v="3.57"/>
    <n v="8.14"/>
    <n v="0"/>
    <n v="0"/>
    <n v="190.68"/>
    <n v="268.14"/>
    <s v="Profit"/>
    <x v="0"/>
    <n v="5"/>
    <n v="2"/>
    <s v="0-15"/>
    <s v="No"/>
    <n v="0"/>
    <s v="Healthy"/>
    <n v="0"/>
  </r>
  <r>
    <n v="101005"/>
    <d v="2025-12-11T00:00:00"/>
    <n v="1133"/>
    <x v="0"/>
    <x v="6"/>
    <x v="0"/>
    <x v="2"/>
    <x v="0"/>
    <s v="UPI"/>
    <n v="11.71"/>
    <n v="17.27"/>
    <x v="3"/>
    <n v="0"/>
    <n v="202.23"/>
    <n v="72.959999999999994"/>
    <n v="7.61"/>
    <n v="1.42"/>
    <n v="8.4499999999999993"/>
    <n v="0"/>
    <n v="0"/>
    <n v="90.44"/>
    <n v="111.79"/>
    <s v="Profit"/>
    <x v="0"/>
    <n v="26"/>
    <n v="20"/>
    <s v="16-30"/>
    <s v="Yes"/>
    <n v="3"/>
    <s v="At Risk"/>
    <n v="1"/>
  </r>
  <r>
    <n v="101006"/>
    <d v="2025-12-23T00:00:00"/>
    <n v="1040"/>
    <x v="0"/>
    <x v="1"/>
    <x v="2"/>
    <x v="1"/>
    <x v="0"/>
    <s v="Fleet_Invoice"/>
    <n v="39.15"/>
    <n v="15.72"/>
    <x v="3"/>
    <n v="0"/>
    <n v="615.44000000000005"/>
    <n v="290.73"/>
    <n v="11.08"/>
    <n v="2.46"/>
    <n v="5.0999999999999996"/>
    <n v="363.72"/>
    <n v="0"/>
    <n v="673.09"/>
    <n v="-57.65"/>
    <s v="Loss"/>
    <x v="1"/>
    <n v="7"/>
    <n v="2"/>
    <s v="0-15"/>
    <s v="Yes"/>
    <n v="1"/>
    <s v="At Risk"/>
    <n v="1"/>
  </r>
  <r>
    <n v="101007"/>
    <d v="2025-10-12T00:00:00"/>
    <n v="1084"/>
    <x v="3"/>
    <x v="8"/>
    <x v="4"/>
    <x v="2"/>
    <x v="0"/>
    <s v="UPI"/>
    <n v="27.71"/>
    <n v="17.600000000000001"/>
    <x v="4"/>
    <n v="24.38"/>
    <n v="463.32"/>
    <n v="169.17"/>
    <n v="9.61"/>
    <n v="3.41"/>
    <n v="0.66"/>
    <n v="0"/>
    <n v="0"/>
    <n v="182.85"/>
    <n v="280.47000000000003"/>
    <s v="Profit"/>
    <x v="0"/>
    <n v="5"/>
    <n v="1"/>
    <s v="0-15"/>
    <s v="No"/>
    <n v="0"/>
    <s v="Healthy"/>
    <n v="0"/>
  </r>
  <r>
    <n v="101008"/>
    <d v="2025-11-29T00:00:00"/>
    <n v="1028"/>
    <x v="2"/>
    <x v="5"/>
    <x v="3"/>
    <x v="1"/>
    <x v="1"/>
    <s v="Wallet"/>
    <n v="34.72"/>
    <n v="17.16"/>
    <x v="2"/>
    <n v="59.58"/>
    <n v="536.22"/>
    <n v="296.69"/>
    <n v="4.0599999999999996"/>
    <n v="7.15"/>
    <n v="9.1199999999999992"/>
    <n v="0"/>
    <n v="0"/>
    <n v="317.02"/>
    <n v="219.2"/>
    <s v="Profit"/>
    <x v="0"/>
    <n v="1"/>
    <n v="2"/>
    <s v="0-15"/>
    <s v="No"/>
    <n v="0"/>
    <s v="Healthy"/>
    <n v="0"/>
  </r>
  <r>
    <n v="101009"/>
    <d v="2025-10-22T00:00:00"/>
    <n v="1132"/>
    <x v="3"/>
    <x v="8"/>
    <x v="3"/>
    <x v="0"/>
    <x v="0"/>
    <s v="Wallet"/>
    <n v="23.22"/>
    <n v="18.39"/>
    <x v="4"/>
    <n v="21.35"/>
    <n v="405.67"/>
    <n v="167.41"/>
    <n v="4.08"/>
    <n v="5.12"/>
    <n v="2.0699999999999998"/>
    <n v="0"/>
    <n v="0"/>
    <n v="178.68"/>
    <n v="226.99"/>
    <s v="Profit"/>
    <x v="0"/>
    <n v="4"/>
    <n v="1"/>
    <s v="0-15"/>
    <s v="No"/>
    <n v="0"/>
    <s v="Healthy"/>
    <n v="0"/>
  </r>
  <r>
    <n v="101010"/>
    <d v="2025-10-24T00:00:00"/>
    <n v="1077"/>
    <x v="3"/>
    <x v="15"/>
    <x v="1"/>
    <x v="1"/>
    <x v="0"/>
    <s v="Wallet"/>
    <n v="36.44"/>
    <n v="16.52"/>
    <x v="2"/>
    <n v="60.2"/>
    <n v="541.79"/>
    <n v="256.02"/>
    <n v="6.73"/>
    <n v="7.22"/>
    <n v="10.82"/>
    <n v="0"/>
    <n v="0"/>
    <n v="280.79000000000002"/>
    <n v="261"/>
    <s v="Profit"/>
    <x v="0"/>
    <n v="2"/>
    <n v="31"/>
    <s v="0-15"/>
    <s v="Yes"/>
    <n v="1"/>
    <s v="At Risk"/>
    <n v="1"/>
  </r>
  <r>
    <n v="101011"/>
    <d v="2025-10-08T00:00:00"/>
    <n v="1137"/>
    <x v="1"/>
    <x v="3"/>
    <x v="4"/>
    <x v="3"/>
    <x v="0"/>
    <s v="UPI"/>
    <n v="22.83"/>
    <n v="12.74"/>
    <x v="1"/>
    <n v="58.17"/>
    <n v="232.68"/>
    <n v="184.4"/>
    <n v="9.86"/>
    <n v="2.04"/>
    <n v="6.32"/>
    <n v="0"/>
    <n v="0"/>
    <n v="202.62"/>
    <n v="30.06"/>
    <s v="Profit"/>
    <x v="0"/>
    <n v="9"/>
    <n v="0"/>
    <s v="0-15"/>
    <s v="No"/>
    <n v="0"/>
    <s v="Healthy"/>
    <n v="0"/>
  </r>
  <r>
    <n v="101012"/>
    <d v="2025-11-16T00:00:00"/>
    <n v="1082"/>
    <x v="1"/>
    <x v="3"/>
    <x v="4"/>
    <x v="3"/>
    <x v="2"/>
    <s v="UPI"/>
    <n v="25.38"/>
    <n v="15.68"/>
    <x v="3"/>
    <n v="0"/>
    <n v="397.96"/>
    <n v="195.35"/>
    <n v="8.57"/>
    <n v="2.79"/>
    <n v="6.6"/>
    <n v="0"/>
    <n v="0"/>
    <n v="213.31"/>
    <n v="184.65"/>
    <s v="Profit"/>
    <x v="0"/>
    <n v="5"/>
    <n v="11"/>
    <s v="0-15"/>
    <s v="No"/>
    <n v="0"/>
    <s v="Healthy"/>
    <n v="0"/>
  </r>
  <r>
    <n v="101013"/>
    <d v="2025-12-28T00:00:00"/>
    <n v="1101"/>
    <x v="3"/>
    <x v="15"/>
    <x v="4"/>
    <x v="1"/>
    <x v="0"/>
    <s v="UPI"/>
    <n v="29.94"/>
    <n v="15.23"/>
    <x v="2"/>
    <n v="45.6"/>
    <n v="410.39"/>
    <n v="238.72"/>
    <n v="10.119999999999999"/>
    <n v="3.19"/>
    <n v="8.94"/>
    <n v="0"/>
    <n v="0"/>
    <n v="260.97000000000003"/>
    <n v="149.41999999999999"/>
    <s v="Profit"/>
    <x v="0"/>
    <n v="3"/>
    <n v="5"/>
    <s v="0-15"/>
    <s v="No"/>
    <n v="0"/>
    <s v="Healthy"/>
    <n v="0"/>
  </r>
  <r>
    <n v="101014"/>
    <d v="2025-11-09T00:00:00"/>
    <n v="1071"/>
    <x v="1"/>
    <x v="13"/>
    <x v="4"/>
    <x v="1"/>
    <x v="0"/>
    <s v="Wallet"/>
    <n v="35.869999999999997"/>
    <n v="15.43"/>
    <x v="3"/>
    <n v="0"/>
    <n v="553.47"/>
    <n v="292.01"/>
    <n v="6.33"/>
    <n v="6.64"/>
    <n v="3.79"/>
    <n v="0"/>
    <n v="0"/>
    <n v="308.77"/>
    <n v="244.7"/>
    <s v="Profit"/>
    <x v="0"/>
    <n v="2"/>
    <n v="5"/>
    <s v="0-15"/>
    <s v="No"/>
    <n v="0"/>
    <s v="Healthy"/>
    <n v="0"/>
  </r>
  <r>
    <n v="101015"/>
    <d v="2025-10-13T00:00:00"/>
    <n v="1087"/>
    <x v="1"/>
    <x v="13"/>
    <x v="3"/>
    <x v="2"/>
    <x v="0"/>
    <s v="Fleet_Invoice"/>
    <n v="32.58"/>
    <n v="17.62"/>
    <x v="2"/>
    <n v="57.41"/>
    <n v="516.65"/>
    <n v="234.78"/>
    <n v="3.38"/>
    <n v="2.2999999999999998"/>
    <n v="0.94"/>
    <n v="0"/>
    <n v="0"/>
    <n v="241.4"/>
    <n v="275.25"/>
    <s v="Profit"/>
    <x v="0"/>
    <n v="5"/>
    <n v="16"/>
    <s v="0-15"/>
    <s v="Yes"/>
    <n v="1"/>
    <s v="At Risk"/>
    <n v="1"/>
  </r>
  <r>
    <n v="101016"/>
    <d v="2025-10-13T00:00:00"/>
    <n v="1031"/>
    <x v="2"/>
    <x v="5"/>
    <x v="0"/>
    <x v="3"/>
    <x v="0"/>
    <s v="UPI"/>
    <n v="25.05"/>
    <n v="12.83"/>
    <x v="4"/>
    <n v="16.07"/>
    <n v="305.32"/>
    <n v="179.2"/>
    <n v="12.99"/>
    <n v="2.25"/>
    <n v="1.99"/>
    <n v="165.49"/>
    <n v="0"/>
    <n v="361.92"/>
    <n v="-56.6"/>
    <s v="Loss"/>
    <x v="2"/>
    <n v="7"/>
    <n v="1"/>
    <s v="0-15"/>
    <s v="No"/>
    <n v="3"/>
    <s v="At Risk"/>
    <n v="0"/>
  </r>
  <r>
    <n v="101017"/>
    <d v="2025-10-17T00:00:00"/>
    <n v="1091"/>
    <x v="0"/>
    <x v="1"/>
    <x v="3"/>
    <x v="2"/>
    <x v="0"/>
    <s v="UPI"/>
    <n v="21.39"/>
    <n v="17.63"/>
    <x v="3"/>
    <n v="0"/>
    <n v="377.11"/>
    <n v="169.08"/>
    <n v="8.86"/>
    <n v="2.64"/>
    <n v="4.82"/>
    <n v="0"/>
    <n v="0"/>
    <n v="185.4"/>
    <n v="191.71"/>
    <s v="Profit"/>
    <x v="0"/>
    <n v="20"/>
    <n v="4"/>
    <s v="16-30"/>
    <s v="No"/>
    <n v="1"/>
    <s v="Healthy"/>
    <n v="0"/>
  </r>
  <r>
    <n v="101018"/>
    <d v="2025-11-04T00:00:00"/>
    <n v="1050"/>
    <x v="2"/>
    <x v="12"/>
    <x v="0"/>
    <x v="3"/>
    <x v="0"/>
    <s v="Fleet_Invoice"/>
    <n v="7.57"/>
    <n v="12.93"/>
    <x v="4"/>
    <n v="4.8899999999999997"/>
    <n v="92.99"/>
    <n v="51.44"/>
    <n v="7.75"/>
    <n v="0.39"/>
    <n v="9.02"/>
    <n v="0"/>
    <n v="0"/>
    <n v="68.599999999999994"/>
    <n v="24.39"/>
    <s v="Profit"/>
    <x v="0"/>
    <n v="15"/>
    <n v="56"/>
    <s v="0-15"/>
    <s v="Yes"/>
    <n v="2"/>
    <s v="At Risk"/>
    <n v="1"/>
  </r>
  <r>
    <n v="101019"/>
    <d v="2025-10-29T00:00:00"/>
    <n v="1122"/>
    <x v="0"/>
    <x v="1"/>
    <x v="4"/>
    <x v="3"/>
    <x v="2"/>
    <s v="Fleet_Invoice"/>
    <n v="10.98"/>
    <n v="12"/>
    <x v="4"/>
    <n v="6.59"/>
    <n v="125.17"/>
    <n v="64.709999999999994"/>
    <n v="4.8"/>
    <n v="0.53"/>
    <n v="5.94"/>
    <n v="0"/>
    <n v="0"/>
    <n v="75.98"/>
    <n v="49.19"/>
    <s v="Profit"/>
    <x v="0"/>
    <n v="8"/>
    <n v="0"/>
    <s v="0-15"/>
    <s v="No"/>
    <n v="0"/>
    <s v="Healthy"/>
    <n v="0"/>
  </r>
  <r>
    <n v="101020"/>
    <d v="2025-11-05T00:00:00"/>
    <n v="1021"/>
    <x v="0"/>
    <x v="11"/>
    <x v="1"/>
    <x v="1"/>
    <x v="0"/>
    <s v="Wallet"/>
    <n v="16.52"/>
    <n v="15.38"/>
    <x v="3"/>
    <n v="0"/>
    <n v="254.08"/>
    <n v="109.54"/>
    <n v="4.5599999999999996"/>
    <n v="3.05"/>
    <n v="4.4800000000000004"/>
    <n v="0"/>
    <n v="0"/>
    <n v="121.63"/>
    <n v="132.44999999999999"/>
    <s v="Profit"/>
    <x v="0"/>
    <n v="6"/>
    <n v="1"/>
    <s v="0-15"/>
    <s v="No"/>
    <n v="0"/>
    <s v="Healthy"/>
    <n v="0"/>
  </r>
  <r>
    <n v="101021"/>
    <d v="2025-12-16T00:00:00"/>
    <n v="1050"/>
    <x v="2"/>
    <x v="9"/>
    <x v="3"/>
    <x v="1"/>
    <x v="0"/>
    <s v="Card"/>
    <n v="26.19"/>
    <n v="16.37"/>
    <x v="4"/>
    <n v="21.44"/>
    <n v="407.29"/>
    <n v="179.87"/>
    <n v="8.91"/>
    <n v="6.43"/>
    <n v="9.77"/>
    <n v="0"/>
    <n v="0"/>
    <n v="204.98"/>
    <n v="202.31"/>
    <s v="Profit"/>
    <x v="0"/>
    <n v="0"/>
    <n v="0"/>
    <s v="0-15"/>
    <s v="No"/>
    <n v="0"/>
    <s v="Healthy"/>
    <n v="0"/>
  </r>
  <r>
    <n v="101022"/>
    <d v="2025-10-14T00:00:00"/>
    <n v="1141"/>
    <x v="2"/>
    <x v="9"/>
    <x v="4"/>
    <x v="1"/>
    <x v="0"/>
    <s v="UPI"/>
    <n v="25.07"/>
    <n v="16.12"/>
    <x v="2"/>
    <n v="40.409999999999997"/>
    <n v="363.72"/>
    <n v="172.37"/>
    <n v="5.49"/>
    <n v="2.83"/>
    <n v="6.48"/>
    <n v="0"/>
    <n v="0"/>
    <n v="187.17"/>
    <n v="176.55"/>
    <s v="Profit"/>
    <x v="0"/>
    <n v="25"/>
    <n v="22"/>
    <s v="16-30"/>
    <s v="Yes"/>
    <n v="3"/>
    <s v="At Risk"/>
    <n v="1"/>
  </r>
  <r>
    <n v="101023"/>
    <d v="2025-10-29T00:00:00"/>
    <n v="1105"/>
    <x v="1"/>
    <x v="13"/>
    <x v="0"/>
    <x v="0"/>
    <x v="0"/>
    <s v="UPI"/>
    <n v="24.92"/>
    <n v="20.41"/>
    <x v="0"/>
    <n v="76.290000000000006"/>
    <n v="432.33"/>
    <n v="191.68"/>
    <n v="5.61"/>
    <n v="3.56"/>
    <n v="12.98"/>
    <n v="0"/>
    <n v="0"/>
    <n v="213.83"/>
    <n v="218.5"/>
    <s v="Profit"/>
    <x v="0"/>
    <n v="2"/>
    <n v="5"/>
    <s v="0-15"/>
    <s v="No"/>
    <n v="0"/>
    <s v="Healthy"/>
    <n v="0"/>
  </r>
  <r>
    <n v="101024"/>
    <d v="2025-11-02T00:00:00"/>
    <n v="1059"/>
    <x v="0"/>
    <x v="0"/>
    <x v="3"/>
    <x v="3"/>
    <x v="0"/>
    <s v="Fleet_Invoice"/>
    <n v="13.41"/>
    <n v="12.9"/>
    <x v="4"/>
    <n v="8.65"/>
    <n v="164.34"/>
    <n v="107.47"/>
    <n v="5.17"/>
    <n v="0.69"/>
    <n v="2.92"/>
    <n v="0"/>
    <n v="0"/>
    <n v="116.25"/>
    <n v="48.09"/>
    <s v="Profit"/>
    <x v="0"/>
    <n v="30"/>
    <n v="17"/>
    <s v="16-30"/>
    <s v="Yes"/>
    <n v="1"/>
    <s v="At Risk"/>
    <n v="1"/>
  </r>
  <r>
    <n v="101025"/>
    <d v="2025-11-13T00:00:00"/>
    <n v="1143"/>
    <x v="1"/>
    <x v="4"/>
    <x v="0"/>
    <x v="1"/>
    <x v="0"/>
    <s v="Wallet"/>
    <n v="36.36"/>
    <n v="15.1"/>
    <x v="4"/>
    <n v="27.45"/>
    <n v="521.59"/>
    <n v="276.89999999999998"/>
    <n v="10.71"/>
    <n v="6.59"/>
    <n v="9.17"/>
    <n v="0"/>
    <n v="0"/>
    <n v="303.37"/>
    <n v="218.22"/>
    <s v="Profit"/>
    <x v="0"/>
    <n v="8"/>
    <n v="14"/>
    <s v="0-15"/>
    <s v="No"/>
    <n v="0"/>
    <s v="Healthy"/>
    <n v="0"/>
  </r>
  <r>
    <n v="101026"/>
    <d v="2025-11-19T00:00:00"/>
    <n v="1005"/>
    <x v="0"/>
    <x v="0"/>
    <x v="3"/>
    <x v="2"/>
    <x v="0"/>
    <s v="Fleet_Invoice"/>
    <n v="29.53"/>
    <n v="17.66"/>
    <x v="1"/>
    <n v="104.3"/>
    <n v="417.2"/>
    <n v="205.52"/>
    <n v="10.11"/>
    <n v="2.09"/>
    <n v="8.7200000000000006"/>
    <n v="507.58"/>
    <n v="0"/>
    <n v="734.02"/>
    <n v="-316.82"/>
    <s v="Loss"/>
    <x v="1"/>
    <n v="13"/>
    <n v="4"/>
    <s v="0-15"/>
    <s v="Yes"/>
    <n v="3"/>
    <s v="At Risk"/>
    <n v="1"/>
  </r>
  <r>
    <n v="101027"/>
    <d v="2025-10-04T00:00:00"/>
    <n v="1010"/>
    <x v="2"/>
    <x v="5"/>
    <x v="1"/>
    <x v="3"/>
    <x v="0"/>
    <s v="Fleet_Invoice"/>
    <n v="26.08"/>
    <n v="13.12"/>
    <x v="3"/>
    <n v="0"/>
    <n v="342.17"/>
    <n v="168.83"/>
    <n v="8.09"/>
    <n v="1.37"/>
    <n v="3.27"/>
    <n v="289.39"/>
    <n v="0"/>
    <n v="470.95"/>
    <n v="-128.78"/>
    <s v="Loss"/>
    <x v="1"/>
    <n v="9"/>
    <n v="4"/>
    <s v="0-15"/>
    <s v="Yes"/>
    <n v="1"/>
    <s v="At Risk"/>
    <n v="1"/>
  </r>
  <r>
    <n v="101028"/>
    <d v="2025-10-06T00:00:00"/>
    <n v="1064"/>
    <x v="3"/>
    <x v="8"/>
    <x v="3"/>
    <x v="2"/>
    <x v="2"/>
    <s v="UPI"/>
    <n v="24.48"/>
    <n v="17.899999999999999"/>
    <x v="2"/>
    <n v="43.82"/>
    <n v="394.37"/>
    <n v="156.63"/>
    <n v="8.77"/>
    <n v="3.07"/>
    <n v="4.1900000000000004"/>
    <n v="0"/>
    <n v="0"/>
    <n v="172.66"/>
    <n v="221.71"/>
    <s v="Profit"/>
    <x v="0"/>
    <n v="13"/>
    <n v="4"/>
    <s v="0-15"/>
    <s v="No"/>
    <n v="0"/>
    <s v="Healthy"/>
    <n v="0"/>
  </r>
  <r>
    <n v="101029"/>
    <d v="2025-10-03T00:00:00"/>
    <n v="1097"/>
    <x v="0"/>
    <x v="0"/>
    <x v="3"/>
    <x v="2"/>
    <x v="0"/>
    <s v="UPI"/>
    <n v="35.159999999999997"/>
    <n v="17.8"/>
    <x v="4"/>
    <n v="31.29"/>
    <n v="594.55999999999995"/>
    <n v="252.99"/>
    <n v="7.27"/>
    <n v="4.38"/>
    <n v="5.5"/>
    <n v="0"/>
    <n v="0"/>
    <n v="270.14"/>
    <n v="324.42"/>
    <s v="Profit"/>
    <x v="0"/>
    <n v="1"/>
    <n v="32"/>
    <s v="0-15"/>
    <s v="Yes"/>
    <n v="2"/>
    <s v="At Risk"/>
    <n v="1"/>
  </r>
  <r>
    <n v="101030"/>
    <d v="2025-12-08T00:00:00"/>
    <n v="1101"/>
    <x v="1"/>
    <x v="3"/>
    <x v="1"/>
    <x v="0"/>
    <x v="0"/>
    <s v="Wallet"/>
    <n v="21.17"/>
    <n v="19.670000000000002"/>
    <x v="3"/>
    <n v="0"/>
    <n v="416.41"/>
    <n v="158.81"/>
    <n v="4.6100000000000003"/>
    <n v="5"/>
    <n v="12.48"/>
    <n v="0"/>
    <n v="0"/>
    <n v="180.9"/>
    <n v="235.51"/>
    <s v="Profit"/>
    <x v="0"/>
    <n v="7"/>
    <n v="16"/>
    <s v="0-15"/>
    <s v="Yes"/>
    <n v="2"/>
    <s v="At Risk"/>
    <n v="1"/>
  </r>
  <r>
    <n v="101031"/>
    <d v="2025-11-30T00:00:00"/>
    <n v="1098"/>
    <x v="0"/>
    <x v="0"/>
    <x v="1"/>
    <x v="0"/>
    <x v="2"/>
    <s v="Fleet_Invoice"/>
    <n v="24.17"/>
    <n v="20.99"/>
    <x v="3"/>
    <n v="0"/>
    <n v="507.33"/>
    <n v="194.94"/>
    <n v="4.34"/>
    <n v="2.0299999999999998"/>
    <n v="2.2599999999999998"/>
    <n v="0"/>
    <n v="0"/>
    <n v="203.57"/>
    <n v="303.76"/>
    <s v="Profit"/>
    <x v="0"/>
    <n v="21"/>
    <n v="9"/>
    <s v="16-30"/>
    <s v="Yes"/>
    <n v="1"/>
    <s v="At Risk"/>
    <n v="1"/>
  </r>
  <r>
    <n v="101032"/>
    <d v="2025-12-15T00:00:00"/>
    <n v="1013"/>
    <x v="0"/>
    <x v="0"/>
    <x v="0"/>
    <x v="0"/>
    <x v="0"/>
    <s v="UPI"/>
    <n v="28.69"/>
    <n v="18.77"/>
    <x v="2"/>
    <n v="53.85"/>
    <n v="484.66"/>
    <n v="229.96"/>
    <n v="14.66"/>
    <n v="3.77"/>
    <n v="5.6"/>
    <n v="300.81"/>
    <n v="0"/>
    <n v="554.79999999999995"/>
    <n v="-70.14"/>
    <s v="Loss"/>
    <x v="1"/>
    <n v="5"/>
    <n v="8"/>
    <s v="0-15"/>
    <s v="Yes"/>
    <n v="1"/>
    <s v="At Risk"/>
    <n v="1"/>
  </r>
  <r>
    <n v="101033"/>
    <d v="2025-11-22T00:00:00"/>
    <n v="1018"/>
    <x v="3"/>
    <x v="14"/>
    <x v="0"/>
    <x v="0"/>
    <x v="0"/>
    <s v="Wallet"/>
    <n v="25.39"/>
    <n v="18.829999999999998"/>
    <x v="2"/>
    <n v="47.81"/>
    <n v="430.28"/>
    <n v="181.68"/>
    <n v="13.14"/>
    <n v="5.74"/>
    <n v="2.1"/>
    <n v="0"/>
    <n v="0"/>
    <n v="202.66"/>
    <n v="227.62"/>
    <s v="Profit"/>
    <x v="0"/>
    <n v="1"/>
    <n v="0"/>
    <s v="0-15"/>
    <s v="No"/>
    <n v="0"/>
    <s v="Healthy"/>
    <n v="0"/>
  </r>
  <r>
    <n v="101034"/>
    <d v="2025-10-13T00:00:00"/>
    <n v="1069"/>
    <x v="3"/>
    <x v="14"/>
    <x v="3"/>
    <x v="2"/>
    <x v="1"/>
    <s v="Wallet"/>
    <n v="34.42"/>
    <n v="18.46"/>
    <x v="3"/>
    <n v="0"/>
    <n v="635.39"/>
    <n v="284.26"/>
    <n v="5.32"/>
    <n v="7.62"/>
    <n v="4.95"/>
    <n v="0"/>
    <n v="0"/>
    <n v="302.14999999999998"/>
    <n v="333.24"/>
    <s v="Profit"/>
    <x v="0"/>
    <n v="0"/>
    <n v="2"/>
    <s v="0-15"/>
    <s v="No"/>
    <n v="0"/>
    <s v="Healthy"/>
    <n v="0"/>
  </r>
  <r>
    <n v="101035"/>
    <d v="2025-11-04T00:00:00"/>
    <n v="1108"/>
    <x v="0"/>
    <x v="0"/>
    <x v="3"/>
    <x v="3"/>
    <x v="0"/>
    <s v="Fleet_Invoice"/>
    <n v="10.16"/>
    <n v="11.61"/>
    <x v="3"/>
    <n v="0"/>
    <n v="117.96"/>
    <n v="68.489999999999995"/>
    <n v="8.84"/>
    <n v="0.47"/>
    <n v="15.84"/>
    <n v="0"/>
    <n v="0"/>
    <n v="93.64"/>
    <n v="24.32"/>
    <s v="Profit"/>
    <x v="0"/>
    <n v="1"/>
    <n v="0"/>
    <s v="0-15"/>
    <s v="No"/>
    <n v="0"/>
    <s v="Healthy"/>
    <n v="0"/>
  </r>
  <r>
    <n v="101036"/>
    <d v="2025-11-05T00:00:00"/>
    <n v="1129"/>
    <x v="1"/>
    <x v="3"/>
    <x v="3"/>
    <x v="3"/>
    <x v="0"/>
    <s v="UPI"/>
    <n v="3"/>
    <n v="11.69"/>
    <x v="0"/>
    <n v="5.26"/>
    <n v="29.81"/>
    <n v="16.73"/>
    <n v="9.11"/>
    <n v="0.25"/>
    <n v="9.68"/>
    <n v="0"/>
    <n v="0"/>
    <n v="35.770000000000003"/>
    <n v="-5.96"/>
    <s v="Loss"/>
    <x v="0"/>
    <n v="10"/>
    <n v="12"/>
    <s v="0-15"/>
    <s v="No"/>
    <n v="0"/>
    <s v="At Risk"/>
    <n v="0"/>
  </r>
  <r>
    <n v="101037"/>
    <d v="2025-10-27T00:00:00"/>
    <n v="1017"/>
    <x v="3"/>
    <x v="8"/>
    <x v="4"/>
    <x v="1"/>
    <x v="0"/>
    <s v="UPI"/>
    <n v="19.86"/>
    <n v="16.32"/>
    <x v="3"/>
    <n v="0"/>
    <n v="324.12"/>
    <n v="152.72999999999999"/>
    <n v="5.28"/>
    <n v="2.27"/>
    <n v="4.96"/>
    <n v="0"/>
    <n v="0"/>
    <n v="165.24"/>
    <n v="158.88"/>
    <s v="Profit"/>
    <x v="0"/>
    <n v="1"/>
    <n v="1"/>
    <s v="0-15"/>
    <s v="No"/>
    <n v="0"/>
    <s v="Healthy"/>
    <n v="0"/>
  </r>
  <r>
    <n v="101038"/>
    <d v="2025-11-29T00:00:00"/>
    <n v="1017"/>
    <x v="3"/>
    <x v="7"/>
    <x v="3"/>
    <x v="2"/>
    <x v="0"/>
    <s v="Wallet"/>
    <n v="31.24"/>
    <n v="17.809999999999999"/>
    <x v="4"/>
    <n v="27.82"/>
    <n v="528.55999999999995"/>
    <n v="187"/>
    <n v="7.78"/>
    <n v="6.68"/>
    <n v="8.17"/>
    <n v="0"/>
    <n v="0"/>
    <n v="209.63"/>
    <n v="318.93"/>
    <s v="Profit"/>
    <x v="0"/>
    <n v="11"/>
    <n v="5"/>
    <s v="0-15"/>
    <s v="No"/>
    <n v="0"/>
    <s v="Healthy"/>
    <n v="0"/>
  </r>
  <r>
    <n v="101039"/>
    <d v="2025-10-31T00:00:00"/>
    <n v="1038"/>
    <x v="3"/>
    <x v="15"/>
    <x v="1"/>
    <x v="1"/>
    <x v="0"/>
    <s v="Card"/>
    <n v="34.86"/>
    <n v="15.41"/>
    <x v="3"/>
    <n v="0"/>
    <n v="537.19000000000005"/>
    <n v="244.92"/>
    <n v="1"/>
    <n v="8.06"/>
    <n v="7.47"/>
    <n v="0"/>
    <n v="0"/>
    <n v="261.45"/>
    <n v="275.74"/>
    <s v="Profit"/>
    <x v="0"/>
    <n v="6"/>
    <n v="3"/>
    <s v="0-15"/>
    <s v="No"/>
    <n v="1"/>
    <s v="Healthy"/>
    <n v="0"/>
  </r>
  <r>
    <n v="101040"/>
    <d v="2025-12-20T00:00:00"/>
    <n v="1025"/>
    <x v="1"/>
    <x v="3"/>
    <x v="3"/>
    <x v="3"/>
    <x v="0"/>
    <s v="Wallet"/>
    <n v="14.95"/>
    <n v="12.24"/>
    <x v="3"/>
    <n v="0"/>
    <n v="182.99"/>
    <n v="114.67"/>
    <n v="9.3699999999999992"/>
    <n v="2.2000000000000002"/>
    <n v="4.78"/>
    <n v="0"/>
    <n v="0"/>
    <n v="131.02000000000001"/>
    <n v="51.97"/>
    <s v="Profit"/>
    <x v="0"/>
    <n v="10"/>
    <n v="1"/>
    <s v="0-15"/>
    <s v="No"/>
    <n v="0"/>
    <s v="Healthy"/>
    <n v="0"/>
  </r>
  <r>
    <n v="101041"/>
    <d v="2025-12-16T00:00:00"/>
    <n v="1102"/>
    <x v="0"/>
    <x v="1"/>
    <x v="3"/>
    <x v="1"/>
    <x v="1"/>
    <s v="UPI"/>
    <n v="14.44"/>
    <n v="16.149999999999999"/>
    <x v="3"/>
    <n v="0"/>
    <n v="233.21"/>
    <n v="97.19"/>
    <n v="8.34"/>
    <n v="1.63"/>
    <n v="14.48"/>
    <n v="0"/>
    <n v="0"/>
    <n v="121.64"/>
    <n v="111.57"/>
    <s v="Profit"/>
    <x v="0"/>
    <n v="11"/>
    <n v="50"/>
    <s v="0-15"/>
    <s v="Yes"/>
    <n v="1"/>
    <s v="At Risk"/>
    <n v="1"/>
  </r>
  <r>
    <n v="101042"/>
    <d v="2025-10-19T00:00:00"/>
    <n v="1043"/>
    <x v="1"/>
    <x v="4"/>
    <x v="0"/>
    <x v="1"/>
    <x v="2"/>
    <s v="Wallet"/>
    <n v="31.76"/>
    <n v="14.32"/>
    <x v="3"/>
    <n v="0"/>
    <n v="454.8"/>
    <n v="251.72"/>
    <n v="13.49"/>
    <n v="5.46"/>
    <n v="6.07"/>
    <n v="0"/>
    <n v="0"/>
    <n v="276.74"/>
    <n v="178.06"/>
    <s v="Profit"/>
    <x v="0"/>
    <n v="18"/>
    <n v="1"/>
    <s v="16-30"/>
    <s v="No"/>
    <n v="0"/>
    <s v="Healthy"/>
    <n v="0"/>
  </r>
  <r>
    <n v="101043"/>
    <d v="2025-10-27T00:00:00"/>
    <n v="1041"/>
    <x v="2"/>
    <x v="12"/>
    <x v="0"/>
    <x v="3"/>
    <x v="0"/>
    <s v="UPI"/>
    <n v="13.98"/>
    <n v="13.07"/>
    <x v="4"/>
    <n v="9.14"/>
    <n v="173.58"/>
    <n v="106.17"/>
    <n v="12.79"/>
    <n v="1.28"/>
    <n v="11.59"/>
    <n v="144.06"/>
    <n v="0"/>
    <n v="275.89"/>
    <n v="-102.31"/>
    <s v="Loss"/>
    <x v="1"/>
    <n v="8"/>
    <n v="4"/>
    <s v="0-15"/>
    <s v="Yes"/>
    <n v="3"/>
    <s v="At Risk"/>
    <n v="1"/>
  </r>
  <r>
    <n v="101044"/>
    <d v="2025-11-18T00:00:00"/>
    <n v="1006"/>
    <x v="1"/>
    <x v="4"/>
    <x v="4"/>
    <x v="1"/>
    <x v="0"/>
    <s v="Fleet_Invoice"/>
    <n v="35"/>
    <n v="15.25"/>
    <x v="3"/>
    <n v="0"/>
    <n v="533.75"/>
    <n v="305.56"/>
    <n v="3.9"/>
    <n v="2.14"/>
    <n v="2.04"/>
    <n v="444.43"/>
    <n v="0"/>
    <n v="758.07"/>
    <n v="-224.32"/>
    <s v="Loss"/>
    <x v="2"/>
    <n v="2"/>
    <n v="0"/>
    <s v="0-15"/>
    <s v="No"/>
    <n v="1"/>
    <s v="At Risk"/>
    <n v="0"/>
  </r>
  <r>
    <n v="101045"/>
    <d v="2025-11-04T00:00:00"/>
    <n v="1069"/>
    <x v="2"/>
    <x v="9"/>
    <x v="1"/>
    <x v="2"/>
    <x v="1"/>
    <s v="Card"/>
    <n v="37.57"/>
    <n v="18.47"/>
    <x v="1"/>
    <n v="138.78"/>
    <n v="555.14"/>
    <n v="265.02"/>
    <n v="1"/>
    <n v="10.41"/>
    <n v="8.1"/>
    <n v="0"/>
    <n v="0"/>
    <n v="284.52999999999997"/>
    <n v="270.61"/>
    <s v="Profit"/>
    <x v="0"/>
    <n v="16"/>
    <n v="7"/>
    <s v="16-30"/>
    <s v="No"/>
    <n v="0"/>
    <s v="Healthy"/>
    <n v="0"/>
  </r>
  <r>
    <n v="101046"/>
    <d v="2025-12-02T00:00:00"/>
    <n v="1085"/>
    <x v="1"/>
    <x v="2"/>
    <x v="4"/>
    <x v="3"/>
    <x v="2"/>
    <s v="Fleet_Invoice"/>
    <n v="15.25"/>
    <n v="12.96"/>
    <x v="4"/>
    <n v="9.8800000000000008"/>
    <n v="187.76"/>
    <n v="100.67"/>
    <n v="9.6999999999999993"/>
    <n v="0.79"/>
    <n v="7.51"/>
    <n v="0"/>
    <n v="0"/>
    <n v="118.67"/>
    <n v="69.09"/>
    <s v="Profit"/>
    <x v="0"/>
    <n v="0"/>
    <n v="14"/>
    <s v="0-15"/>
    <s v="No"/>
    <n v="0"/>
    <s v="Healthy"/>
    <n v="0"/>
  </r>
  <r>
    <n v="101047"/>
    <d v="2025-12-25T00:00:00"/>
    <n v="1013"/>
    <x v="1"/>
    <x v="4"/>
    <x v="3"/>
    <x v="1"/>
    <x v="2"/>
    <s v="UPI"/>
    <n v="26.36"/>
    <n v="16.8"/>
    <x v="3"/>
    <n v="0"/>
    <n v="442.85"/>
    <n v="190.63"/>
    <n v="9.56"/>
    <n v="3.1"/>
    <n v="2.34"/>
    <n v="0"/>
    <n v="0"/>
    <n v="205.63"/>
    <n v="237.22"/>
    <s v="Profit"/>
    <x v="0"/>
    <n v="12"/>
    <n v="6"/>
    <s v="0-15"/>
    <s v="No"/>
    <n v="0"/>
    <s v="Healthy"/>
    <n v="0"/>
  </r>
  <r>
    <n v="101048"/>
    <d v="2025-11-29T00:00:00"/>
    <n v="1082"/>
    <x v="0"/>
    <x v="11"/>
    <x v="2"/>
    <x v="1"/>
    <x v="2"/>
    <s v="Card"/>
    <n v="29.8"/>
    <n v="15.13"/>
    <x v="2"/>
    <n v="45.09"/>
    <n v="405.78"/>
    <n v="225.38"/>
    <n v="5.7"/>
    <n v="6.76"/>
    <n v="1.03"/>
    <n v="361.21"/>
    <n v="1.47"/>
    <n v="601.54999999999995"/>
    <n v="-195.77"/>
    <s v="Loss"/>
    <x v="1"/>
    <n v="2"/>
    <n v="29"/>
    <s v="0-15"/>
    <s v="Yes"/>
    <n v="2"/>
    <s v="At Risk"/>
    <n v="1"/>
  </r>
  <r>
    <n v="101049"/>
    <d v="2025-11-15T00:00:00"/>
    <n v="1033"/>
    <x v="0"/>
    <x v="6"/>
    <x v="3"/>
    <x v="1"/>
    <x v="1"/>
    <s v="Fleet_Invoice"/>
    <n v="37.119999999999997"/>
    <n v="16.02"/>
    <x v="0"/>
    <n v="89.2"/>
    <n v="505.46"/>
    <n v="284.92"/>
    <n v="3.06"/>
    <n v="2.38"/>
    <n v="1.86"/>
    <n v="0"/>
    <n v="0"/>
    <n v="292.22000000000003"/>
    <n v="213.24"/>
    <s v="Profit"/>
    <x v="0"/>
    <n v="0"/>
    <n v="3"/>
    <s v="0-15"/>
    <s v="No"/>
    <n v="0"/>
    <s v="Healthy"/>
    <n v="0"/>
  </r>
  <r>
    <n v="101050"/>
    <d v="2025-11-15T00:00:00"/>
    <n v="1069"/>
    <x v="3"/>
    <x v="15"/>
    <x v="4"/>
    <x v="1"/>
    <x v="0"/>
    <s v="UPI"/>
    <n v="22.91"/>
    <n v="14.98"/>
    <x v="3"/>
    <n v="0"/>
    <n v="343.19"/>
    <n v="180.39"/>
    <n v="10.38"/>
    <n v="2.4"/>
    <n v="2.71"/>
    <n v="0"/>
    <n v="0"/>
    <n v="195.88"/>
    <n v="147.31"/>
    <s v="Profit"/>
    <x v="0"/>
    <n v="14"/>
    <n v="2"/>
    <s v="0-15"/>
    <s v="No"/>
    <n v="0"/>
    <s v="Healthy"/>
    <n v="0"/>
  </r>
  <r>
    <n v="101051"/>
    <d v="2025-12-05T00:00:00"/>
    <n v="1136"/>
    <x v="3"/>
    <x v="15"/>
    <x v="4"/>
    <x v="1"/>
    <x v="0"/>
    <s v="Card"/>
    <n v="20.86"/>
    <n v="16.03"/>
    <x v="3"/>
    <n v="0"/>
    <n v="334.39"/>
    <n v="162.03"/>
    <n v="9.2100000000000009"/>
    <n v="5.0199999999999996"/>
    <n v="12.62"/>
    <n v="0"/>
    <n v="0"/>
    <n v="188.88"/>
    <n v="145.51"/>
    <s v="Profit"/>
    <x v="0"/>
    <n v="28"/>
    <n v="2"/>
    <s v="16-30"/>
    <s v="Yes"/>
    <n v="1"/>
    <s v="At Risk"/>
    <n v="1"/>
  </r>
  <r>
    <n v="101052"/>
    <d v="2025-10-24T00:00:00"/>
    <n v="1145"/>
    <x v="0"/>
    <x v="11"/>
    <x v="1"/>
    <x v="1"/>
    <x v="0"/>
    <s v="Wallet"/>
    <n v="21.11"/>
    <n v="14.59"/>
    <x v="3"/>
    <n v="0"/>
    <n v="307.99"/>
    <n v="146.47999999999999"/>
    <n v="12.25"/>
    <n v="3.7"/>
    <n v="0"/>
    <n v="0"/>
    <n v="0"/>
    <n v="162.43"/>
    <n v="145.56"/>
    <s v="Profit"/>
    <x v="0"/>
    <n v="33"/>
    <n v="6"/>
    <s v="30+"/>
    <s v="Yes"/>
    <n v="1"/>
    <s v="At Risk"/>
    <n v="1"/>
  </r>
  <r>
    <n v="101053"/>
    <d v="2025-12-18T00:00:00"/>
    <n v="1047"/>
    <x v="2"/>
    <x v="12"/>
    <x v="4"/>
    <x v="2"/>
    <x v="0"/>
    <s v="UPI"/>
    <n v="39.130000000000003"/>
    <n v="17.16"/>
    <x v="4"/>
    <n v="33.57"/>
    <n v="637.9"/>
    <n v="312.98"/>
    <n v="11.15"/>
    <n v="4.7"/>
    <n v="11.71"/>
    <n v="0"/>
    <n v="0"/>
    <n v="340.54"/>
    <n v="297.36"/>
    <s v="Profit"/>
    <x v="0"/>
    <n v="20"/>
    <n v="2"/>
    <s v="16-30"/>
    <s v="No"/>
    <n v="0"/>
    <s v="Healthy"/>
    <n v="0"/>
  </r>
  <r>
    <n v="101054"/>
    <d v="2025-11-23T00:00:00"/>
    <n v="1051"/>
    <x v="2"/>
    <x v="5"/>
    <x v="1"/>
    <x v="3"/>
    <x v="0"/>
    <s v="UPI"/>
    <n v="24.37"/>
    <n v="11.67"/>
    <x v="3"/>
    <n v="0"/>
    <n v="284.39999999999998"/>
    <n v="171.78"/>
    <n v="4.79"/>
    <n v="1.99"/>
    <n v="7.37"/>
    <n v="0"/>
    <n v="0"/>
    <n v="185.93"/>
    <n v="98.47"/>
    <s v="Profit"/>
    <x v="0"/>
    <n v="8"/>
    <n v="7"/>
    <s v="0-15"/>
    <s v="No"/>
    <n v="0"/>
    <s v="Healthy"/>
    <n v="0"/>
  </r>
  <r>
    <n v="101055"/>
    <d v="2025-12-18T00:00:00"/>
    <n v="1109"/>
    <x v="0"/>
    <x v="11"/>
    <x v="4"/>
    <x v="1"/>
    <x v="2"/>
    <s v="UPI"/>
    <n v="42.99"/>
    <n v="15.83"/>
    <x v="3"/>
    <n v="0"/>
    <n v="680.53"/>
    <n v="315.69"/>
    <n v="9.5500000000000007"/>
    <n v="4.76"/>
    <n v="7.51"/>
    <n v="0"/>
    <n v="0"/>
    <n v="337.51"/>
    <n v="343.02"/>
    <s v="Profit"/>
    <x v="0"/>
    <n v="7"/>
    <n v="7"/>
    <s v="0-15"/>
    <s v="No"/>
    <n v="0"/>
    <s v="Healthy"/>
    <n v="0"/>
  </r>
  <r>
    <n v="101056"/>
    <d v="2025-12-30T00:00:00"/>
    <n v="1013"/>
    <x v="0"/>
    <x v="1"/>
    <x v="1"/>
    <x v="1"/>
    <x v="1"/>
    <s v="UPI"/>
    <n v="29.45"/>
    <n v="15.14"/>
    <x v="1"/>
    <n v="89.17"/>
    <n v="356.7"/>
    <n v="218.44"/>
    <n v="11.83"/>
    <n v="3.12"/>
    <n v="5.23"/>
    <n v="0"/>
    <n v="0"/>
    <n v="238.62"/>
    <n v="118.08"/>
    <s v="Profit"/>
    <x v="0"/>
    <n v="5"/>
    <n v="8"/>
    <s v="0-15"/>
    <s v="No"/>
    <n v="0"/>
    <s v="Healthy"/>
    <n v="0"/>
  </r>
  <r>
    <n v="101057"/>
    <d v="2025-10-13T00:00:00"/>
    <n v="1102"/>
    <x v="0"/>
    <x v="6"/>
    <x v="0"/>
    <x v="3"/>
    <x v="1"/>
    <s v="UPI"/>
    <n v="17.7"/>
    <n v="12.4"/>
    <x v="2"/>
    <n v="21.95"/>
    <n v="197.53"/>
    <n v="126.98"/>
    <n v="13.46"/>
    <n v="1.54"/>
    <n v="0"/>
    <n v="109.21"/>
    <n v="20.37"/>
    <n v="271.56"/>
    <n v="-74.03"/>
    <s v="Loss"/>
    <x v="2"/>
    <n v="4"/>
    <n v="9"/>
    <s v="0-15"/>
    <s v="No"/>
    <n v="1"/>
    <s v="At Risk"/>
    <n v="0"/>
  </r>
  <r>
    <n v="101058"/>
    <d v="2025-11-15T00:00:00"/>
    <n v="1128"/>
    <x v="3"/>
    <x v="7"/>
    <x v="2"/>
    <x v="0"/>
    <x v="0"/>
    <s v="Card"/>
    <n v="37.07"/>
    <n v="20.149999999999999"/>
    <x v="0"/>
    <n v="112.04"/>
    <n v="634.91999999999996"/>
    <n v="237.99"/>
    <n v="11"/>
    <n v="11.2"/>
    <n v="3.42"/>
    <n v="0"/>
    <n v="0"/>
    <n v="263.61"/>
    <n v="371.31"/>
    <s v="Profit"/>
    <x v="0"/>
    <n v="11"/>
    <n v="0"/>
    <s v="0-15"/>
    <s v="No"/>
    <n v="0"/>
    <s v="Healthy"/>
    <n v="0"/>
  </r>
  <r>
    <n v="101059"/>
    <d v="2025-12-23T00:00:00"/>
    <n v="1150"/>
    <x v="0"/>
    <x v="11"/>
    <x v="4"/>
    <x v="1"/>
    <x v="0"/>
    <s v="UPI"/>
    <n v="23.35"/>
    <n v="17.21"/>
    <x v="3"/>
    <n v="0"/>
    <n v="401.85"/>
    <n v="186.33"/>
    <n v="10.31"/>
    <n v="2.81"/>
    <n v="4.87"/>
    <n v="396.89"/>
    <n v="0"/>
    <n v="601.21"/>
    <n v="-199.36"/>
    <s v="Loss"/>
    <x v="2"/>
    <n v="14"/>
    <n v="1"/>
    <s v="0-15"/>
    <s v="No"/>
    <n v="1"/>
    <s v="At Risk"/>
    <n v="0"/>
  </r>
  <r>
    <n v="101060"/>
    <d v="2025-11-10T00:00:00"/>
    <n v="1077"/>
    <x v="2"/>
    <x v="10"/>
    <x v="1"/>
    <x v="3"/>
    <x v="0"/>
    <s v="UPI"/>
    <n v="21.78"/>
    <n v="14.02"/>
    <x v="0"/>
    <n v="45.8"/>
    <n v="259.56"/>
    <n v="164.17"/>
    <n v="10.43"/>
    <n v="2.14"/>
    <n v="6.29"/>
    <n v="0"/>
    <n v="0"/>
    <n v="183.03"/>
    <n v="76.53"/>
    <s v="Profit"/>
    <x v="0"/>
    <n v="0"/>
    <n v="5"/>
    <s v="0-15"/>
    <s v="No"/>
    <n v="0"/>
    <s v="Healthy"/>
    <n v="0"/>
  </r>
  <r>
    <n v="101061"/>
    <d v="2025-11-25T00:00:00"/>
    <n v="1121"/>
    <x v="1"/>
    <x v="4"/>
    <x v="3"/>
    <x v="3"/>
    <x v="0"/>
    <s v="UPI"/>
    <n v="3"/>
    <n v="12.93"/>
    <x v="3"/>
    <n v="0"/>
    <n v="38.79"/>
    <n v="23.13"/>
    <n v="12.53"/>
    <n v="0.27"/>
    <n v="9.4499999999999993"/>
    <n v="0"/>
    <n v="0"/>
    <n v="45.38"/>
    <n v="-6.59"/>
    <s v="Loss"/>
    <x v="0"/>
    <n v="16"/>
    <n v="4"/>
    <s v="16-30"/>
    <s v="No"/>
    <n v="0"/>
    <s v="At Risk"/>
    <n v="0"/>
  </r>
  <r>
    <n v="101062"/>
    <d v="2025-11-25T00:00:00"/>
    <n v="1015"/>
    <x v="2"/>
    <x v="9"/>
    <x v="0"/>
    <x v="3"/>
    <x v="0"/>
    <s v="UPI"/>
    <n v="11.81"/>
    <n v="12.15"/>
    <x v="3"/>
    <n v="0"/>
    <n v="143.49"/>
    <n v="84.34"/>
    <n v="15.18"/>
    <n v="1"/>
    <n v="6.93"/>
    <n v="0"/>
    <n v="0"/>
    <n v="107.45"/>
    <n v="36.04"/>
    <s v="Profit"/>
    <x v="0"/>
    <n v="2"/>
    <n v="3"/>
    <s v="0-15"/>
    <s v="No"/>
    <n v="0"/>
    <s v="Healthy"/>
    <n v="0"/>
  </r>
  <r>
    <n v="101063"/>
    <d v="2025-11-18T00:00:00"/>
    <n v="1120"/>
    <x v="2"/>
    <x v="10"/>
    <x v="3"/>
    <x v="0"/>
    <x v="0"/>
    <s v="Wallet"/>
    <n v="29.62"/>
    <n v="19.190000000000001"/>
    <x v="0"/>
    <n v="85.26"/>
    <n v="483.15"/>
    <n v="225.58"/>
    <n v="3.12"/>
    <n v="6.82"/>
    <n v="0"/>
    <n v="449.99"/>
    <n v="0"/>
    <n v="685.51"/>
    <n v="-202.36"/>
    <s v="Loss"/>
    <x v="2"/>
    <n v="3"/>
    <n v="3"/>
    <s v="0-15"/>
    <s v="No"/>
    <n v="1"/>
    <s v="At Risk"/>
    <n v="0"/>
  </r>
  <r>
    <n v="101064"/>
    <d v="2025-12-19T00:00:00"/>
    <n v="1053"/>
    <x v="1"/>
    <x v="3"/>
    <x v="2"/>
    <x v="1"/>
    <x v="0"/>
    <s v="Wallet"/>
    <n v="13.39"/>
    <n v="15.74"/>
    <x v="0"/>
    <n v="31.61"/>
    <n v="179.15"/>
    <n v="92.93"/>
    <n v="6.95"/>
    <n v="2.5299999999999998"/>
    <n v="8.31"/>
    <n v="0"/>
    <n v="0"/>
    <n v="110.72"/>
    <n v="68.430000000000007"/>
    <s v="Profit"/>
    <x v="0"/>
    <n v="4"/>
    <n v="8"/>
    <s v="0-15"/>
    <s v="No"/>
    <n v="0"/>
    <s v="Healthy"/>
    <n v="0"/>
  </r>
  <r>
    <n v="101065"/>
    <d v="2025-10-17T00:00:00"/>
    <n v="1036"/>
    <x v="2"/>
    <x v="12"/>
    <x v="3"/>
    <x v="1"/>
    <x v="0"/>
    <s v="Card"/>
    <n v="28.87"/>
    <n v="15.99"/>
    <x v="4"/>
    <n v="23.08"/>
    <n v="438.55"/>
    <n v="200.96"/>
    <n v="2.99"/>
    <n v="6.92"/>
    <n v="3.92"/>
    <n v="0"/>
    <n v="0"/>
    <n v="214.79"/>
    <n v="223.76"/>
    <s v="Profit"/>
    <x v="0"/>
    <n v="11"/>
    <n v="7"/>
    <s v="0-15"/>
    <s v="No"/>
    <n v="0"/>
    <s v="Healthy"/>
    <n v="0"/>
  </r>
  <r>
    <n v="101066"/>
    <d v="2025-11-23T00:00:00"/>
    <n v="1045"/>
    <x v="1"/>
    <x v="3"/>
    <x v="2"/>
    <x v="0"/>
    <x v="2"/>
    <s v="UPI"/>
    <n v="19.170000000000002"/>
    <n v="19.43"/>
    <x v="3"/>
    <n v="0"/>
    <n v="372.47"/>
    <n v="140.76"/>
    <n v="9.6999999999999993"/>
    <n v="2.61"/>
    <n v="0"/>
    <n v="0"/>
    <n v="0"/>
    <n v="153.07"/>
    <n v="219.4"/>
    <s v="Profit"/>
    <x v="0"/>
    <n v="24"/>
    <n v="1"/>
    <s v="16-30"/>
    <s v="Yes"/>
    <n v="3"/>
    <s v="At Risk"/>
    <n v="1"/>
  </r>
  <r>
    <n v="101067"/>
    <d v="2025-12-22T00:00:00"/>
    <n v="1118"/>
    <x v="2"/>
    <x v="12"/>
    <x v="0"/>
    <x v="1"/>
    <x v="2"/>
    <s v="Wallet"/>
    <n v="14.84"/>
    <n v="14.58"/>
    <x v="4"/>
    <n v="10.82"/>
    <n v="205.55"/>
    <n v="118.78"/>
    <n v="11.7"/>
    <n v="2.6"/>
    <n v="4.12"/>
    <n v="0"/>
    <n v="0"/>
    <n v="137.19999999999999"/>
    <n v="68.349999999999994"/>
    <s v="Profit"/>
    <x v="0"/>
    <n v="17"/>
    <n v="0"/>
    <s v="16-30"/>
    <s v="No"/>
    <n v="0"/>
    <s v="Healthy"/>
    <n v="0"/>
  </r>
  <r>
    <n v="101068"/>
    <d v="2025-11-29T00:00:00"/>
    <n v="1111"/>
    <x v="2"/>
    <x v="12"/>
    <x v="3"/>
    <x v="1"/>
    <x v="0"/>
    <s v="UPI"/>
    <n v="25.35"/>
    <n v="16.11"/>
    <x v="4"/>
    <n v="20.420000000000002"/>
    <n v="387.97"/>
    <n v="166.81"/>
    <n v="6.82"/>
    <n v="2.86"/>
    <n v="9.61"/>
    <n v="0"/>
    <n v="0"/>
    <n v="186.1"/>
    <n v="201.87"/>
    <s v="Profit"/>
    <x v="0"/>
    <n v="9"/>
    <n v="0"/>
    <s v="0-15"/>
    <s v="No"/>
    <n v="0"/>
    <s v="Healthy"/>
    <n v="0"/>
  </r>
  <r>
    <n v="101069"/>
    <d v="2025-11-01T00:00:00"/>
    <n v="1114"/>
    <x v="1"/>
    <x v="13"/>
    <x v="0"/>
    <x v="1"/>
    <x v="0"/>
    <s v="Fleet_Invoice"/>
    <n v="21.26"/>
    <n v="15.15"/>
    <x v="4"/>
    <n v="16.100000000000001"/>
    <n v="305.99"/>
    <n v="156.04"/>
    <n v="8.99"/>
    <n v="1.29"/>
    <n v="0.51"/>
    <n v="0"/>
    <n v="0"/>
    <n v="166.83"/>
    <n v="139.16"/>
    <s v="Profit"/>
    <x v="0"/>
    <n v="1"/>
    <n v="6"/>
    <s v="0-15"/>
    <s v="No"/>
    <n v="0"/>
    <s v="Healthy"/>
    <n v="0"/>
  </r>
  <r>
    <n v="101070"/>
    <d v="2025-12-25T00:00:00"/>
    <n v="1149"/>
    <x v="3"/>
    <x v="15"/>
    <x v="0"/>
    <x v="0"/>
    <x v="0"/>
    <s v="UPI"/>
    <n v="32.64"/>
    <n v="20.03"/>
    <x v="3"/>
    <n v="0"/>
    <n v="653.78"/>
    <n v="219.96"/>
    <n v="6.74"/>
    <n v="4.58"/>
    <n v="4.62"/>
    <n v="0"/>
    <n v="0"/>
    <n v="235.9"/>
    <n v="417.88"/>
    <s v="Profit"/>
    <x v="0"/>
    <n v="9"/>
    <n v="0"/>
    <s v="0-15"/>
    <s v="No"/>
    <n v="0"/>
    <s v="Healthy"/>
    <n v="0"/>
  </r>
  <r>
    <n v="101071"/>
    <d v="2025-12-04T00:00:00"/>
    <n v="1038"/>
    <x v="1"/>
    <x v="4"/>
    <x v="3"/>
    <x v="2"/>
    <x v="2"/>
    <s v="Card"/>
    <n v="27.04"/>
    <n v="17.71"/>
    <x v="4"/>
    <n v="23.94"/>
    <n v="454.94"/>
    <n v="250.42"/>
    <n v="9.57"/>
    <n v="7.18"/>
    <n v="7.07"/>
    <n v="0"/>
    <n v="0"/>
    <n v="274.24"/>
    <n v="180.7"/>
    <s v="Profit"/>
    <x v="0"/>
    <n v="8"/>
    <n v="1"/>
    <s v="0-15"/>
    <s v="No"/>
    <n v="0"/>
    <s v="Healthy"/>
    <n v="0"/>
  </r>
  <r>
    <n v="101072"/>
    <d v="2025-12-03T00:00:00"/>
    <n v="1090"/>
    <x v="3"/>
    <x v="7"/>
    <x v="1"/>
    <x v="2"/>
    <x v="0"/>
    <s v="Wallet"/>
    <n v="22.68"/>
    <n v="18.46"/>
    <x v="3"/>
    <n v="0"/>
    <n v="418.67"/>
    <n v="160.56"/>
    <n v="7.9"/>
    <n v="5.0199999999999996"/>
    <n v="13.61"/>
    <n v="0"/>
    <n v="0"/>
    <n v="187.09"/>
    <n v="231.58"/>
    <s v="Profit"/>
    <x v="0"/>
    <n v="19"/>
    <n v="7"/>
    <s v="16-30"/>
    <s v="No"/>
    <n v="0"/>
    <s v="Healthy"/>
    <n v="0"/>
  </r>
  <r>
    <n v="101073"/>
    <d v="2025-11-10T00:00:00"/>
    <n v="1132"/>
    <x v="1"/>
    <x v="3"/>
    <x v="4"/>
    <x v="0"/>
    <x v="1"/>
    <s v="Fleet_Invoice"/>
    <n v="22.63"/>
    <n v="18.66"/>
    <x v="2"/>
    <n v="42.23"/>
    <n v="380.05"/>
    <n v="156.33000000000001"/>
    <n v="4.8499999999999996"/>
    <n v="1.69"/>
    <n v="8.39"/>
    <n v="0"/>
    <n v="0"/>
    <n v="171.26"/>
    <n v="208.79"/>
    <s v="Profit"/>
    <x v="0"/>
    <n v="6"/>
    <n v="2"/>
    <s v="0-15"/>
    <s v="No"/>
    <n v="1"/>
    <s v="Healthy"/>
    <n v="0"/>
  </r>
  <r>
    <n v="101074"/>
    <d v="2025-10-12T00:00:00"/>
    <n v="1068"/>
    <x v="1"/>
    <x v="2"/>
    <x v="1"/>
    <x v="2"/>
    <x v="0"/>
    <s v="Card"/>
    <n v="23.48"/>
    <n v="17.23"/>
    <x v="2"/>
    <n v="40.46"/>
    <n v="364.1"/>
    <n v="200.31"/>
    <n v="6.45"/>
    <n v="6.07"/>
    <n v="11.87"/>
    <n v="0"/>
    <n v="0"/>
    <n v="224.7"/>
    <n v="139.4"/>
    <s v="Profit"/>
    <x v="0"/>
    <n v="5"/>
    <n v="0"/>
    <s v="0-15"/>
    <s v="No"/>
    <n v="0"/>
    <s v="Healthy"/>
    <n v="0"/>
  </r>
  <r>
    <n v="101075"/>
    <d v="2025-10-14T00:00:00"/>
    <n v="1138"/>
    <x v="0"/>
    <x v="0"/>
    <x v="0"/>
    <x v="0"/>
    <x v="0"/>
    <s v="UPI"/>
    <n v="36.06"/>
    <n v="20.74"/>
    <x v="3"/>
    <n v="0"/>
    <n v="747.88"/>
    <n v="277.44"/>
    <n v="5.85"/>
    <n v="5.24"/>
    <n v="8.58"/>
    <n v="315.83999999999997"/>
    <n v="0"/>
    <n v="612.95000000000005"/>
    <n v="134.93"/>
    <s v="Profit"/>
    <x v="2"/>
    <n v="29"/>
    <n v="6"/>
    <s v="16-30"/>
    <s v="Yes"/>
    <n v="2"/>
    <s v="At Risk"/>
    <n v="1"/>
  </r>
  <r>
    <n v="101076"/>
    <d v="2025-10-28T00:00:00"/>
    <n v="1089"/>
    <x v="3"/>
    <x v="14"/>
    <x v="2"/>
    <x v="3"/>
    <x v="0"/>
    <s v="Fleet_Invoice"/>
    <n v="13.17"/>
    <n v="11.55"/>
    <x v="3"/>
    <n v="0"/>
    <n v="152.11000000000001"/>
    <n v="110.48"/>
    <n v="9.02"/>
    <n v="0.61"/>
    <n v="11.1"/>
    <n v="0"/>
    <n v="0"/>
    <n v="131.21"/>
    <n v="20.9"/>
    <s v="Profit"/>
    <x v="0"/>
    <n v="22"/>
    <n v="12"/>
    <s v="16-30"/>
    <s v="Yes"/>
    <n v="3"/>
    <s v="At Risk"/>
    <n v="1"/>
  </r>
  <r>
    <n v="101077"/>
    <d v="2025-10-01T00:00:00"/>
    <n v="1089"/>
    <x v="0"/>
    <x v="11"/>
    <x v="2"/>
    <x v="3"/>
    <x v="1"/>
    <s v="UPI"/>
    <n v="37.32"/>
    <n v="12.19"/>
    <x v="3"/>
    <n v="0"/>
    <n v="454.93"/>
    <n v="255.31"/>
    <n v="5.74"/>
    <n v="3.18"/>
    <n v="7.27"/>
    <n v="0"/>
    <n v="0"/>
    <n v="271.5"/>
    <n v="183.43"/>
    <s v="Profit"/>
    <x v="0"/>
    <n v="0"/>
    <n v="12"/>
    <s v="0-15"/>
    <s v="No"/>
    <n v="0"/>
    <s v="Healthy"/>
    <n v="0"/>
  </r>
  <r>
    <n v="101078"/>
    <d v="2025-11-14T00:00:00"/>
    <n v="1039"/>
    <x v="2"/>
    <x v="9"/>
    <x v="4"/>
    <x v="0"/>
    <x v="0"/>
    <s v="UPI"/>
    <n v="28.47"/>
    <n v="19.77"/>
    <x v="2"/>
    <n v="56.28"/>
    <n v="506.57"/>
    <n v="229.39"/>
    <n v="5.93"/>
    <n v="3.94"/>
    <n v="0"/>
    <n v="0"/>
    <n v="0"/>
    <n v="239.26"/>
    <n v="267.31"/>
    <s v="Profit"/>
    <x v="0"/>
    <n v="5"/>
    <n v="15"/>
    <s v="0-15"/>
    <s v="No"/>
    <n v="0"/>
    <s v="Healthy"/>
    <n v="0"/>
  </r>
  <r>
    <n v="101079"/>
    <d v="2025-11-28T00:00:00"/>
    <n v="1002"/>
    <x v="1"/>
    <x v="4"/>
    <x v="3"/>
    <x v="3"/>
    <x v="0"/>
    <s v="Wallet"/>
    <n v="28.04"/>
    <n v="12.62"/>
    <x v="3"/>
    <n v="0"/>
    <n v="353.86"/>
    <n v="184.86"/>
    <n v="5.43"/>
    <n v="4.25"/>
    <n v="10.35"/>
    <n v="0"/>
    <n v="0"/>
    <n v="204.89"/>
    <n v="148.97"/>
    <s v="Profit"/>
    <x v="0"/>
    <n v="20"/>
    <n v="11"/>
    <s v="16-30"/>
    <s v="No"/>
    <n v="0"/>
    <s v="Healthy"/>
    <n v="0"/>
  </r>
  <r>
    <n v="101080"/>
    <d v="2025-12-20T00:00:00"/>
    <n v="1035"/>
    <x v="2"/>
    <x v="9"/>
    <x v="2"/>
    <x v="0"/>
    <x v="0"/>
    <s v="Wallet"/>
    <n v="39.21"/>
    <n v="18.78"/>
    <x v="3"/>
    <n v="0"/>
    <n v="736.36"/>
    <n v="267.58"/>
    <n v="11.37"/>
    <n v="8.84"/>
    <n v="3.16"/>
    <n v="0"/>
    <n v="0"/>
    <n v="290.95"/>
    <n v="445.41"/>
    <s v="Profit"/>
    <x v="0"/>
    <n v="31"/>
    <n v="4"/>
    <s v="30+"/>
    <s v="Yes"/>
    <n v="1"/>
    <s v="At Risk"/>
    <n v="1"/>
  </r>
  <r>
    <n v="101081"/>
    <d v="2025-11-01T00:00:00"/>
    <n v="1079"/>
    <x v="0"/>
    <x v="6"/>
    <x v="4"/>
    <x v="1"/>
    <x v="0"/>
    <s v="Fleet_Invoice"/>
    <n v="30.41"/>
    <n v="15.54"/>
    <x v="3"/>
    <n v="0"/>
    <n v="472.57"/>
    <n v="205.07"/>
    <n v="6.39"/>
    <n v="1.89"/>
    <n v="5.72"/>
    <n v="0"/>
    <n v="0"/>
    <n v="219.07"/>
    <n v="253.5"/>
    <s v="Profit"/>
    <x v="0"/>
    <n v="14"/>
    <n v="1"/>
    <s v="0-15"/>
    <s v="No"/>
    <n v="0"/>
    <s v="Healthy"/>
    <n v="0"/>
  </r>
  <r>
    <n v="101082"/>
    <d v="2025-11-19T00:00:00"/>
    <n v="1124"/>
    <x v="2"/>
    <x v="5"/>
    <x v="1"/>
    <x v="3"/>
    <x v="2"/>
    <s v="UPI"/>
    <n v="19.22"/>
    <n v="14.55"/>
    <x v="1"/>
    <n v="55.93"/>
    <n v="223.72"/>
    <n v="149.56"/>
    <n v="3.72"/>
    <n v="1.96"/>
    <n v="6.99"/>
    <n v="0"/>
    <n v="0"/>
    <n v="162.22999999999999"/>
    <n v="61.49"/>
    <s v="Profit"/>
    <x v="0"/>
    <n v="0"/>
    <n v="0"/>
    <s v="0-15"/>
    <s v="No"/>
    <n v="0"/>
    <s v="Healthy"/>
    <n v="0"/>
  </r>
  <r>
    <n v="101083"/>
    <d v="2025-12-25T00:00:00"/>
    <n v="1122"/>
    <x v="1"/>
    <x v="4"/>
    <x v="0"/>
    <x v="2"/>
    <x v="1"/>
    <s v="Fleet_Invoice"/>
    <n v="43.75"/>
    <n v="17.41"/>
    <x v="2"/>
    <n v="76.17"/>
    <n v="685.52"/>
    <n v="299.25"/>
    <n v="9.25"/>
    <n v="3.05"/>
    <n v="6.02"/>
    <n v="0"/>
    <n v="0"/>
    <n v="317.57"/>
    <n v="367.95"/>
    <s v="Profit"/>
    <x v="0"/>
    <n v="12"/>
    <n v="0"/>
    <s v="0-15"/>
    <s v="No"/>
    <n v="2"/>
    <s v="Healthy"/>
    <n v="0"/>
  </r>
  <r>
    <n v="101084"/>
    <d v="2025-11-07T00:00:00"/>
    <n v="1015"/>
    <x v="0"/>
    <x v="1"/>
    <x v="2"/>
    <x v="0"/>
    <x v="1"/>
    <s v="Wallet"/>
    <n v="21.92"/>
    <n v="19.2"/>
    <x v="3"/>
    <n v="0"/>
    <n v="420.86"/>
    <n v="151.33000000000001"/>
    <n v="8.0399999999999991"/>
    <n v="5.05"/>
    <n v="5.0599999999999996"/>
    <n v="0"/>
    <n v="0"/>
    <n v="169.48"/>
    <n v="251.38"/>
    <s v="Profit"/>
    <x v="0"/>
    <n v="14"/>
    <n v="25"/>
    <s v="0-15"/>
    <s v="Yes"/>
    <n v="2"/>
    <s v="At Risk"/>
    <n v="1"/>
  </r>
  <r>
    <n v="101085"/>
    <d v="2025-12-15T00:00:00"/>
    <n v="1034"/>
    <x v="0"/>
    <x v="11"/>
    <x v="2"/>
    <x v="0"/>
    <x v="0"/>
    <s v="Card"/>
    <n v="22.07"/>
    <n v="18.55"/>
    <x v="3"/>
    <n v="0"/>
    <n v="409.4"/>
    <n v="165.82"/>
    <n v="7.01"/>
    <n v="6.14"/>
    <n v="11.28"/>
    <n v="0"/>
    <n v="0"/>
    <n v="190.25"/>
    <n v="219.15"/>
    <s v="Profit"/>
    <x v="0"/>
    <n v="19"/>
    <n v="14"/>
    <s v="16-30"/>
    <s v="No"/>
    <n v="0"/>
    <s v="Healthy"/>
    <n v="0"/>
  </r>
  <r>
    <n v="101086"/>
    <d v="2025-11-23T00:00:00"/>
    <n v="1010"/>
    <x v="1"/>
    <x v="13"/>
    <x v="2"/>
    <x v="1"/>
    <x v="1"/>
    <s v="UPI"/>
    <n v="36.36"/>
    <n v="15.33"/>
    <x v="0"/>
    <n v="83.61"/>
    <n v="473.79"/>
    <n v="223.9"/>
    <n v="3.5"/>
    <n v="3.9"/>
    <n v="7.61"/>
    <n v="0"/>
    <n v="0"/>
    <n v="238.91"/>
    <n v="234.88"/>
    <s v="Profit"/>
    <x v="0"/>
    <n v="11"/>
    <n v="8"/>
    <s v="0-15"/>
    <s v="No"/>
    <n v="0"/>
    <s v="Healthy"/>
    <n v="0"/>
  </r>
  <r>
    <n v="101087"/>
    <d v="2025-10-06T00:00:00"/>
    <n v="1060"/>
    <x v="2"/>
    <x v="12"/>
    <x v="0"/>
    <x v="3"/>
    <x v="1"/>
    <s v="Fleet_Invoice"/>
    <n v="28.64"/>
    <n v="12.35"/>
    <x v="4"/>
    <n v="17.68"/>
    <n v="336.02"/>
    <n v="193.87"/>
    <n v="4.57"/>
    <n v="1.41"/>
    <n v="8.2899999999999991"/>
    <n v="130.55000000000001"/>
    <n v="24.39"/>
    <n v="363.08"/>
    <n v="-27.06"/>
    <s v="Loss"/>
    <x v="2"/>
    <n v="14"/>
    <n v="18"/>
    <s v="0-15"/>
    <s v="Yes"/>
    <n v="3"/>
    <s v="At Risk"/>
    <n v="1"/>
  </r>
  <r>
    <n v="101088"/>
    <d v="2025-11-06T00:00:00"/>
    <n v="1065"/>
    <x v="3"/>
    <x v="7"/>
    <x v="0"/>
    <x v="1"/>
    <x v="1"/>
    <s v="UPI"/>
    <n v="22.74"/>
    <n v="15.48"/>
    <x v="2"/>
    <n v="35.200000000000003"/>
    <n v="316.82"/>
    <n v="151.5"/>
    <n v="11.68"/>
    <n v="2.46"/>
    <n v="7.21"/>
    <n v="0"/>
    <n v="0"/>
    <n v="172.85"/>
    <n v="143.97"/>
    <s v="Profit"/>
    <x v="0"/>
    <n v="22"/>
    <n v="1"/>
    <s v="16-30"/>
    <s v="Yes"/>
    <n v="2"/>
    <s v="At Risk"/>
    <n v="1"/>
  </r>
  <r>
    <n v="101089"/>
    <d v="2025-11-07T00:00:00"/>
    <n v="1093"/>
    <x v="0"/>
    <x v="6"/>
    <x v="4"/>
    <x v="3"/>
    <x v="2"/>
    <s v="UPI"/>
    <n v="21.19"/>
    <n v="12.19"/>
    <x v="3"/>
    <n v="0"/>
    <n v="258.31"/>
    <n v="157.30000000000001"/>
    <n v="7.09"/>
    <n v="1.81"/>
    <n v="7.62"/>
    <n v="0"/>
    <n v="0"/>
    <n v="173.82"/>
    <n v="84.49"/>
    <s v="Profit"/>
    <x v="0"/>
    <n v="10"/>
    <n v="1"/>
    <s v="0-15"/>
    <s v="No"/>
    <n v="2"/>
    <s v="Healthy"/>
    <n v="0"/>
  </r>
  <r>
    <n v="101090"/>
    <d v="2025-10-04T00:00:00"/>
    <n v="1059"/>
    <x v="1"/>
    <x v="4"/>
    <x v="3"/>
    <x v="1"/>
    <x v="0"/>
    <s v="UPI"/>
    <n v="30.84"/>
    <n v="15.09"/>
    <x v="1"/>
    <n v="93.08"/>
    <n v="372.3"/>
    <n v="209.97"/>
    <n v="2.0699999999999998"/>
    <n v="3.26"/>
    <n v="6.56"/>
    <n v="0"/>
    <n v="0"/>
    <n v="221.86"/>
    <n v="150.44"/>
    <s v="Profit"/>
    <x v="0"/>
    <n v="1"/>
    <n v="1"/>
    <s v="0-15"/>
    <s v="No"/>
    <n v="0"/>
    <s v="Healthy"/>
    <n v="0"/>
  </r>
  <r>
    <n v="101091"/>
    <d v="2025-10-22T00:00:00"/>
    <n v="1043"/>
    <x v="2"/>
    <x v="12"/>
    <x v="1"/>
    <x v="0"/>
    <x v="0"/>
    <s v="Wallet"/>
    <n v="24.87"/>
    <n v="19.510000000000002"/>
    <x v="2"/>
    <n v="48.52"/>
    <n v="436.69"/>
    <n v="173.52"/>
    <n v="6.88"/>
    <n v="5.82"/>
    <n v="6.99"/>
    <n v="0"/>
    <n v="0"/>
    <n v="193.21"/>
    <n v="243.48"/>
    <s v="Profit"/>
    <x v="0"/>
    <n v="3"/>
    <n v="0"/>
    <s v="0-15"/>
    <s v="No"/>
    <n v="0"/>
    <s v="Healthy"/>
    <n v="0"/>
  </r>
  <r>
    <n v="101092"/>
    <d v="2025-12-31T00:00:00"/>
    <n v="1067"/>
    <x v="0"/>
    <x v="11"/>
    <x v="1"/>
    <x v="2"/>
    <x v="2"/>
    <s v="UPI"/>
    <n v="41.38"/>
    <n v="17.96"/>
    <x v="2"/>
    <n v="74.319999999999993"/>
    <n v="668.86"/>
    <n v="297.51"/>
    <n v="11.24"/>
    <n v="5.2"/>
    <n v="10.81"/>
    <n v="0"/>
    <n v="0"/>
    <n v="324.76"/>
    <n v="344.1"/>
    <s v="Profit"/>
    <x v="0"/>
    <n v="6"/>
    <n v="18"/>
    <s v="0-15"/>
    <s v="Yes"/>
    <n v="4"/>
    <s v="At Risk"/>
    <n v="1"/>
  </r>
  <r>
    <n v="101093"/>
    <d v="2025-10-04T00:00:00"/>
    <n v="1007"/>
    <x v="1"/>
    <x v="2"/>
    <x v="2"/>
    <x v="3"/>
    <x v="0"/>
    <s v="Fleet_Invoice"/>
    <n v="24.16"/>
    <n v="12.35"/>
    <x v="3"/>
    <n v="0"/>
    <n v="298.38"/>
    <n v="181.84"/>
    <n v="6.61"/>
    <n v="1.19"/>
    <n v="9.01"/>
    <n v="238.01"/>
    <n v="0"/>
    <n v="436.66"/>
    <n v="-138.28"/>
    <s v="Loss"/>
    <x v="2"/>
    <n v="13"/>
    <n v="5"/>
    <s v="0-15"/>
    <s v="No"/>
    <n v="3"/>
    <s v="At Risk"/>
    <n v="0"/>
  </r>
  <r>
    <n v="101094"/>
    <d v="2025-11-15T00:00:00"/>
    <n v="1020"/>
    <x v="2"/>
    <x v="10"/>
    <x v="3"/>
    <x v="3"/>
    <x v="0"/>
    <s v="UPI"/>
    <n v="12.96"/>
    <n v="13.2"/>
    <x v="3"/>
    <n v="0"/>
    <n v="171.07"/>
    <n v="95.07"/>
    <n v="5.91"/>
    <n v="1.2"/>
    <n v="6.61"/>
    <n v="0"/>
    <n v="0"/>
    <n v="108.79"/>
    <n v="62.28"/>
    <s v="Profit"/>
    <x v="0"/>
    <n v="18"/>
    <n v="26"/>
    <s v="16-30"/>
    <s v="Yes"/>
    <n v="2"/>
    <s v="At Risk"/>
    <n v="1"/>
  </r>
  <r>
    <n v="101095"/>
    <d v="2025-12-05T00:00:00"/>
    <n v="1038"/>
    <x v="3"/>
    <x v="14"/>
    <x v="0"/>
    <x v="0"/>
    <x v="2"/>
    <s v="Wallet"/>
    <n v="26.39"/>
    <n v="19.7"/>
    <x v="3"/>
    <n v="0"/>
    <n v="519.88"/>
    <n v="167.93"/>
    <n v="8.33"/>
    <n v="6.24"/>
    <n v="7.2"/>
    <n v="0"/>
    <n v="0"/>
    <n v="189.7"/>
    <n v="330.18"/>
    <s v="Profit"/>
    <x v="0"/>
    <n v="9"/>
    <n v="0"/>
    <s v="0-15"/>
    <s v="No"/>
    <n v="1"/>
    <s v="Healthy"/>
    <n v="0"/>
  </r>
  <r>
    <n v="101096"/>
    <d v="2025-12-13T00:00:00"/>
    <n v="1010"/>
    <x v="0"/>
    <x v="11"/>
    <x v="0"/>
    <x v="0"/>
    <x v="2"/>
    <s v="Wallet"/>
    <n v="25.03"/>
    <n v="21.9"/>
    <x v="2"/>
    <n v="54.82"/>
    <n v="493.34"/>
    <n v="164.55"/>
    <n v="10.09"/>
    <n v="6.58"/>
    <n v="5.25"/>
    <n v="390.97"/>
    <n v="9.7799999999999994"/>
    <n v="587.22"/>
    <n v="-93.88"/>
    <s v="Loss"/>
    <x v="1"/>
    <n v="3"/>
    <n v="4"/>
    <s v="0-15"/>
    <s v="Yes"/>
    <n v="2"/>
    <s v="At Risk"/>
    <n v="1"/>
  </r>
  <r>
    <n v="101097"/>
    <d v="2025-11-12T00:00:00"/>
    <n v="1073"/>
    <x v="0"/>
    <x v="6"/>
    <x v="1"/>
    <x v="2"/>
    <x v="0"/>
    <s v="UPI"/>
    <n v="38.01"/>
    <n v="18.579999999999998"/>
    <x v="4"/>
    <n v="35.31"/>
    <n v="670.92"/>
    <n v="252.08"/>
    <n v="2.8"/>
    <n v="4.9400000000000004"/>
    <n v="1.1299999999999999"/>
    <n v="0"/>
    <n v="0"/>
    <n v="260.95"/>
    <n v="409.97"/>
    <s v="Profit"/>
    <x v="0"/>
    <n v="0"/>
    <n v="1"/>
    <s v="0-15"/>
    <s v="No"/>
    <n v="0"/>
    <s v="Healthy"/>
    <n v="0"/>
  </r>
  <r>
    <n v="101098"/>
    <d v="2025-12-18T00:00:00"/>
    <n v="1102"/>
    <x v="2"/>
    <x v="10"/>
    <x v="3"/>
    <x v="3"/>
    <x v="2"/>
    <s v="Wallet"/>
    <n v="13.7"/>
    <n v="13.19"/>
    <x v="3"/>
    <n v="0"/>
    <n v="180.7"/>
    <n v="89.01"/>
    <n v="4.87"/>
    <n v="2.17"/>
    <n v="3.63"/>
    <n v="89.16"/>
    <n v="18.82"/>
    <n v="207.66"/>
    <n v="-26.96"/>
    <s v="Loss"/>
    <x v="1"/>
    <n v="0"/>
    <n v="20"/>
    <s v="0-15"/>
    <s v="Yes"/>
    <n v="3"/>
    <s v="At Risk"/>
    <n v="1"/>
  </r>
  <r>
    <n v="101099"/>
    <d v="2025-12-01T00:00:00"/>
    <n v="1132"/>
    <x v="3"/>
    <x v="14"/>
    <x v="1"/>
    <x v="3"/>
    <x v="0"/>
    <s v="UPI"/>
    <n v="9.6999999999999993"/>
    <n v="12.39"/>
    <x v="4"/>
    <n v="6.01"/>
    <n v="114.17"/>
    <n v="72.09"/>
    <n v="6.2"/>
    <n v="0.84"/>
    <n v="7.91"/>
    <n v="0"/>
    <n v="0"/>
    <n v="87.04"/>
    <n v="27.13"/>
    <s v="Profit"/>
    <x v="0"/>
    <n v="3"/>
    <n v="2"/>
    <s v="0-15"/>
    <s v="No"/>
    <n v="0"/>
    <s v="Healthy"/>
    <n v="0"/>
  </r>
  <r>
    <n v="101100"/>
    <d v="2025-12-01T00:00:00"/>
    <n v="1109"/>
    <x v="2"/>
    <x v="12"/>
    <x v="1"/>
    <x v="1"/>
    <x v="1"/>
    <s v="Wallet"/>
    <n v="24.2"/>
    <n v="16.88"/>
    <x v="4"/>
    <n v="20.420000000000002"/>
    <n v="388.08"/>
    <n v="175.43"/>
    <n v="7.11"/>
    <n v="4.9000000000000004"/>
    <n v="14.13"/>
    <n v="0"/>
    <n v="0"/>
    <n v="201.57"/>
    <n v="186.51"/>
    <s v="Profit"/>
    <x v="0"/>
    <n v="10"/>
    <n v="21"/>
    <s v="0-15"/>
    <s v="Yes"/>
    <n v="1"/>
    <s v="At Risk"/>
    <n v="1"/>
  </r>
  <r>
    <n v="101101"/>
    <d v="2025-11-17T00:00:00"/>
    <n v="1005"/>
    <x v="3"/>
    <x v="8"/>
    <x v="3"/>
    <x v="2"/>
    <x v="0"/>
    <s v="UPI"/>
    <n v="27"/>
    <n v="17.09"/>
    <x v="3"/>
    <n v="0"/>
    <n v="461.43"/>
    <n v="187.72"/>
    <n v="5.93"/>
    <n v="3.23"/>
    <n v="3.8"/>
    <n v="0"/>
    <n v="0"/>
    <n v="200.68"/>
    <n v="260.75"/>
    <s v="Profit"/>
    <x v="0"/>
    <n v="5"/>
    <n v="3"/>
    <s v="0-15"/>
    <s v="No"/>
    <n v="0"/>
    <s v="Healthy"/>
    <n v="0"/>
  </r>
  <r>
    <n v="101102"/>
    <d v="2025-11-13T00:00:00"/>
    <n v="1072"/>
    <x v="3"/>
    <x v="8"/>
    <x v="0"/>
    <x v="0"/>
    <x v="2"/>
    <s v="Wallet"/>
    <n v="26.54"/>
    <n v="18.850000000000001"/>
    <x v="4"/>
    <n v="25.01"/>
    <n v="475.27"/>
    <n v="249.5"/>
    <n v="2.77"/>
    <n v="6"/>
    <n v="5.42"/>
    <n v="0"/>
    <n v="0"/>
    <n v="263.69"/>
    <n v="211.58"/>
    <s v="Profit"/>
    <x v="0"/>
    <n v="5"/>
    <n v="7"/>
    <s v="0-15"/>
    <s v="No"/>
    <n v="0"/>
    <s v="Healthy"/>
    <n v="0"/>
  </r>
  <r>
    <n v="101103"/>
    <d v="2025-10-01T00:00:00"/>
    <n v="1027"/>
    <x v="0"/>
    <x v="11"/>
    <x v="2"/>
    <x v="1"/>
    <x v="0"/>
    <s v="UPI"/>
    <n v="18.98"/>
    <n v="15.64"/>
    <x v="2"/>
    <n v="29.68"/>
    <n v="267.17"/>
    <n v="143.75"/>
    <n v="7.96"/>
    <n v="2.08"/>
    <n v="4.5199999999999996"/>
    <n v="0"/>
    <n v="0"/>
    <n v="158.31"/>
    <n v="108.86"/>
    <s v="Profit"/>
    <x v="0"/>
    <n v="56"/>
    <n v="30"/>
    <s v="30+"/>
    <s v="Yes"/>
    <n v="2"/>
    <s v="At Risk"/>
    <n v="1"/>
  </r>
  <r>
    <n v="101104"/>
    <d v="2025-11-01T00:00:00"/>
    <n v="1137"/>
    <x v="0"/>
    <x v="1"/>
    <x v="1"/>
    <x v="1"/>
    <x v="0"/>
    <s v="Fleet_Invoice"/>
    <n v="23.23"/>
    <n v="15.56"/>
    <x v="3"/>
    <n v="0"/>
    <n v="361.46"/>
    <n v="183.54"/>
    <n v="10.8"/>
    <n v="1.45"/>
    <n v="7.57"/>
    <n v="0"/>
    <n v="0"/>
    <n v="203.36"/>
    <n v="158.1"/>
    <s v="Profit"/>
    <x v="0"/>
    <n v="5"/>
    <n v="1"/>
    <s v="0-15"/>
    <s v="No"/>
    <n v="0"/>
    <s v="Healthy"/>
    <n v="0"/>
  </r>
  <r>
    <n v="101105"/>
    <d v="2025-11-23T00:00:00"/>
    <n v="1014"/>
    <x v="0"/>
    <x v="1"/>
    <x v="0"/>
    <x v="3"/>
    <x v="0"/>
    <s v="UPI"/>
    <n v="14.53"/>
    <n v="11.74"/>
    <x v="2"/>
    <n v="17.059999999999999"/>
    <n v="153.52000000000001"/>
    <n v="97.99"/>
    <n v="9.41"/>
    <n v="1.19"/>
    <n v="5.81"/>
    <n v="0"/>
    <n v="0"/>
    <n v="114.4"/>
    <n v="39.119999999999997"/>
    <s v="Profit"/>
    <x v="0"/>
    <n v="38"/>
    <n v="0"/>
    <s v="30+"/>
    <s v="Yes"/>
    <n v="1"/>
    <s v="At Risk"/>
    <n v="1"/>
  </r>
  <r>
    <n v="101106"/>
    <d v="2025-11-27T00:00:00"/>
    <n v="1021"/>
    <x v="1"/>
    <x v="3"/>
    <x v="3"/>
    <x v="1"/>
    <x v="2"/>
    <s v="UPI"/>
    <n v="34.520000000000003"/>
    <n v="15.61"/>
    <x v="3"/>
    <n v="0"/>
    <n v="538.86"/>
    <n v="306.45999999999998"/>
    <n v="4.9400000000000004"/>
    <n v="3.77"/>
    <n v="0"/>
    <n v="0"/>
    <n v="0"/>
    <n v="315.17"/>
    <n v="223.69"/>
    <s v="Profit"/>
    <x v="0"/>
    <n v="31"/>
    <n v="8"/>
    <s v="30+"/>
    <s v="Yes"/>
    <n v="1"/>
    <s v="At Risk"/>
    <n v="1"/>
  </r>
  <r>
    <n v="101107"/>
    <d v="2025-12-04T00:00:00"/>
    <n v="1144"/>
    <x v="3"/>
    <x v="15"/>
    <x v="3"/>
    <x v="1"/>
    <x v="2"/>
    <s v="UPI"/>
    <n v="32.5"/>
    <n v="15.8"/>
    <x v="3"/>
    <n v="0"/>
    <n v="513.5"/>
    <n v="177.9"/>
    <n v="8.7899999999999991"/>
    <n v="3.59"/>
    <n v="8.58"/>
    <n v="0"/>
    <n v="0"/>
    <n v="198.86"/>
    <n v="314.64"/>
    <s v="Profit"/>
    <x v="0"/>
    <n v="8"/>
    <n v="0"/>
    <s v="0-15"/>
    <s v="No"/>
    <n v="0"/>
    <s v="Healthy"/>
    <n v="0"/>
  </r>
  <r>
    <n v="101108"/>
    <d v="2025-12-29T00:00:00"/>
    <n v="1080"/>
    <x v="1"/>
    <x v="2"/>
    <x v="3"/>
    <x v="2"/>
    <x v="2"/>
    <s v="UPI"/>
    <n v="38"/>
    <n v="16.850000000000001"/>
    <x v="4"/>
    <n v="32.020000000000003"/>
    <n v="608.28"/>
    <n v="350.15"/>
    <n v="6.12"/>
    <n v="4.4800000000000004"/>
    <n v="9.75"/>
    <n v="0"/>
    <n v="0"/>
    <n v="370.5"/>
    <n v="237.78"/>
    <s v="Profit"/>
    <x v="0"/>
    <n v="22"/>
    <n v="4"/>
    <s v="16-30"/>
    <s v="Yes"/>
    <n v="1"/>
    <s v="At Risk"/>
    <n v="1"/>
  </r>
  <r>
    <n v="101109"/>
    <d v="2025-10-01T00:00:00"/>
    <n v="1087"/>
    <x v="2"/>
    <x v="9"/>
    <x v="4"/>
    <x v="0"/>
    <x v="0"/>
    <s v="Card"/>
    <n v="18.71"/>
    <n v="18.87"/>
    <x v="3"/>
    <n v="0"/>
    <n v="353.06"/>
    <n v="132.94999999999999"/>
    <n v="6.96"/>
    <n v="5.3"/>
    <n v="3.34"/>
    <n v="0"/>
    <n v="0"/>
    <n v="148.55000000000001"/>
    <n v="204.51"/>
    <s v="Profit"/>
    <x v="0"/>
    <n v="13"/>
    <n v="0"/>
    <s v="0-15"/>
    <s v="No"/>
    <n v="2"/>
    <s v="Healthy"/>
    <n v="0"/>
  </r>
  <r>
    <n v="101110"/>
    <d v="2025-10-09T00:00:00"/>
    <n v="1041"/>
    <x v="3"/>
    <x v="7"/>
    <x v="1"/>
    <x v="1"/>
    <x v="0"/>
    <s v="UPI"/>
    <n v="36.409999999999997"/>
    <n v="16.100000000000001"/>
    <x v="3"/>
    <n v="0"/>
    <n v="586.20000000000005"/>
    <n v="294.68"/>
    <n v="7.33"/>
    <n v="4.0999999999999996"/>
    <n v="4.24"/>
    <n v="0"/>
    <n v="0"/>
    <n v="310.35000000000002"/>
    <n v="275.85000000000002"/>
    <s v="Profit"/>
    <x v="0"/>
    <n v="15"/>
    <n v="11"/>
    <s v="0-15"/>
    <s v="No"/>
    <n v="0"/>
    <s v="Healthy"/>
    <n v="0"/>
  </r>
  <r>
    <n v="101111"/>
    <d v="2025-12-04T00:00:00"/>
    <n v="1044"/>
    <x v="2"/>
    <x v="12"/>
    <x v="2"/>
    <x v="3"/>
    <x v="0"/>
    <s v="UPI"/>
    <n v="12.19"/>
    <n v="13.27"/>
    <x v="3"/>
    <n v="0"/>
    <n v="161.76"/>
    <n v="83.28"/>
    <n v="10.95"/>
    <n v="1.1299999999999999"/>
    <n v="9.01"/>
    <n v="0"/>
    <n v="0"/>
    <n v="104.37"/>
    <n v="57.39"/>
    <s v="Profit"/>
    <x v="0"/>
    <n v="0"/>
    <n v="13"/>
    <s v="0-15"/>
    <s v="No"/>
    <n v="0"/>
    <s v="Healthy"/>
    <n v="0"/>
  </r>
  <r>
    <n v="101112"/>
    <d v="2025-10-15T00:00:00"/>
    <n v="1081"/>
    <x v="0"/>
    <x v="0"/>
    <x v="4"/>
    <x v="3"/>
    <x v="0"/>
    <s v="Card"/>
    <n v="24.54"/>
    <n v="13.46"/>
    <x v="3"/>
    <n v="0"/>
    <n v="330.31"/>
    <n v="181.62"/>
    <n v="4.03"/>
    <n v="4.95"/>
    <n v="4.43"/>
    <n v="0"/>
    <n v="0"/>
    <n v="195.03"/>
    <n v="135.28"/>
    <s v="Profit"/>
    <x v="0"/>
    <n v="13"/>
    <n v="0"/>
    <s v="0-15"/>
    <s v="No"/>
    <n v="0"/>
    <s v="Healthy"/>
    <n v="0"/>
  </r>
  <r>
    <n v="101113"/>
    <d v="2025-11-28T00:00:00"/>
    <n v="1037"/>
    <x v="0"/>
    <x v="6"/>
    <x v="3"/>
    <x v="1"/>
    <x v="0"/>
    <s v="UPI"/>
    <n v="24.91"/>
    <n v="15.21"/>
    <x v="1"/>
    <n v="75.78"/>
    <n v="303.10000000000002"/>
    <n v="175.48"/>
    <n v="9.51"/>
    <n v="2.65"/>
    <n v="4.83"/>
    <n v="0"/>
    <n v="0"/>
    <n v="192.47"/>
    <n v="110.63"/>
    <s v="Profit"/>
    <x v="0"/>
    <n v="2"/>
    <n v="1"/>
    <s v="0-15"/>
    <s v="No"/>
    <n v="0"/>
    <s v="Healthy"/>
    <n v="0"/>
  </r>
  <r>
    <n v="101114"/>
    <d v="2025-11-06T00:00:00"/>
    <n v="1124"/>
    <x v="2"/>
    <x v="10"/>
    <x v="2"/>
    <x v="3"/>
    <x v="2"/>
    <s v="UPI"/>
    <n v="13.03"/>
    <n v="14.09"/>
    <x v="3"/>
    <n v="0"/>
    <n v="183.59"/>
    <n v="89.12"/>
    <n v="6.9"/>
    <n v="1.29"/>
    <n v="4.4000000000000004"/>
    <n v="0"/>
    <n v="0"/>
    <n v="101.71"/>
    <n v="81.88"/>
    <s v="Profit"/>
    <x v="0"/>
    <n v="19"/>
    <n v="6"/>
    <s v="16-30"/>
    <s v="No"/>
    <n v="0"/>
    <s v="Healthy"/>
    <n v="0"/>
  </r>
  <r>
    <n v="101115"/>
    <d v="2025-11-17T00:00:00"/>
    <n v="1038"/>
    <x v="0"/>
    <x v="6"/>
    <x v="3"/>
    <x v="3"/>
    <x v="0"/>
    <s v="Card"/>
    <n v="24.95"/>
    <n v="12.62"/>
    <x v="3"/>
    <n v="0"/>
    <n v="314.87"/>
    <n v="159.36000000000001"/>
    <n v="12.01"/>
    <n v="4.72"/>
    <n v="5.47"/>
    <n v="0"/>
    <n v="0"/>
    <n v="181.56"/>
    <n v="133.31"/>
    <s v="Profit"/>
    <x v="0"/>
    <n v="13"/>
    <n v="15"/>
    <s v="0-15"/>
    <s v="No"/>
    <n v="0"/>
    <s v="Healthy"/>
    <n v="0"/>
  </r>
  <r>
    <n v="101116"/>
    <d v="2025-11-05T00:00:00"/>
    <n v="1044"/>
    <x v="2"/>
    <x v="12"/>
    <x v="4"/>
    <x v="2"/>
    <x v="0"/>
    <s v="UPI"/>
    <n v="7.51"/>
    <n v="17.149999999999999"/>
    <x v="4"/>
    <n v="6.44"/>
    <n v="122.36"/>
    <n v="51.63"/>
    <n v="2.48"/>
    <n v="0.9"/>
    <n v="0"/>
    <n v="0"/>
    <n v="0"/>
    <n v="55.01"/>
    <n v="67.349999999999994"/>
    <s v="Profit"/>
    <x v="0"/>
    <n v="2"/>
    <n v="2"/>
    <s v="0-15"/>
    <s v="No"/>
    <n v="0"/>
    <s v="Healthy"/>
    <n v="0"/>
  </r>
  <r>
    <n v="101117"/>
    <d v="2025-10-25T00:00:00"/>
    <n v="1001"/>
    <x v="1"/>
    <x v="13"/>
    <x v="2"/>
    <x v="2"/>
    <x v="0"/>
    <s v="UPI"/>
    <n v="34.020000000000003"/>
    <n v="17.59"/>
    <x v="0"/>
    <n v="89.76"/>
    <n v="508.65"/>
    <n v="286.86"/>
    <n v="8.8699999999999992"/>
    <n v="4.1900000000000004"/>
    <n v="7.19"/>
    <n v="0"/>
    <n v="0"/>
    <n v="307.11"/>
    <n v="201.54"/>
    <s v="Profit"/>
    <x v="0"/>
    <n v="21"/>
    <n v="8"/>
    <s v="16-30"/>
    <s v="Yes"/>
    <n v="2"/>
    <s v="At Risk"/>
    <n v="1"/>
  </r>
  <r>
    <n v="101118"/>
    <d v="2025-10-22T00:00:00"/>
    <n v="1031"/>
    <x v="0"/>
    <x v="6"/>
    <x v="4"/>
    <x v="3"/>
    <x v="2"/>
    <s v="Card"/>
    <n v="6.17"/>
    <n v="12.82"/>
    <x v="0"/>
    <n v="11.86"/>
    <n v="67.239999999999995"/>
    <n v="47.65"/>
    <n v="7.28"/>
    <n v="1.19"/>
    <n v="11.07"/>
    <n v="0"/>
    <n v="0"/>
    <n v="67.19"/>
    <n v="0.05"/>
    <s v="Profit"/>
    <x v="0"/>
    <n v="14"/>
    <n v="8"/>
    <s v="0-15"/>
    <s v="No"/>
    <n v="0"/>
    <s v="Healthy"/>
    <n v="0"/>
  </r>
  <r>
    <n v="101119"/>
    <d v="2025-10-14T00:00:00"/>
    <n v="1041"/>
    <x v="1"/>
    <x v="3"/>
    <x v="1"/>
    <x v="2"/>
    <x v="1"/>
    <s v="UPI"/>
    <n v="33.22"/>
    <n v="18.8"/>
    <x v="2"/>
    <n v="62.45"/>
    <n v="562.09"/>
    <n v="228.54"/>
    <n v="5.32"/>
    <n v="4.37"/>
    <n v="5.22"/>
    <n v="0"/>
    <n v="0"/>
    <n v="243.45"/>
    <n v="318.64"/>
    <s v="Profit"/>
    <x v="0"/>
    <n v="7"/>
    <n v="7"/>
    <s v="0-15"/>
    <s v="No"/>
    <n v="0"/>
    <s v="Healthy"/>
    <n v="0"/>
  </r>
  <r>
    <n v="101120"/>
    <d v="2025-11-11T00:00:00"/>
    <n v="1145"/>
    <x v="1"/>
    <x v="4"/>
    <x v="3"/>
    <x v="1"/>
    <x v="2"/>
    <s v="Fleet_Invoice"/>
    <n v="28.53"/>
    <n v="14.53"/>
    <x v="4"/>
    <n v="20.73"/>
    <n v="393.81"/>
    <n v="235.6"/>
    <n v="3.77"/>
    <n v="1.66"/>
    <n v="6.19"/>
    <n v="0"/>
    <n v="0"/>
    <n v="247.22"/>
    <n v="146.59"/>
    <s v="Profit"/>
    <x v="0"/>
    <n v="8"/>
    <n v="8"/>
    <s v="0-15"/>
    <s v="No"/>
    <n v="0"/>
    <s v="Healthy"/>
    <n v="0"/>
  </r>
  <r>
    <n v="101121"/>
    <d v="2025-10-25T00:00:00"/>
    <n v="1003"/>
    <x v="1"/>
    <x v="13"/>
    <x v="2"/>
    <x v="3"/>
    <x v="2"/>
    <s v="UPI"/>
    <n v="29.59"/>
    <n v="12.76"/>
    <x v="2"/>
    <n v="37.76"/>
    <n v="339.81"/>
    <n v="187.77"/>
    <n v="10.65"/>
    <n v="2.64"/>
    <n v="6.68"/>
    <n v="0"/>
    <n v="0"/>
    <n v="207.74"/>
    <n v="132.07"/>
    <s v="Profit"/>
    <x v="0"/>
    <n v="8"/>
    <n v="6"/>
    <s v="0-15"/>
    <s v="No"/>
    <n v="0"/>
    <s v="Healthy"/>
    <n v="0"/>
  </r>
  <r>
    <n v="101122"/>
    <d v="2025-10-28T00:00:00"/>
    <n v="1013"/>
    <x v="0"/>
    <x v="1"/>
    <x v="1"/>
    <x v="1"/>
    <x v="2"/>
    <s v="Fleet_Invoice"/>
    <n v="35.28"/>
    <n v="15.97"/>
    <x v="3"/>
    <n v="0"/>
    <n v="563.41999999999996"/>
    <n v="276.26"/>
    <n v="8.59"/>
    <n v="2.25"/>
    <n v="1.03"/>
    <n v="343.31"/>
    <n v="22.94"/>
    <n v="654.38"/>
    <n v="-90.96"/>
    <s v="Loss"/>
    <x v="1"/>
    <n v="12"/>
    <n v="8"/>
    <s v="0-15"/>
    <s v="Yes"/>
    <n v="1"/>
    <s v="At Risk"/>
    <n v="1"/>
  </r>
  <r>
    <n v="101123"/>
    <d v="2025-12-22T00:00:00"/>
    <n v="1073"/>
    <x v="0"/>
    <x v="1"/>
    <x v="2"/>
    <x v="1"/>
    <x v="0"/>
    <s v="UPI"/>
    <n v="29.04"/>
    <n v="16.53"/>
    <x v="3"/>
    <n v="0"/>
    <n v="480.03"/>
    <n v="193.26"/>
    <n v="13.68"/>
    <n v="3.36"/>
    <n v="4.72"/>
    <n v="0"/>
    <n v="0"/>
    <n v="215.02"/>
    <n v="265.01"/>
    <s v="Profit"/>
    <x v="0"/>
    <n v="13"/>
    <n v="12"/>
    <s v="0-15"/>
    <s v="No"/>
    <n v="0"/>
    <s v="Healthy"/>
    <n v="0"/>
  </r>
  <r>
    <n v="101124"/>
    <d v="2025-10-01T00:00:00"/>
    <n v="1077"/>
    <x v="0"/>
    <x v="0"/>
    <x v="2"/>
    <x v="2"/>
    <x v="2"/>
    <s v="UPI"/>
    <n v="49.36"/>
    <n v="17.760000000000002"/>
    <x v="1"/>
    <n v="175.33"/>
    <n v="701.3"/>
    <n v="410.58"/>
    <n v="8.18"/>
    <n v="6.14"/>
    <n v="4.3"/>
    <n v="0"/>
    <n v="0"/>
    <n v="429.2"/>
    <n v="272.10000000000002"/>
    <s v="Profit"/>
    <x v="0"/>
    <n v="1"/>
    <n v="5"/>
    <s v="0-15"/>
    <s v="No"/>
    <n v="0"/>
    <s v="Healthy"/>
    <n v="0"/>
  </r>
  <r>
    <n v="101125"/>
    <d v="2025-12-13T00:00:00"/>
    <n v="1052"/>
    <x v="2"/>
    <x v="5"/>
    <x v="0"/>
    <x v="2"/>
    <x v="0"/>
    <s v="UPI"/>
    <n v="35.11"/>
    <n v="16.899999999999999"/>
    <x v="3"/>
    <n v="0"/>
    <n v="593.36"/>
    <n v="235.59"/>
    <n v="10.7"/>
    <n v="4.1500000000000004"/>
    <n v="0.67"/>
    <n v="0"/>
    <n v="0"/>
    <n v="251.11"/>
    <n v="342.25"/>
    <s v="Profit"/>
    <x v="0"/>
    <n v="1"/>
    <n v="9"/>
    <s v="0-15"/>
    <s v="No"/>
    <n v="0"/>
    <s v="Healthy"/>
    <n v="0"/>
  </r>
  <r>
    <n v="101126"/>
    <d v="2025-12-09T00:00:00"/>
    <n v="1018"/>
    <x v="1"/>
    <x v="3"/>
    <x v="4"/>
    <x v="1"/>
    <x v="0"/>
    <s v="UPI"/>
    <n v="29.72"/>
    <n v="15.46"/>
    <x v="3"/>
    <n v="0"/>
    <n v="459.47"/>
    <n v="257.81"/>
    <n v="7.78"/>
    <n v="3.22"/>
    <n v="11.55"/>
    <n v="0"/>
    <n v="0"/>
    <n v="280.36"/>
    <n v="179.11"/>
    <s v="Profit"/>
    <x v="0"/>
    <n v="15"/>
    <n v="7"/>
    <s v="0-15"/>
    <s v="No"/>
    <n v="1"/>
    <s v="Healthy"/>
    <n v="0"/>
  </r>
  <r>
    <n v="101127"/>
    <d v="2025-11-12T00:00:00"/>
    <n v="1011"/>
    <x v="0"/>
    <x v="1"/>
    <x v="4"/>
    <x v="3"/>
    <x v="0"/>
    <s v="UPI"/>
    <n v="29.53"/>
    <n v="12.55"/>
    <x v="2"/>
    <n v="37.06"/>
    <n v="333.54"/>
    <n v="222.75"/>
    <n v="9.67"/>
    <n v="2.59"/>
    <n v="2.16"/>
    <n v="0"/>
    <n v="0"/>
    <n v="237.17"/>
    <n v="96.37"/>
    <s v="Profit"/>
    <x v="0"/>
    <n v="4"/>
    <n v="1"/>
    <s v="0-15"/>
    <s v="No"/>
    <n v="0"/>
    <s v="Healthy"/>
    <n v="0"/>
  </r>
  <r>
    <n v="101128"/>
    <d v="2025-11-03T00:00:00"/>
    <n v="1029"/>
    <x v="2"/>
    <x v="5"/>
    <x v="0"/>
    <x v="3"/>
    <x v="0"/>
    <s v="Card"/>
    <n v="20.96"/>
    <n v="12.59"/>
    <x v="3"/>
    <n v="0"/>
    <n v="263.89"/>
    <n v="137.6"/>
    <n v="5.0999999999999996"/>
    <n v="3.96"/>
    <n v="5.78"/>
    <n v="0"/>
    <n v="0"/>
    <n v="152.44"/>
    <n v="111.45"/>
    <s v="Profit"/>
    <x v="0"/>
    <n v="2"/>
    <n v="0"/>
    <s v="0-15"/>
    <s v="No"/>
    <n v="0"/>
    <s v="Healthy"/>
    <n v="0"/>
  </r>
  <r>
    <n v="101129"/>
    <d v="2025-11-16T00:00:00"/>
    <n v="1014"/>
    <x v="1"/>
    <x v="4"/>
    <x v="4"/>
    <x v="3"/>
    <x v="0"/>
    <s v="Card"/>
    <n v="19.64"/>
    <n v="12.21"/>
    <x v="3"/>
    <n v="0"/>
    <n v="239.8"/>
    <n v="133.88999999999999"/>
    <n v="6.94"/>
    <n v="3.6"/>
    <n v="0.33"/>
    <n v="0"/>
    <n v="0"/>
    <n v="144.76"/>
    <n v="95.04"/>
    <s v="Profit"/>
    <x v="0"/>
    <n v="12"/>
    <n v="2"/>
    <s v="0-15"/>
    <s v="No"/>
    <n v="0"/>
    <s v="Healthy"/>
    <n v="0"/>
  </r>
  <r>
    <n v="101130"/>
    <d v="2025-12-11T00:00:00"/>
    <n v="1031"/>
    <x v="3"/>
    <x v="14"/>
    <x v="0"/>
    <x v="3"/>
    <x v="0"/>
    <s v="Fleet_Invoice"/>
    <n v="15.1"/>
    <n v="12.83"/>
    <x v="4"/>
    <n v="9.69"/>
    <n v="184.04"/>
    <n v="109.98"/>
    <n v="12.18"/>
    <n v="0.77"/>
    <n v="10.71"/>
    <n v="0"/>
    <n v="0"/>
    <n v="133.63999999999999"/>
    <n v="50.4"/>
    <s v="Profit"/>
    <x v="0"/>
    <n v="3"/>
    <n v="13"/>
    <s v="0-15"/>
    <s v="No"/>
    <n v="0"/>
    <s v="Healthy"/>
    <n v="0"/>
  </r>
  <r>
    <n v="101131"/>
    <d v="2025-11-20T00:00:00"/>
    <n v="1036"/>
    <x v="1"/>
    <x v="4"/>
    <x v="0"/>
    <x v="3"/>
    <x v="0"/>
    <s v="Card"/>
    <n v="15.45"/>
    <n v="13.14"/>
    <x v="4"/>
    <n v="10.15"/>
    <n v="192.86"/>
    <n v="110.8"/>
    <n v="9.11"/>
    <n v="3.05"/>
    <n v="0"/>
    <n v="0"/>
    <n v="0"/>
    <n v="122.96"/>
    <n v="69.900000000000006"/>
    <s v="Profit"/>
    <x v="0"/>
    <n v="11"/>
    <n v="0"/>
    <s v="0-15"/>
    <s v="No"/>
    <n v="0"/>
    <s v="Healthy"/>
    <n v="0"/>
  </r>
  <r>
    <n v="101132"/>
    <d v="2025-10-23T00:00:00"/>
    <n v="1065"/>
    <x v="3"/>
    <x v="8"/>
    <x v="4"/>
    <x v="2"/>
    <x v="1"/>
    <s v="UPI"/>
    <n v="24.88"/>
    <n v="16.87"/>
    <x v="3"/>
    <n v="0"/>
    <n v="419.73"/>
    <n v="202.22"/>
    <n v="4.96"/>
    <n v="2.94"/>
    <n v="12.28"/>
    <n v="0"/>
    <n v="0"/>
    <n v="222.4"/>
    <n v="197.33"/>
    <s v="Profit"/>
    <x v="0"/>
    <n v="12"/>
    <n v="4"/>
    <s v="0-15"/>
    <s v="No"/>
    <n v="0"/>
    <s v="Healthy"/>
    <n v="0"/>
  </r>
  <r>
    <n v="101133"/>
    <d v="2025-10-09T00:00:00"/>
    <n v="1046"/>
    <x v="1"/>
    <x v="3"/>
    <x v="0"/>
    <x v="2"/>
    <x v="2"/>
    <s v="Fleet_Invoice"/>
    <n v="21.55"/>
    <n v="17.29"/>
    <x v="3"/>
    <n v="0"/>
    <n v="372.6"/>
    <n v="143.99"/>
    <n v="7.82"/>
    <n v="1.49"/>
    <n v="8"/>
    <n v="0"/>
    <n v="0"/>
    <n v="161.30000000000001"/>
    <n v="211.3"/>
    <s v="Profit"/>
    <x v="0"/>
    <n v="8"/>
    <n v="2"/>
    <s v="0-15"/>
    <s v="No"/>
    <n v="0"/>
    <s v="Healthy"/>
    <n v="0"/>
  </r>
  <r>
    <n v="101134"/>
    <d v="2025-11-14T00:00:00"/>
    <n v="1059"/>
    <x v="3"/>
    <x v="14"/>
    <x v="0"/>
    <x v="2"/>
    <x v="0"/>
    <s v="Fleet_Invoice"/>
    <n v="31.47"/>
    <n v="17.47"/>
    <x v="4"/>
    <n v="27.49"/>
    <n v="522.29"/>
    <n v="260.13"/>
    <n v="5.67"/>
    <n v="2.2000000000000002"/>
    <n v="7.13"/>
    <n v="0"/>
    <n v="0"/>
    <n v="275.13"/>
    <n v="247.16"/>
    <s v="Profit"/>
    <x v="0"/>
    <n v="1"/>
    <n v="2"/>
    <s v="0-15"/>
    <s v="No"/>
    <n v="0"/>
    <s v="Healthy"/>
    <n v="0"/>
  </r>
  <r>
    <n v="101135"/>
    <d v="2025-12-10T00:00:00"/>
    <n v="1039"/>
    <x v="2"/>
    <x v="12"/>
    <x v="1"/>
    <x v="3"/>
    <x v="2"/>
    <s v="UPI"/>
    <n v="16.489999999999998"/>
    <n v="12.14"/>
    <x v="4"/>
    <n v="10.01"/>
    <n v="190.18"/>
    <n v="102.67"/>
    <n v="3.55"/>
    <n v="1.4"/>
    <n v="9.7799999999999994"/>
    <n v="0"/>
    <n v="0"/>
    <n v="117.4"/>
    <n v="72.78"/>
    <s v="Profit"/>
    <x v="0"/>
    <n v="20"/>
    <n v="27"/>
    <s v="16-30"/>
    <s v="Yes"/>
    <n v="1"/>
    <s v="At Risk"/>
    <n v="1"/>
  </r>
  <r>
    <n v="101136"/>
    <d v="2025-10-25T00:00:00"/>
    <n v="1092"/>
    <x v="1"/>
    <x v="2"/>
    <x v="4"/>
    <x v="1"/>
    <x v="0"/>
    <s v="UPI"/>
    <n v="18.75"/>
    <n v="14.85"/>
    <x v="2"/>
    <n v="27.84"/>
    <n v="250.6"/>
    <n v="135.69"/>
    <n v="2.54"/>
    <n v="1.95"/>
    <n v="7.91"/>
    <n v="0"/>
    <n v="0"/>
    <n v="148.09"/>
    <n v="102.51"/>
    <s v="Profit"/>
    <x v="0"/>
    <n v="15"/>
    <n v="18"/>
    <s v="0-15"/>
    <s v="Yes"/>
    <n v="3"/>
    <s v="At Risk"/>
    <n v="1"/>
  </r>
  <r>
    <n v="101137"/>
    <d v="2025-12-28T00:00:00"/>
    <n v="1014"/>
    <x v="2"/>
    <x v="9"/>
    <x v="3"/>
    <x v="3"/>
    <x v="0"/>
    <s v="Card"/>
    <n v="5.13"/>
    <n v="11.95"/>
    <x v="2"/>
    <n v="6.13"/>
    <n v="55.17"/>
    <n v="41.6"/>
    <n v="7.02"/>
    <n v="0.92"/>
    <n v="3.94"/>
    <n v="0"/>
    <n v="0"/>
    <n v="53.48"/>
    <n v="1.69"/>
    <s v="Profit"/>
    <x v="0"/>
    <n v="9"/>
    <n v="1"/>
    <s v="0-15"/>
    <s v="No"/>
    <n v="0"/>
    <s v="Healthy"/>
    <n v="0"/>
  </r>
  <r>
    <n v="101138"/>
    <d v="2025-12-13T00:00:00"/>
    <n v="1081"/>
    <x v="2"/>
    <x v="5"/>
    <x v="2"/>
    <x v="1"/>
    <x v="0"/>
    <s v="UPI"/>
    <n v="26.37"/>
    <n v="15.33"/>
    <x v="3"/>
    <n v="0"/>
    <n v="404.25"/>
    <n v="214.92"/>
    <n v="9.18"/>
    <n v="2.83"/>
    <n v="6.25"/>
    <n v="0"/>
    <n v="0"/>
    <n v="233.18"/>
    <n v="171.07"/>
    <s v="Profit"/>
    <x v="0"/>
    <n v="4"/>
    <n v="13"/>
    <s v="0-15"/>
    <s v="No"/>
    <n v="0"/>
    <s v="Healthy"/>
    <n v="0"/>
  </r>
  <r>
    <n v="101139"/>
    <d v="2025-11-02T00:00:00"/>
    <n v="1032"/>
    <x v="0"/>
    <x v="6"/>
    <x v="0"/>
    <x v="3"/>
    <x v="0"/>
    <s v="Fleet_Invoice"/>
    <n v="21.42"/>
    <n v="14.25"/>
    <x v="3"/>
    <n v="0"/>
    <n v="305.24"/>
    <n v="160.24"/>
    <n v="11.85"/>
    <n v="1.22"/>
    <n v="0.7"/>
    <n v="0"/>
    <n v="0"/>
    <n v="174.01"/>
    <n v="131.22999999999999"/>
    <s v="Profit"/>
    <x v="0"/>
    <n v="16"/>
    <n v="0"/>
    <s v="16-30"/>
    <s v="No"/>
    <n v="0"/>
    <s v="Healthy"/>
    <n v="0"/>
  </r>
  <r>
    <n v="101140"/>
    <d v="2025-10-08T00:00:00"/>
    <n v="1012"/>
    <x v="0"/>
    <x v="11"/>
    <x v="3"/>
    <x v="1"/>
    <x v="2"/>
    <s v="Card"/>
    <n v="18.73"/>
    <n v="15.17"/>
    <x v="3"/>
    <n v="0"/>
    <n v="284.13"/>
    <n v="121.8"/>
    <n v="7.66"/>
    <n v="4.26"/>
    <n v="4.76"/>
    <n v="0"/>
    <n v="0"/>
    <n v="138.47999999999999"/>
    <n v="145.65"/>
    <s v="Profit"/>
    <x v="0"/>
    <n v="51"/>
    <n v="4"/>
    <s v="30+"/>
    <s v="Yes"/>
    <n v="4"/>
    <s v="At Risk"/>
    <n v="1"/>
  </r>
  <r>
    <n v="101141"/>
    <d v="2025-12-08T00:00:00"/>
    <n v="1004"/>
    <x v="2"/>
    <x v="12"/>
    <x v="4"/>
    <x v="3"/>
    <x v="1"/>
    <s v="Wallet"/>
    <n v="5.73"/>
    <n v="14.6"/>
    <x v="4"/>
    <n v="4.18"/>
    <n v="79.48"/>
    <n v="45.54"/>
    <n v="7.5"/>
    <n v="1"/>
    <n v="7.27"/>
    <n v="33.590000000000003"/>
    <n v="4.6900000000000004"/>
    <n v="99.59"/>
    <n v="-20.11"/>
    <s v="Loss"/>
    <x v="1"/>
    <n v="6"/>
    <n v="9"/>
    <s v="0-15"/>
    <s v="Yes"/>
    <n v="2"/>
    <s v="At Risk"/>
    <n v="1"/>
  </r>
  <r>
    <n v="101142"/>
    <d v="2025-12-12T00:00:00"/>
    <n v="1014"/>
    <x v="0"/>
    <x v="11"/>
    <x v="4"/>
    <x v="3"/>
    <x v="2"/>
    <s v="Card"/>
    <n v="27.07"/>
    <n v="12.02"/>
    <x v="2"/>
    <n v="32.54"/>
    <n v="292.83999999999997"/>
    <n v="195.24"/>
    <n v="8.89"/>
    <n v="4.88"/>
    <n v="4.84"/>
    <n v="0"/>
    <n v="0"/>
    <n v="213.85"/>
    <n v="78.989999999999995"/>
    <s v="Profit"/>
    <x v="0"/>
    <n v="46"/>
    <n v="2"/>
    <s v="30+"/>
    <s v="Yes"/>
    <n v="1"/>
    <s v="At Risk"/>
    <n v="1"/>
  </r>
  <r>
    <n v="101143"/>
    <d v="2025-12-12T00:00:00"/>
    <n v="1082"/>
    <x v="3"/>
    <x v="14"/>
    <x v="1"/>
    <x v="1"/>
    <x v="2"/>
    <s v="Wallet"/>
    <n v="24.99"/>
    <n v="17.68"/>
    <x v="1"/>
    <n v="88.36"/>
    <n v="353.46"/>
    <n v="188.23"/>
    <n v="9.57"/>
    <n v="5.3"/>
    <n v="11.99"/>
    <n v="0"/>
    <n v="0"/>
    <n v="215.09"/>
    <n v="138.37"/>
    <s v="Profit"/>
    <x v="0"/>
    <n v="6"/>
    <n v="0"/>
    <s v="0-15"/>
    <s v="No"/>
    <n v="0"/>
    <s v="Healthy"/>
    <n v="0"/>
  </r>
  <r>
    <n v="101144"/>
    <d v="2025-12-15T00:00:00"/>
    <n v="1069"/>
    <x v="0"/>
    <x v="6"/>
    <x v="3"/>
    <x v="3"/>
    <x v="2"/>
    <s v="Wallet"/>
    <n v="15.64"/>
    <n v="12.08"/>
    <x v="3"/>
    <n v="0"/>
    <n v="188.93"/>
    <n v="131.69"/>
    <n v="5.23"/>
    <n v="2.27"/>
    <n v="2.71"/>
    <n v="0"/>
    <n v="0"/>
    <n v="141.9"/>
    <n v="47.03"/>
    <s v="Profit"/>
    <x v="0"/>
    <n v="19"/>
    <n v="1"/>
    <s v="16-30"/>
    <s v="No"/>
    <n v="0"/>
    <s v="Healthy"/>
    <n v="0"/>
  </r>
  <r>
    <n v="101145"/>
    <d v="2025-11-08T00:00:00"/>
    <n v="1105"/>
    <x v="1"/>
    <x v="13"/>
    <x v="1"/>
    <x v="2"/>
    <x v="0"/>
    <s v="Card"/>
    <n v="32.24"/>
    <n v="17.37"/>
    <x v="4"/>
    <n v="28"/>
    <n v="532.01"/>
    <n v="251.19"/>
    <n v="1"/>
    <n v="8.4"/>
    <n v="8.41"/>
    <n v="0"/>
    <n v="0"/>
    <n v="269"/>
    <n v="263.01"/>
    <s v="Profit"/>
    <x v="0"/>
    <n v="3"/>
    <n v="0"/>
    <s v="0-15"/>
    <s v="No"/>
    <n v="2"/>
    <s v="Healthy"/>
    <n v="0"/>
  </r>
  <r>
    <n v="101146"/>
    <d v="2025-12-29T00:00:00"/>
    <n v="1029"/>
    <x v="0"/>
    <x v="1"/>
    <x v="2"/>
    <x v="2"/>
    <x v="1"/>
    <s v="Fleet_Invoice"/>
    <n v="26.79"/>
    <n v="18.100000000000001"/>
    <x v="3"/>
    <n v="0"/>
    <n v="484.9"/>
    <n v="220.92"/>
    <n v="5.34"/>
    <n v="1.94"/>
    <n v="7.64"/>
    <n v="179.29"/>
    <n v="21.78"/>
    <n v="436.91"/>
    <n v="47.99"/>
    <s v="Profit"/>
    <x v="2"/>
    <n v="8"/>
    <n v="6"/>
    <s v="0-15"/>
    <s v="No"/>
    <n v="2"/>
    <s v="At Risk"/>
    <n v="0"/>
  </r>
  <r>
    <n v="101147"/>
    <d v="2025-10-27T00:00:00"/>
    <n v="1023"/>
    <x v="2"/>
    <x v="10"/>
    <x v="2"/>
    <x v="0"/>
    <x v="0"/>
    <s v="UPI"/>
    <n v="26.08"/>
    <n v="19.010000000000002"/>
    <x v="3"/>
    <n v="0"/>
    <n v="495.78"/>
    <n v="226.71"/>
    <n v="8.89"/>
    <n v="3.47"/>
    <n v="3.23"/>
    <n v="0"/>
    <n v="0"/>
    <n v="242.3"/>
    <n v="253.48"/>
    <s v="Profit"/>
    <x v="0"/>
    <n v="50"/>
    <n v="14"/>
    <s v="30+"/>
    <s v="Yes"/>
    <n v="3"/>
    <s v="At Risk"/>
    <n v="1"/>
  </r>
  <r>
    <n v="101148"/>
    <d v="2025-11-19T00:00:00"/>
    <n v="1064"/>
    <x v="3"/>
    <x v="8"/>
    <x v="3"/>
    <x v="0"/>
    <x v="2"/>
    <s v="Wallet"/>
    <n v="28.54"/>
    <n v="18.86"/>
    <x v="4"/>
    <n v="26.91"/>
    <n v="511.35"/>
    <n v="206.09"/>
    <n v="1"/>
    <n v="6.46"/>
    <n v="5.81"/>
    <n v="0"/>
    <n v="0"/>
    <n v="219.36"/>
    <n v="291.99"/>
    <s v="Profit"/>
    <x v="0"/>
    <n v="1"/>
    <n v="18"/>
    <s v="0-15"/>
    <s v="Yes"/>
    <n v="3"/>
    <s v="At Risk"/>
    <n v="1"/>
  </r>
  <r>
    <n v="101149"/>
    <d v="2025-11-27T00:00:00"/>
    <n v="1094"/>
    <x v="2"/>
    <x v="10"/>
    <x v="4"/>
    <x v="0"/>
    <x v="0"/>
    <s v="Fleet_Invoice"/>
    <n v="26.58"/>
    <n v="18.920000000000002"/>
    <x v="0"/>
    <n v="75.430000000000007"/>
    <n v="427.46"/>
    <n v="223.72"/>
    <n v="4.82"/>
    <n v="2.0099999999999998"/>
    <n v="6.44"/>
    <n v="0"/>
    <n v="0"/>
    <n v="236.99"/>
    <n v="190.47"/>
    <s v="Profit"/>
    <x v="0"/>
    <n v="14"/>
    <n v="9"/>
    <s v="0-15"/>
    <s v="No"/>
    <n v="0"/>
    <s v="Healthy"/>
    <n v="0"/>
  </r>
  <r>
    <n v="101150"/>
    <d v="2025-11-13T00:00:00"/>
    <n v="1078"/>
    <x v="0"/>
    <x v="1"/>
    <x v="3"/>
    <x v="2"/>
    <x v="0"/>
    <s v="Fleet_Invoice"/>
    <n v="20.84"/>
    <n v="17.55"/>
    <x v="3"/>
    <n v="0"/>
    <n v="365.74"/>
    <n v="115.09"/>
    <n v="10.19"/>
    <n v="1.46"/>
    <n v="6.85"/>
    <n v="0"/>
    <n v="0"/>
    <n v="133.59"/>
    <n v="232.15"/>
    <s v="Profit"/>
    <x v="0"/>
    <n v="0"/>
    <n v="25"/>
    <s v="0-15"/>
    <s v="Yes"/>
    <n v="3"/>
    <s v="At Risk"/>
    <n v="1"/>
  </r>
  <r>
    <n v="101151"/>
    <d v="2025-11-29T00:00:00"/>
    <n v="1085"/>
    <x v="3"/>
    <x v="14"/>
    <x v="1"/>
    <x v="1"/>
    <x v="2"/>
    <s v="Card"/>
    <n v="24.15"/>
    <n v="17.989999999999998"/>
    <x v="3"/>
    <n v="0"/>
    <n v="434.46"/>
    <n v="179.65"/>
    <n v="5.76"/>
    <n v="6.52"/>
    <n v="13.26"/>
    <n v="412.91"/>
    <n v="8.3000000000000007"/>
    <n v="626.4"/>
    <n v="-191.94"/>
    <s v="Loss"/>
    <x v="1"/>
    <n v="16"/>
    <n v="2"/>
    <s v="16-30"/>
    <s v="Yes"/>
    <n v="3"/>
    <s v="At Risk"/>
    <n v="1"/>
  </r>
  <r>
    <n v="101152"/>
    <d v="2025-11-01T00:00:00"/>
    <n v="1118"/>
    <x v="3"/>
    <x v="14"/>
    <x v="0"/>
    <x v="3"/>
    <x v="0"/>
    <s v="UPI"/>
    <n v="20.65"/>
    <n v="12.52"/>
    <x v="4"/>
    <n v="12.93"/>
    <n v="245.61"/>
    <n v="140.53"/>
    <n v="1.33"/>
    <n v="1.81"/>
    <n v="5.97"/>
    <n v="0"/>
    <n v="0"/>
    <n v="149.63999999999999"/>
    <n v="95.97"/>
    <s v="Profit"/>
    <x v="0"/>
    <n v="27"/>
    <n v="13"/>
    <s v="16-30"/>
    <s v="Yes"/>
    <n v="2"/>
    <s v="At Risk"/>
    <n v="1"/>
  </r>
  <r>
    <n v="101153"/>
    <d v="2025-10-02T00:00:00"/>
    <n v="1023"/>
    <x v="3"/>
    <x v="7"/>
    <x v="3"/>
    <x v="1"/>
    <x v="0"/>
    <s v="UPI"/>
    <n v="23.42"/>
    <n v="15.87"/>
    <x v="2"/>
    <n v="37.17"/>
    <n v="334.51"/>
    <n v="151.21"/>
    <n v="7.95"/>
    <n v="2.6"/>
    <n v="3.64"/>
    <n v="0"/>
    <n v="0"/>
    <n v="165.4"/>
    <n v="169.11"/>
    <s v="Profit"/>
    <x v="0"/>
    <n v="11"/>
    <n v="10"/>
    <s v="0-15"/>
    <s v="No"/>
    <n v="0"/>
    <s v="Healthy"/>
    <n v="0"/>
  </r>
  <r>
    <n v="101154"/>
    <d v="2025-11-24T00:00:00"/>
    <n v="1003"/>
    <x v="0"/>
    <x v="0"/>
    <x v="2"/>
    <x v="0"/>
    <x v="1"/>
    <s v="Card"/>
    <n v="10.96"/>
    <n v="18.760000000000002"/>
    <x v="2"/>
    <n v="20.56"/>
    <n v="185.05"/>
    <n v="69.489999999999995"/>
    <n v="5.85"/>
    <n v="3.08"/>
    <n v="0"/>
    <n v="0"/>
    <n v="0"/>
    <n v="78.42"/>
    <n v="106.63"/>
    <s v="Profit"/>
    <x v="0"/>
    <n v="3"/>
    <n v="10"/>
    <s v="0-15"/>
    <s v="No"/>
    <n v="0"/>
    <s v="Healthy"/>
    <n v="0"/>
  </r>
  <r>
    <n v="101155"/>
    <d v="2025-11-19T00:00:00"/>
    <n v="1017"/>
    <x v="1"/>
    <x v="3"/>
    <x v="1"/>
    <x v="2"/>
    <x v="0"/>
    <s v="UPI"/>
    <n v="30.18"/>
    <n v="16.920000000000002"/>
    <x v="3"/>
    <n v="0"/>
    <n v="510.65"/>
    <n v="208.88"/>
    <n v="8.9700000000000006"/>
    <n v="3.57"/>
    <n v="10.84"/>
    <n v="0"/>
    <n v="0"/>
    <n v="232.26"/>
    <n v="278.39"/>
    <s v="Profit"/>
    <x v="0"/>
    <n v="5"/>
    <n v="13"/>
    <s v="0-15"/>
    <s v="No"/>
    <n v="0"/>
    <s v="Healthy"/>
    <n v="0"/>
  </r>
  <r>
    <n v="101156"/>
    <d v="2025-12-27T00:00:00"/>
    <n v="1088"/>
    <x v="3"/>
    <x v="7"/>
    <x v="1"/>
    <x v="1"/>
    <x v="1"/>
    <s v="Card"/>
    <n v="29.87"/>
    <n v="15.14"/>
    <x v="2"/>
    <n v="45.22"/>
    <n v="407.01"/>
    <n v="230.38"/>
    <n v="10.49"/>
    <n v="6.78"/>
    <n v="4.54"/>
    <n v="0"/>
    <n v="0"/>
    <n v="252.19"/>
    <n v="154.82"/>
    <s v="Profit"/>
    <x v="0"/>
    <n v="34"/>
    <n v="1"/>
    <s v="30+"/>
    <s v="Yes"/>
    <n v="1"/>
    <s v="At Risk"/>
    <n v="1"/>
  </r>
  <r>
    <n v="101157"/>
    <d v="2025-10-31T00:00:00"/>
    <n v="1084"/>
    <x v="0"/>
    <x v="0"/>
    <x v="1"/>
    <x v="3"/>
    <x v="0"/>
    <s v="Card"/>
    <n v="13.08"/>
    <n v="12.52"/>
    <x v="0"/>
    <n v="24.56"/>
    <n v="139.19999999999999"/>
    <n v="92.9"/>
    <n v="8.18"/>
    <n v="2.46"/>
    <n v="0"/>
    <n v="0"/>
    <n v="0"/>
    <n v="103.54"/>
    <n v="35.659999999999997"/>
    <s v="Profit"/>
    <x v="0"/>
    <n v="20"/>
    <n v="1"/>
    <s v="16-30"/>
    <s v="No"/>
    <n v="0"/>
    <s v="Healthy"/>
    <n v="0"/>
  </r>
  <r>
    <n v="101158"/>
    <d v="2025-11-12T00:00:00"/>
    <n v="1076"/>
    <x v="3"/>
    <x v="8"/>
    <x v="3"/>
    <x v="3"/>
    <x v="0"/>
    <s v="UPI"/>
    <n v="20.149999999999999"/>
    <n v="12.15"/>
    <x v="3"/>
    <n v="0"/>
    <n v="244.82"/>
    <n v="169.88"/>
    <n v="9"/>
    <n v="1.71"/>
    <n v="7.75"/>
    <n v="0"/>
    <n v="0"/>
    <n v="188.34"/>
    <n v="56.48"/>
    <s v="Profit"/>
    <x v="0"/>
    <n v="2"/>
    <n v="38"/>
    <s v="0-15"/>
    <s v="Yes"/>
    <n v="2"/>
    <s v="At Risk"/>
    <n v="1"/>
  </r>
  <r>
    <n v="101159"/>
    <d v="2025-12-31T00:00:00"/>
    <n v="1060"/>
    <x v="1"/>
    <x v="3"/>
    <x v="3"/>
    <x v="1"/>
    <x v="0"/>
    <s v="UPI"/>
    <n v="28.65"/>
    <n v="15.36"/>
    <x v="4"/>
    <n v="22"/>
    <n v="418.06"/>
    <n v="173.14"/>
    <n v="6.19"/>
    <n v="3.08"/>
    <n v="9.98"/>
    <n v="0"/>
    <n v="0"/>
    <n v="192.39"/>
    <n v="225.67"/>
    <s v="Profit"/>
    <x v="0"/>
    <n v="0"/>
    <n v="2"/>
    <s v="0-15"/>
    <s v="No"/>
    <n v="0"/>
    <s v="Healthy"/>
    <n v="0"/>
  </r>
  <r>
    <n v="101160"/>
    <d v="2025-10-07T00:00:00"/>
    <n v="1106"/>
    <x v="1"/>
    <x v="2"/>
    <x v="4"/>
    <x v="0"/>
    <x v="0"/>
    <s v="Fleet_Invoice"/>
    <n v="25.59"/>
    <n v="19.04"/>
    <x v="4"/>
    <n v="24.36"/>
    <n v="462.87"/>
    <n v="185.12"/>
    <n v="7.93"/>
    <n v="1.95"/>
    <n v="2.95"/>
    <n v="0"/>
    <n v="0"/>
    <n v="197.95"/>
    <n v="264.92"/>
    <s v="Profit"/>
    <x v="0"/>
    <n v="3"/>
    <n v="4"/>
    <s v="0-15"/>
    <s v="No"/>
    <n v="0"/>
    <s v="Healthy"/>
    <n v="0"/>
  </r>
  <r>
    <n v="101161"/>
    <d v="2025-10-31T00:00:00"/>
    <n v="1112"/>
    <x v="1"/>
    <x v="13"/>
    <x v="3"/>
    <x v="3"/>
    <x v="1"/>
    <s v="Card"/>
    <n v="13.56"/>
    <n v="12.93"/>
    <x v="1"/>
    <n v="35.07"/>
    <n v="140.26"/>
    <n v="116.98"/>
    <n v="7.41"/>
    <n v="2.63"/>
    <n v="6.82"/>
    <n v="0"/>
    <n v="0"/>
    <n v="133.84"/>
    <n v="6.42"/>
    <s v="Profit"/>
    <x v="0"/>
    <n v="24"/>
    <n v="0"/>
    <s v="16-30"/>
    <s v="Yes"/>
    <n v="3"/>
    <s v="At Risk"/>
    <n v="1"/>
  </r>
  <r>
    <n v="101162"/>
    <d v="2025-12-28T00:00:00"/>
    <n v="1083"/>
    <x v="2"/>
    <x v="5"/>
    <x v="1"/>
    <x v="0"/>
    <x v="2"/>
    <s v="UPI"/>
    <n v="13.02"/>
    <n v="19.37"/>
    <x v="1"/>
    <n v="50.44"/>
    <n v="201.76"/>
    <n v="91.48"/>
    <n v="8.77"/>
    <n v="1.77"/>
    <n v="11.2"/>
    <n v="0"/>
    <n v="0"/>
    <n v="113.22"/>
    <n v="88.54"/>
    <s v="Profit"/>
    <x v="0"/>
    <n v="17"/>
    <n v="2"/>
    <s v="16-30"/>
    <s v="No"/>
    <n v="0"/>
    <s v="Healthy"/>
    <n v="0"/>
  </r>
  <r>
    <n v="101163"/>
    <d v="2025-10-20T00:00:00"/>
    <n v="1150"/>
    <x v="3"/>
    <x v="14"/>
    <x v="4"/>
    <x v="3"/>
    <x v="0"/>
    <s v="Card"/>
    <n v="19.420000000000002"/>
    <n v="12.42"/>
    <x v="4"/>
    <n v="12.06"/>
    <n v="229.14"/>
    <n v="126.04"/>
    <n v="8.82"/>
    <n v="3.62"/>
    <n v="1.3"/>
    <n v="0"/>
    <n v="0"/>
    <n v="139.78"/>
    <n v="89.36"/>
    <s v="Profit"/>
    <x v="0"/>
    <n v="2"/>
    <n v="9"/>
    <s v="0-15"/>
    <s v="No"/>
    <n v="0"/>
    <s v="Healthy"/>
    <n v="0"/>
  </r>
  <r>
    <n v="101164"/>
    <d v="2025-11-16T00:00:00"/>
    <n v="1095"/>
    <x v="1"/>
    <x v="13"/>
    <x v="1"/>
    <x v="1"/>
    <x v="2"/>
    <s v="Wallet"/>
    <n v="26.88"/>
    <n v="15.93"/>
    <x v="0"/>
    <n v="64.23"/>
    <n v="363.97"/>
    <n v="161.36000000000001"/>
    <n v="9.98"/>
    <n v="5.14"/>
    <n v="1.07"/>
    <n v="0"/>
    <n v="0"/>
    <n v="177.55"/>
    <n v="186.42"/>
    <s v="Profit"/>
    <x v="0"/>
    <n v="7"/>
    <n v="12"/>
    <s v="0-15"/>
    <s v="No"/>
    <n v="0"/>
    <s v="Healthy"/>
    <n v="0"/>
  </r>
  <r>
    <n v="101165"/>
    <d v="2025-12-02T00:00:00"/>
    <n v="1050"/>
    <x v="3"/>
    <x v="14"/>
    <x v="3"/>
    <x v="1"/>
    <x v="0"/>
    <s v="UPI"/>
    <n v="38.950000000000003"/>
    <n v="16.29"/>
    <x v="2"/>
    <n v="63.45"/>
    <n v="571.04999999999995"/>
    <n v="269.75"/>
    <n v="7.17"/>
    <n v="4.4400000000000004"/>
    <n v="4.6500000000000004"/>
    <n v="272.17"/>
    <n v="0"/>
    <n v="558.17999999999995"/>
    <n v="12.87"/>
    <s v="Profit"/>
    <x v="2"/>
    <n v="12"/>
    <n v="7"/>
    <s v="0-15"/>
    <s v="No"/>
    <n v="4"/>
    <s v="At Risk"/>
    <n v="0"/>
  </r>
  <r>
    <n v="101166"/>
    <d v="2025-10-14T00:00:00"/>
    <n v="1034"/>
    <x v="0"/>
    <x v="11"/>
    <x v="1"/>
    <x v="0"/>
    <x v="0"/>
    <s v="UPI"/>
    <n v="27.51"/>
    <n v="18.55"/>
    <x v="3"/>
    <n v="0"/>
    <n v="510.31"/>
    <n v="230.48"/>
    <n v="7.51"/>
    <n v="3.57"/>
    <n v="9.6300000000000008"/>
    <n v="0"/>
    <n v="0"/>
    <n v="251.19"/>
    <n v="259.12"/>
    <s v="Profit"/>
    <x v="0"/>
    <n v="36"/>
    <n v="2"/>
    <s v="30+"/>
    <s v="Yes"/>
    <n v="3"/>
    <s v="At Risk"/>
    <n v="1"/>
  </r>
  <r>
    <n v="101167"/>
    <d v="2025-12-12T00:00:00"/>
    <n v="1118"/>
    <x v="2"/>
    <x v="10"/>
    <x v="1"/>
    <x v="3"/>
    <x v="0"/>
    <s v="UPI"/>
    <n v="16.059999999999999"/>
    <n v="11.88"/>
    <x v="3"/>
    <n v="0"/>
    <n v="190.79"/>
    <n v="101.62"/>
    <n v="10.34"/>
    <n v="1.34"/>
    <n v="2.79"/>
    <n v="0"/>
    <n v="0"/>
    <n v="116.09"/>
    <n v="74.7"/>
    <s v="Profit"/>
    <x v="0"/>
    <n v="29"/>
    <n v="19"/>
    <s v="16-30"/>
    <s v="Yes"/>
    <n v="3"/>
    <s v="At Risk"/>
    <n v="1"/>
  </r>
  <r>
    <n v="101168"/>
    <d v="2025-10-27T00:00:00"/>
    <n v="1073"/>
    <x v="1"/>
    <x v="4"/>
    <x v="3"/>
    <x v="2"/>
    <x v="0"/>
    <s v="UPI"/>
    <n v="16.760000000000002"/>
    <n v="17.38"/>
    <x v="3"/>
    <n v="0"/>
    <n v="291.29000000000002"/>
    <n v="102.68"/>
    <n v="7.54"/>
    <n v="2.04"/>
    <n v="8.69"/>
    <n v="0"/>
    <n v="0"/>
    <n v="120.95"/>
    <n v="170.34"/>
    <s v="Profit"/>
    <x v="0"/>
    <n v="29"/>
    <n v="2"/>
    <s v="16-30"/>
    <s v="Yes"/>
    <n v="3"/>
    <s v="At Risk"/>
    <n v="1"/>
  </r>
  <r>
    <n v="101169"/>
    <d v="2025-10-27T00:00:00"/>
    <n v="1046"/>
    <x v="1"/>
    <x v="13"/>
    <x v="3"/>
    <x v="1"/>
    <x v="0"/>
    <s v="UPI"/>
    <n v="15.11"/>
    <n v="16.68"/>
    <x v="3"/>
    <n v="0"/>
    <n v="252.03"/>
    <n v="111.07"/>
    <n v="6.79"/>
    <n v="1.76"/>
    <n v="0"/>
    <n v="0"/>
    <n v="0"/>
    <n v="119.62"/>
    <n v="132.41"/>
    <s v="Profit"/>
    <x v="0"/>
    <n v="10"/>
    <n v="9"/>
    <s v="0-15"/>
    <s v="No"/>
    <n v="0"/>
    <s v="Healthy"/>
    <n v="0"/>
  </r>
  <r>
    <n v="101170"/>
    <d v="2025-12-08T00:00:00"/>
    <n v="1080"/>
    <x v="1"/>
    <x v="4"/>
    <x v="4"/>
    <x v="2"/>
    <x v="0"/>
    <s v="Wallet"/>
    <n v="25.46"/>
    <n v="18.53"/>
    <x v="4"/>
    <n v="23.59"/>
    <n v="448.18"/>
    <n v="176.97"/>
    <n v="11.35"/>
    <n v="5.66"/>
    <n v="6.19"/>
    <n v="0"/>
    <n v="0"/>
    <n v="200.17"/>
    <n v="248.01"/>
    <s v="Profit"/>
    <x v="0"/>
    <n v="1"/>
    <n v="12"/>
    <s v="0-15"/>
    <s v="No"/>
    <n v="0"/>
    <s v="Healthy"/>
    <n v="0"/>
  </r>
  <r>
    <n v="101171"/>
    <d v="2025-11-22T00:00:00"/>
    <n v="1145"/>
    <x v="2"/>
    <x v="9"/>
    <x v="2"/>
    <x v="2"/>
    <x v="1"/>
    <s v="UPI"/>
    <n v="23.17"/>
    <n v="18.47"/>
    <x v="3"/>
    <n v="0"/>
    <n v="427.95"/>
    <n v="169.44"/>
    <n v="7.98"/>
    <n v="3"/>
    <n v="1.51"/>
    <n v="0"/>
    <n v="0"/>
    <n v="181.93"/>
    <n v="246.02"/>
    <s v="Profit"/>
    <x v="0"/>
    <n v="36"/>
    <n v="6"/>
    <s v="30+"/>
    <s v="Yes"/>
    <n v="1"/>
    <s v="At Risk"/>
    <n v="1"/>
  </r>
  <r>
    <n v="101172"/>
    <d v="2025-12-14T00:00:00"/>
    <n v="1138"/>
    <x v="3"/>
    <x v="8"/>
    <x v="4"/>
    <x v="0"/>
    <x v="1"/>
    <s v="UPI"/>
    <n v="31.36"/>
    <n v="19.34"/>
    <x v="2"/>
    <n v="60.65"/>
    <n v="545.85"/>
    <n v="231.33"/>
    <n v="7.75"/>
    <n v="4.25"/>
    <n v="8.49"/>
    <n v="0"/>
    <n v="0"/>
    <n v="251.82"/>
    <n v="294.02999999999997"/>
    <s v="Profit"/>
    <x v="0"/>
    <n v="21"/>
    <n v="5"/>
    <s v="16-30"/>
    <s v="Yes"/>
    <n v="1"/>
    <s v="At Risk"/>
    <n v="1"/>
  </r>
  <r>
    <n v="101173"/>
    <d v="2025-11-10T00:00:00"/>
    <n v="1036"/>
    <x v="3"/>
    <x v="15"/>
    <x v="3"/>
    <x v="3"/>
    <x v="0"/>
    <s v="UPI"/>
    <n v="25.32"/>
    <n v="13.31"/>
    <x v="3"/>
    <n v="0"/>
    <n v="337.01"/>
    <n v="175.46"/>
    <n v="9.17"/>
    <n v="2.36"/>
    <n v="9.24"/>
    <n v="181.18"/>
    <n v="0"/>
    <n v="377.41"/>
    <n v="-40.4"/>
    <s v="Loss"/>
    <x v="1"/>
    <n v="1"/>
    <n v="12"/>
    <s v="0-15"/>
    <s v="Yes"/>
    <n v="1"/>
    <s v="At Risk"/>
    <n v="1"/>
  </r>
  <r>
    <n v="101174"/>
    <d v="2025-11-07T00:00:00"/>
    <n v="1096"/>
    <x v="3"/>
    <x v="15"/>
    <x v="0"/>
    <x v="3"/>
    <x v="0"/>
    <s v="UPI"/>
    <n v="22.2"/>
    <n v="12.73"/>
    <x v="4"/>
    <n v="14.13"/>
    <n v="268.48"/>
    <n v="163.06"/>
    <n v="5.18"/>
    <n v="1.98"/>
    <n v="5.71"/>
    <n v="259.94"/>
    <n v="0"/>
    <n v="435.87"/>
    <n v="-167.39"/>
    <s v="Loss"/>
    <x v="2"/>
    <n v="7"/>
    <n v="0"/>
    <s v="0-15"/>
    <s v="No"/>
    <n v="2"/>
    <s v="At Risk"/>
    <n v="0"/>
  </r>
  <r>
    <n v="101175"/>
    <d v="2025-11-29T00:00:00"/>
    <n v="1127"/>
    <x v="1"/>
    <x v="4"/>
    <x v="1"/>
    <x v="3"/>
    <x v="2"/>
    <s v="UPI"/>
    <n v="20.6"/>
    <n v="14.43"/>
    <x v="0"/>
    <n v="44.59"/>
    <n v="252.67"/>
    <n v="108.27"/>
    <n v="15.63"/>
    <n v="2.08"/>
    <n v="11.33"/>
    <n v="0"/>
    <n v="0"/>
    <n v="137.31"/>
    <n v="115.36"/>
    <s v="Profit"/>
    <x v="0"/>
    <n v="1"/>
    <n v="32"/>
    <s v="0-15"/>
    <s v="Yes"/>
    <n v="1"/>
    <s v="At Risk"/>
    <n v="1"/>
  </r>
  <r>
    <n v="101176"/>
    <d v="2025-11-16T00:00:00"/>
    <n v="1077"/>
    <x v="2"/>
    <x v="10"/>
    <x v="1"/>
    <x v="2"/>
    <x v="0"/>
    <s v="UPI"/>
    <n v="21.41"/>
    <n v="18.13"/>
    <x v="4"/>
    <n v="19.41"/>
    <n v="368.75"/>
    <n v="145.33000000000001"/>
    <n v="10.26"/>
    <n v="2.72"/>
    <n v="3.15"/>
    <n v="275.05"/>
    <n v="0"/>
    <n v="436.51"/>
    <n v="-67.760000000000005"/>
    <s v="Loss"/>
    <x v="1"/>
    <n v="15"/>
    <n v="5"/>
    <s v="0-15"/>
    <s v="Yes"/>
    <n v="1"/>
    <s v="At Risk"/>
    <n v="1"/>
  </r>
  <r>
    <n v="101177"/>
    <d v="2025-10-10T00:00:00"/>
    <n v="1018"/>
    <x v="3"/>
    <x v="14"/>
    <x v="1"/>
    <x v="2"/>
    <x v="1"/>
    <s v="Wallet"/>
    <n v="24.46"/>
    <n v="17.45"/>
    <x v="3"/>
    <n v="0"/>
    <n v="426.83"/>
    <n v="188.17"/>
    <n v="11.08"/>
    <n v="5.12"/>
    <n v="4.55"/>
    <n v="0"/>
    <n v="0"/>
    <n v="208.92"/>
    <n v="217.91"/>
    <s v="Profit"/>
    <x v="0"/>
    <n v="1"/>
    <n v="2"/>
    <s v="0-15"/>
    <s v="No"/>
    <n v="0"/>
    <s v="Healthy"/>
    <n v="0"/>
  </r>
  <r>
    <n v="101178"/>
    <d v="2025-10-22T00:00:00"/>
    <n v="1066"/>
    <x v="3"/>
    <x v="15"/>
    <x v="4"/>
    <x v="3"/>
    <x v="0"/>
    <s v="UPI"/>
    <n v="14.67"/>
    <n v="11.54"/>
    <x v="0"/>
    <n v="25.39"/>
    <n v="143.9"/>
    <n v="102.22"/>
    <n v="13.89"/>
    <n v="1.19"/>
    <n v="6.94"/>
    <n v="0"/>
    <n v="0"/>
    <n v="124.24"/>
    <n v="19.66"/>
    <s v="Profit"/>
    <x v="0"/>
    <n v="13"/>
    <n v="0"/>
    <s v="0-15"/>
    <s v="No"/>
    <n v="0"/>
    <s v="Healthy"/>
    <n v="0"/>
  </r>
  <r>
    <n v="101179"/>
    <d v="2025-12-11T00:00:00"/>
    <n v="1139"/>
    <x v="0"/>
    <x v="1"/>
    <x v="1"/>
    <x v="1"/>
    <x v="0"/>
    <s v="UPI"/>
    <n v="37.119999999999997"/>
    <n v="16.760000000000002"/>
    <x v="3"/>
    <n v="0"/>
    <n v="622.13"/>
    <n v="273.04000000000002"/>
    <n v="7.43"/>
    <n v="4.3499999999999996"/>
    <n v="4.5599999999999996"/>
    <n v="0"/>
    <n v="0"/>
    <n v="289.38"/>
    <n v="332.75"/>
    <s v="Profit"/>
    <x v="0"/>
    <n v="21"/>
    <n v="12"/>
    <s v="16-30"/>
    <s v="Yes"/>
    <n v="1"/>
    <s v="At Risk"/>
    <n v="1"/>
  </r>
  <r>
    <n v="101180"/>
    <d v="2025-11-07T00:00:00"/>
    <n v="1002"/>
    <x v="2"/>
    <x v="9"/>
    <x v="2"/>
    <x v="3"/>
    <x v="0"/>
    <s v="Fleet_Invoice"/>
    <n v="16.86"/>
    <n v="12.88"/>
    <x v="2"/>
    <n v="21.72"/>
    <n v="195.44"/>
    <n v="122.44"/>
    <n v="10.28"/>
    <n v="0.87"/>
    <n v="4.67"/>
    <n v="191.24"/>
    <n v="0"/>
    <n v="329.5"/>
    <n v="-134.06"/>
    <s v="Loss"/>
    <x v="1"/>
    <n v="17"/>
    <n v="4"/>
    <s v="16-30"/>
    <s v="Yes"/>
    <n v="3"/>
    <s v="At Risk"/>
    <n v="1"/>
  </r>
  <r>
    <n v="101181"/>
    <d v="2025-11-04T00:00:00"/>
    <n v="1001"/>
    <x v="0"/>
    <x v="11"/>
    <x v="4"/>
    <x v="0"/>
    <x v="2"/>
    <s v="UPI"/>
    <n v="22.33"/>
    <n v="19.22"/>
    <x v="2"/>
    <n v="42.92"/>
    <n v="386.26"/>
    <n v="168.84"/>
    <n v="8.84"/>
    <n v="3"/>
    <n v="7.57"/>
    <n v="0"/>
    <n v="0"/>
    <n v="188.25"/>
    <n v="198.01"/>
    <s v="Profit"/>
    <x v="0"/>
    <n v="1"/>
    <n v="1"/>
    <s v="0-15"/>
    <s v="No"/>
    <n v="0"/>
    <s v="Healthy"/>
    <n v="0"/>
  </r>
  <r>
    <n v="101182"/>
    <d v="2025-11-14T00:00:00"/>
    <n v="1130"/>
    <x v="3"/>
    <x v="15"/>
    <x v="2"/>
    <x v="3"/>
    <x v="2"/>
    <s v="UPI"/>
    <n v="13.27"/>
    <n v="13.01"/>
    <x v="4"/>
    <n v="8.6300000000000008"/>
    <n v="164.01"/>
    <n v="97.09"/>
    <n v="13.5"/>
    <n v="1.21"/>
    <n v="8.51"/>
    <n v="0"/>
    <n v="0"/>
    <n v="120.31"/>
    <n v="43.7"/>
    <s v="Profit"/>
    <x v="0"/>
    <n v="1"/>
    <n v="18"/>
    <s v="0-15"/>
    <s v="Yes"/>
    <n v="1"/>
    <s v="At Risk"/>
    <n v="1"/>
  </r>
  <r>
    <n v="101183"/>
    <d v="2025-12-05T00:00:00"/>
    <n v="1049"/>
    <x v="3"/>
    <x v="7"/>
    <x v="0"/>
    <x v="0"/>
    <x v="2"/>
    <s v="Fleet_Invoice"/>
    <n v="29.01"/>
    <n v="19.149999999999999"/>
    <x v="4"/>
    <n v="27.78"/>
    <n v="527.76"/>
    <n v="186.84"/>
    <n v="13.08"/>
    <n v="2.2200000000000002"/>
    <n v="0"/>
    <n v="0"/>
    <n v="0"/>
    <n v="202.14"/>
    <n v="325.62"/>
    <s v="Profit"/>
    <x v="0"/>
    <n v="16"/>
    <n v="8"/>
    <s v="16-30"/>
    <s v="No"/>
    <n v="0"/>
    <s v="Healthy"/>
    <n v="0"/>
  </r>
  <r>
    <n v="101184"/>
    <d v="2025-12-20T00:00:00"/>
    <n v="1113"/>
    <x v="1"/>
    <x v="2"/>
    <x v="3"/>
    <x v="3"/>
    <x v="0"/>
    <s v="UPI"/>
    <n v="22.64"/>
    <n v="12.35"/>
    <x v="2"/>
    <n v="27.96"/>
    <n v="251.64"/>
    <n v="143.53"/>
    <n v="7.83"/>
    <n v="1.96"/>
    <n v="7.15"/>
    <n v="0"/>
    <n v="0"/>
    <n v="160.47"/>
    <n v="91.17"/>
    <s v="Profit"/>
    <x v="0"/>
    <n v="5"/>
    <n v="3"/>
    <s v="0-15"/>
    <s v="No"/>
    <n v="0"/>
    <s v="Healthy"/>
    <n v="0"/>
  </r>
  <r>
    <n v="101185"/>
    <d v="2025-11-11T00:00:00"/>
    <n v="1070"/>
    <x v="2"/>
    <x v="10"/>
    <x v="2"/>
    <x v="1"/>
    <x v="0"/>
    <s v="UPI"/>
    <n v="37.72"/>
    <n v="14.07"/>
    <x v="3"/>
    <n v="0"/>
    <n v="530.72"/>
    <n v="289.79000000000002"/>
    <n v="8.6999999999999993"/>
    <n v="3.72"/>
    <n v="9.49"/>
    <n v="0"/>
    <n v="0"/>
    <n v="311.7"/>
    <n v="219.02"/>
    <s v="Profit"/>
    <x v="0"/>
    <n v="5"/>
    <n v="18"/>
    <s v="0-15"/>
    <s v="Yes"/>
    <n v="1"/>
    <s v="At Risk"/>
    <n v="1"/>
  </r>
  <r>
    <n v="101186"/>
    <d v="2025-11-02T00:00:00"/>
    <n v="1143"/>
    <x v="1"/>
    <x v="13"/>
    <x v="1"/>
    <x v="2"/>
    <x v="2"/>
    <s v="Card"/>
    <n v="31.6"/>
    <n v="18.64"/>
    <x v="0"/>
    <n v="88.35"/>
    <n v="500.67"/>
    <n v="171.05"/>
    <n v="13.07"/>
    <n v="8.84"/>
    <n v="11.78"/>
    <n v="0"/>
    <n v="0"/>
    <n v="204.74"/>
    <n v="295.93"/>
    <s v="Profit"/>
    <x v="0"/>
    <n v="20"/>
    <n v="23"/>
    <s v="16-30"/>
    <s v="Yes"/>
    <n v="2"/>
    <s v="At Risk"/>
    <n v="1"/>
  </r>
  <r>
    <n v="101187"/>
    <d v="2025-10-15T00:00:00"/>
    <n v="1099"/>
    <x v="0"/>
    <x v="6"/>
    <x v="4"/>
    <x v="3"/>
    <x v="2"/>
    <s v="Card"/>
    <n v="20.309999999999999"/>
    <n v="12.84"/>
    <x v="1"/>
    <n v="52.16"/>
    <n v="208.62"/>
    <n v="130.87"/>
    <n v="7.17"/>
    <n v="3.91"/>
    <n v="5.66"/>
    <n v="0"/>
    <n v="0"/>
    <n v="147.61000000000001"/>
    <n v="61.01"/>
    <s v="Profit"/>
    <x v="0"/>
    <n v="18"/>
    <n v="7"/>
    <s v="16-30"/>
    <s v="No"/>
    <n v="0"/>
    <s v="Healthy"/>
    <n v="0"/>
  </r>
  <r>
    <n v="101188"/>
    <d v="2025-12-31T00:00:00"/>
    <n v="1030"/>
    <x v="1"/>
    <x v="4"/>
    <x v="3"/>
    <x v="2"/>
    <x v="1"/>
    <s v="Wallet"/>
    <n v="20.440000000000001"/>
    <n v="17.46"/>
    <x v="4"/>
    <n v="17.84"/>
    <n v="339.04"/>
    <n v="134.49"/>
    <n v="9.01"/>
    <n v="4.28"/>
    <n v="1.59"/>
    <n v="0"/>
    <n v="0"/>
    <n v="149.37"/>
    <n v="189.67"/>
    <s v="Profit"/>
    <x v="0"/>
    <n v="7"/>
    <n v="5"/>
    <s v="0-15"/>
    <s v="No"/>
    <n v="0"/>
    <s v="Healthy"/>
    <n v="0"/>
  </r>
  <r>
    <n v="101189"/>
    <d v="2025-10-25T00:00:00"/>
    <n v="1018"/>
    <x v="0"/>
    <x v="6"/>
    <x v="1"/>
    <x v="3"/>
    <x v="1"/>
    <s v="Wallet"/>
    <n v="28.19"/>
    <n v="13.04"/>
    <x v="3"/>
    <n v="0"/>
    <n v="367.6"/>
    <n v="241.15"/>
    <n v="12.12"/>
    <n v="4.41"/>
    <n v="5.16"/>
    <n v="0"/>
    <n v="0"/>
    <n v="262.83999999999997"/>
    <n v="104.76"/>
    <s v="Profit"/>
    <x v="0"/>
    <n v="2"/>
    <n v="0"/>
    <s v="0-15"/>
    <s v="No"/>
    <n v="0"/>
    <s v="Healthy"/>
    <n v="0"/>
  </r>
  <r>
    <n v="101190"/>
    <d v="2025-11-26T00:00:00"/>
    <n v="1086"/>
    <x v="3"/>
    <x v="14"/>
    <x v="2"/>
    <x v="1"/>
    <x v="0"/>
    <s v="UPI"/>
    <n v="37.56"/>
    <n v="15.17"/>
    <x v="3"/>
    <n v="0"/>
    <n v="569.79"/>
    <n v="267.07"/>
    <n v="7.92"/>
    <n v="3.99"/>
    <n v="4.4000000000000004"/>
    <n v="384.17"/>
    <n v="0"/>
    <n v="667.55"/>
    <n v="-97.76"/>
    <s v="Loss"/>
    <x v="1"/>
    <n v="0"/>
    <n v="0"/>
    <s v="0-15"/>
    <s v="Yes"/>
    <n v="1"/>
    <s v="At Risk"/>
    <n v="1"/>
  </r>
  <r>
    <n v="101191"/>
    <d v="2025-12-27T00:00:00"/>
    <n v="1003"/>
    <x v="2"/>
    <x v="9"/>
    <x v="0"/>
    <x v="1"/>
    <x v="2"/>
    <s v="UPI"/>
    <n v="20.55"/>
    <n v="16.670000000000002"/>
    <x v="0"/>
    <n v="51.39"/>
    <n v="291.18"/>
    <n v="147.22"/>
    <n v="7.51"/>
    <n v="2.4"/>
    <n v="9.39"/>
    <n v="201.78"/>
    <n v="19.440000000000001"/>
    <n v="387.74"/>
    <n v="-96.56"/>
    <s v="Loss"/>
    <x v="2"/>
    <n v="1"/>
    <n v="3"/>
    <s v="0-15"/>
    <s v="No"/>
    <n v="1"/>
    <s v="At Risk"/>
    <n v="0"/>
  </r>
  <r>
    <n v="101192"/>
    <d v="2025-10-07T00:00:00"/>
    <n v="1081"/>
    <x v="1"/>
    <x v="3"/>
    <x v="2"/>
    <x v="2"/>
    <x v="0"/>
    <s v="UPI"/>
    <n v="35.64"/>
    <n v="18.309999999999999"/>
    <x v="3"/>
    <n v="0"/>
    <n v="652.57000000000005"/>
    <n v="231.94"/>
    <n v="9.2799999999999994"/>
    <n v="4.57"/>
    <n v="8.5299999999999994"/>
    <n v="0"/>
    <n v="0"/>
    <n v="254.32"/>
    <n v="398.25"/>
    <s v="Profit"/>
    <x v="0"/>
    <n v="0"/>
    <n v="5"/>
    <s v="0-15"/>
    <s v="No"/>
    <n v="0"/>
    <s v="Healthy"/>
    <n v="0"/>
  </r>
  <r>
    <n v="101193"/>
    <d v="2025-12-02T00:00:00"/>
    <n v="1077"/>
    <x v="1"/>
    <x v="2"/>
    <x v="4"/>
    <x v="3"/>
    <x v="0"/>
    <s v="Wallet"/>
    <n v="14.69"/>
    <n v="10.74"/>
    <x v="0"/>
    <n v="23.67"/>
    <n v="134.1"/>
    <n v="100.33"/>
    <n v="9.33"/>
    <n v="1.89"/>
    <n v="8.89"/>
    <n v="0"/>
    <n v="0"/>
    <n v="120.44"/>
    <n v="13.66"/>
    <s v="Profit"/>
    <x v="0"/>
    <n v="10"/>
    <n v="4"/>
    <s v="0-15"/>
    <s v="No"/>
    <n v="0"/>
    <s v="Healthy"/>
    <n v="0"/>
  </r>
  <r>
    <n v="101194"/>
    <d v="2025-10-30T00:00:00"/>
    <n v="1140"/>
    <x v="0"/>
    <x v="1"/>
    <x v="4"/>
    <x v="2"/>
    <x v="2"/>
    <s v="Fleet_Invoice"/>
    <n v="20.399999999999999"/>
    <n v="17.510000000000002"/>
    <x v="4"/>
    <n v="17.86"/>
    <n v="339.34"/>
    <n v="161.22"/>
    <n v="8.0299999999999994"/>
    <n v="1.43"/>
    <n v="0"/>
    <n v="0"/>
    <n v="0"/>
    <n v="170.68"/>
    <n v="168.66"/>
    <s v="Profit"/>
    <x v="0"/>
    <n v="2"/>
    <n v="16"/>
    <s v="0-15"/>
    <s v="Yes"/>
    <n v="1"/>
    <s v="At Risk"/>
    <n v="1"/>
  </r>
  <r>
    <n v="101195"/>
    <d v="2025-12-25T00:00:00"/>
    <n v="1103"/>
    <x v="0"/>
    <x v="1"/>
    <x v="0"/>
    <x v="1"/>
    <x v="0"/>
    <s v="UPI"/>
    <n v="29.01"/>
    <n v="14.78"/>
    <x v="3"/>
    <n v="0"/>
    <n v="428.77"/>
    <n v="202.33"/>
    <n v="9.32"/>
    <n v="3"/>
    <n v="0.16"/>
    <n v="0"/>
    <n v="0"/>
    <n v="214.81"/>
    <n v="213.96"/>
    <s v="Profit"/>
    <x v="0"/>
    <n v="17"/>
    <n v="0"/>
    <s v="16-30"/>
    <s v="No"/>
    <n v="0"/>
    <s v="Healthy"/>
    <n v="0"/>
  </r>
  <r>
    <n v="101196"/>
    <d v="2025-10-30T00:00:00"/>
    <n v="1149"/>
    <x v="1"/>
    <x v="4"/>
    <x v="4"/>
    <x v="0"/>
    <x v="0"/>
    <s v="Card"/>
    <n v="25.89"/>
    <n v="19.239999999999998"/>
    <x v="3"/>
    <n v="0"/>
    <n v="498.12"/>
    <n v="200.47"/>
    <n v="5.34"/>
    <n v="7.47"/>
    <n v="1.1100000000000001"/>
    <n v="284.8"/>
    <n v="0"/>
    <n v="499.19"/>
    <n v="-1.07"/>
    <s v="Loss"/>
    <x v="1"/>
    <n v="1"/>
    <n v="6"/>
    <s v="0-15"/>
    <s v="Yes"/>
    <n v="2"/>
    <s v="At Risk"/>
    <n v="1"/>
  </r>
  <r>
    <n v="101197"/>
    <d v="2025-10-04T00:00:00"/>
    <n v="1038"/>
    <x v="2"/>
    <x v="9"/>
    <x v="0"/>
    <x v="3"/>
    <x v="1"/>
    <s v="Card"/>
    <n v="33.21"/>
    <n v="13.01"/>
    <x v="3"/>
    <n v="0"/>
    <n v="432.06"/>
    <n v="274.73"/>
    <n v="8.0299999999999994"/>
    <n v="6.48"/>
    <n v="16.88"/>
    <n v="0"/>
    <n v="0"/>
    <n v="306.12"/>
    <n v="125.94"/>
    <s v="Profit"/>
    <x v="0"/>
    <n v="3"/>
    <n v="8"/>
    <s v="0-15"/>
    <s v="No"/>
    <n v="0"/>
    <s v="Healthy"/>
    <n v="0"/>
  </r>
  <r>
    <n v="101198"/>
    <d v="2025-12-26T00:00:00"/>
    <n v="1149"/>
    <x v="3"/>
    <x v="7"/>
    <x v="3"/>
    <x v="3"/>
    <x v="2"/>
    <s v="UPI"/>
    <n v="26.82"/>
    <n v="12.8"/>
    <x v="3"/>
    <n v="0"/>
    <n v="343.3"/>
    <n v="212.09"/>
    <n v="10.67"/>
    <n v="2.4"/>
    <n v="8.9700000000000006"/>
    <n v="0"/>
    <n v="0"/>
    <n v="234.13"/>
    <n v="109.17"/>
    <s v="Profit"/>
    <x v="0"/>
    <n v="7"/>
    <n v="36"/>
    <s v="0-15"/>
    <s v="Yes"/>
    <n v="3"/>
    <s v="At Risk"/>
    <n v="1"/>
  </r>
  <r>
    <n v="101199"/>
    <d v="2025-12-23T00:00:00"/>
    <n v="1074"/>
    <x v="0"/>
    <x v="1"/>
    <x v="3"/>
    <x v="0"/>
    <x v="0"/>
    <s v="Card"/>
    <n v="24.83"/>
    <n v="19.62"/>
    <x v="3"/>
    <n v="0"/>
    <n v="487.16"/>
    <n v="189.72"/>
    <n v="9.84"/>
    <n v="7.31"/>
    <n v="9.59"/>
    <n v="0"/>
    <n v="0"/>
    <n v="216.46"/>
    <n v="270.7"/>
    <s v="Profit"/>
    <x v="0"/>
    <n v="7"/>
    <n v="4"/>
    <s v="0-15"/>
    <s v="No"/>
    <n v="1"/>
    <s v="Healthy"/>
    <n v="0"/>
  </r>
  <r>
    <n v="101200"/>
    <d v="2025-10-01T00:00:00"/>
    <n v="1115"/>
    <x v="2"/>
    <x v="5"/>
    <x v="2"/>
    <x v="2"/>
    <x v="0"/>
    <s v="UPI"/>
    <n v="33.130000000000003"/>
    <n v="16.79"/>
    <x v="3"/>
    <n v="0"/>
    <n v="556.25"/>
    <n v="251.22"/>
    <n v="7.67"/>
    <n v="3.89"/>
    <n v="0.96"/>
    <n v="0"/>
    <n v="0"/>
    <n v="263.74"/>
    <n v="292.51"/>
    <s v="Profit"/>
    <x v="0"/>
    <n v="24"/>
    <n v="6"/>
    <s v="16-30"/>
    <s v="Yes"/>
    <n v="1"/>
    <s v="At Risk"/>
    <n v="1"/>
  </r>
  <r>
    <n v="101201"/>
    <d v="2025-11-26T00:00:00"/>
    <n v="1038"/>
    <x v="0"/>
    <x v="11"/>
    <x v="4"/>
    <x v="1"/>
    <x v="0"/>
    <s v="Wallet"/>
    <n v="22.95"/>
    <n v="15.24"/>
    <x v="2"/>
    <n v="34.979999999999997"/>
    <n v="314.77999999999997"/>
    <n v="168.9"/>
    <n v="4.67"/>
    <n v="4.2"/>
    <n v="5.35"/>
    <n v="0"/>
    <n v="0"/>
    <n v="183.12"/>
    <n v="131.66"/>
    <s v="Profit"/>
    <x v="0"/>
    <n v="23"/>
    <n v="6"/>
    <s v="16-30"/>
    <s v="Yes"/>
    <n v="1"/>
    <s v="At Risk"/>
    <n v="1"/>
  </r>
  <r>
    <n v="101202"/>
    <d v="2025-10-02T00:00:00"/>
    <n v="1021"/>
    <x v="2"/>
    <x v="10"/>
    <x v="1"/>
    <x v="1"/>
    <x v="2"/>
    <s v="Wallet"/>
    <n v="26.01"/>
    <n v="15.02"/>
    <x v="3"/>
    <n v="0"/>
    <n v="390.67"/>
    <n v="164.91"/>
    <n v="8.44"/>
    <n v="4.6900000000000004"/>
    <n v="13.05"/>
    <n v="183.73"/>
    <n v="12.57"/>
    <n v="387.39"/>
    <n v="3.28"/>
    <s v="Profit"/>
    <x v="1"/>
    <n v="1"/>
    <n v="0"/>
    <s v="0-15"/>
    <s v="Yes"/>
    <n v="1"/>
    <s v="At Risk"/>
    <n v="1"/>
  </r>
  <r>
    <n v="101203"/>
    <d v="2025-11-30T00:00:00"/>
    <n v="1080"/>
    <x v="2"/>
    <x v="9"/>
    <x v="3"/>
    <x v="1"/>
    <x v="0"/>
    <s v="UPI"/>
    <n v="19.82"/>
    <n v="16.16"/>
    <x v="3"/>
    <n v="0"/>
    <n v="320.29000000000002"/>
    <n v="131.96"/>
    <n v="7.96"/>
    <n v="2.2400000000000002"/>
    <n v="11.46"/>
    <n v="0"/>
    <n v="0"/>
    <n v="153.62"/>
    <n v="166.67"/>
    <s v="Profit"/>
    <x v="0"/>
    <n v="4"/>
    <n v="4"/>
    <s v="0-15"/>
    <s v="No"/>
    <n v="0"/>
    <s v="Healthy"/>
    <n v="0"/>
  </r>
  <r>
    <n v="101204"/>
    <d v="2025-11-06T00:00:00"/>
    <n v="1082"/>
    <x v="3"/>
    <x v="15"/>
    <x v="1"/>
    <x v="2"/>
    <x v="1"/>
    <s v="UPI"/>
    <n v="24.5"/>
    <n v="18.059999999999999"/>
    <x v="2"/>
    <n v="44.25"/>
    <n v="398.22"/>
    <n v="184.37"/>
    <n v="12.52"/>
    <n v="3.1"/>
    <n v="12.4"/>
    <n v="0"/>
    <n v="0"/>
    <n v="212.39"/>
    <n v="185.83"/>
    <s v="Profit"/>
    <x v="0"/>
    <n v="0"/>
    <n v="14"/>
    <s v="0-15"/>
    <s v="No"/>
    <n v="0"/>
    <s v="Healthy"/>
    <n v="0"/>
  </r>
  <r>
    <n v="101205"/>
    <d v="2025-11-14T00:00:00"/>
    <n v="1037"/>
    <x v="2"/>
    <x v="10"/>
    <x v="2"/>
    <x v="1"/>
    <x v="0"/>
    <s v="UPI"/>
    <n v="36.28"/>
    <n v="15.66"/>
    <x v="1"/>
    <n v="113.63"/>
    <n v="454.51"/>
    <n v="224.55"/>
    <n v="12.94"/>
    <n v="3.98"/>
    <n v="1.32"/>
    <n v="0"/>
    <n v="0"/>
    <n v="242.79"/>
    <n v="211.72"/>
    <s v="Profit"/>
    <x v="0"/>
    <n v="3"/>
    <n v="9"/>
    <s v="0-15"/>
    <s v="No"/>
    <n v="0"/>
    <s v="Healthy"/>
    <n v="0"/>
  </r>
  <r>
    <n v="101206"/>
    <d v="2025-10-18T00:00:00"/>
    <n v="1117"/>
    <x v="3"/>
    <x v="14"/>
    <x v="1"/>
    <x v="1"/>
    <x v="0"/>
    <s v="Fleet_Invoice"/>
    <n v="25.91"/>
    <n v="15.55"/>
    <x v="2"/>
    <n v="40.29"/>
    <n v="362.61"/>
    <n v="214.12"/>
    <n v="9.98"/>
    <n v="1.61"/>
    <n v="7.83"/>
    <n v="0"/>
    <n v="0"/>
    <n v="233.54"/>
    <n v="129.07"/>
    <s v="Profit"/>
    <x v="0"/>
    <n v="0"/>
    <n v="0"/>
    <s v="0-15"/>
    <s v="No"/>
    <n v="0"/>
    <s v="Healthy"/>
    <n v="0"/>
  </r>
  <r>
    <n v="101207"/>
    <d v="2025-12-21T00:00:00"/>
    <n v="1030"/>
    <x v="1"/>
    <x v="4"/>
    <x v="3"/>
    <x v="3"/>
    <x v="0"/>
    <s v="UPI"/>
    <n v="15.01"/>
    <n v="14.68"/>
    <x v="3"/>
    <n v="0"/>
    <n v="220.35"/>
    <n v="88.31"/>
    <n v="11.24"/>
    <n v="1.54"/>
    <n v="10.93"/>
    <n v="0"/>
    <n v="0"/>
    <n v="112.02"/>
    <n v="108.33"/>
    <s v="Profit"/>
    <x v="0"/>
    <n v="4"/>
    <n v="16"/>
    <s v="0-15"/>
    <s v="Yes"/>
    <n v="3"/>
    <s v="At Risk"/>
    <n v="1"/>
  </r>
  <r>
    <n v="101208"/>
    <d v="2025-10-04T00:00:00"/>
    <n v="1127"/>
    <x v="3"/>
    <x v="14"/>
    <x v="1"/>
    <x v="2"/>
    <x v="0"/>
    <s v="UPI"/>
    <n v="33.36"/>
    <n v="17.64"/>
    <x v="3"/>
    <n v="0"/>
    <n v="588.47"/>
    <n v="227.47"/>
    <n v="5.54"/>
    <n v="4.12"/>
    <n v="5.59"/>
    <n v="0"/>
    <n v="0"/>
    <n v="242.72"/>
    <n v="345.75"/>
    <s v="Profit"/>
    <x v="0"/>
    <n v="8"/>
    <n v="3"/>
    <s v="0-15"/>
    <s v="No"/>
    <n v="0"/>
    <s v="Healthy"/>
    <n v="0"/>
  </r>
  <r>
    <n v="101209"/>
    <d v="2025-10-21T00:00:00"/>
    <n v="1026"/>
    <x v="3"/>
    <x v="15"/>
    <x v="0"/>
    <x v="1"/>
    <x v="0"/>
    <s v="Fleet_Invoice"/>
    <n v="23.44"/>
    <n v="15.19"/>
    <x v="2"/>
    <n v="35.61"/>
    <n v="320.44"/>
    <n v="148.81"/>
    <n v="10.210000000000001"/>
    <n v="1.42"/>
    <n v="6.26"/>
    <n v="0"/>
    <n v="0"/>
    <n v="166.7"/>
    <n v="153.74"/>
    <s v="Profit"/>
    <x v="0"/>
    <n v="5"/>
    <n v="2"/>
    <s v="0-15"/>
    <s v="No"/>
    <n v="2"/>
    <s v="Healthy"/>
    <n v="0"/>
  </r>
  <r>
    <n v="101210"/>
    <d v="2025-10-03T00:00:00"/>
    <n v="1121"/>
    <x v="3"/>
    <x v="8"/>
    <x v="1"/>
    <x v="0"/>
    <x v="1"/>
    <s v="Card"/>
    <n v="31.22"/>
    <n v="17.98"/>
    <x v="3"/>
    <n v="0"/>
    <n v="561.34"/>
    <n v="221.04"/>
    <n v="5.47"/>
    <n v="8.42"/>
    <n v="11.67"/>
    <n v="0"/>
    <n v="0"/>
    <n v="246.6"/>
    <n v="314.74"/>
    <s v="Profit"/>
    <x v="0"/>
    <n v="1"/>
    <n v="16"/>
    <s v="0-15"/>
    <s v="Yes"/>
    <n v="1"/>
    <s v="At Risk"/>
    <n v="1"/>
  </r>
  <r>
    <n v="101211"/>
    <d v="2025-11-29T00:00:00"/>
    <n v="1061"/>
    <x v="2"/>
    <x v="9"/>
    <x v="4"/>
    <x v="2"/>
    <x v="0"/>
    <s v="UPI"/>
    <n v="30.21"/>
    <n v="18.170000000000002"/>
    <x v="3"/>
    <n v="0"/>
    <n v="548.91999999999996"/>
    <n v="190.24"/>
    <n v="7.41"/>
    <n v="3.84"/>
    <n v="6.26"/>
    <n v="0"/>
    <n v="0"/>
    <n v="207.75"/>
    <n v="341.17"/>
    <s v="Profit"/>
    <x v="0"/>
    <n v="2"/>
    <n v="14"/>
    <s v="0-15"/>
    <s v="No"/>
    <n v="0"/>
    <s v="Healthy"/>
    <n v="0"/>
  </r>
  <r>
    <n v="101212"/>
    <d v="2025-12-26T00:00:00"/>
    <n v="1057"/>
    <x v="1"/>
    <x v="4"/>
    <x v="3"/>
    <x v="2"/>
    <x v="1"/>
    <s v="Fleet_Invoice"/>
    <n v="24"/>
    <n v="17.86"/>
    <x v="0"/>
    <n v="64.3"/>
    <n v="364.34"/>
    <n v="196.8"/>
    <n v="6.33"/>
    <n v="1.71"/>
    <n v="13.45"/>
    <n v="299.05"/>
    <n v="10.23"/>
    <n v="527.57000000000005"/>
    <n v="-163.22999999999999"/>
    <s v="Loss"/>
    <x v="1"/>
    <n v="3"/>
    <n v="15"/>
    <s v="0-15"/>
    <s v="Yes"/>
    <n v="2"/>
    <s v="At Risk"/>
    <n v="1"/>
  </r>
  <r>
    <n v="101213"/>
    <d v="2025-11-24T00:00:00"/>
    <n v="1014"/>
    <x v="0"/>
    <x v="0"/>
    <x v="4"/>
    <x v="3"/>
    <x v="0"/>
    <s v="Card"/>
    <n v="16.09"/>
    <n v="13.73"/>
    <x v="0"/>
    <n v="33.14"/>
    <n v="187.78"/>
    <n v="107.07"/>
    <n v="9.9499999999999993"/>
    <n v="3.31"/>
    <n v="4.79"/>
    <n v="0"/>
    <n v="0"/>
    <n v="125.12"/>
    <n v="62.66"/>
    <s v="Profit"/>
    <x v="0"/>
    <n v="16"/>
    <n v="5"/>
    <s v="16-30"/>
    <s v="No"/>
    <n v="0"/>
    <s v="Healthy"/>
    <n v="0"/>
  </r>
  <r>
    <n v="101214"/>
    <d v="2025-12-22T00:00:00"/>
    <n v="1105"/>
    <x v="1"/>
    <x v="13"/>
    <x v="2"/>
    <x v="3"/>
    <x v="2"/>
    <s v="UPI"/>
    <n v="30.88"/>
    <n v="13.82"/>
    <x v="4"/>
    <n v="21.34"/>
    <n v="405.42"/>
    <n v="237.99"/>
    <n v="6.08"/>
    <n v="2.99"/>
    <n v="4.6399999999999997"/>
    <n v="149.97"/>
    <n v="1.9"/>
    <n v="403.57"/>
    <n v="1.85"/>
    <s v="Profit"/>
    <x v="1"/>
    <n v="3"/>
    <n v="12"/>
    <s v="0-15"/>
    <s v="Yes"/>
    <n v="1"/>
    <s v="At Risk"/>
    <n v="1"/>
  </r>
  <r>
    <n v="101215"/>
    <d v="2025-10-01T00:00:00"/>
    <n v="1038"/>
    <x v="2"/>
    <x v="5"/>
    <x v="2"/>
    <x v="3"/>
    <x v="0"/>
    <s v="UPI"/>
    <n v="35.99"/>
    <n v="12.78"/>
    <x v="3"/>
    <n v="0"/>
    <n v="459.95"/>
    <n v="267.63"/>
    <n v="12.85"/>
    <n v="3.22"/>
    <n v="10.11"/>
    <n v="0"/>
    <n v="0"/>
    <n v="293.81"/>
    <n v="166.14"/>
    <s v="Profit"/>
    <x v="0"/>
    <n v="25"/>
    <n v="14"/>
    <s v="16-30"/>
    <s v="Yes"/>
    <n v="2"/>
    <s v="At Risk"/>
    <n v="1"/>
  </r>
  <r>
    <n v="101216"/>
    <d v="2025-12-25T00:00:00"/>
    <n v="1142"/>
    <x v="0"/>
    <x v="11"/>
    <x v="3"/>
    <x v="0"/>
    <x v="0"/>
    <s v="UPI"/>
    <n v="34.28"/>
    <n v="18.329999999999998"/>
    <x v="4"/>
    <n v="31.42"/>
    <n v="596.92999999999995"/>
    <n v="250.85"/>
    <n v="5.7"/>
    <n v="4.4000000000000004"/>
    <n v="6.23"/>
    <n v="300.5"/>
    <n v="0"/>
    <n v="567.67999999999995"/>
    <n v="29.25"/>
    <s v="Profit"/>
    <x v="2"/>
    <n v="0"/>
    <n v="11"/>
    <s v="0-15"/>
    <s v="No"/>
    <n v="1"/>
    <s v="At Risk"/>
    <n v="0"/>
  </r>
  <r>
    <n v="101217"/>
    <d v="2025-10-28T00:00:00"/>
    <n v="1015"/>
    <x v="1"/>
    <x v="13"/>
    <x v="4"/>
    <x v="3"/>
    <x v="0"/>
    <s v="UPI"/>
    <n v="10.130000000000001"/>
    <n v="12.66"/>
    <x v="3"/>
    <n v="0"/>
    <n v="128.25"/>
    <n v="58.09"/>
    <n v="8.36"/>
    <n v="0.9"/>
    <n v="5.76"/>
    <n v="0"/>
    <n v="0"/>
    <n v="73.11"/>
    <n v="55.14"/>
    <s v="Profit"/>
    <x v="0"/>
    <n v="0"/>
    <n v="3"/>
    <s v="0-15"/>
    <s v="No"/>
    <n v="0"/>
    <s v="Healthy"/>
    <n v="0"/>
  </r>
  <r>
    <n v="101218"/>
    <d v="2025-12-03T00:00:00"/>
    <n v="1146"/>
    <x v="0"/>
    <x v="1"/>
    <x v="1"/>
    <x v="1"/>
    <x v="2"/>
    <s v="Wallet"/>
    <n v="27.75"/>
    <n v="15.7"/>
    <x v="3"/>
    <n v="0"/>
    <n v="435.67"/>
    <n v="178.21"/>
    <n v="12.55"/>
    <n v="5.23"/>
    <n v="5.8"/>
    <n v="0"/>
    <n v="0"/>
    <n v="201.79"/>
    <n v="233.88"/>
    <s v="Profit"/>
    <x v="0"/>
    <n v="29"/>
    <n v="9"/>
    <s v="16-30"/>
    <s v="Yes"/>
    <n v="2"/>
    <s v="At Risk"/>
    <n v="1"/>
  </r>
  <r>
    <n v="101219"/>
    <d v="2025-12-27T00:00:00"/>
    <n v="1054"/>
    <x v="3"/>
    <x v="8"/>
    <x v="0"/>
    <x v="2"/>
    <x v="0"/>
    <s v="UPI"/>
    <n v="22.62"/>
    <n v="18.14"/>
    <x v="3"/>
    <n v="0"/>
    <n v="410.33"/>
    <n v="160.12"/>
    <n v="7.68"/>
    <n v="2.87"/>
    <n v="6.82"/>
    <n v="0"/>
    <n v="0"/>
    <n v="177.49"/>
    <n v="232.84"/>
    <s v="Profit"/>
    <x v="0"/>
    <n v="0"/>
    <n v="6"/>
    <s v="0-15"/>
    <s v="No"/>
    <n v="0"/>
    <s v="Healthy"/>
    <n v="0"/>
  </r>
  <r>
    <n v="101220"/>
    <d v="2025-10-25T00:00:00"/>
    <n v="1046"/>
    <x v="0"/>
    <x v="11"/>
    <x v="2"/>
    <x v="0"/>
    <x v="0"/>
    <s v="UPI"/>
    <n v="31.27"/>
    <n v="21.32"/>
    <x v="4"/>
    <n v="33.33"/>
    <n v="633.35"/>
    <n v="220.73"/>
    <n v="8.66"/>
    <n v="4.67"/>
    <n v="8.8699999999999992"/>
    <n v="0"/>
    <n v="0"/>
    <n v="242.93"/>
    <n v="390.42"/>
    <s v="Profit"/>
    <x v="0"/>
    <n v="41"/>
    <n v="6"/>
    <s v="30+"/>
    <s v="Yes"/>
    <n v="2"/>
    <s v="At Risk"/>
    <n v="1"/>
  </r>
  <r>
    <n v="101221"/>
    <d v="2025-10-05T00:00:00"/>
    <n v="1031"/>
    <x v="0"/>
    <x v="11"/>
    <x v="2"/>
    <x v="1"/>
    <x v="0"/>
    <s v="Wallet"/>
    <n v="26.05"/>
    <n v="14.83"/>
    <x v="2"/>
    <n v="38.630000000000003"/>
    <n v="347.69"/>
    <n v="172.87"/>
    <n v="7.69"/>
    <n v="4.6399999999999997"/>
    <n v="4.8499999999999996"/>
    <n v="0"/>
    <n v="0"/>
    <n v="190.05"/>
    <n v="157.63999999999999"/>
    <s v="Profit"/>
    <x v="0"/>
    <n v="5"/>
    <n v="11"/>
    <s v="0-15"/>
    <s v="No"/>
    <n v="0"/>
    <s v="Healthy"/>
    <n v="0"/>
  </r>
  <r>
    <n v="101222"/>
    <d v="2025-11-23T00:00:00"/>
    <n v="1109"/>
    <x v="0"/>
    <x v="1"/>
    <x v="3"/>
    <x v="1"/>
    <x v="0"/>
    <s v="Card"/>
    <n v="32.32"/>
    <n v="16.329999999999998"/>
    <x v="3"/>
    <n v="0"/>
    <n v="527.79"/>
    <n v="232.62"/>
    <n v="6.35"/>
    <n v="7.92"/>
    <n v="6.76"/>
    <n v="0"/>
    <n v="0"/>
    <n v="253.65"/>
    <n v="274.14"/>
    <s v="Profit"/>
    <x v="0"/>
    <n v="1"/>
    <n v="4"/>
    <s v="0-15"/>
    <s v="No"/>
    <n v="2"/>
    <s v="Healthy"/>
    <n v="0"/>
  </r>
  <r>
    <n v="101223"/>
    <d v="2025-12-01T00:00:00"/>
    <n v="1119"/>
    <x v="0"/>
    <x v="6"/>
    <x v="4"/>
    <x v="2"/>
    <x v="0"/>
    <s v="UPI"/>
    <n v="30.1"/>
    <n v="18.28"/>
    <x v="3"/>
    <n v="0"/>
    <n v="550.23"/>
    <n v="200.05"/>
    <n v="16.38"/>
    <n v="3.85"/>
    <n v="8.6999999999999993"/>
    <n v="0"/>
    <n v="0"/>
    <n v="228.98"/>
    <n v="321.25"/>
    <s v="Profit"/>
    <x v="0"/>
    <n v="0"/>
    <n v="13"/>
    <s v="0-15"/>
    <s v="No"/>
    <n v="0"/>
    <s v="Healthy"/>
    <n v="0"/>
  </r>
  <r>
    <n v="101224"/>
    <d v="2025-11-14T00:00:00"/>
    <n v="1023"/>
    <x v="1"/>
    <x v="2"/>
    <x v="0"/>
    <x v="2"/>
    <x v="0"/>
    <s v="UPI"/>
    <n v="17.059999999999999"/>
    <n v="18.43"/>
    <x v="4"/>
    <n v="15.72"/>
    <n v="298.7"/>
    <n v="115.97"/>
    <n v="4.9800000000000004"/>
    <n v="2.2000000000000002"/>
    <n v="7.74"/>
    <n v="306.38"/>
    <n v="0"/>
    <n v="437.27"/>
    <n v="-138.57"/>
    <s v="Loss"/>
    <x v="1"/>
    <n v="1"/>
    <n v="7"/>
    <s v="0-15"/>
    <s v="Yes"/>
    <n v="1"/>
    <s v="At Risk"/>
    <n v="1"/>
  </r>
  <r>
    <n v="101225"/>
    <d v="2025-10-09T00:00:00"/>
    <n v="1135"/>
    <x v="2"/>
    <x v="10"/>
    <x v="1"/>
    <x v="2"/>
    <x v="0"/>
    <s v="UPI"/>
    <n v="25.76"/>
    <n v="17.739999999999998"/>
    <x v="3"/>
    <n v="0"/>
    <n v="456.98"/>
    <n v="173.47"/>
    <n v="5.44"/>
    <n v="3.2"/>
    <n v="9.56"/>
    <n v="405.74"/>
    <n v="0"/>
    <n v="597.41"/>
    <n v="-140.43"/>
    <s v="Loss"/>
    <x v="2"/>
    <n v="10"/>
    <n v="0"/>
    <s v="0-15"/>
    <s v="No"/>
    <n v="2"/>
    <s v="At Risk"/>
    <n v="0"/>
  </r>
  <r>
    <n v="101226"/>
    <d v="2025-12-10T00:00:00"/>
    <n v="1054"/>
    <x v="0"/>
    <x v="1"/>
    <x v="1"/>
    <x v="1"/>
    <x v="1"/>
    <s v="UPI"/>
    <n v="33.85"/>
    <n v="15.27"/>
    <x v="0"/>
    <n v="77.53"/>
    <n v="439.36"/>
    <n v="245.29"/>
    <n v="6.18"/>
    <n v="3.62"/>
    <n v="8.69"/>
    <n v="0"/>
    <n v="0"/>
    <n v="263.77999999999997"/>
    <n v="175.58"/>
    <s v="Profit"/>
    <x v="0"/>
    <n v="16"/>
    <n v="9"/>
    <s v="16-30"/>
    <s v="No"/>
    <n v="0"/>
    <s v="Healthy"/>
    <n v="0"/>
  </r>
  <r>
    <n v="101227"/>
    <d v="2025-10-26T00:00:00"/>
    <n v="1139"/>
    <x v="1"/>
    <x v="13"/>
    <x v="1"/>
    <x v="3"/>
    <x v="0"/>
    <s v="Fleet_Invoice"/>
    <n v="13.71"/>
    <n v="11.93"/>
    <x v="0"/>
    <n v="24.53"/>
    <n v="139.03"/>
    <n v="113.31"/>
    <n v="7.74"/>
    <n v="0.65"/>
    <n v="7.1"/>
    <n v="0"/>
    <n v="0"/>
    <n v="128.80000000000001"/>
    <n v="10.23"/>
    <s v="Profit"/>
    <x v="0"/>
    <n v="0"/>
    <n v="0"/>
    <s v="0-15"/>
    <s v="No"/>
    <n v="0"/>
    <s v="Healthy"/>
    <n v="0"/>
  </r>
  <r>
    <n v="101228"/>
    <d v="2025-12-26T00:00:00"/>
    <n v="1074"/>
    <x v="0"/>
    <x v="1"/>
    <x v="4"/>
    <x v="1"/>
    <x v="0"/>
    <s v="UPI"/>
    <n v="28.28"/>
    <n v="14.98"/>
    <x v="3"/>
    <n v="0"/>
    <n v="423.63"/>
    <n v="213.28"/>
    <n v="8.9700000000000006"/>
    <n v="2.97"/>
    <n v="0"/>
    <n v="0"/>
    <n v="0"/>
    <n v="225.22"/>
    <n v="198.41"/>
    <s v="Profit"/>
    <x v="0"/>
    <n v="7"/>
    <n v="38"/>
    <s v="0-15"/>
    <s v="Yes"/>
    <n v="1"/>
    <s v="At Risk"/>
    <n v="1"/>
  </r>
  <r>
    <n v="101229"/>
    <d v="2025-12-31T00:00:00"/>
    <n v="1114"/>
    <x v="0"/>
    <x v="0"/>
    <x v="3"/>
    <x v="1"/>
    <x v="0"/>
    <s v="UPI"/>
    <n v="22.03"/>
    <n v="17.260000000000002"/>
    <x v="3"/>
    <n v="0"/>
    <n v="380.24"/>
    <n v="143.22999999999999"/>
    <n v="5.56"/>
    <n v="2.66"/>
    <n v="3.67"/>
    <n v="0"/>
    <n v="0"/>
    <n v="155.12"/>
    <n v="225.12"/>
    <s v="Profit"/>
    <x v="0"/>
    <n v="1"/>
    <n v="1"/>
    <s v="0-15"/>
    <s v="No"/>
    <n v="0"/>
    <s v="Healthy"/>
    <n v="0"/>
  </r>
  <r>
    <n v="101230"/>
    <d v="2025-11-18T00:00:00"/>
    <n v="1107"/>
    <x v="2"/>
    <x v="5"/>
    <x v="4"/>
    <x v="2"/>
    <x v="1"/>
    <s v="Card"/>
    <n v="20.75"/>
    <n v="17.309999999999999"/>
    <x v="2"/>
    <n v="35.92"/>
    <n v="323.26"/>
    <n v="154.51"/>
    <n v="6.56"/>
    <n v="5.39"/>
    <n v="5.58"/>
    <n v="0"/>
    <n v="0"/>
    <n v="172.04"/>
    <n v="151.22"/>
    <s v="Profit"/>
    <x v="0"/>
    <n v="16"/>
    <n v="16"/>
    <s v="16-30"/>
    <s v="Yes"/>
    <n v="2"/>
    <s v="At Risk"/>
    <n v="1"/>
  </r>
  <r>
    <n v="101231"/>
    <d v="2025-10-17T00:00:00"/>
    <n v="1016"/>
    <x v="3"/>
    <x v="8"/>
    <x v="1"/>
    <x v="3"/>
    <x v="0"/>
    <s v="UPI"/>
    <n v="23.18"/>
    <n v="12.35"/>
    <x v="2"/>
    <n v="28.63"/>
    <n v="257.64"/>
    <n v="181.11"/>
    <n v="4.62"/>
    <n v="2"/>
    <n v="3.52"/>
    <n v="0"/>
    <n v="0"/>
    <n v="191.25"/>
    <n v="66.39"/>
    <s v="Profit"/>
    <x v="0"/>
    <n v="9"/>
    <n v="7"/>
    <s v="0-15"/>
    <s v="No"/>
    <n v="0"/>
    <s v="Healthy"/>
    <n v="0"/>
  </r>
  <r>
    <n v="101232"/>
    <d v="2025-10-03T00:00:00"/>
    <n v="1140"/>
    <x v="0"/>
    <x v="11"/>
    <x v="0"/>
    <x v="3"/>
    <x v="0"/>
    <s v="Card"/>
    <n v="16.88"/>
    <n v="12.3"/>
    <x v="3"/>
    <n v="0"/>
    <n v="207.62"/>
    <n v="132.01"/>
    <n v="9.11"/>
    <n v="3.11"/>
    <n v="9.19"/>
    <n v="153.74"/>
    <n v="0"/>
    <n v="307.16000000000003"/>
    <n v="-99.54"/>
    <s v="Loss"/>
    <x v="2"/>
    <n v="15"/>
    <n v="20"/>
    <s v="0-15"/>
    <s v="Yes"/>
    <n v="1"/>
    <s v="At Risk"/>
    <n v="1"/>
  </r>
  <r>
    <n v="101233"/>
    <d v="2025-10-08T00:00:00"/>
    <n v="1069"/>
    <x v="0"/>
    <x v="1"/>
    <x v="4"/>
    <x v="0"/>
    <x v="2"/>
    <s v="UPI"/>
    <n v="39.520000000000003"/>
    <n v="18.760000000000002"/>
    <x v="2"/>
    <n v="74.14"/>
    <n v="667.26"/>
    <n v="238.76"/>
    <n v="6.01"/>
    <n v="5.19"/>
    <n v="9.57"/>
    <n v="575.21"/>
    <n v="5.65"/>
    <n v="840.39"/>
    <n v="-173.13"/>
    <s v="Loss"/>
    <x v="2"/>
    <n v="12"/>
    <n v="0"/>
    <s v="0-15"/>
    <s v="No"/>
    <n v="3"/>
    <s v="At Risk"/>
    <n v="0"/>
  </r>
  <r>
    <n v="101234"/>
    <d v="2025-12-21T00:00:00"/>
    <n v="1019"/>
    <x v="2"/>
    <x v="12"/>
    <x v="4"/>
    <x v="1"/>
    <x v="0"/>
    <s v="Fleet_Invoice"/>
    <n v="18.34"/>
    <n v="15.01"/>
    <x v="1"/>
    <n v="55.06"/>
    <n v="220.22"/>
    <n v="140.96"/>
    <n v="7.87"/>
    <n v="1.1000000000000001"/>
    <n v="4.03"/>
    <n v="0"/>
    <n v="0"/>
    <n v="153.96"/>
    <n v="66.260000000000005"/>
    <s v="Profit"/>
    <x v="0"/>
    <n v="6"/>
    <n v="3"/>
    <s v="0-15"/>
    <s v="No"/>
    <n v="1"/>
    <s v="Healthy"/>
    <n v="0"/>
  </r>
  <r>
    <n v="101235"/>
    <d v="2025-11-18T00:00:00"/>
    <n v="1052"/>
    <x v="1"/>
    <x v="4"/>
    <x v="2"/>
    <x v="1"/>
    <x v="0"/>
    <s v="Card"/>
    <n v="29.37"/>
    <n v="15.26"/>
    <x v="1"/>
    <n v="89.64"/>
    <n v="358.55"/>
    <n v="182.37"/>
    <n v="9.24"/>
    <n v="6.72"/>
    <n v="1.97"/>
    <n v="0"/>
    <n v="0"/>
    <n v="200.3"/>
    <n v="158.25"/>
    <s v="Profit"/>
    <x v="0"/>
    <n v="36"/>
    <n v="17"/>
    <s v="30+"/>
    <s v="Yes"/>
    <n v="4"/>
    <s v="At Risk"/>
    <n v="1"/>
  </r>
  <r>
    <n v="101236"/>
    <d v="2025-12-19T00:00:00"/>
    <n v="1119"/>
    <x v="2"/>
    <x v="9"/>
    <x v="2"/>
    <x v="0"/>
    <x v="0"/>
    <s v="Card"/>
    <n v="32.24"/>
    <n v="17.63"/>
    <x v="2"/>
    <n v="56.84"/>
    <n v="511.55"/>
    <n v="261.48"/>
    <n v="11.49"/>
    <n v="8.5299999999999994"/>
    <n v="5.7"/>
    <n v="232.67"/>
    <n v="0"/>
    <n v="519.87"/>
    <n v="-8.32"/>
    <s v="Loss"/>
    <x v="2"/>
    <n v="1"/>
    <n v="18"/>
    <s v="0-15"/>
    <s v="Yes"/>
    <n v="3"/>
    <s v="At Risk"/>
    <n v="1"/>
  </r>
  <r>
    <n v="101237"/>
    <d v="2025-10-13T00:00:00"/>
    <n v="1013"/>
    <x v="2"/>
    <x v="9"/>
    <x v="0"/>
    <x v="0"/>
    <x v="0"/>
    <s v="Fleet_Invoice"/>
    <n v="24.55"/>
    <n v="18.86"/>
    <x v="3"/>
    <n v="0"/>
    <n v="463.01"/>
    <n v="172.8"/>
    <n v="8.0399999999999991"/>
    <n v="1.85"/>
    <n v="8.24"/>
    <n v="447.04"/>
    <n v="0"/>
    <n v="637.97"/>
    <n v="-174.96"/>
    <s v="Loss"/>
    <x v="1"/>
    <n v="0"/>
    <n v="18"/>
    <s v="0-15"/>
    <s v="Yes"/>
    <n v="1"/>
    <s v="At Risk"/>
    <n v="1"/>
  </r>
  <r>
    <n v="101238"/>
    <d v="2025-11-30T00:00:00"/>
    <n v="1033"/>
    <x v="0"/>
    <x v="1"/>
    <x v="3"/>
    <x v="3"/>
    <x v="2"/>
    <s v="Wallet"/>
    <n v="3"/>
    <n v="12.82"/>
    <x v="3"/>
    <n v="0"/>
    <n v="38.46"/>
    <n v="16.079999999999998"/>
    <n v="7.93"/>
    <n v="0.46"/>
    <n v="7.67"/>
    <n v="0"/>
    <n v="0"/>
    <n v="32.14"/>
    <n v="6.32"/>
    <s v="Profit"/>
    <x v="0"/>
    <n v="15"/>
    <n v="7"/>
    <s v="0-15"/>
    <s v="No"/>
    <n v="0"/>
    <s v="Healthy"/>
    <n v="0"/>
  </r>
  <r>
    <n v="101239"/>
    <d v="2025-11-09T00:00:00"/>
    <n v="1096"/>
    <x v="0"/>
    <x v="11"/>
    <x v="3"/>
    <x v="3"/>
    <x v="2"/>
    <s v="UPI"/>
    <n v="7.09"/>
    <n v="12.85"/>
    <x v="3"/>
    <n v="0"/>
    <n v="91.11"/>
    <n v="62.95"/>
    <n v="11.88"/>
    <n v="0.64"/>
    <n v="6.87"/>
    <n v="0"/>
    <n v="0"/>
    <n v="82.34"/>
    <n v="8.77"/>
    <s v="Profit"/>
    <x v="0"/>
    <n v="1"/>
    <n v="3"/>
    <s v="0-15"/>
    <s v="No"/>
    <n v="0"/>
    <s v="Healthy"/>
    <n v="0"/>
  </r>
  <r>
    <n v="101240"/>
    <d v="2025-11-25T00:00:00"/>
    <n v="1071"/>
    <x v="0"/>
    <x v="11"/>
    <x v="2"/>
    <x v="1"/>
    <x v="0"/>
    <s v="UPI"/>
    <n v="29.01"/>
    <n v="15.6"/>
    <x v="4"/>
    <n v="22.63"/>
    <n v="429.93"/>
    <n v="201.8"/>
    <n v="9.7899999999999991"/>
    <n v="3.17"/>
    <n v="4.78"/>
    <n v="0"/>
    <n v="0"/>
    <n v="219.54"/>
    <n v="210.39"/>
    <s v="Profit"/>
    <x v="0"/>
    <n v="13"/>
    <n v="26"/>
    <s v="0-15"/>
    <s v="Yes"/>
    <n v="1"/>
    <s v="At Risk"/>
    <n v="1"/>
  </r>
  <r>
    <n v="101241"/>
    <d v="2025-10-29T00:00:00"/>
    <n v="1057"/>
    <x v="1"/>
    <x v="4"/>
    <x v="0"/>
    <x v="3"/>
    <x v="0"/>
    <s v="Wallet"/>
    <n v="4.47"/>
    <n v="13.52"/>
    <x v="0"/>
    <n v="9.06"/>
    <n v="51.37"/>
    <n v="31.57"/>
    <n v="7.07"/>
    <n v="0.73"/>
    <n v="10.67"/>
    <n v="0"/>
    <n v="0"/>
    <n v="50.04"/>
    <n v="1.33"/>
    <s v="Profit"/>
    <x v="0"/>
    <n v="6"/>
    <n v="13"/>
    <s v="0-15"/>
    <s v="No"/>
    <n v="0"/>
    <s v="Healthy"/>
    <n v="0"/>
  </r>
  <r>
    <n v="101242"/>
    <d v="2025-10-20T00:00:00"/>
    <n v="1046"/>
    <x v="2"/>
    <x v="12"/>
    <x v="0"/>
    <x v="3"/>
    <x v="0"/>
    <s v="UPI"/>
    <n v="21.95"/>
    <n v="13.26"/>
    <x v="3"/>
    <n v="0"/>
    <n v="291.06"/>
    <n v="190.64"/>
    <n v="3.59"/>
    <n v="2.04"/>
    <n v="1.71"/>
    <n v="0"/>
    <n v="0"/>
    <n v="197.98"/>
    <n v="93.08"/>
    <s v="Profit"/>
    <x v="0"/>
    <n v="1"/>
    <n v="9"/>
    <s v="0-15"/>
    <s v="No"/>
    <n v="1"/>
    <s v="Healthy"/>
    <n v="0"/>
  </r>
  <r>
    <n v="101243"/>
    <d v="2025-11-16T00:00:00"/>
    <n v="1132"/>
    <x v="2"/>
    <x v="5"/>
    <x v="2"/>
    <x v="3"/>
    <x v="2"/>
    <s v="Wallet"/>
    <n v="36.51"/>
    <n v="13.94"/>
    <x v="4"/>
    <n v="25.45"/>
    <n v="483.5"/>
    <n v="220.47"/>
    <n v="11.85"/>
    <n v="6.11"/>
    <n v="6.56"/>
    <n v="0"/>
    <n v="0"/>
    <n v="244.99"/>
    <n v="238.51"/>
    <s v="Profit"/>
    <x v="0"/>
    <n v="27"/>
    <n v="11"/>
    <s v="16-30"/>
    <s v="Yes"/>
    <n v="1"/>
    <s v="At Risk"/>
    <n v="1"/>
  </r>
  <r>
    <n v="101244"/>
    <d v="2025-11-16T00:00:00"/>
    <n v="1119"/>
    <x v="0"/>
    <x v="0"/>
    <x v="0"/>
    <x v="3"/>
    <x v="0"/>
    <s v="Wallet"/>
    <n v="17.13"/>
    <n v="12.35"/>
    <x v="3"/>
    <n v="0"/>
    <n v="211.56"/>
    <n v="127.64"/>
    <n v="3.25"/>
    <n v="2.54"/>
    <n v="3.57"/>
    <n v="0"/>
    <n v="0"/>
    <n v="137"/>
    <n v="74.56"/>
    <s v="Profit"/>
    <x v="0"/>
    <n v="14"/>
    <n v="8"/>
    <s v="0-15"/>
    <s v="No"/>
    <n v="0"/>
    <s v="Healthy"/>
    <n v="0"/>
  </r>
  <r>
    <n v="101245"/>
    <d v="2025-10-17T00:00:00"/>
    <n v="1125"/>
    <x v="0"/>
    <x v="11"/>
    <x v="3"/>
    <x v="3"/>
    <x v="2"/>
    <s v="Wallet"/>
    <n v="23.29"/>
    <n v="11.99"/>
    <x v="0"/>
    <n v="41.89"/>
    <n v="237.36"/>
    <n v="159.26"/>
    <n v="11.95"/>
    <n v="3.35"/>
    <n v="12.39"/>
    <n v="0"/>
    <n v="0"/>
    <n v="186.95"/>
    <n v="50.41"/>
    <s v="Profit"/>
    <x v="0"/>
    <n v="7"/>
    <n v="21"/>
    <s v="0-15"/>
    <s v="Yes"/>
    <n v="1"/>
    <s v="At Risk"/>
    <n v="1"/>
  </r>
  <r>
    <n v="101246"/>
    <d v="2025-12-04T00:00:00"/>
    <n v="1069"/>
    <x v="0"/>
    <x v="0"/>
    <x v="4"/>
    <x v="3"/>
    <x v="1"/>
    <s v="UPI"/>
    <n v="5.68"/>
    <n v="12.49"/>
    <x v="4"/>
    <n v="3.55"/>
    <n v="67.39"/>
    <n v="39.21"/>
    <n v="7.36"/>
    <n v="0.5"/>
    <n v="6.5"/>
    <n v="0"/>
    <n v="0"/>
    <n v="53.57"/>
    <n v="13.82"/>
    <s v="Profit"/>
    <x v="0"/>
    <n v="8"/>
    <n v="3"/>
    <s v="0-15"/>
    <s v="No"/>
    <n v="0"/>
    <s v="Healthy"/>
    <n v="0"/>
  </r>
  <r>
    <n v="101247"/>
    <d v="2025-12-31T00:00:00"/>
    <n v="1124"/>
    <x v="3"/>
    <x v="15"/>
    <x v="0"/>
    <x v="1"/>
    <x v="0"/>
    <s v="UPI"/>
    <n v="35.22"/>
    <n v="16.84"/>
    <x v="1"/>
    <n v="118.62"/>
    <n v="474.48"/>
    <n v="277.86"/>
    <n v="9.44"/>
    <n v="4.1500000000000004"/>
    <n v="7.44"/>
    <n v="0"/>
    <n v="0"/>
    <n v="298.89"/>
    <n v="175.59"/>
    <s v="Profit"/>
    <x v="0"/>
    <n v="20"/>
    <n v="15"/>
    <s v="16-30"/>
    <s v="No"/>
    <n v="0"/>
    <s v="Healthy"/>
    <n v="0"/>
  </r>
  <r>
    <n v="101248"/>
    <d v="2025-12-06T00:00:00"/>
    <n v="1143"/>
    <x v="1"/>
    <x v="4"/>
    <x v="3"/>
    <x v="2"/>
    <x v="0"/>
    <s v="UPI"/>
    <n v="28.42"/>
    <n v="18.14"/>
    <x v="3"/>
    <n v="0"/>
    <n v="515.54"/>
    <n v="210.77"/>
    <n v="10.85"/>
    <n v="3.61"/>
    <n v="7.11"/>
    <n v="0"/>
    <n v="0"/>
    <n v="232.34"/>
    <n v="283.2"/>
    <s v="Profit"/>
    <x v="0"/>
    <n v="0"/>
    <n v="1"/>
    <s v="0-15"/>
    <s v="No"/>
    <n v="0"/>
    <s v="Healthy"/>
    <n v="0"/>
  </r>
  <r>
    <n v="101249"/>
    <d v="2025-11-13T00:00:00"/>
    <n v="1146"/>
    <x v="1"/>
    <x v="4"/>
    <x v="2"/>
    <x v="3"/>
    <x v="0"/>
    <s v="UPI"/>
    <n v="13.84"/>
    <n v="11.81"/>
    <x v="3"/>
    <n v="0"/>
    <n v="163.44999999999999"/>
    <n v="101.48"/>
    <n v="14.43"/>
    <n v="1.1399999999999999"/>
    <n v="9.44"/>
    <n v="0"/>
    <n v="0"/>
    <n v="126.49"/>
    <n v="36.96"/>
    <s v="Profit"/>
    <x v="0"/>
    <n v="35"/>
    <n v="10"/>
    <s v="30+"/>
    <s v="Yes"/>
    <n v="3"/>
    <s v="At Risk"/>
    <n v="1"/>
  </r>
  <r>
    <n v="101250"/>
    <d v="2025-12-08T00:00:00"/>
    <n v="1053"/>
    <x v="1"/>
    <x v="3"/>
    <x v="2"/>
    <x v="0"/>
    <x v="2"/>
    <s v="UPI"/>
    <n v="30.68"/>
    <n v="18.68"/>
    <x v="3"/>
    <n v="0"/>
    <n v="573.1"/>
    <n v="203.93"/>
    <n v="4.17"/>
    <n v="4.01"/>
    <n v="3.57"/>
    <n v="0"/>
    <n v="0"/>
    <n v="215.68"/>
    <n v="357.42"/>
    <s v="Profit"/>
    <x v="0"/>
    <n v="4"/>
    <n v="3"/>
    <s v="0-15"/>
    <s v="No"/>
    <n v="0"/>
    <s v="Healthy"/>
    <n v="0"/>
  </r>
  <r>
    <n v="101251"/>
    <d v="2025-12-06T00:00:00"/>
    <n v="1149"/>
    <x v="0"/>
    <x v="0"/>
    <x v="1"/>
    <x v="2"/>
    <x v="0"/>
    <s v="Fleet_Invoice"/>
    <n v="45.82"/>
    <n v="18.18"/>
    <x v="3"/>
    <n v="0"/>
    <n v="833.01"/>
    <n v="352.86"/>
    <n v="8.59"/>
    <n v="3.33"/>
    <n v="0.72"/>
    <n v="0"/>
    <n v="0"/>
    <n v="365.5"/>
    <n v="467.51"/>
    <s v="Profit"/>
    <x v="0"/>
    <n v="3"/>
    <n v="8"/>
    <s v="0-15"/>
    <s v="No"/>
    <n v="0"/>
    <s v="Healthy"/>
    <n v="0"/>
  </r>
  <r>
    <n v="101252"/>
    <d v="2025-12-07T00:00:00"/>
    <n v="1004"/>
    <x v="1"/>
    <x v="13"/>
    <x v="1"/>
    <x v="3"/>
    <x v="1"/>
    <s v="UPI"/>
    <n v="23.06"/>
    <n v="12.03"/>
    <x v="4"/>
    <n v="13.87"/>
    <n v="263.54000000000002"/>
    <n v="187.83"/>
    <n v="7.36"/>
    <n v="1.94"/>
    <n v="12.03"/>
    <n v="0"/>
    <n v="0"/>
    <n v="209.16"/>
    <n v="54.38"/>
    <s v="Profit"/>
    <x v="0"/>
    <n v="6"/>
    <n v="6"/>
    <s v="0-15"/>
    <s v="No"/>
    <n v="0"/>
    <s v="Healthy"/>
    <n v="0"/>
  </r>
  <r>
    <n v="101253"/>
    <d v="2025-12-17T00:00:00"/>
    <n v="1026"/>
    <x v="1"/>
    <x v="3"/>
    <x v="3"/>
    <x v="1"/>
    <x v="2"/>
    <s v="Card"/>
    <n v="23.26"/>
    <n v="14.55"/>
    <x v="3"/>
    <n v="0"/>
    <n v="338.43"/>
    <n v="141.02000000000001"/>
    <n v="5.55"/>
    <n v="5.08"/>
    <n v="9.86"/>
    <n v="221.62"/>
    <n v="15.94"/>
    <n v="399.07"/>
    <n v="-60.64"/>
    <s v="Loss"/>
    <x v="1"/>
    <n v="5"/>
    <n v="0"/>
    <s v="0-15"/>
    <s v="Yes"/>
    <n v="2"/>
    <s v="At Risk"/>
    <n v="1"/>
  </r>
  <r>
    <n v="101254"/>
    <d v="2025-12-18T00:00:00"/>
    <n v="1027"/>
    <x v="0"/>
    <x v="11"/>
    <x v="0"/>
    <x v="0"/>
    <x v="1"/>
    <s v="UPI"/>
    <n v="20.329999999999998"/>
    <n v="18.989999999999998"/>
    <x v="1"/>
    <n v="77.209999999999994"/>
    <n v="308.86"/>
    <n v="153.53"/>
    <n v="5.0599999999999996"/>
    <n v="2.7"/>
    <n v="7.81"/>
    <n v="0"/>
    <n v="0"/>
    <n v="169.1"/>
    <n v="139.76"/>
    <s v="Profit"/>
    <x v="0"/>
    <n v="2"/>
    <n v="2"/>
    <s v="0-15"/>
    <s v="No"/>
    <n v="0"/>
    <s v="Healthy"/>
    <n v="0"/>
  </r>
  <r>
    <n v="101255"/>
    <d v="2025-10-24T00:00:00"/>
    <n v="1065"/>
    <x v="0"/>
    <x v="11"/>
    <x v="0"/>
    <x v="3"/>
    <x v="0"/>
    <s v="UPI"/>
    <n v="27.46"/>
    <n v="13.31"/>
    <x v="0"/>
    <n v="54.82"/>
    <n v="310.67"/>
    <n v="193"/>
    <n v="8.24"/>
    <n v="2.56"/>
    <n v="7.24"/>
    <n v="0"/>
    <n v="0"/>
    <n v="211.04"/>
    <n v="99.63"/>
    <s v="Profit"/>
    <x v="0"/>
    <n v="10"/>
    <n v="14"/>
    <s v="0-15"/>
    <s v="No"/>
    <n v="0"/>
    <s v="Healthy"/>
    <n v="0"/>
  </r>
  <r>
    <n v="101256"/>
    <d v="2025-12-25T00:00:00"/>
    <n v="1013"/>
    <x v="0"/>
    <x v="6"/>
    <x v="2"/>
    <x v="3"/>
    <x v="1"/>
    <s v="UPI"/>
    <n v="21.84"/>
    <n v="12.47"/>
    <x v="4"/>
    <n v="13.62"/>
    <n v="258.72000000000003"/>
    <n v="154.91"/>
    <n v="9.1999999999999993"/>
    <n v="1.91"/>
    <n v="7.48"/>
    <n v="0"/>
    <n v="0"/>
    <n v="173.5"/>
    <n v="85.22"/>
    <s v="Profit"/>
    <x v="0"/>
    <n v="3"/>
    <n v="25"/>
    <s v="0-15"/>
    <s v="Yes"/>
    <n v="2"/>
    <s v="At Risk"/>
    <n v="1"/>
  </r>
  <r>
    <n v="101257"/>
    <d v="2025-11-18T00:00:00"/>
    <n v="1137"/>
    <x v="1"/>
    <x v="13"/>
    <x v="0"/>
    <x v="2"/>
    <x v="0"/>
    <s v="Wallet"/>
    <n v="33.85"/>
    <n v="17.91"/>
    <x v="3"/>
    <n v="0"/>
    <n v="606.25"/>
    <n v="242.82"/>
    <n v="10.37"/>
    <n v="7.28"/>
    <n v="6.86"/>
    <n v="236.47"/>
    <n v="0"/>
    <n v="503.8"/>
    <n v="102.45"/>
    <s v="Profit"/>
    <x v="1"/>
    <n v="0"/>
    <n v="9"/>
    <s v="0-15"/>
    <s v="Yes"/>
    <n v="2"/>
    <s v="At Risk"/>
    <n v="1"/>
  </r>
  <r>
    <n v="101258"/>
    <d v="2025-10-22T00:00:00"/>
    <n v="1124"/>
    <x v="1"/>
    <x v="4"/>
    <x v="1"/>
    <x v="3"/>
    <x v="0"/>
    <s v="UPI"/>
    <n v="9.73"/>
    <n v="12.13"/>
    <x v="3"/>
    <n v="0"/>
    <n v="118.02"/>
    <n v="74.77"/>
    <n v="7.26"/>
    <n v="0.83"/>
    <n v="2.0299999999999998"/>
    <n v="0"/>
    <n v="0"/>
    <n v="84.89"/>
    <n v="33.130000000000003"/>
    <s v="Profit"/>
    <x v="0"/>
    <n v="21"/>
    <n v="1"/>
    <s v="16-30"/>
    <s v="Yes"/>
    <n v="2"/>
    <s v="At Risk"/>
    <n v="1"/>
  </r>
  <r>
    <n v="101259"/>
    <d v="2025-12-21T00:00:00"/>
    <n v="1001"/>
    <x v="1"/>
    <x v="2"/>
    <x v="0"/>
    <x v="2"/>
    <x v="0"/>
    <s v="UPI"/>
    <n v="40.369999999999997"/>
    <n v="17.13"/>
    <x v="4"/>
    <n v="34.58"/>
    <n v="656.96"/>
    <n v="318.38"/>
    <n v="9.8000000000000007"/>
    <n v="4.84"/>
    <n v="15.16"/>
    <n v="0"/>
    <n v="0"/>
    <n v="348.18"/>
    <n v="308.77999999999997"/>
    <s v="Profit"/>
    <x v="0"/>
    <n v="1"/>
    <n v="3"/>
    <s v="0-15"/>
    <s v="No"/>
    <n v="0"/>
    <s v="Healthy"/>
    <n v="0"/>
  </r>
  <r>
    <n v="101260"/>
    <d v="2025-12-02T00:00:00"/>
    <n v="1092"/>
    <x v="1"/>
    <x v="2"/>
    <x v="3"/>
    <x v="3"/>
    <x v="2"/>
    <s v="UPI"/>
    <n v="29.92"/>
    <n v="12.68"/>
    <x v="2"/>
    <n v="37.94"/>
    <n v="341.45"/>
    <n v="209.26"/>
    <n v="12.22"/>
    <n v="2.66"/>
    <n v="7.42"/>
    <n v="0"/>
    <n v="0"/>
    <n v="231.56"/>
    <n v="109.89"/>
    <s v="Profit"/>
    <x v="0"/>
    <n v="1"/>
    <n v="5"/>
    <s v="0-15"/>
    <s v="No"/>
    <n v="0"/>
    <s v="Healthy"/>
    <n v="0"/>
  </r>
  <r>
    <n v="101261"/>
    <d v="2025-11-29T00:00:00"/>
    <n v="1089"/>
    <x v="1"/>
    <x v="3"/>
    <x v="1"/>
    <x v="1"/>
    <x v="2"/>
    <s v="Card"/>
    <n v="33.200000000000003"/>
    <n v="14.79"/>
    <x v="3"/>
    <n v="0"/>
    <n v="491.03"/>
    <n v="224.15"/>
    <n v="4.9800000000000004"/>
    <n v="7.37"/>
    <n v="3.34"/>
    <n v="0"/>
    <n v="0"/>
    <n v="239.84"/>
    <n v="251.19"/>
    <s v="Profit"/>
    <x v="0"/>
    <n v="24"/>
    <n v="2"/>
    <s v="16-30"/>
    <s v="Yes"/>
    <n v="2"/>
    <s v="At Risk"/>
    <n v="1"/>
  </r>
  <r>
    <n v="101262"/>
    <d v="2025-11-27T00:00:00"/>
    <n v="1050"/>
    <x v="2"/>
    <x v="9"/>
    <x v="2"/>
    <x v="3"/>
    <x v="0"/>
    <s v="Card"/>
    <n v="29.69"/>
    <n v="12.74"/>
    <x v="3"/>
    <n v="0"/>
    <n v="378.25"/>
    <n v="197.03"/>
    <n v="6.47"/>
    <n v="5.67"/>
    <n v="6.36"/>
    <n v="233.18"/>
    <n v="0"/>
    <n v="448.71"/>
    <n v="-70.459999999999994"/>
    <s v="Loss"/>
    <x v="2"/>
    <n v="3"/>
    <n v="8"/>
    <s v="0-15"/>
    <s v="No"/>
    <n v="1"/>
    <s v="At Risk"/>
    <n v="0"/>
  </r>
  <r>
    <n v="101263"/>
    <d v="2025-11-30T00:00:00"/>
    <n v="1137"/>
    <x v="0"/>
    <x v="1"/>
    <x v="2"/>
    <x v="2"/>
    <x v="2"/>
    <s v="Fleet_Invoice"/>
    <n v="21.59"/>
    <n v="16.600000000000001"/>
    <x v="1"/>
    <n v="71.680000000000007"/>
    <n v="286.70999999999998"/>
    <n v="177.11"/>
    <n v="1.43"/>
    <n v="1.43"/>
    <n v="4.91"/>
    <n v="265.11"/>
    <n v="21.94"/>
    <n v="471.93"/>
    <n v="-185.22"/>
    <s v="Loss"/>
    <x v="1"/>
    <n v="3"/>
    <n v="3"/>
    <s v="0-15"/>
    <s v="Yes"/>
    <n v="4"/>
    <s v="At Risk"/>
    <n v="1"/>
  </r>
  <r>
    <n v="101264"/>
    <d v="2025-10-12T00:00:00"/>
    <n v="1132"/>
    <x v="0"/>
    <x v="1"/>
    <x v="1"/>
    <x v="3"/>
    <x v="0"/>
    <s v="UPI"/>
    <n v="16.23"/>
    <n v="11.72"/>
    <x v="1"/>
    <n v="38.04"/>
    <n v="152.18"/>
    <n v="113.2"/>
    <n v="15.67"/>
    <n v="1.33"/>
    <n v="0"/>
    <n v="0"/>
    <n v="0"/>
    <n v="130.19999999999999"/>
    <n v="21.98"/>
    <s v="Profit"/>
    <x v="0"/>
    <n v="37"/>
    <n v="10"/>
    <s v="30+"/>
    <s v="Yes"/>
    <n v="3"/>
    <s v="At Risk"/>
    <n v="1"/>
  </r>
  <r>
    <n v="101265"/>
    <d v="2025-12-12T00:00:00"/>
    <n v="1094"/>
    <x v="1"/>
    <x v="4"/>
    <x v="4"/>
    <x v="3"/>
    <x v="0"/>
    <s v="Wallet"/>
    <n v="24.74"/>
    <n v="14.34"/>
    <x v="4"/>
    <n v="17.739999999999998"/>
    <n v="337.03"/>
    <n v="155.27000000000001"/>
    <n v="9.15"/>
    <n v="4.26"/>
    <n v="5.97"/>
    <n v="0"/>
    <n v="0"/>
    <n v="174.65"/>
    <n v="162.38"/>
    <s v="Profit"/>
    <x v="0"/>
    <n v="1"/>
    <n v="13"/>
    <s v="0-15"/>
    <s v="No"/>
    <n v="0"/>
    <s v="Healthy"/>
    <n v="0"/>
  </r>
  <r>
    <n v="101266"/>
    <d v="2025-12-29T00:00:00"/>
    <n v="1012"/>
    <x v="0"/>
    <x v="1"/>
    <x v="2"/>
    <x v="1"/>
    <x v="2"/>
    <s v="UPI"/>
    <n v="39.39"/>
    <n v="16.989999999999998"/>
    <x v="2"/>
    <n v="66.92"/>
    <n v="602.32000000000005"/>
    <n v="277.14"/>
    <n v="8.2799999999999994"/>
    <n v="4.68"/>
    <n v="5.0599999999999996"/>
    <n v="0"/>
    <n v="0"/>
    <n v="295.16000000000003"/>
    <n v="307.16000000000003"/>
    <s v="Profit"/>
    <x v="0"/>
    <n v="14"/>
    <n v="0"/>
    <s v="0-15"/>
    <s v="No"/>
    <n v="0"/>
    <s v="Healthy"/>
    <n v="0"/>
  </r>
  <r>
    <n v="101267"/>
    <d v="2025-12-04T00:00:00"/>
    <n v="1083"/>
    <x v="3"/>
    <x v="7"/>
    <x v="3"/>
    <x v="3"/>
    <x v="0"/>
    <s v="UPI"/>
    <n v="17.91"/>
    <n v="12.77"/>
    <x v="0"/>
    <n v="34.31"/>
    <n v="194.4"/>
    <n v="128.15"/>
    <n v="4.4800000000000004"/>
    <n v="1.6"/>
    <n v="1.58"/>
    <n v="0"/>
    <n v="0"/>
    <n v="135.81"/>
    <n v="58.59"/>
    <s v="Profit"/>
    <x v="0"/>
    <n v="63"/>
    <n v="1"/>
    <s v="30+"/>
    <s v="Yes"/>
    <n v="2"/>
    <s v="At Risk"/>
    <n v="1"/>
  </r>
  <r>
    <n v="101268"/>
    <d v="2025-12-24T00:00:00"/>
    <n v="1030"/>
    <x v="2"/>
    <x v="10"/>
    <x v="1"/>
    <x v="0"/>
    <x v="0"/>
    <s v="Card"/>
    <n v="17.09"/>
    <n v="18.739999999999998"/>
    <x v="3"/>
    <n v="0"/>
    <n v="320.27"/>
    <n v="115.1"/>
    <n v="1"/>
    <n v="4.8"/>
    <n v="13.99"/>
    <n v="0"/>
    <n v="0"/>
    <n v="134.88999999999999"/>
    <n v="185.38"/>
    <s v="Profit"/>
    <x v="0"/>
    <n v="32"/>
    <n v="2"/>
    <s v="30+"/>
    <s v="Yes"/>
    <n v="2"/>
    <s v="At Risk"/>
    <n v="1"/>
  </r>
  <r>
    <n v="101269"/>
    <d v="2025-11-22T00:00:00"/>
    <n v="1029"/>
    <x v="0"/>
    <x v="6"/>
    <x v="2"/>
    <x v="3"/>
    <x v="2"/>
    <s v="Wallet"/>
    <n v="7.23"/>
    <n v="13"/>
    <x v="0"/>
    <n v="14.1"/>
    <n v="79.89"/>
    <n v="54.22"/>
    <n v="9.5"/>
    <n v="1.1299999999999999"/>
    <n v="7.53"/>
    <n v="0"/>
    <n v="0"/>
    <n v="72.38"/>
    <n v="7.51"/>
    <s v="Profit"/>
    <x v="0"/>
    <n v="22"/>
    <n v="1"/>
    <s v="16-30"/>
    <s v="Yes"/>
    <n v="1"/>
    <s v="At Risk"/>
    <n v="1"/>
  </r>
  <r>
    <n v="101270"/>
    <d v="2025-12-10T00:00:00"/>
    <n v="1027"/>
    <x v="2"/>
    <x v="5"/>
    <x v="2"/>
    <x v="3"/>
    <x v="0"/>
    <s v="Wallet"/>
    <n v="7.25"/>
    <n v="12.6"/>
    <x v="4"/>
    <n v="4.57"/>
    <n v="86.78"/>
    <n v="53.31"/>
    <n v="14.63"/>
    <n v="1.1000000000000001"/>
    <n v="1.93"/>
    <n v="0"/>
    <n v="0"/>
    <n v="70.97"/>
    <n v="15.81"/>
    <s v="Profit"/>
    <x v="0"/>
    <n v="6"/>
    <n v="6"/>
    <s v="0-15"/>
    <s v="No"/>
    <n v="0"/>
    <s v="Healthy"/>
    <n v="0"/>
  </r>
  <r>
    <n v="101271"/>
    <d v="2025-11-11T00:00:00"/>
    <n v="1091"/>
    <x v="1"/>
    <x v="3"/>
    <x v="0"/>
    <x v="3"/>
    <x v="2"/>
    <s v="Card"/>
    <n v="20.51"/>
    <n v="13.15"/>
    <x v="3"/>
    <n v="0"/>
    <n v="269.70999999999998"/>
    <n v="138.33000000000001"/>
    <n v="13.39"/>
    <n v="4.05"/>
    <n v="15.77"/>
    <n v="0"/>
    <n v="0"/>
    <n v="171.54"/>
    <n v="98.17"/>
    <s v="Profit"/>
    <x v="0"/>
    <n v="0"/>
    <n v="10"/>
    <s v="0-15"/>
    <s v="No"/>
    <n v="0"/>
    <s v="Healthy"/>
    <n v="0"/>
  </r>
  <r>
    <n v="101272"/>
    <d v="2025-10-01T00:00:00"/>
    <n v="1102"/>
    <x v="1"/>
    <x v="3"/>
    <x v="2"/>
    <x v="3"/>
    <x v="0"/>
    <s v="Card"/>
    <n v="28.87"/>
    <n v="12.96"/>
    <x v="4"/>
    <n v="18.71"/>
    <n v="355.45"/>
    <n v="216.35"/>
    <n v="8.9"/>
    <n v="5.61"/>
    <n v="4.2"/>
    <n v="0"/>
    <n v="0"/>
    <n v="235.06"/>
    <n v="120.39"/>
    <s v="Profit"/>
    <x v="0"/>
    <n v="19"/>
    <n v="17"/>
    <s v="16-30"/>
    <s v="Yes"/>
    <n v="2"/>
    <s v="At Risk"/>
    <n v="1"/>
  </r>
  <r>
    <n v="101273"/>
    <d v="2025-12-02T00:00:00"/>
    <n v="1111"/>
    <x v="3"/>
    <x v="7"/>
    <x v="3"/>
    <x v="3"/>
    <x v="2"/>
    <s v="Wallet"/>
    <n v="21.42"/>
    <n v="12.32"/>
    <x v="0"/>
    <n v="39.58"/>
    <n v="224.31"/>
    <n v="150.97999999999999"/>
    <n v="7.11"/>
    <n v="3.17"/>
    <n v="8.07"/>
    <n v="0"/>
    <n v="0"/>
    <n v="169.33"/>
    <n v="54.98"/>
    <s v="Profit"/>
    <x v="0"/>
    <n v="26"/>
    <n v="7"/>
    <s v="16-30"/>
    <s v="Yes"/>
    <n v="2"/>
    <s v="At Risk"/>
    <n v="1"/>
  </r>
  <r>
    <n v="101274"/>
    <d v="2025-10-23T00:00:00"/>
    <n v="1018"/>
    <x v="0"/>
    <x v="0"/>
    <x v="2"/>
    <x v="3"/>
    <x v="0"/>
    <s v="Wallet"/>
    <n v="29.17"/>
    <n v="13.15"/>
    <x v="4"/>
    <n v="19.18"/>
    <n v="364.41"/>
    <n v="211.75"/>
    <n v="2.4900000000000002"/>
    <n v="4.5999999999999996"/>
    <n v="4.18"/>
    <n v="0"/>
    <n v="0"/>
    <n v="223.02"/>
    <n v="141.38999999999999"/>
    <s v="Profit"/>
    <x v="0"/>
    <n v="14"/>
    <n v="16"/>
    <s v="0-15"/>
    <s v="Yes"/>
    <n v="3"/>
    <s v="At Risk"/>
    <n v="1"/>
  </r>
  <r>
    <n v="101275"/>
    <d v="2025-12-03T00:00:00"/>
    <n v="1056"/>
    <x v="0"/>
    <x v="6"/>
    <x v="2"/>
    <x v="3"/>
    <x v="2"/>
    <s v="Wallet"/>
    <n v="16.8"/>
    <n v="11.64"/>
    <x v="4"/>
    <n v="9.7799999999999994"/>
    <n v="185.77"/>
    <n v="143.85"/>
    <n v="4.9000000000000004"/>
    <n v="2.35"/>
    <n v="4.7"/>
    <n v="0"/>
    <n v="0"/>
    <n v="155.80000000000001"/>
    <n v="29.97"/>
    <s v="Profit"/>
    <x v="0"/>
    <n v="1"/>
    <n v="3"/>
    <s v="0-15"/>
    <s v="No"/>
    <n v="0"/>
    <s v="Healthy"/>
    <n v="0"/>
  </r>
  <r>
    <n v="101276"/>
    <d v="2025-10-07T00:00:00"/>
    <n v="1067"/>
    <x v="2"/>
    <x v="5"/>
    <x v="2"/>
    <x v="3"/>
    <x v="0"/>
    <s v="Card"/>
    <n v="34.450000000000003"/>
    <n v="13.41"/>
    <x v="3"/>
    <n v="0"/>
    <n v="461.97"/>
    <n v="251.49"/>
    <n v="8.2100000000000009"/>
    <n v="6.93"/>
    <n v="6.32"/>
    <n v="0"/>
    <n v="0"/>
    <n v="272.95"/>
    <n v="189.02"/>
    <s v="Profit"/>
    <x v="0"/>
    <n v="5"/>
    <n v="3"/>
    <s v="0-15"/>
    <s v="No"/>
    <n v="0"/>
    <s v="Healthy"/>
    <n v="0"/>
  </r>
  <r>
    <n v="101277"/>
    <d v="2025-12-11T00:00:00"/>
    <n v="1069"/>
    <x v="3"/>
    <x v="15"/>
    <x v="1"/>
    <x v="0"/>
    <x v="0"/>
    <s v="UPI"/>
    <n v="19.18"/>
    <n v="20.48"/>
    <x v="4"/>
    <n v="19.64"/>
    <n v="373.17"/>
    <n v="134.05000000000001"/>
    <n v="6.64"/>
    <n v="2.75"/>
    <n v="5.41"/>
    <n v="0"/>
    <n v="0"/>
    <n v="148.85"/>
    <n v="224.32"/>
    <s v="Profit"/>
    <x v="0"/>
    <n v="9"/>
    <n v="7"/>
    <s v="0-15"/>
    <s v="No"/>
    <n v="0"/>
    <s v="Healthy"/>
    <n v="0"/>
  </r>
  <r>
    <n v="101278"/>
    <d v="2025-11-30T00:00:00"/>
    <n v="1135"/>
    <x v="1"/>
    <x v="4"/>
    <x v="0"/>
    <x v="0"/>
    <x v="0"/>
    <s v="Wallet"/>
    <n v="25.47"/>
    <n v="19.48"/>
    <x v="3"/>
    <n v="0"/>
    <n v="496.16"/>
    <n v="175.06"/>
    <n v="5.01"/>
    <n v="5.95"/>
    <n v="3.7"/>
    <n v="0"/>
    <n v="0"/>
    <n v="189.72"/>
    <n v="306.44"/>
    <s v="Profit"/>
    <x v="0"/>
    <n v="51"/>
    <n v="10"/>
    <s v="30+"/>
    <s v="Yes"/>
    <n v="1"/>
    <s v="At Risk"/>
    <n v="1"/>
  </r>
  <r>
    <n v="101279"/>
    <d v="2025-12-24T00:00:00"/>
    <n v="1112"/>
    <x v="2"/>
    <x v="10"/>
    <x v="4"/>
    <x v="1"/>
    <x v="2"/>
    <s v="Fleet_Invoice"/>
    <n v="33.340000000000003"/>
    <n v="16.170000000000002"/>
    <x v="3"/>
    <n v="0"/>
    <n v="539.11"/>
    <n v="239.48"/>
    <n v="9.65"/>
    <n v="2.16"/>
    <n v="5.67"/>
    <n v="0"/>
    <n v="0"/>
    <n v="256.95999999999998"/>
    <n v="282.14999999999998"/>
    <s v="Profit"/>
    <x v="0"/>
    <n v="33"/>
    <n v="17"/>
    <s v="30+"/>
    <s v="Yes"/>
    <n v="4"/>
    <s v="At Risk"/>
    <n v="1"/>
  </r>
  <r>
    <n v="101280"/>
    <d v="2025-10-06T00:00:00"/>
    <n v="1107"/>
    <x v="2"/>
    <x v="12"/>
    <x v="0"/>
    <x v="1"/>
    <x v="0"/>
    <s v="Fleet_Invoice"/>
    <n v="30.14"/>
    <n v="15.23"/>
    <x v="0"/>
    <n v="68.849999999999994"/>
    <n v="390.18"/>
    <n v="193.3"/>
    <n v="4.12"/>
    <n v="1.84"/>
    <n v="11.17"/>
    <n v="0"/>
    <n v="0"/>
    <n v="210.43"/>
    <n v="179.75"/>
    <s v="Profit"/>
    <x v="0"/>
    <n v="0"/>
    <n v="17"/>
    <s v="0-15"/>
    <s v="Yes"/>
    <n v="1"/>
    <s v="At Risk"/>
    <n v="1"/>
  </r>
  <r>
    <n v="101281"/>
    <d v="2025-10-23T00:00:00"/>
    <n v="1108"/>
    <x v="0"/>
    <x v="0"/>
    <x v="4"/>
    <x v="0"/>
    <x v="0"/>
    <s v="Fleet_Invoice"/>
    <n v="16.579999999999998"/>
    <n v="18.66"/>
    <x v="4"/>
    <n v="15.47"/>
    <n v="293.91000000000003"/>
    <n v="136.08000000000001"/>
    <n v="7.15"/>
    <n v="1.24"/>
    <n v="1.36"/>
    <n v="292.91000000000003"/>
    <n v="0"/>
    <n v="438.74"/>
    <n v="-144.83000000000001"/>
    <s v="Loss"/>
    <x v="2"/>
    <n v="11"/>
    <n v="0"/>
    <s v="0-15"/>
    <s v="No"/>
    <n v="1"/>
    <s v="At Risk"/>
    <n v="0"/>
  </r>
  <r>
    <n v="101282"/>
    <d v="2025-10-05T00:00:00"/>
    <n v="1033"/>
    <x v="1"/>
    <x v="2"/>
    <x v="4"/>
    <x v="1"/>
    <x v="0"/>
    <s v="Card"/>
    <n v="34.880000000000003"/>
    <n v="15.61"/>
    <x v="3"/>
    <n v="0"/>
    <n v="544.48"/>
    <n v="214.82"/>
    <n v="9.7100000000000009"/>
    <n v="8.17"/>
    <n v="10.09"/>
    <n v="0"/>
    <n v="0"/>
    <n v="242.79"/>
    <n v="301.69"/>
    <s v="Profit"/>
    <x v="0"/>
    <n v="2"/>
    <n v="1"/>
    <s v="0-15"/>
    <s v="No"/>
    <n v="0"/>
    <s v="Healthy"/>
    <n v="0"/>
  </r>
  <r>
    <n v="101283"/>
    <d v="2025-10-19T00:00:00"/>
    <n v="1149"/>
    <x v="1"/>
    <x v="13"/>
    <x v="4"/>
    <x v="2"/>
    <x v="0"/>
    <s v="UPI"/>
    <n v="29.34"/>
    <n v="16.57"/>
    <x v="4"/>
    <n v="24.31"/>
    <n v="461.85"/>
    <n v="195.97"/>
    <n v="8.7200000000000006"/>
    <n v="3.4"/>
    <n v="4.7699999999999996"/>
    <n v="0"/>
    <n v="0"/>
    <n v="212.86"/>
    <n v="248.99"/>
    <s v="Profit"/>
    <x v="0"/>
    <n v="5"/>
    <n v="4"/>
    <s v="0-15"/>
    <s v="No"/>
    <n v="0"/>
    <s v="Healthy"/>
    <n v="0"/>
  </r>
  <r>
    <n v="101284"/>
    <d v="2025-12-27T00:00:00"/>
    <n v="1131"/>
    <x v="0"/>
    <x v="1"/>
    <x v="3"/>
    <x v="1"/>
    <x v="0"/>
    <s v="Card"/>
    <n v="27.6"/>
    <n v="17.34"/>
    <x v="4"/>
    <n v="23.93"/>
    <n v="454.65"/>
    <n v="202.18"/>
    <n v="7.87"/>
    <n v="7.18"/>
    <n v="7.99"/>
    <n v="0"/>
    <n v="0"/>
    <n v="225.22"/>
    <n v="229.43"/>
    <s v="Profit"/>
    <x v="0"/>
    <n v="13"/>
    <n v="1"/>
    <s v="0-15"/>
    <s v="No"/>
    <n v="0"/>
    <s v="Healthy"/>
    <n v="0"/>
  </r>
  <r>
    <n v="101285"/>
    <d v="2025-11-27T00:00:00"/>
    <n v="1072"/>
    <x v="1"/>
    <x v="4"/>
    <x v="4"/>
    <x v="3"/>
    <x v="0"/>
    <s v="UPI"/>
    <n v="25.38"/>
    <n v="12.84"/>
    <x v="3"/>
    <n v="0"/>
    <n v="325.88"/>
    <n v="147.69"/>
    <n v="5.41"/>
    <n v="2.2799999999999998"/>
    <n v="1.1000000000000001"/>
    <n v="0"/>
    <n v="0"/>
    <n v="156.47999999999999"/>
    <n v="169.4"/>
    <s v="Profit"/>
    <x v="0"/>
    <n v="43"/>
    <n v="25"/>
    <s v="30+"/>
    <s v="Yes"/>
    <n v="3"/>
    <s v="At Risk"/>
    <n v="1"/>
  </r>
  <r>
    <n v="101286"/>
    <d v="2025-11-08T00:00:00"/>
    <n v="1104"/>
    <x v="0"/>
    <x v="6"/>
    <x v="3"/>
    <x v="1"/>
    <x v="0"/>
    <s v="Card"/>
    <n v="29.28"/>
    <n v="15.18"/>
    <x v="3"/>
    <n v="0"/>
    <n v="444.47"/>
    <n v="187.3"/>
    <n v="7.27"/>
    <n v="6.67"/>
    <n v="10.96"/>
    <n v="0"/>
    <n v="0"/>
    <n v="212.2"/>
    <n v="232.27"/>
    <s v="Profit"/>
    <x v="0"/>
    <n v="8"/>
    <n v="3"/>
    <s v="0-15"/>
    <s v="No"/>
    <n v="0"/>
    <s v="Healthy"/>
    <n v="0"/>
  </r>
  <r>
    <n v="101287"/>
    <d v="2025-10-09T00:00:00"/>
    <n v="1072"/>
    <x v="2"/>
    <x v="5"/>
    <x v="1"/>
    <x v="1"/>
    <x v="1"/>
    <s v="UPI"/>
    <n v="33.869999999999997"/>
    <n v="15.93"/>
    <x v="4"/>
    <n v="26.98"/>
    <n v="512.57000000000005"/>
    <n v="273.83999999999997"/>
    <n v="13.55"/>
    <n v="3.78"/>
    <n v="10.57"/>
    <n v="0"/>
    <n v="0"/>
    <n v="301.74"/>
    <n v="210.83"/>
    <s v="Profit"/>
    <x v="0"/>
    <n v="0"/>
    <n v="4"/>
    <s v="0-15"/>
    <s v="No"/>
    <n v="0"/>
    <s v="Healthy"/>
    <n v="0"/>
  </r>
  <r>
    <n v="101288"/>
    <d v="2025-11-28T00:00:00"/>
    <n v="1145"/>
    <x v="1"/>
    <x v="13"/>
    <x v="0"/>
    <x v="3"/>
    <x v="2"/>
    <s v="UPI"/>
    <n v="27.69"/>
    <n v="12.81"/>
    <x v="4"/>
    <n v="17.739999999999998"/>
    <n v="336.97"/>
    <n v="231.39"/>
    <n v="7.82"/>
    <n v="2.48"/>
    <n v="5.63"/>
    <n v="233.57"/>
    <n v="19.84"/>
    <n v="500.73"/>
    <n v="-163.76"/>
    <s v="Loss"/>
    <x v="2"/>
    <n v="10"/>
    <n v="1"/>
    <s v="0-15"/>
    <s v="No"/>
    <n v="1"/>
    <s v="At Risk"/>
    <n v="0"/>
  </r>
  <r>
    <n v="101289"/>
    <d v="2025-12-30T00:00:00"/>
    <n v="1009"/>
    <x v="1"/>
    <x v="3"/>
    <x v="3"/>
    <x v="3"/>
    <x v="0"/>
    <s v="UPI"/>
    <n v="18.760000000000002"/>
    <n v="14.6"/>
    <x v="0"/>
    <n v="41.08"/>
    <n v="232.82"/>
    <n v="142.94"/>
    <n v="5.56"/>
    <n v="1.92"/>
    <n v="8.81"/>
    <n v="0"/>
    <n v="0"/>
    <n v="159.22999999999999"/>
    <n v="73.59"/>
    <s v="Profit"/>
    <x v="0"/>
    <n v="5"/>
    <n v="4"/>
    <s v="0-15"/>
    <s v="No"/>
    <n v="0"/>
    <s v="Healthy"/>
    <n v="0"/>
  </r>
  <r>
    <n v="101290"/>
    <d v="2025-12-14T00:00:00"/>
    <n v="1066"/>
    <x v="1"/>
    <x v="13"/>
    <x v="3"/>
    <x v="1"/>
    <x v="2"/>
    <s v="UPI"/>
    <n v="42.6"/>
    <n v="17.72"/>
    <x v="1"/>
    <n v="150.97"/>
    <n v="603.9"/>
    <n v="334.77"/>
    <n v="8.84"/>
    <n v="5.28"/>
    <n v="0"/>
    <n v="0"/>
    <n v="0"/>
    <n v="348.89"/>
    <n v="255.01"/>
    <s v="Profit"/>
    <x v="0"/>
    <n v="1"/>
    <n v="8"/>
    <s v="0-15"/>
    <s v="No"/>
    <n v="0"/>
    <s v="Healthy"/>
    <n v="0"/>
  </r>
  <r>
    <n v="101291"/>
    <d v="2025-11-20T00:00:00"/>
    <n v="1078"/>
    <x v="2"/>
    <x v="9"/>
    <x v="2"/>
    <x v="3"/>
    <x v="1"/>
    <s v="UPI"/>
    <n v="7.47"/>
    <n v="13.94"/>
    <x v="3"/>
    <n v="0"/>
    <n v="104.13"/>
    <n v="56.71"/>
    <n v="7.25"/>
    <n v="0.73"/>
    <n v="5.88"/>
    <n v="0"/>
    <n v="0"/>
    <n v="70.569999999999993"/>
    <n v="33.56"/>
    <s v="Profit"/>
    <x v="0"/>
    <n v="0"/>
    <n v="5"/>
    <s v="0-15"/>
    <s v="No"/>
    <n v="0"/>
    <s v="Healthy"/>
    <n v="0"/>
  </r>
  <r>
    <n v="101292"/>
    <d v="2025-11-11T00:00:00"/>
    <n v="1113"/>
    <x v="3"/>
    <x v="8"/>
    <x v="0"/>
    <x v="1"/>
    <x v="0"/>
    <s v="Card"/>
    <n v="23.86"/>
    <n v="14.79"/>
    <x v="4"/>
    <n v="17.64"/>
    <n v="335.25"/>
    <n v="183.33"/>
    <n v="5.7"/>
    <n v="5.29"/>
    <n v="9.8699999999999992"/>
    <n v="0"/>
    <n v="0"/>
    <n v="204.19"/>
    <n v="131.06"/>
    <s v="Profit"/>
    <x v="0"/>
    <n v="11"/>
    <n v="52"/>
    <s v="0-15"/>
    <s v="Yes"/>
    <n v="1"/>
    <s v="At Risk"/>
    <n v="1"/>
  </r>
  <r>
    <n v="101293"/>
    <d v="2025-10-20T00:00:00"/>
    <n v="1010"/>
    <x v="1"/>
    <x v="4"/>
    <x v="4"/>
    <x v="0"/>
    <x v="0"/>
    <s v="Wallet"/>
    <n v="26.46"/>
    <n v="18.38"/>
    <x v="3"/>
    <n v="0"/>
    <n v="486.33"/>
    <n v="199.18"/>
    <n v="9.06"/>
    <n v="5.84"/>
    <n v="7.65"/>
    <n v="0"/>
    <n v="0"/>
    <n v="221.73"/>
    <n v="264.60000000000002"/>
    <s v="Profit"/>
    <x v="0"/>
    <n v="2"/>
    <n v="2"/>
    <s v="0-15"/>
    <s v="No"/>
    <n v="0"/>
    <s v="Healthy"/>
    <n v="0"/>
  </r>
  <r>
    <n v="101294"/>
    <d v="2025-12-07T00:00:00"/>
    <n v="1068"/>
    <x v="2"/>
    <x v="10"/>
    <x v="1"/>
    <x v="2"/>
    <x v="0"/>
    <s v="UPI"/>
    <n v="22.68"/>
    <n v="16.940000000000001"/>
    <x v="3"/>
    <n v="0"/>
    <n v="384.2"/>
    <n v="151.32"/>
    <n v="4.55"/>
    <n v="2.69"/>
    <n v="0"/>
    <n v="0"/>
    <n v="0"/>
    <n v="158.56"/>
    <n v="225.64"/>
    <s v="Profit"/>
    <x v="0"/>
    <n v="16"/>
    <n v="2"/>
    <s v="16-30"/>
    <s v="No"/>
    <n v="0"/>
    <s v="Healthy"/>
    <n v="0"/>
  </r>
  <r>
    <n v="101295"/>
    <d v="2025-12-17T00:00:00"/>
    <n v="1013"/>
    <x v="3"/>
    <x v="15"/>
    <x v="1"/>
    <x v="1"/>
    <x v="2"/>
    <s v="Fleet_Invoice"/>
    <n v="20.75"/>
    <n v="15.64"/>
    <x v="3"/>
    <n v="0"/>
    <n v="324.52999999999997"/>
    <n v="128.82"/>
    <n v="11.16"/>
    <n v="1.3"/>
    <n v="0"/>
    <n v="263.17"/>
    <n v="7.81"/>
    <n v="412.26"/>
    <n v="-87.73"/>
    <s v="Loss"/>
    <x v="2"/>
    <n v="19"/>
    <n v="22"/>
    <s v="16-30"/>
    <s v="Yes"/>
    <n v="1"/>
    <s v="At Risk"/>
    <n v="1"/>
  </r>
  <r>
    <n v="101296"/>
    <d v="2025-11-09T00:00:00"/>
    <n v="1058"/>
    <x v="1"/>
    <x v="2"/>
    <x v="3"/>
    <x v="3"/>
    <x v="1"/>
    <s v="Wallet"/>
    <n v="16.82"/>
    <n v="12.64"/>
    <x v="4"/>
    <n v="10.63"/>
    <n v="201.97"/>
    <n v="99.01"/>
    <n v="7.05"/>
    <n v="2.5499999999999998"/>
    <n v="11.05"/>
    <n v="143.11000000000001"/>
    <n v="7.16"/>
    <n v="269.93"/>
    <n v="-67.959999999999994"/>
    <s v="Loss"/>
    <x v="1"/>
    <n v="1"/>
    <n v="30"/>
    <s v="0-15"/>
    <s v="Yes"/>
    <n v="2"/>
    <s v="At Risk"/>
    <n v="1"/>
  </r>
  <r>
    <n v="101297"/>
    <d v="2025-11-05T00:00:00"/>
    <n v="1013"/>
    <x v="1"/>
    <x v="2"/>
    <x v="4"/>
    <x v="1"/>
    <x v="0"/>
    <s v="Fleet_Invoice"/>
    <n v="18.7"/>
    <n v="16.89"/>
    <x v="2"/>
    <n v="31.58"/>
    <n v="284.26"/>
    <n v="110.19"/>
    <n v="6.31"/>
    <n v="1.26"/>
    <n v="1.55"/>
    <n v="0"/>
    <n v="0"/>
    <n v="119.31"/>
    <n v="164.95"/>
    <s v="Profit"/>
    <x v="0"/>
    <n v="19"/>
    <n v="9"/>
    <s v="16-30"/>
    <s v="No"/>
    <n v="0"/>
    <s v="Healthy"/>
    <n v="0"/>
  </r>
  <r>
    <n v="101298"/>
    <d v="2025-12-06T00:00:00"/>
    <n v="1088"/>
    <x v="3"/>
    <x v="8"/>
    <x v="4"/>
    <x v="3"/>
    <x v="1"/>
    <s v="UPI"/>
    <n v="8.7899999999999991"/>
    <n v="12.6"/>
    <x v="2"/>
    <n v="11.08"/>
    <n v="99.67"/>
    <n v="62.54"/>
    <n v="3.22"/>
    <n v="0.78"/>
    <n v="5.04"/>
    <n v="0"/>
    <n v="0"/>
    <n v="71.58"/>
    <n v="28.09"/>
    <s v="Profit"/>
    <x v="0"/>
    <n v="4"/>
    <n v="15"/>
    <s v="0-15"/>
    <s v="No"/>
    <n v="0"/>
    <s v="Healthy"/>
    <n v="0"/>
  </r>
  <r>
    <n v="101299"/>
    <d v="2025-12-12T00:00:00"/>
    <n v="1040"/>
    <x v="1"/>
    <x v="3"/>
    <x v="1"/>
    <x v="0"/>
    <x v="0"/>
    <s v="Card"/>
    <n v="13.56"/>
    <n v="19.100000000000001"/>
    <x v="2"/>
    <n v="25.9"/>
    <n v="233.1"/>
    <n v="94.14"/>
    <n v="12.76"/>
    <n v="3.88"/>
    <n v="4.5"/>
    <n v="0"/>
    <n v="0"/>
    <n v="115.28"/>
    <n v="117.82"/>
    <s v="Profit"/>
    <x v="0"/>
    <n v="2"/>
    <n v="8"/>
    <s v="0-15"/>
    <s v="No"/>
    <n v="0"/>
    <s v="Healthy"/>
    <n v="0"/>
  </r>
  <r>
    <n v="101300"/>
    <d v="2025-12-14T00:00:00"/>
    <n v="1009"/>
    <x v="1"/>
    <x v="3"/>
    <x v="2"/>
    <x v="0"/>
    <x v="0"/>
    <s v="UPI"/>
    <n v="19.420000000000002"/>
    <n v="19.16"/>
    <x v="4"/>
    <n v="18.600000000000001"/>
    <n v="353.49"/>
    <n v="153.32"/>
    <n v="10.6"/>
    <n v="2.6"/>
    <n v="4.68"/>
    <n v="0"/>
    <n v="0"/>
    <n v="171.2"/>
    <n v="182.29"/>
    <s v="Profit"/>
    <x v="0"/>
    <n v="12"/>
    <n v="11"/>
    <s v="0-15"/>
    <s v="No"/>
    <n v="0"/>
    <s v="Healthy"/>
    <n v="0"/>
  </r>
  <r>
    <n v="101301"/>
    <d v="2025-11-08T00:00:00"/>
    <n v="1071"/>
    <x v="2"/>
    <x v="10"/>
    <x v="1"/>
    <x v="1"/>
    <x v="1"/>
    <s v="Card"/>
    <n v="28.6"/>
    <n v="15.47"/>
    <x v="1"/>
    <n v="88.49"/>
    <n v="353.95"/>
    <n v="225.99"/>
    <n v="9.7200000000000006"/>
    <n v="6.64"/>
    <n v="8.17"/>
    <n v="0"/>
    <n v="0"/>
    <n v="250.52"/>
    <n v="103.43"/>
    <s v="Profit"/>
    <x v="0"/>
    <n v="17"/>
    <n v="6"/>
    <s v="16-30"/>
    <s v="No"/>
    <n v="0"/>
    <s v="Healthy"/>
    <n v="0"/>
  </r>
  <r>
    <n v="101302"/>
    <d v="2025-10-31T00:00:00"/>
    <n v="1123"/>
    <x v="2"/>
    <x v="9"/>
    <x v="1"/>
    <x v="3"/>
    <x v="0"/>
    <s v="Card"/>
    <n v="28.55"/>
    <n v="14.63"/>
    <x v="3"/>
    <n v="0"/>
    <n v="417.69"/>
    <n v="200.91"/>
    <n v="5.77"/>
    <n v="6.27"/>
    <n v="10.130000000000001"/>
    <n v="0"/>
    <n v="0"/>
    <n v="223.08"/>
    <n v="194.61"/>
    <s v="Profit"/>
    <x v="0"/>
    <n v="1"/>
    <n v="28"/>
    <s v="0-15"/>
    <s v="Yes"/>
    <n v="1"/>
    <s v="At Risk"/>
    <n v="1"/>
  </r>
  <r>
    <n v="101303"/>
    <d v="2025-11-07T00:00:00"/>
    <n v="1120"/>
    <x v="3"/>
    <x v="7"/>
    <x v="4"/>
    <x v="1"/>
    <x v="1"/>
    <s v="Wallet"/>
    <n v="28"/>
    <n v="15.24"/>
    <x v="3"/>
    <n v="0"/>
    <n v="426.72"/>
    <n v="206.77"/>
    <n v="6.53"/>
    <n v="5.12"/>
    <n v="1.18"/>
    <n v="0"/>
    <n v="0"/>
    <n v="219.6"/>
    <n v="207.12"/>
    <s v="Profit"/>
    <x v="0"/>
    <n v="16"/>
    <n v="2"/>
    <s v="16-30"/>
    <s v="No"/>
    <n v="0"/>
    <s v="Healthy"/>
    <n v="0"/>
  </r>
  <r>
    <n v="101304"/>
    <d v="2025-12-19T00:00:00"/>
    <n v="1020"/>
    <x v="2"/>
    <x v="12"/>
    <x v="1"/>
    <x v="0"/>
    <x v="2"/>
    <s v="UPI"/>
    <n v="23.39"/>
    <n v="21.55"/>
    <x v="4"/>
    <n v="25.2"/>
    <n v="478.85"/>
    <n v="177.52"/>
    <n v="6.65"/>
    <n v="3.53"/>
    <n v="3.2"/>
    <n v="0"/>
    <n v="0"/>
    <n v="190.9"/>
    <n v="287.95"/>
    <s v="Profit"/>
    <x v="0"/>
    <n v="3"/>
    <n v="8"/>
    <s v="0-15"/>
    <s v="No"/>
    <n v="0"/>
    <s v="Healthy"/>
    <n v="0"/>
  </r>
  <r>
    <n v="101305"/>
    <d v="2025-11-30T00:00:00"/>
    <n v="1121"/>
    <x v="0"/>
    <x v="1"/>
    <x v="2"/>
    <x v="1"/>
    <x v="1"/>
    <s v="UPI"/>
    <n v="35.96"/>
    <n v="15.77"/>
    <x v="3"/>
    <n v="0"/>
    <n v="567.09"/>
    <n v="246.93"/>
    <n v="7.67"/>
    <n v="3.97"/>
    <n v="4.9800000000000004"/>
    <n v="0"/>
    <n v="0"/>
    <n v="263.55"/>
    <n v="303.54000000000002"/>
    <s v="Profit"/>
    <x v="0"/>
    <n v="2"/>
    <n v="20"/>
    <s v="0-15"/>
    <s v="Yes"/>
    <n v="1"/>
    <s v="At Risk"/>
    <n v="1"/>
  </r>
  <r>
    <n v="101306"/>
    <d v="2025-12-22T00:00:00"/>
    <n v="1127"/>
    <x v="3"/>
    <x v="7"/>
    <x v="2"/>
    <x v="3"/>
    <x v="0"/>
    <s v="Wallet"/>
    <n v="13.63"/>
    <n v="12.11"/>
    <x v="0"/>
    <n v="24.76"/>
    <n v="140.30000000000001"/>
    <n v="94.4"/>
    <n v="10.94"/>
    <n v="1.98"/>
    <n v="7.94"/>
    <n v="0"/>
    <n v="0"/>
    <n v="115.26"/>
    <n v="25.04"/>
    <s v="Profit"/>
    <x v="0"/>
    <n v="9"/>
    <n v="6"/>
    <s v="0-15"/>
    <s v="No"/>
    <n v="0"/>
    <s v="Healthy"/>
    <n v="0"/>
  </r>
  <r>
    <n v="101307"/>
    <d v="2025-12-20T00:00:00"/>
    <n v="1058"/>
    <x v="0"/>
    <x v="6"/>
    <x v="3"/>
    <x v="1"/>
    <x v="1"/>
    <s v="UPI"/>
    <n v="19.7"/>
    <n v="15.08"/>
    <x v="3"/>
    <n v="0"/>
    <n v="297.08"/>
    <n v="131.29"/>
    <n v="10.07"/>
    <n v="2.08"/>
    <n v="6.18"/>
    <n v="159.21"/>
    <n v="8.57"/>
    <n v="317.39999999999998"/>
    <n v="-20.32"/>
    <s v="Loss"/>
    <x v="2"/>
    <n v="17"/>
    <n v="0"/>
    <s v="16-30"/>
    <s v="No"/>
    <n v="2"/>
    <s v="At Risk"/>
    <n v="0"/>
  </r>
  <r>
    <n v="101308"/>
    <d v="2025-11-21T00:00:00"/>
    <n v="1113"/>
    <x v="2"/>
    <x v="12"/>
    <x v="1"/>
    <x v="1"/>
    <x v="2"/>
    <s v="UPI"/>
    <n v="34.200000000000003"/>
    <n v="15.49"/>
    <x v="3"/>
    <n v="0"/>
    <n v="529.76"/>
    <n v="252.88"/>
    <n v="7.71"/>
    <n v="3.71"/>
    <n v="4.76"/>
    <n v="0"/>
    <n v="0"/>
    <n v="269.06"/>
    <n v="260.7"/>
    <s v="Profit"/>
    <x v="0"/>
    <n v="14"/>
    <n v="9"/>
    <s v="0-15"/>
    <s v="No"/>
    <n v="0"/>
    <s v="Healthy"/>
    <n v="0"/>
  </r>
  <r>
    <n v="101309"/>
    <d v="2025-12-13T00:00:00"/>
    <n v="1105"/>
    <x v="2"/>
    <x v="5"/>
    <x v="4"/>
    <x v="0"/>
    <x v="1"/>
    <s v="UPI"/>
    <n v="19.13"/>
    <n v="18.93"/>
    <x v="2"/>
    <n v="36.21"/>
    <n v="325.92"/>
    <n v="120.83"/>
    <n v="10.4"/>
    <n v="2.5299999999999998"/>
    <n v="0.43"/>
    <n v="0"/>
    <n v="0"/>
    <n v="134.19"/>
    <n v="191.73"/>
    <s v="Profit"/>
    <x v="0"/>
    <n v="2"/>
    <n v="8"/>
    <s v="0-15"/>
    <s v="No"/>
    <n v="0"/>
    <s v="Healthy"/>
    <n v="0"/>
  </r>
  <r>
    <n v="101310"/>
    <d v="2025-10-02T00:00:00"/>
    <n v="1044"/>
    <x v="0"/>
    <x v="0"/>
    <x v="4"/>
    <x v="2"/>
    <x v="0"/>
    <s v="Fleet_Invoice"/>
    <n v="36"/>
    <n v="17.41"/>
    <x v="0"/>
    <n v="94.01"/>
    <n v="532.75"/>
    <n v="222.77"/>
    <n v="7.11"/>
    <n v="2.5099999999999998"/>
    <n v="8.0399999999999991"/>
    <n v="0"/>
    <n v="0"/>
    <n v="240.43"/>
    <n v="292.32"/>
    <s v="Profit"/>
    <x v="0"/>
    <n v="4"/>
    <n v="2"/>
    <s v="0-15"/>
    <s v="No"/>
    <n v="1"/>
    <s v="Healthy"/>
    <n v="0"/>
  </r>
  <r>
    <n v="101311"/>
    <d v="2025-10-17T00:00:00"/>
    <n v="1041"/>
    <x v="2"/>
    <x v="10"/>
    <x v="0"/>
    <x v="1"/>
    <x v="0"/>
    <s v="UPI"/>
    <n v="24.87"/>
    <n v="15.33"/>
    <x v="3"/>
    <n v="0"/>
    <n v="381.26"/>
    <n v="150.30000000000001"/>
    <n v="10.51"/>
    <n v="2.67"/>
    <n v="6.51"/>
    <n v="0"/>
    <n v="0"/>
    <n v="169.99"/>
    <n v="211.27"/>
    <s v="Profit"/>
    <x v="0"/>
    <n v="2"/>
    <n v="0"/>
    <s v="0-15"/>
    <s v="No"/>
    <n v="0"/>
    <s v="Healthy"/>
    <n v="0"/>
  </r>
  <r>
    <n v="101312"/>
    <d v="2025-10-20T00:00:00"/>
    <n v="1050"/>
    <x v="2"/>
    <x v="10"/>
    <x v="3"/>
    <x v="1"/>
    <x v="0"/>
    <s v="UPI"/>
    <n v="26.6"/>
    <n v="16.88"/>
    <x v="3"/>
    <n v="0"/>
    <n v="449.01"/>
    <n v="221.49"/>
    <n v="10.44"/>
    <n v="3.14"/>
    <n v="10.18"/>
    <n v="0"/>
    <n v="0"/>
    <n v="245.25"/>
    <n v="203.76"/>
    <s v="Profit"/>
    <x v="0"/>
    <n v="22"/>
    <n v="14"/>
    <s v="16-30"/>
    <s v="Yes"/>
    <n v="2"/>
    <s v="At Risk"/>
    <n v="1"/>
  </r>
  <r>
    <n v="101313"/>
    <d v="2025-10-13T00:00:00"/>
    <n v="1137"/>
    <x v="1"/>
    <x v="3"/>
    <x v="1"/>
    <x v="1"/>
    <x v="0"/>
    <s v="UPI"/>
    <n v="33.450000000000003"/>
    <n v="14.54"/>
    <x v="0"/>
    <n v="72.95"/>
    <n v="413.41"/>
    <n v="239"/>
    <n v="11.21"/>
    <n v="3.4"/>
    <n v="5.6"/>
    <n v="0"/>
    <n v="0"/>
    <n v="259.20999999999998"/>
    <n v="154.19999999999999"/>
    <s v="Profit"/>
    <x v="0"/>
    <n v="9"/>
    <n v="3"/>
    <s v="0-15"/>
    <s v="No"/>
    <n v="0"/>
    <s v="Healthy"/>
    <n v="0"/>
  </r>
  <r>
    <n v="101314"/>
    <d v="2025-12-20T00:00:00"/>
    <n v="1141"/>
    <x v="1"/>
    <x v="3"/>
    <x v="1"/>
    <x v="0"/>
    <x v="2"/>
    <s v="UPI"/>
    <n v="26.93"/>
    <n v="19.399999999999999"/>
    <x v="3"/>
    <n v="0"/>
    <n v="522.44000000000005"/>
    <n v="208.48"/>
    <n v="10.18"/>
    <n v="3.66"/>
    <n v="2.58"/>
    <n v="0"/>
    <n v="0"/>
    <n v="224.9"/>
    <n v="297.54000000000002"/>
    <s v="Profit"/>
    <x v="0"/>
    <n v="2"/>
    <n v="4"/>
    <s v="0-15"/>
    <s v="No"/>
    <n v="0"/>
    <s v="Healthy"/>
    <n v="0"/>
  </r>
  <r>
    <n v="101315"/>
    <d v="2025-11-05T00:00:00"/>
    <n v="1122"/>
    <x v="3"/>
    <x v="8"/>
    <x v="3"/>
    <x v="3"/>
    <x v="2"/>
    <s v="Fleet_Invoice"/>
    <n v="17.18"/>
    <n v="11.97"/>
    <x v="3"/>
    <n v="0"/>
    <n v="205.64"/>
    <n v="98.91"/>
    <n v="9.0399999999999991"/>
    <n v="0.82"/>
    <n v="6.96"/>
    <n v="0"/>
    <n v="0"/>
    <n v="115.73"/>
    <n v="89.91"/>
    <s v="Profit"/>
    <x v="0"/>
    <n v="9"/>
    <n v="6"/>
    <s v="0-15"/>
    <s v="No"/>
    <n v="0"/>
    <s v="Healthy"/>
    <n v="0"/>
  </r>
  <r>
    <n v="101316"/>
    <d v="2025-12-17T00:00:00"/>
    <n v="1106"/>
    <x v="1"/>
    <x v="13"/>
    <x v="2"/>
    <x v="3"/>
    <x v="0"/>
    <s v="Fleet_Invoice"/>
    <n v="26.03"/>
    <n v="12.1"/>
    <x v="4"/>
    <n v="15.75"/>
    <n v="299.20999999999998"/>
    <n v="236.62"/>
    <n v="6.03"/>
    <n v="1.26"/>
    <n v="2.94"/>
    <n v="0"/>
    <n v="0"/>
    <n v="246.85"/>
    <n v="52.36"/>
    <s v="Profit"/>
    <x v="0"/>
    <n v="0"/>
    <n v="0"/>
    <s v="0-15"/>
    <s v="No"/>
    <n v="1"/>
    <s v="Healthy"/>
    <n v="0"/>
  </r>
  <r>
    <n v="101317"/>
    <d v="2025-10-04T00:00:00"/>
    <n v="1095"/>
    <x v="2"/>
    <x v="10"/>
    <x v="1"/>
    <x v="3"/>
    <x v="2"/>
    <s v="UPI"/>
    <n v="18"/>
    <n v="12.34"/>
    <x v="3"/>
    <n v="0"/>
    <n v="222.12"/>
    <n v="116.46"/>
    <n v="7.66"/>
    <n v="1.55"/>
    <n v="7.98"/>
    <n v="0"/>
    <n v="0"/>
    <n v="133.65"/>
    <n v="88.47"/>
    <s v="Profit"/>
    <x v="0"/>
    <n v="0"/>
    <n v="3"/>
    <s v="0-15"/>
    <s v="No"/>
    <n v="0"/>
    <s v="Healthy"/>
    <n v="0"/>
  </r>
  <r>
    <n v="101318"/>
    <d v="2025-10-09T00:00:00"/>
    <n v="1076"/>
    <x v="2"/>
    <x v="12"/>
    <x v="4"/>
    <x v="1"/>
    <x v="1"/>
    <s v="Fleet_Invoice"/>
    <n v="31.29"/>
    <n v="15.66"/>
    <x v="1"/>
    <n v="98"/>
    <n v="392"/>
    <n v="234.77"/>
    <n v="7.7"/>
    <n v="1.96"/>
    <n v="2.71"/>
    <n v="0"/>
    <n v="0"/>
    <n v="247.14"/>
    <n v="144.86000000000001"/>
    <s v="Profit"/>
    <x v="0"/>
    <n v="1"/>
    <n v="1"/>
    <s v="0-15"/>
    <s v="No"/>
    <n v="2"/>
    <s v="Healthy"/>
    <n v="0"/>
  </r>
  <r>
    <n v="101319"/>
    <d v="2025-12-07T00:00:00"/>
    <n v="1127"/>
    <x v="3"/>
    <x v="8"/>
    <x v="3"/>
    <x v="2"/>
    <x v="1"/>
    <s v="UPI"/>
    <n v="26.22"/>
    <n v="18.670000000000002"/>
    <x v="0"/>
    <n v="73.430000000000007"/>
    <n v="416.1"/>
    <n v="196.73"/>
    <n v="13.08"/>
    <n v="3.43"/>
    <n v="4.07"/>
    <n v="0"/>
    <n v="0"/>
    <n v="217.31"/>
    <n v="198.79"/>
    <s v="Profit"/>
    <x v="0"/>
    <n v="18"/>
    <n v="0"/>
    <s v="16-30"/>
    <s v="No"/>
    <n v="0"/>
    <s v="Healthy"/>
    <n v="0"/>
  </r>
  <r>
    <n v="101320"/>
    <d v="2025-12-30T00:00:00"/>
    <n v="1100"/>
    <x v="0"/>
    <x v="1"/>
    <x v="0"/>
    <x v="1"/>
    <x v="2"/>
    <s v="Fleet_Invoice"/>
    <n v="14.77"/>
    <n v="16.12"/>
    <x v="4"/>
    <n v="11.9"/>
    <n v="226.19"/>
    <n v="117"/>
    <n v="5.25"/>
    <n v="0.95"/>
    <n v="5.44"/>
    <n v="136.05000000000001"/>
    <n v="15.53"/>
    <n v="280.22000000000003"/>
    <n v="-54.03"/>
    <s v="Loss"/>
    <x v="1"/>
    <n v="0"/>
    <n v="1"/>
    <s v="0-15"/>
    <s v="Yes"/>
    <n v="3"/>
    <s v="At Risk"/>
    <n v="1"/>
  </r>
  <r>
    <n v="101321"/>
    <d v="2025-12-18T00:00:00"/>
    <n v="1092"/>
    <x v="3"/>
    <x v="8"/>
    <x v="2"/>
    <x v="1"/>
    <x v="1"/>
    <s v="UPI"/>
    <n v="29.98"/>
    <n v="15.55"/>
    <x v="2"/>
    <n v="46.62"/>
    <n v="419.57"/>
    <n v="205.64"/>
    <n v="9.6199999999999992"/>
    <n v="3.26"/>
    <n v="2.83"/>
    <n v="0"/>
    <n v="0"/>
    <n v="221.35"/>
    <n v="198.22"/>
    <s v="Profit"/>
    <x v="0"/>
    <n v="10"/>
    <n v="11"/>
    <s v="0-15"/>
    <s v="No"/>
    <n v="0"/>
    <s v="Healthy"/>
    <n v="0"/>
  </r>
  <r>
    <n v="101322"/>
    <d v="2025-11-25T00:00:00"/>
    <n v="1039"/>
    <x v="0"/>
    <x v="0"/>
    <x v="0"/>
    <x v="1"/>
    <x v="2"/>
    <s v="UPI"/>
    <n v="20.69"/>
    <n v="14.99"/>
    <x v="3"/>
    <n v="0"/>
    <n v="310.14"/>
    <n v="160.44999999999999"/>
    <n v="11.95"/>
    <n v="2.17"/>
    <n v="9.0399999999999991"/>
    <n v="0"/>
    <n v="0"/>
    <n v="183.61"/>
    <n v="126.53"/>
    <s v="Profit"/>
    <x v="0"/>
    <n v="5"/>
    <n v="6"/>
    <s v="0-15"/>
    <s v="No"/>
    <n v="0"/>
    <s v="Healthy"/>
    <n v="0"/>
  </r>
  <r>
    <n v="101323"/>
    <d v="2025-10-10T00:00:00"/>
    <n v="1129"/>
    <x v="1"/>
    <x v="4"/>
    <x v="3"/>
    <x v="0"/>
    <x v="0"/>
    <s v="UPI"/>
    <n v="37.229999999999997"/>
    <n v="18.79"/>
    <x v="0"/>
    <n v="104.93"/>
    <n v="594.62"/>
    <n v="286.92"/>
    <n v="7.26"/>
    <n v="4.9000000000000004"/>
    <n v="5.31"/>
    <n v="0"/>
    <n v="0"/>
    <n v="304.39"/>
    <n v="290.23"/>
    <s v="Profit"/>
    <x v="0"/>
    <n v="0"/>
    <n v="4"/>
    <s v="0-15"/>
    <s v="No"/>
    <n v="0"/>
    <s v="Healthy"/>
    <n v="0"/>
  </r>
  <r>
    <n v="101324"/>
    <d v="2025-12-24T00:00:00"/>
    <n v="1091"/>
    <x v="1"/>
    <x v="13"/>
    <x v="4"/>
    <x v="1"/>
    <x v="0"/>
    <s v="Card"/>
    <n v="27.72"/>
    <n v="15.96"/>
    <x v="3"/>
    <n v="0"/>
    <n v="442.41"/>
    <n v="213.26"/>
    <n v="8.68"/>
    <n v="6.64"/>
    <n v="10.31"/>
    <n v="355.29"/>
    <n v="0"/>
    <n v="594.17999999999995"/>
    <n v="-151.77000000000001"/>
    <s v="Loss"/>
    <x v="2"/>
    <n v="14"/>
    <n v="19"/>
    <s v="0-15"/>
    <s v="Yes"/>
    <n v="1"/>
    <s v="At Risk"/>
    <n v="1"/>
  </r>
  <r>
    <n v="101325"/>
    <d v="2025-11-17T00:00:00"/>
    <n v="1018"/>
    <x v="0"/>
    <x v="1"/>
    <x v="2"/>
    <x v="3"/>
    <x v="0"/>
    <s v="UPI"/>
    <n v="29.91"/>
    <n v="11.88"/>
    <x v="3"/>
    <n v="0"/>
    <n v="355.33"/>
    <n v="218.69"/>
    <n v="7.98"/>
    <n v="2.4900000000000002"/>
    <n v="2.5"/>
    <n v="0"/>
    <n v="0"/>
    <n v="231.66"/>
    <n v="123.67"/>
    <s v="Profit"/>
    <x v="0"/>
    <n v="15"/>
    <n v="33"/>
    <s v="0-15"/>
    <s v="Yes"/>
    <n v="4"/>
    <s v="At Risk"/>
    <n v="1"/>
  </r>
  <r>
    <n v="101326"/>
    <d v="2025-10-15T00:00:00"/>
    <n v="1014"/>
    <x v="1"/>
    <x v="3"/>
    <x v="0"/>
    <x v="1"/>
    <x v="1"/>
    <s v="Wallet"/>
    <n v="48.87"/>
    <n v="17.02"/>
    <x v="4"/>
    <n v="41.59"/>
    <n v="790.18"/>
    <n v="475.99"/>
    <n v="11.96"/>
    <n v="9.98"/>
    <n v="6.81"/>
    <n v="0"/>
    <n v="0"/>
    <n v="504.74"/>
    <n v="285.44"/>
    <s v="Profit"/>
    <x v="0"/>
    <n v="0"/>
    <n v="0"/>
    <s v="0-15"/>
    <s v="No"/>
    <n v="0"/>
    <s v="Healthy"/>
    <n v="0"/>
  </r>
  <r>
    <n v="101327"/>
    <d v="2025-10-01T00:00:00"/>
    <n v="1128"/>
    <x v="2"/>
    <x v="5"/>
    <x v="0"/>
    <x v="2"/>
    <x v="0"/>
    <s v="Wallet"/>
    <n v="35.89"/>
    <n v="19.149999999999999"/>
    <x v="3"/>
    <n v="0"/>
    <n v="687.29"/>
    <n v="251.32"/>
    <n v="4.95"/>
    <n v="8.25"/>
    <n v="0.12"/>
    <n v="0"/>
    <n v="0"/>
    <n v="264.64"/>
    <n v="422.65"/>
    <s v="Profit"/>
    <x v="0"/>
    <n v="3"/>
    <n v="12"/>
    <s v="0-15"/>
    <s v="No"/>
    <n v="0"/>
    <s v="Healthy"/>
    <n v="0"/>
  </r>
  <r>
    <n v="101328"/>
    <d v="2025-12-10T00:00:00"/>
    <n v="1125"/>
    <x v="3"/>
    <x v="8"/>
    <x v="2"/>
    <x v="3"/>
    <x v="2"/>
    <s v="Card"/>
    <n v="4.6900000000000004"/>
    <n v="12.66"/>
    <x v="4"/>
    <n v="2.97"/>
    <n v="56.41"/>
    <n v="31.67"/>
    <n v="5.55"/>
    <n v="0.89"/>
    <n v="0"/>
    <n v="0"/>
    <n v="0"/>
    <n v="38.11"/>
    <n v="18.3"/>
    <s v="Profit"/>
    <x v="0"/>
    <n v="3"/>
    <n v="7"/>
    <s v="0-15"/>
    <s v="No"/>
    <n v="0"/>
    <s v="Healthy"/>
    <n v="0"/>
  </r>
  <r>
    <n v="101329"/>
    <d v="2025-10-07T00:00:00"/>
    <n v="1056"/>
    <x v="3"/>
    <x v="8"/>
    <x v="4"/>
    <x v="1"/>
    <x v="2"/>
    <s v="Fleet_Invoice"/>
    <n v="29.93"/>
    <n v="14.41"/>
    <x v="3"/>
    <n v="0"/>
    <n v="431.29"/>
    <n v="196.31"/>
    <n v="7.7"/>
    <n v="1.73"/>
    <n v="8.74"/>
    <n v="422.45"/>
    <n v="12.8"/>
    <n v="649.73"/>
    <n v="-218.44"/>
    <s v="Loss"/>
    <x v="2"/>
    <n v="46"/>
    <n v="1"/>
    <s v="30+"/>
    <s v="Yes"/>
    <n v="1"/>
    <s v="At Risk"/>
    <n v="1"/>
  </r>
  <r>
    <n v="101330"/>
    <d v="2025-10-31T00:00:00"/>
    <n v="1030"/>
    <x v="3"/>
    <x v="15"/>
    <x v="3"/>
    <x v="3"/>
    <x v="0"/>
    <s v="Fleet_Invoice"/>
    <n v="27.95"/>
    <n v="15.38"/>
    <x v="4"/>
    <n v="21.49"/>
    <n v="408.38"/>
    <n v="172.51"/>
    <n v="8.07"/>
    <n v="1.72"/>
    <n v="2.29"/>
    <n v="0"/>
    <n v="0"/>
    <n v="184.59"/>
    <n v="223.79"/>
    <s v="Profit"/>
    <x v="0"/>
    <n v="0"/>
    <n v="9"/>
    <s v="0-15"/>
    <s v="No"/>
    <n v="0"/>
    <s v="Healthy"/>
    <n v="0"/>
  </r>
  <r>
    <n v="101331"/>
    <d v="2025-11-09T00:00:00"/>
    <n v="1119"/>
    <x v="1"/>
    <x v="4"/>
    <x v="2"/>
    <x v="3"/>
    <x v="0"/>
    <s v="UPI"/>
    <n v="25.95"/>
    <n v="12.66"/>
    <x v="3"/>
    <n v="0"/>
    <n v="328.53"/>
    <n v="178.02"/>
    <n v="7.32"/>
    <n v="2.2999999999999998"/>
    <n v="7.36"/>
    <n v="0"/>
    <n v="0"/>
    <n v="195"/>
    <n v="133.53"/>
    <s v="Profit"/>
    <x v="0"/>
    <n v="0"/>
    <n v="14"/>
    <s v="0-15"/>
    <s v="No"/>
    <n v="0"/>
    <s v="Healthy"/>
    <n v="0"/>
  </r>
  <r>
    <n v="101332"/>
    <d v="2025-11-25T00:00:00"/>
    <n v="1138"/>
    <x v="2"/>
    <x v="10"/>
    <x v="1"/>
    <x v="2"/>
    <x v="0"/>
    <s v="UPI"/>
    <n v="36.03"/>
    <n v="16.45"/>
    <x v="0"/>
    <n v="88.9"/>
    <n v="503.79"/>
    <n v="275.26"/>
    <n v="10.46"/>
    <n v="4.1500000000000004"/>
    <n v="7.16"/>
    <n v="239.29"/>
    <n v="0"/>
    <n v="536.32000000000005"/>
    <n v="-32.53"/>
    <s v="Loss"/>
    <x v="1"/>
    <n v="7"/>
    <n v="0"/>
    <s v="0-15"/>
    <s v="Yes"/>
    <n v="1"/>
    <s v="At Risk"/>
    <n v="1"/>
  </r>
  <r>
    <n v="101333"/>
    <d v="2025-12-23T00:00:00"/>
    <n v="1054"/>
    <x v="0"/>
    <x v="6"/>
    <x v="4"/>
    <x v="3"/>
    <x v="1"/>
    <s v="Card"/>
    <n v="16.940000000000001"/>
    <n v="12.59"/>
    <x v="3"/>
    <n v="0"/>
    <n v="213.27"/>
    <n v="124.6"/>
    <n v="6.2"/>
    <n v="3.2"/>
    <n v="4.08"/>
    <n v="0"/>
    <n v="0"/>
    <n v="138.08000000000001"/>
    <n v="75.19"/>
    <s v="Profit"/>
    <x v="0"/>
    <n v="2"/>
    <n v="1"/>
    <s v="0-15"/>
    <s v="No"/>
    <n v="0"/>
    <s v="Healthy"/>
    <n v="0"/>
  </r>
  <r>
    <n v="101334"/>
    <d v="2025-11-05T00:00:00"/>
    <n v="1098"/>
    <x v="1"/>
    <x v="4"/>
    <x v="2"/>
    <x v="1"/>
    <x v="0"/>
    <s v="UPI"/>
    <n v="32.18"/>
    <n v="15.48"/>
    <x v="2"/>
    <n v="49.82"/>
    <n v="448.33"/>
    <n v="201.93"/>
    <n v="7.57"/>
    <n v="3.49"/>
    <n v="2.86"/>
    <n v="0"/>
    <n v="0"/>
    <n v="215.85"/>
    <n v="232.48"/>
    <s v="Profit"/>
    <x v="0"/>
    <n v="8"/>
    <n v="40"/>
    <s v="0-15"/>
    <s v="Yes"/>
    <n v="1"/>
    <s v="At Risk"/>
    <n v="1"/>
  </r>
  <r>
    <n v="101335"/>
    <d v="2025-10-28T00:00:00"/>
    <n v="1013"/>
    <x v="0"/>
    <x v="11"/>
    <x v="4"/>
    <x v="1"/>
    <x v="2"/>
    <s v="UPI"/>
    <n v="14.06"/>
    <n v="14.59"/>
    <x v="3"/>
    <n v="0"/>
    <n v="205.14"/>
    <n v="106.92"/>
    <n v="8.49"/>
    <n v="1.44"/>
    <n v="6.43"/>
    <n v="0"/>
    <n v="0"/>
    <n v="123.28"/>
    <n v="81.86"/>
    <s v="Profit"/>
    <x v="0"/>
    <n v="3"/>
    <n v="5"/>
    <s v="0-15"/>
    <s v="No"/>
    <n v="0"/>
    <s v="Healthy"/>
    <n v="0"/>
  </r>
  <r>
    <n v="101336"/>
    <d v="2025-12-20T00:00:00"/>
    <n v="1052"/>
    <x v="3"/>
    <x v="7"/>
    <x v="1"/>
    <x v="3"/>
    <x v="0"/>
    <s v="UPI"/>
    <n v="5.1100000000000003"/>
    <n v="12.03"/>
    <x v="3"/>
    <n v="0"/>
    <n v="61.47"/>
    <n v="37.950000000000003"/>
    <n v="6.78"/>
    <n v="0.43"/>
    <n v="11.52"/>
    <n v="0"/>
    <n v="0"/>
    <n v="56.68"/>
    <n v="4.79"/>
    <s v="Profit"/>
    <x v="0"/>
    <n v="3"/>
    <n v="2"/>
    <s v="0-15"/>
    <s v="No"/>
    <n v="0"/>
    <s v="Healthy"/>
    <n v="0"/>
  </r>
  <r>
    <n v="101337"/>
    <d v="2025-11-16T00:00:00"/>
    <n v="1010"/>
    <x v="1"/>
    <x v="4"/>
    <x v="0"/>
    <x v="1"/>
    <x v="0"/>
    <s v="UPI"/>
    <n v="34.64"/>
    <n v="14.5"/>
    <x v="4"/>
    <n v="25.11"/>
    <n v="477.17"/>
    <n v="288.61"/>
    <n v="4.3600000000000003"/>
    <n v="3.52"/>
    <n v="5.55"/>
    <n v="432.97"/>
    <n v="0"/>
    <n v="735.01"/>
    <n v="-257.83999999999997"/>
    <s v="Loss"/>
    <x v="2"/>
    <n v="29"/>
    <n v="6"/>
    <s v="16-30"/>
    <s v="Yes"/>
    <n v="3"/>
    <s v="At Risk"/>
    <n v="1"/>
  </r>
  <r>
    <n v="101338"/>
    <d v="2025-11-25T00:00:00"/>
    <n v="1004"/>
    <x v="2"/>
    <x v="10"/>
    <x v="3"/>
    <x v="2"/>
    <x v="0"/>
    <s v="Card"/>
    <n v="31.82"/>
    <n v="17.059999999999999"/>
    <x v="0"/>
    <n v="81.430000000000007"/>
    <n v="461.42"/>
    <n v="191.21"/>
    <n v="11.33"/>
    <n v="8.14"/>
    <n v="8.41"/>
    <n v="0"/>
    <n v="0"/>
    <n v="219.09"/>
    <n v="242.33"/>
    <s v="Profit"/>
    <x v="0"/>
    <n v="10"/>
    <n v="5"/>
    <s v="0-15"/>
    <s v="No"/>
    <n v="0"/>
    <s v="Healthy"/>
    <n v="0"/>
  </r>
  <r>
    <n v="101339"/>
    <d v="2025-10-31T00:00:00"/>
    <n v="1018"/>
    <x v="0"/>
    <x v="1"/>
    <x v="4"/>
    <x v="2"/>
    <x v="0"/>
    <s v="Fleet_Invoice"/>
    <n v="29.69"/>
    <n v="17.77"/>
    <x v="1"/>
    <n v="105.52"/>
    <n v="422.07"/>
    <n v="191.31"/>
    <n v="11.88"/>
    <n v="2.11"/>
    <n v="3.49"/>
    <n v="0"/>
    <n v="0"/>
    <n v="208.79"/>
    <n v="213.28"/>
    <s v="Profit"/>
    <x v="0"/>
    <n v="0"/>
    <n v="46"/>
    <s v="0-15"/>
    <s v="Yes"/>
    <n v="1"/>
    <s v="At Risk"/>
    <n v="1"/>
  </r>
  <r>
    <n v="101340"/>
    <d v="2025-10-22T00:00:00"/>
    <n v="1103"/>
    <x v="2"/>
    <x v="5"/>
    <x v="1"/>
    <x v="3"/>
    <x v="0"/>
    <s v="UPI"/>
    <n v="11.95"/>
    <n v="12.23"/>
    <x v="4"/>
    <n v="7.31"/>
    <n v="138.84"/>
    <n v="92.09"/>
    <n v="4.51"/>
    <n v="1.02"/>
    <n v="14.26"/>
    <n v="0"/>
    <n v="0"/>
    <n v="111.88"/>
    <n v="26.96"/>
    <s v="Profit"/>
    <x v="0"/>
    <n v="32"/>
    <n v="22"/>
    <s v="30+"/>
    <s v="Yes"/>
    <n v="2"/>
    <s v="At Risk"/>
    <n v="1"/>
  </r>
  <r>
    <n v="101341"/>
    <d v="2025-10-31T00:00:00"/>
    <n v="1092"/>
    <x v="0"/>
    <x v="0"/>
    <x v="3"/>
    <x v="0"/>
    <x v="2"/>
    <s v="UPI"/>
    <n v="25.6"/>
    <n v="18.82"/>
    <x v="3"/>
    <n v="0"/>
    <n v="481.79"/>
    <n v="151.78"/>
    <n v="6.37"/>
    <n v="3.37"/>
    <n v="4.99"/>
    <n v="0"/>
    <n v="0"/>
    <n v="166.51"/>
    <n v="315.27999999999997"/>
    <s v="Profit"/>
    <x v="0"/>
    <n v="2"/>
    <n v="39"/>
    <s v="0-15"/>
    <s v="Yes"/>
    <n v="1"/>
    <s v="At Risk"/>
    <n v="1"/>
  </r>
  <r>
    <n v="101342"/>
    <d v="2025-12-17T00:00:00"/>
    <n v="1115"/>
    <x v="2"/>
    <x v="5"/>
    <x v="2"/>
    <x v="1"/>
    <x v="0"/>
    <s v="UPI"/>
    <n v="26.5"/>
    <n v="14.88"/>
    <x v="3"/>
    <n v="0"/>
    <n v="394.32"/>
    <n v="174.93"/>
    <n v="10.8"/>
    <n v="2.76"/>
    <n v="9.26"/>
    <n v="0"/>
    <n v="0"/>
    <n v="197.75"/>
    <n v="196.57"/>
    <s v="Profit"/>
    <x v="0"/>
    <n v="8"/>
    <n v="10"/>
    <s v="0-15"/>
    <s v="No"/>
    <n v="0"/>
    <s v="Healthy"/>
    <n v="0"/>
  </r>
  <r>
    <n v="101343"/>
    <d v="2025-12-09T00:00:00"/>
    <n v="1019"/>
    <x v="1"/>
    <x v="13"/>
    <x v="0"/>
    <x v="2"/>
    <x v="0"/>
    <s v="Fleet_Invoice"/>
    <n v="28.37"/>
    <n v="18.28"/>
    <x v="3"/>
    <n v="0"/>
    <n v="518.6"/>
    <n v="202.93"/>
    <n v="4.99"/>
    <n v="2.0699999999999998"/>
    <n v="8.5500000000000007"/>
    <n v="0"/>
    <n v="0"/>
    <n v="218.54"/>
    <n v="300.06"/>
    <s v="Profit"/>
    <x v="0"/>
    <n v="0"/>
    <n v="14"/>
    <s v="0-15"/>
    <s v="No"/>
    <n v="0"/>
    <s v="Healthy"/>
    <n v="0"/>
  </r>
  <r>
    <n v="101344"/>
    <d v="2025-11-20T00:00:00"/>
    <n v="1123"/>
    <x v="1"/>
    <x v="4"/>
    <x v="1"/>
    <x v="3"/>
    <x v="0"/>
    <s v="Wallet"/>
    <n v="7.11"/>
    <n v="13.2"/>
    <x v="2"/>
    <n v="9.3800000000000008"/>
    <n v="84.47"/>
    <n v="46.23"/>
    <n v="4.88"/>
    <n v="1.1299999999999999"/>
    <n v="12.97"/>
    <n v="0"/>
    <n v="0"/>
    <n v="65.209999999999994"/>
    <n v="19.260000000000002"/>
    <s v="Profit"/>
    <x v="0"/>
    <n v="16"/>
    <n v="2"/>
    <s v="16-30"/>
    <s v="No"/>
    <n v="0"/>
    <s v="Healthy"/>
    <n v="0"/>
  </r>
  <r>
    <n v="101345"/>
    <d v="2025-11-05T00:00:00"/>
    <n v="1001"/>
    <x v="0"/>
    <x v="0"/>
    <x v="4"/>
    <x v="1"/>
    <x v="0"/>
    <s v="UPI"/>
    <n v="20.309999999999999"/>
    <n v="15.12"/>
    <x v="3"/>
    <n v="0"/>
    <n v="307.08999999999997"/>
    <n v="160.43"/>
    <n v="9.0500000000000007"/>
    <n v="2.15"/>
    <n v="0"/>
    <n v="0"/>
    <n v="0"/>
    <n v="171.63"/>
    <n v="135.46"/>
    <s v="Profit"/>
    <x v="0"/>
    <n v="0"/>
    <n v="1"/>
    <s v="0-15"/>
    <s v="No"/>
    <n v="0"/>
    <s v="Healthy"/>
    <n v="0"/>
  </r>
  <r>
    <n v="101346"/>
    <d v="2025-10-07T00:00:00"/>
    <n v="1130"/>
    <x v="3"/>
    <x v="15"/>
    <x v="1"/>
    <x v="2"/>
    <x v="1"/>
    <s v="UPI"/>
    <n v="39.200000000000003"/>
    <n v="16.97"/>
    <x v="2"/>
    <n v="66.52"/>
    <n v="598.70000000000005"/>
    <n v="257.62"/>
    <n v="5.74"/>
    <n v="4.66"/>
    <n v="8.16"/>
    <n v="626.96"/>
    <n v="5.19"/>
    <n v="908.33"/>
    <n v="-309.63"/>
    <s v="Loss"/>
    <x v="1"/>
    <n v="9"/>
    <n v="4"/>
    <s v="0-15"/>
    <s v="Yes"/>
    <n v="3"/>
    <s v="At Risk"/>
    <n v="1"/>
  </r>
  <r>
    <n v="101347"/>
    <d v="2025-10-20T00:00:00"/>
    <n v="1027"/>
    <x v="2"/>
    <x v="10"/>
    <x v="0"/>
    <x v="0"/>
    <x v="0"/>
    <s v="UPI"/>
    <n v="19.36"/>
    <n v="18.66"/>
    <x v="3"/>
    <n v="0"/>
    <n v="361.26"/>
    <n v="123.02"/>
    <n v="9.4600000000000009"/>
    <n v="2.5299999999999998"/>
    <n v="8.14"/>
    <n v="0"/>
    <n v="0"/>
    <n v="143.15"/>
    <n v="218.11"/>
    <s v="Profit"/>
    <x v="0"/>
    <n v="20"/>
    <n v="7"/>
    <s v="16-30"/>
    <s v="No"/>
    <n v="0"/>
    <s v="Healthy"/>
    <n v="0"/>
  </r>
  <r>
    <n v="101348"/>
    <d v="2025-10-16T00:00:00"/>
    <n v="1030"/>
    <x v="2"/>
    <x v="12"/>
    <x v="1"/>
    <x v="1"/>
    <x v="2"/>
    <s v="Card"/>
    <n v="5.83"/>
    <n v="15.89"/>
    <x v="3"/>
    <n v="0"/>
    <n v="92.64"/>
    <n v="41.22"/>
    <n v="6.39"/>
    <n v="1.39"/>
    <n v="5.58"/>
    <n v="0"/>
    <n v="0"/>
    <n v="54.58"/>
    <n v="38.06"/>
    <s v="Profit"/>
    <x v="0"/>
    <n v="10"/>
    <n v="14"/>
    <s v="0-15"/>
    <s v="No"/>
    <n v="0"/>
    <s v="Healthy"/>
    <n v="0"/>
  </r>
  <r>
    <n v="101349"/>
    <d v="2025-10-01T00:00:00"/>
    <n v="1125"/>
    <x v="2"/>
    <x v="5"/>
    <x v="3"/>
    <x v="3"/>
    <x v="2"/>
    <s v="Wallet"/>
    <n v="21.07"/>
    <n v="12.58"/>
    <x v="0"/>
    <n v="39.76"/>
    <n v="225.3"/>
    <n v="154.58000000000001"/>
    <n v="8.2799999999999994"/>
    <n v="3.18"/>
    <n v="12.2"/>
    <n v="248.36"/>
    <n v="15.29"/>
    <n v="441.89"/>
    <n v="-216.59"/>
    <s v="Loss"/>
    <x v="1"/>
    <n v="3"/>
    <n v="4"/>
    <s v="0-15"/>
    <s v="Yes"/>
    <n v="1"/>
    <s v="At Risk"/>
    <n v="1"/>
  </r>
  <r>
    <n v="101350"/>
    <d v="2025-11-06T00:00:00"/>
    <n v="1043"/>
    <x v="3"/>
    <x v="15"/>
    <x v="2"/>
    <x v="3"/>
    <x v="0"/>
    <s v="Wallet"/>
    <n v="20.89"/>
    <n v="12.93"/>
    <x v="3"/>
    <n v="0"/>
    <n v="270.11"/>
    <n v="141.08000000000001"/>
    <n v="12.59"/>
    <n v="3.24"/>
    <n v="6.15"/>
    <n v="203.24"/>
    <n v="0"/>
    <n v="366.3"/>
    <n v="-96.19"/>
    <s v="Loss"/>
    <x v="1"/>
    <n v="12"/>
    <n v="7"/>
    <s v="0-15"/>
    <s v="Yes"/>
    <n v="1"/>
    <s v="At Risk"/>
    <n v="1"/>
  </r>
  <r>
    <n v="101351"/>
    <d v="2025-10-19T00:00:00"/>
    <n v="1014"/>
    <x v="0"/>
    <x v="11"/>
    <x v="4"/>
    <x v="3"/>
    <x v="0"/>
    <s v="Fleet_Invoice"/>
    <n v="22.33"/>
    <n v="11.33"/>
    <x v="0"/>
    <n v="37.950000000000003"/>
    <n v="215.05"/>
    <n v="124.08"/>
    <n v="8.83"/>
    <n v="1.01"/>
    <n v="7.73"/>
    <n v="133.11000000000001"/>
    <n v="0"/>
    <n v="274.76"/>
    <n v="-59.71"/>
    <s v="Loss"/>
    <x v="1"/>
    <n v="2"/>
    <n v="6"/>
    <s v="0-15"/>
    <s v="Yes"/>
    <n v="2"/>
    <s v="At Risk"/>
    <n v="1"/>
  </r>
  <r>
    <n v="101352"/>
    <d v="2025-12-20T00:00:00"/>
    <n v="1113"/>
    <x v="2"/>
    <x v="5"/>
    <x v="3"/>
    <x v="1"/>
    <x v="0"/>
    <s v="Wallet"/>
    <n v="32.53"/>
    <n v="15.77"/>
    <x v="3"/>
    <n v="0"/>
    <n v="513"/>
    <n v="215.36"/>
    <n v="7.47"/>
    <n v="6.16"/>
    <n v="0.91"/>
    <n v="0"/>
    <n v="0"/>
    <n v="229.9"/>
    <n v="283.10000000000002"/>
    <s v="Profit"/>
    <x v="0"/>
    <n v="1"/>
    <n v="10"/>
    <s v="0-15"/>
    <s v="No"/>
    <n v="0"/>
    <s v="Healthy"/>
    <n v="0"/>
  </r>
  <r>
    <n v="101353"/>
    <d v="2025-12-16T00:00:00"/>
    <n v="1107"/>
    <x v="3"/>
    <x v="15"/>
    <x v="1"/>
    <x v="1"/>
    <x v="0"/>
    <s v="UPI"/>
    <n v="32.54"/>
    <n v="15.03"/>
    <x v="3"/>
    <n v="0"/>
    <n v="489.08"/>
    <n v="229.06"/>
    <n v="9.9700000000000006"/>
    <n v="3.42"/>
    <n v="6.18"/>
    <n v="0"/>
    <n v="0"/>
    <n v="248.63"/>
    <n v="240.45"/>
    <s v="Profit"/>
    <x v="0"/>
    <n v="0"/>
    <n v="0"/>
    <s v="0-15"/>
    <s v="No"/>
    <n v="0"/>
    <s v="Healthy"/>
    <n v="0"/>
  </r>
  <r>
    <n v="101354"/>
    <d v="2025-11-30T00:00:00"/>
    <n v="1071"/>
    <x v="1"/>
    <x v="4"/>
    <x v="4"/>
    <x v="1"/>
    <x v="2"/>
    <s v="UPI"/>
    <n v="27.02"/>
    <n v="16.89"/>
    <x v="3"/>
    <n v="0"/>
    <n v="456.37"/>
    <n v="207.4"/>
    <n v="5.23"/>
    <n v="3.19"/>
    <n v="8.1"/>
    <n v="0"/>
    <n v="0"/>
    <n v="223.92"/>
    <n v="232.45"/>
    <s v="Profit"/>
    <x v="0"/>
    <n v="7"/>
    <n v="10"/>
    <s v="0-15"/>
    <s v="No"/>
    <n v="0"/>
    <s v="Healthy"/>
    <n v="0"/>
  </r>
  <r>
    <n v="101355"/>
    <d v="2025-11-02T00:00:00"/>
    <n v="1016"/>
    <x v="3"/>
    <x v="7"/>
    <x v="0"/>
    <x v="1"/>
    <x v="1"/>
    <s v="UPI"/>
    <n v="37.630000000000003"/>
    <n v="15.52"/>
    <x v="3"/>
    <n v="0"/>
    <n v="584.02"/>
    <n v="239.24"/>
    <n v="5.03"/>
    <n v="4.09"/>
    <n v="6.21"/>
    <n v="416.93"/>
    <n v="14.53"/>
    <n v="686.03"/>
    <n v="-102.01"/>
    <s v="Loss"/>
    <x v="2"/>
    <n v="5"/>
    <n v="17"/>
    <s v="0-15"/>
    <s v="Yes"/>
    <n v="1"/>
    <s v="At Risk"/>
    <n v="1"/>
  </r>
  <r>
    <n v="101356"/>
    <d v="2025-10-29T00:00:00"/>
    <n v="1034"/>
    <x v="1"/>
    <x v="4"/>
    <x v="3"/>
    <x v="1"/>
    <x v="0"/>
    <s v="Card"/>
    <n v="5.77"/>
    <n v="15.11"/>
    <x v="3"/>
    <n v="0"/>
    <n v="87.18"/>
    <n v="43.59"/>
    <n v="3.78"/>
    <n v="1.31"/>
    <n v="1.72"/>
    <n v="0"/>
    <n v="0"/>
    <n v="50.4"/>
    <n v="36.78"/>
    <s v="Profit"/>
    <x v="0"/>
    <n v="2"/>
    <n v="2"/>
    <s v="0-15"/>
    <s v="No"/>
    <n v="0"/>
    <s v="Healthy"/>
    <n v="0"/>
  </r>
  <r>
    <n v="101357"/>
    <d v="2025-11-30T00:00:00"/>
    <n v="1103"/>
    <x v="2"/>
    <x v="9"/>
    <x v="1"/>
    <x v="3"/>
    <x v="0"/>
    <s v="Wallet"/>
    <n v="28.54"/>
    <n v="11.45"/>
    <x v="0"/>
    <n v="49.02"/>
    <n v="277.76"/>
    <n v="211.29"/>
    <n v="4.76"/>
    <n v="3.92"/>
    <n v="7.09"/>
    <n v="0"/>
    <n v="0"/>
    <n v="227.06"/>
    <n v="50.7"/>
    <s v="Profit"/>
    <x v="0"/>
    <n v="8"/>
    <n v="4"/>
    <s v="0-15"/>
    <s v="No"/>
    <n v="0"/>
    <s v="Healthy"/>
    <n v="0"/>
  </r>
  <r>
    <n v="101358"/>
    <d v="2025-10-05T00:00:00"/>
    <n v="1066"/>
    <x v="3"/>
    <x v="7"/>
    <x v="2"/>
    <x v="3"/>
    <x v="1"/>
    <s v="Card"/>
    <n v="30.71"/>
    <n v="12.66"/>
    <x v="3"/>
    <n v="0"/>
    <n v="388.79"/>
    <n v="217.64"/>
    <n v="2.48"/>
    <n v="5.83"/>
    <n v="11.41"/>
    <n v="0"/>
    <n v="0"/>
    <n v="237.36"/>
    <n v="151.43"/>
    <s v="Profit"/>
    <x v="0"/>
    <n v="8"/>
    <n v="8"/>
    <s v="0-15"/>
    <s v="No"/>
    <n v="0"/>
    <s v="Healthy"/>
    <n v="0"/>
  </r>
  <r>
    <n v="101359"/>
    <d v="2025-12-21T00:00:00"/>
    <n v="1103"/>
    <x v="0"/>
    <x v="11"/>
    <x v="3"/>
    <x v="3"/>
    <x v="0"/>
    <s v="UPI"/>
    <n v="19.25"/>
    <n v="13.16"/>
    <x v="3"/>
    <n v="0"/>
    <n v="253.33"/>
    <n v="137.21"/>
    <n v="8.4"/>
    <n v="1.77"/>
    <n v="6.19"/>
    <n v="93.21"/>
    <n v="0"/>
    <n v="246.78"/>
    <n v="6.55"/>
    <s v="Profit"/>
    <x v="1"/>
    <n v="3"/>
    <n v="10"/>
    <s v="0-15"/>
    <s v="Yes"/>
    <n v="2"/>
    <s v="At Risk"/>
    <n v="1"/>
  </r>
  <r>
    <n v="101360"/>
    <d v="2025-12-27T00:00:00"/>
    <n v="1069"/>
    <x v="1"/>
    <x v="13"/>
    <x v="3"/>
    <x v="0"/>
    <x v="1"/>
    <s v="Wallet"/>
    <n v="28.04"/>
    <n v="19.670000000000002"/>
    <x v="2"/>
    <n v="55.16"/>
    <n v="496.39"/>
    <n v="169.91"/>
    <n v="10.18"/>
    <n v="6.62"/>
    <n v="8.31"/>
    <n v="0"/>
    <n v="0"/>
    <n v="195.02"/>
    <n v="301.37"/>
    <s v="Profit"/>
    <x v="0"/>
    <n v="13"/>
    <n v="3"/>
    <s v="0-15"/>
    <s v="No"/>
    <n v="1"/>
    <s v="Healthy"/>
    <n v="0"/>
  </r>
  <r>
    <n v="101361"/>
    <d v="2025-10-08T00:00:00"/>
    <n v="1086"/>
    <x v="2"/>
    <x v="9"/>
    <x v="1"/>
    <x v="3"/>
    <x v="1"/>
    <s v="UPI"/>
    <n v="7.71"/>
    <n v="12.47"/>
    <x v="2"/>
    <n v="9.61"/>
    <n v="86.53"/>
    <n v="59.1"/>
    <n v="8.43"/>
    <n v="0.67"/>
    <n v="4.0999999999999996"/>
    <n v="88.98"/>
    <n v="19.510000000000002"/>
    <n v="180.79"/>
    <n v="-94.26"/>
    <s v="Loss"/>
    <x v="1"/>
    <n v="10"/>
    <n v="4"/>
    <s v="0-15"/>
    <s v="Yes"/>
    <n v="1"/>
    <s v="At Risk"/>
    <n v="1"/>
  </r>
  <r>
    <n v="101362"/>
    <d v="2025-11-06T00:00:00"/>
    <n v="1099"/>
    <x v="1"/>
    <x v="13"/>
    <x v="0"/>
    <x v="1"/>
    <x v="0"/>
    <s v="Wallet"/>
    <n v="27.69"/>
    <n v="16.16"/>
    <x v="2"/>
    <n v="44.75"/>
    <n v="402.72"/>
    <n v="202.58"/>
    <n v="12"/>
    <n v="5.37"/>
    <n v="3.15"/>
    <n v="0"/>
    <n v="0"/>
    <n v="223.1"/>
    <n v="179.62"/>
    <s v="Profit"/>
    <x v="0"/>
    <n v="7"/>
    <n v="8"/>
    <s v="0-15"/>
    <s v="No"/>
    <n v="0"/>
    <s v="Healthy"/>
    <n v="0"/>
  </r>
  <r>
    <n v="101363"/>
    <d v="2025-11-24T00:00:00"/>
    <n v="1027"/>
    <x v="0"/>
    <x v="1"/>
    <x v="1"/>
    <x v="0"/>
    <x v="2"/>
    <s v="Fleet_Invoice"/>
    <n v="35.659999999999997"/>
    <n v="18.73"/>
    <x v="2"/>
    <n v="66.790000000000006"/>
    <n v="601.12"/>
    <n v="204.52"/>
    <n v="1"/>
    <n v="2.67"/>
    <n v="5.49"/>
    <n v="0"/>
    <n v="0"/>
    <n v="213.68"/>
    <n v="387.44"/>
    <s v="Profit"/>
    <x v="0"/>
    <n v="0"/>
    <n v="2"/>
    <s v="0-15"/>
    <s v="No"/>
    <n v="0"/>
    <s v="Healthy"/>
    <n v="0"/>
  </r>
  <r>
    <n v="101364"/>
    <d v="2025-11-27T00:00:00"/>
    <n v="1008"/>
    <x v="0"/>
    <x v="1"/>
    <x v="2"/>
    <x v="3"/>
    <x v="0"/>
    <s v="UPI"/>
    <n v="12.01"/>
    <n v="13.15"/>
    <x v="4"/>
    <n v="7.9"/>
    <n v="150.03"/>
    <n v="87.9"/>
    <n v="8.93"/>
    <n v="1.1100000000000001"/>
    <n v="12.42"/>
    <n v="0"/>
    <n v="0"/>
    <n v="110.36"/>
    <n v="39.67"/>
    <s v="Profit"/>
    <x v="0"/>
    <n v="3"/>
    <n v="14"/>
    <s v="0-15"/>
    <s v="No"/>
    <n v="0"/>
    <s v="Healthy"/>
    <n v="0"/>
  </r>
  <r>
    <n v="101365"/>
    <d v="2025-12-29T00:00:00"/>
    <n v="1130"/>
    <x v="1"/>
    <x v="2"/>
    <x v="3"/>
    <x v="1"/>
    <x v="2"/>
    <s v="Wallet"/>
    <n v="41.59"/>
    <n v="15.19"/>
    <x v="0"/>
    <n v="94.76"/>
    <n v="536.99"/>
    <n v="297.69"/>
    <n v="7.71"/>
    <n v="7.58"/>
    <n v="5.68"/>
    <n v="0"/>
    <n v="0"/>
    <n v="318.66000000000003"/>
    <n v="218.33"/>
    <s v="Profit"/>
    <x v="0"/>
    <n v="19"/>
    <n v="14"/>
    <s v="16-30"/>
    <s v="No"/>
    <n v="0"/>
    <s v="Healthy"/>
    <n v="0"/>
  </r>
  <r>
    <n v="101366"/>
    <d v="2025-12-25T00:00:00"/>
    <n v="1120"/>
    <x v="1"/>
    <x v="13"/>
    <x v="0"/>
    <x v="1"/>
    <x v="1"/>
    <s v="Wallet"/>
    <n v="27.68"/>
    <n v="17.03"/>
    <x v="4"/>
    <n v="23.57"/>
    <n v="447.82"/>
    <n v="182.24"/>
    <n v="7.57"/>
    <n v="5.66"/>
    <n v="7.86"/>
    <n v="436.34"/>
    <n v="2.38"/>
    <n v="642.04999999999995"/>
    <n v="-194.23"/>
    <s v="Loss"/>
    <x v="2"/>
    <n v="9"/>
    <n v="5"/>
    <s v="0-15"/>
    <s v="No"/>
    <n v="4"/>
    <s v="At Risk"/>
    <n v="0"/>
  </r>
  <r>
    <n v="101367"/>
    <d v="2025-12-14T00:00:00"/>
    <n v="1110"/>
    <x v="0"/>
    <x v="6"/>
    <x v="0"/>
    <x v="3"/>
    <x v="0"/>
    <s v="Card"/>
    <n v="10.73"/>
    <n v="11.72"/>
    <x v="0"/>
    <n v="18.86"/>
    <n v="106.9"/>
    <n v="85.5"/>
    <n v="1"/>
    <n v="1.89"/>
    <n v="11.52"/>
    <n v="95.5"/>
    <n v="0"/>
    <n v="195.41"/>
    <n v="-88.51"/>
    <s v="Loss"/>
    <x v="1"/>
    <n v="9"/>
    <n v="20"/>
    <s v="0-15"/>
    <s v="Yes"/>
    <n v="1"/>
    <s v="At Risk"/>
    <n v="1"/>
  </r>
  <r>
    <n v="101368"/>
    <d v="2025-11-25T00:00:00"/>
    <n v="1145"/>
    <x v="2"/>
    <x v="9"/>
    <x v="0"/>
    <x v="3"/>
    <x v="0"/>
    <s v="UPI"/>
    <n v="17.52"/>
    <n v="12.92"/>
    <x v="3"/>
    <n v="0"/>
    <n v="226.36"/>
    <n v="101.47"/>
    <n v="3.7"/>
    <n v="1.58"/>
    <n v="6.76"/>
    <n v="0"/>
    <n v="0"/>
    <n v="113.51"/>
    <n v="112.85"/>
    <s v="Profit"/>
    <x v="0"/>
    <n v="22"/>
    <n v="10"/>
    <s v="16-30"/>
    <s v="Yes"/>
    <n v="2"/>
    <s v="At Risk"/>
    <n v="1"/>
  </r>
  <r>
    <n v="101369"/>
    <d v="2025-10-29T00:00:00"/>
    <n v="1033"/>
    <x v="3"/>
    <x v="14"/>
    <x v="1"/>
    <x v="0"/>
    <x v="2"/>
    <s v="UPI"/>
    <n v="31.86"/>
    <n v="18.940000000000001"/>
    <x v="3"/>
    <n v="0"/>
    <n v="603.42999999999995"/>
    <n v="217.38"/>
    <n v="6.05"/>
    <n v="4.22"/>
    <n v="7.37"/>
    <n v="0"/>
    <n v="0"/>
    <n v="235.02"/>
    <n v="368.41"/>
    <s v="Profit"/>
    <x v="0"/>
    <n v="2"/>
    <n v="11"/>
    <s v="0-15"/>
    <s v="No"/>
    <n v="0"/>
    <s v="Healthy"/>
    <n v="0"/>
  </r>
  <r>
    <n v="101370"/>
    <d v="2025-12-12T00:00:00"/>
    <n v="1115"/>
    <x v="0"/>
    <x v="6"/>
    <x v="0"/>
    <x v="1"/>
    <x v="0"/>
    <s v="UPI"/>
    <n v="32.17"/>
    <n v="14.95"/>
    <x v="3"/>
    <n v="0"/>
    <n v="480.94"/>
    <n v="186.68"/>
    <n v="6.97"/>
    <n v="3.37"/>
    <n v="6.88"/>
    <n v="0"/>
    <n v="0"/>
    <n v="203.9"/>
    <n v="277.04000000000002"/>
    <s v="Profit"/>
    <x v="0"/>
    <n v="10"/>
    <n v="1"/>
    <s v="0-15"/>
    <s v="No"/>
    <n v="0"/>
    <s v="Healthy"/>
    <n v="0"/>
  </r>
  <r>
    <n v="101371"/>
    <d v="2025-11-24T00:00:00"/>
    <n v="1085"/>
    <x v="1"/>
    <x v="4"/>
    <x v="2"/>
    <x v="1"/>
    <x v="0"/>
    <s v="UPI"/>
    <n v="32.39"/>
    <n v="16.239999999999998"/>
    <x v="4"/>
    <n v="26.3"/>
    <n v="499.71"/>
    <n v="262.2"/>
    <n v="6.38"/>
    <n v="3.68"/>
    <n v="4.8099999999999996"/>
    <n v="0"/>
    <n v="0"/>
    <n v="277.07"/>
    <n v="222.64"/>
    <s v="Profit"/>
    <x v="0"/>
    <n v="3"/>
    <n v="38"/>
    <s v="0-15"/>
    <s v="Yes"/>
    <n v="2"/>
    <s v="At Risk"/>
    <n v="1"/>
  </r>
  <r>
    <n v="101372"/>
    <d v="2025-10-10T00:00:00"/>
    <n v="1041"/>
    <x v="3"/>
    <x v="14"/>
    <x v="3"/>
    <x v="3"/>
    <x v="0"/>
    <s v="UPI"/>
    <n v="12.79"/>
    <n v="13.92"/>
    <x v="4"/>
    <n v="8.9"/>
    <n v="169.14"/>
    <n v="78.150000000000006"/>
    <n v="6.02"/>
    <n v="1.25"/>
    <n v="10.88"/>
    <n v="0"/>
    <n v="0"/>
    <n v="96.3"/>
    <n v="72.84"/>
    <s v="Profit"/>
    <x v="0"/>
    <n v="27"/>
    <n v="20"/>
    <s v="16-30"/>
    <s v="Yes"/>
    <n v="2"/>
    <s v="At Risk"/>
    <n v="1"/>
  </r>
  <r>
    <n v="101373"/>
    <d v="2025-10-08T00:00:00"/>
    <n v="1116"/>
    <x v="2"/>
    <x v="10"/>
    <x v="0"/>
    <x v="1"/>
    <x v="0"/>
    <s v="Fleet_Invoice"/>
    <n v="35.119999999999997"/>
    <n v="15.81"/>
    <x v="2"/>
    <n v="55.53"/>
    <n v="499.72"/>
    <n v="187.59"/>
    <n v="8.75"/>
    <n v="2.2200000000000002"/>
    <n v="12.1"/>
    <n v="0"/>
    <n v="0"/>
    <n v="210.66"/>
    <n v="289.06"/>
    <s v="Profit"/>
    <x v="0"/>
    <n v="18"/>
    <n v="15"/>
    <s v="16-30"/>
    <s v="No"/>
    <n v="0"/>
    <s v="Healthy"/>
    <n v="0"/>
  </r>
  <r>
    <n v="101374"/>
    <d v="2025-11-18T00:00:00"/>
    <n v="1044"/>
    <x v="0"/>
    <x v="1"/>
    <x v="4"/>
    <x v="1"/>
    <x v="0"/>
    <s v="Card"/>
    <n v="16.91"/>
    <n v="16.190000000000001"/>
    <x v="2"/>
    <n v="27.38"/>
    <n v="246.39"/>
    <n v="138.68"/>
    <n v="11.98"/>
    <n v="4.1100000000000003"/>
    <n v="4.2699999999999996"/>
    <n v="0"/>
    <n v="0"/>
    <n v="159.04"/>
    <n v="87.35"/>
    <s v="Profit"/>
    <x v="0"/>
    <n v="18"/>
    <n v="3"/>
    <s v="16-30"/>
    <s v="No"/>
    <n v="0"/>
    <s v="Healthy"/>
    <n v="0"/>
  </r>
  <r>
    <n v="101375"/>
    <d v="2025-10-29T00:00:00"/>
    <n v="1045"/>
    <x v="2"/>
    <x v="5"/>
    <x v="0"/>
    <x v="2"/>
    <x v="2"/>
    <s v="UPI"/>
    <n v="24.13"/>
    <n v="17.18"/>
    <x v="2"/>
    <n v="41.46"/>
    <n v="373.09"/>
    <n v="168.81"/>
    <n v="5.72"/>
    <n v="2.9"/>
    <n v="4.49"/>
    <n v="0"/>
    <n v="0"/>
    <n v="181.92"/>
    <n v="191.17"/>
    <s v="Profit"/>
    <x v="0"/>
    <n v="23"/>
    <n v="14"/>
    <s v="16-30"/>
    <s v="Yes"/>
    <n v="3"/>
    <s v="At Risk"/>
    <n v="1"/>
  </r>
  <r>
    <n v="101376"/>
    <d v="2025-10-09T00:00:00"/>
    <n v="1137"/>
    <x v="2"/>
    <x v="10"/>
    <x v="3"/>
    <x v="0"/>
    <x v="0"/>
    <s v="UPI"/>
    <n v="25.28"/>
    <n v="19.07"/>
    <x v="0"/>
    <n v="72.31"/>
    <n v="409.78"/>
    <n v="188.14"/>
    <n v="9.0299999999999994"/>
    <n v="3.37"/>
    <n v="10.28"/>
    <n v="0"/>
    <n v="0"/>
    <n v="210.82"/>
    <n v="198.96"/>
    <s v="Profit"/>
    <x v="0"/>
    <n v="3"/>
    <n v="7"/>
    <s v="0-15"/>
    <s v="No"/>
    <n v="2"/>
    <s v="Healthy"/>
    <n v="0"/>
  </r>
  <r>
    <n v="101377"/>
    <d v="2025-12-21T00:00:00"/>
    <n v="1017"/>
    <x v="2"/>
    <x v="5"/>
    <x v="3"/>
    <x v="3"/>
    <x v="2"/>
    <s v="UPI"/>
    <n v="16.55"/>
    <n v="13.16"/>
    <x v="0"/>
    <n v="32.67"/>
    <n v="185.13"/>
    <n v="97.49"/>
    <n v="7.95"/>
    <n v="1.52"/>
    <n v="13.32"/>
    <n v="0"/>
    <n v="0"/>
    <n v="120.28"/>
    <n v="64.849999999999994"/>
    <s v="Profit"/>
    <x v="0"/>
    <n v="9"/>
    <n v="8"/>
    <s v="0-15"/>
    <s v="No"/>
    <n v="0"/>
    <s v="Healthy"/>
    <n v="0"/>
  </r>
  <r>
    <n v="101378"/>
    <d v="2025-12-01T00:00:00"/>
    <n v="1059"/>
    <x v="1"/>
    <x v="4"/>
    <x v="1"/>
    <x v="3"/>
    <x v="0"/>
    <s v="UPI"/>
    <n v="19.57"/>
    <n v="13.43"/>
    <x v="3"/>
    <n v="0"/>
    <n v="262.83"/>
    <n v="143.22999999999999"/>
    <n v="9.18"/>
    <n v="1.84"/>
    <n v="13.06"/>
    <n v="0"/>
    <n v="0"/>
    <n v="167.31"/>
    <n v="95.52"/>
    <s v="Profit"/>
    <x v="0"/>
    <n v="14"/>
    <n v="2"/>
    <s v="0-15"/>
    <s v="No"/>
    <n v="0"/>
    <s v="Healthy"/>
    <n v="0"/>
  </r>
  <r>
    <n v="101379"/>
    <d v="2025-11-13T00:00:00"/>
    <n v="1049"/>
    <x v="1"/>
    <x v="4"/>
    <x v="4"/>
    <x v="1"/>
    <x v="0"/>
    <s v="Fleet_Invoice"/>
    <n v="40.81"/>
    <n v="15.24"/>
    <x v="1"/>
    <n v="124.39"/>
    <n v="497.55"/>
    <n v="301.33999999999997"/>
    <n v="2.5499999999999998"/>
    <n v="2.4900000000000002"/>
    <n v="5.15"/>
    <n v="0"/>
    <n v="0"/>
    <n v="311.52999999999997"/>
    <n v="186.02"/>
    <s v="Profit"/>
    <x v="0"/>
    <n v="17"/>
    <n v="0"/>
    <s v="16-30"/>
    <s v="No"/>
    <n v="0"/>
    <s v="Healthy"/>
    <n v="0"/>
  </r>
  <r>
    <n v="101380"/>
    <d v="2025-10-23T00:00:00"/>
    <n v="1125"/>
    <x v="1"/>
    <x v="4"/>
    <x v="2"/>
    <x v="1"/>
    <x v="0"/>
    <s v="UPI"/>
    <n v="31.48"/>
    <n v="14.51"/>
    <x v="0"/>
    <n v="68.52"/>
    <n v="388.25"/>
    <n v="245.13"/>
    <n v="8.19"/>
    <n v="3.2"/>
    <n v="0.9"/>
    <n v="0"/>
    <n v="0"/>
    <n v="257.42"/>
    <n v="130.83000000000001"/>
    <s v="Profit"/>
    <x v="0"/>
    <n v="2"/>
    <n v="3"/>
    <s v="0-15"/>
    <s v="No"/>
    <n v="2"/>
    <s v="Healthy"/>
    <n v="0"/>
  </r>
  <r>
    <n v="101381"/>
    <d v="2025-10-09T00:00:00"/>
    <n v="1043"/>
    <x v="3"/>
    <x v="14"/>
    <x v="4"/>
    <x v="3"/>
    <x v="2"/>
    <s v="UPI"/>
    <n v="12.14"/>
    <n v="13.17"/>
    <x v="3"/>
    <n v="0"/>
    <n v="159.88"/>
    <n v="93.8"/>
    <n v="7.14"/>
    <n v="1.1200000000000001"/>
    <n v="12.7"/>
    <n v="0"/>
    <n v="0"/>
    <n v="114.76"/>
    <n v="45.12"/>
    <s v="Profit"/>
    <x v="0"/>
    <n v="8"/>
    <n v="0"/>
    <s v="0-15"/>
    <s v="No"/>
    <n v="0"/>
    <s v="Healthy"/>
    <n v="0"/>
  </r>
  <r>
    <n v="101382"/>
    <d v="2025-10-29T00:00:00"/>
    <n v="1021"/>
    <x v="1"/>
    <x v="4"/>
    <x v="2"/>
    <x v="1"/>
    <x v="0"/>
    <s v="Wallet"/>
    <n v="31.26"/>
    <n v="15.84"/>
    <x v="2"/>
    <n v="49.52"/>
    <n v="445.64"/>
    <n v="247.88"/>
    <n v="13.12"/>
    <n v="5.94"/>
    <n v="9.36"/>
    <n v="390.4"/>
    <n v="0"/>
    <n v="666.7"/>
    <n v="-221.06"/>
    <s v="Loss"/>
    <x v="2"/>
    <n v="1"/>
    <n v="17"/>
    <s v="0-15"/>
    <s v="Yes"/>
    <n v="1"/>
    <s v="At Risk"/>
    <n v="1"/>
  </r>
  <r>
    <n v="101383"/>
    <d v="2025-10-11T00:00:00"/>
    <n v="1113"/>
    <x v="1"/>
    <x v="2"/>
    <x v="4"/>
    <x v="3"/>
    <x v="1"/>
    <s v="Wallet"/>
    <n v="21.97"/>
    <n v="11.49"/>
    <x v="2"/>
    <n v="25.24"/>
    <n v="227.2"/>
    <n v="159.44999999999999"/>
    <n v="2.94"/>
    <n v="3.03"/>
    <n v="8.89"/>
    <n v="0"/>
    <n v="0"/>
    <n v="174.31"/>
    <n v="52.89"/>
    <s v="Profit"/>
    <x v="0"/>
    <n v="3"/>
    <n v="1"/>
    <s v="0-15"/>
    <s v="No"/>
    <n v="0"/>
    <s v="Healthy"/>
    <n v="0"/>
  </r>
  <r>
    <n v="101384"/>
    <d v="2025-12-24T00:00:00"/>
    <n v="1145"/>
    <x v="0"/>
    <x v="11"/>
    <x v="1"/>
    <x v="1"/>
    <x v="0"/>
    <s v="UPI"/>
    <n v="39.78"/>
    <n v="16.170000000000002"/>
    <x v="0"/>
    <n v="96.49"/>
    <n v="546.75"/>
    <n v="277.05"/>
    <n v="6.14"/>
    <n v="4.5"/>
    <n v="4.3099999999999996"/>
    <n v="0"/>
    <n v="0"/>
    <n v="292"/>
    <n v="254.75"/>
    <s v="Profit"/>
    <x v="0"/>
    <n v="9"/>
    <n v="3"/>
    <s v="0-15"/>
    <s v="No"/>
    <n v="0"/>
    <s v="Healthy"/>
    <n v="0"/>
  </r>
  <r>
    <n v="101385"/>
    <d v="2025-11-12T00:00:00"/>
    <n v="1067"/>
    <x v="3"/>
    <x v="15"/>
    <x v="2"/>
    <x v="3"/>
    <x v="0"/>
    <s v="UPI"/>
    <n v="10.68"/>
    <n v="13.14"/>
    <x v="0"/>
    <n v="21.05"/>
    <n v="119.29"/>
    <n v="73.58"/>
    <n v="2.23"/>
    <n v="0.98"/>
    <n v="5.9"/>
    <n v="0"/>
    <n v="0"/>
    <n v="82.69"/>
    <n v="36.6"/>
    <s v="Profit"/>
    <x v="0"/>
    <n v="5"/>
    <n v="8"/>
    <s v="0-15"/>
    <s v="No"/>
    <n v="0"/>
    <s v="Healthy"/>
    <n v="0"/>
  </r>
  <r>
    <n v="101386"/>
    <d v="2025-12-30T00:00:00"/>
    <n v="1113"/>
    <x v="0"/>
    <x v="0"/>
    <x v="4"/>
    <x v="1"/>
    <x v="0"/>
    <s v="Card"/>
    <n v="30.3"/>
    <n v="15.94"/>
    <x v="3"/>
    <n v="0"/>
    <n v="482.98"/>
    <n v="220.24"/>
    <n v="9.8699999999999992"/>
    <n v="7.24"/>
    <n v="5.68"/>
    <n v="0"/>
    <n v="0"/>
    <n v="243.03"/>
    <n v="239.95"/>
    <s v="Profit"/>
    <x v="0"/>
    <n v="0"/>
    <n v="8"/>
    <s v="0-15"/>
    <s v="No"/>
    <n v="2"/>
    <s v="Healthy"/>
    <n v="0"/>
  </r>
  <r>
    <n v="101387"/>
    <d v="2025-10-20T00:00:00"/>
    <n v="1135"/>
    <x v="2"/>
    <x v="9"/>
    <x v="3"/>
    <x v="3"/>
    <x v="0"/>
    <s v="Card"/>
    <n v="9.51"/>
    <n v="12.17"/>
    <x v="3"/>
    <n v="0"/>
    <n v="115.74"/>
    <n v="64.67"/>
    <n v="12.1"/>
    <n v="1.74"/>
    <n v="0.19"/>
    <n v="0"/>
    <n v="0"/>
    <n v="78.7"/>
    <n v="37.04"/>
    <s v="Profit"/>
    <x v="0"/>
    <n v="5"/>
    <n v="14"/>
    <s v="0-15"/>
    <s v="No"/>
    <n v="0"/>
    <s v="Healthy"/>
    <n v="0"/>
  </r>
  <r>
    <n v="101388"/>
    <d v="2025-12-27T00:00:00"/>
    <n v="1134"/>
    <x v="2"/>
    <x v="12"/>
    <x v="1"/>
    <x v="1"/>
    <x v="2"/>
    <s v="UPI"/>
    <n v="32.11"/>
    <n v="15.86"/>
    <x v="3"/>
    <n v="0"/>
    <n v="509.26"/>
    <n v="229.73"/>
    <n v="5.14"/>
    <n v="3.56"/>
    <n v="0.85"/>
    <n v="413.53"/>
    <n v="19.57"/>
    <n v="672.38"/>
    <n v="-163.12"/>
    <s v="Loss"/>
    <x v="1"/>
    <n v="20"/>
    <n v="4"/>
    <s v="16-30"/>
    <s v="Yes"/>
    <n v="3"/>
    <s v="At Risk"/>
    <n v="1"/>
  </r>
  <r>
    <n v="101389"/>
    <d v="2025-10-30T00:00:00"/>
    <n v="1035"/>
    <x v="1"/>
    <x v="13"/>
    <x v="0"/>
    <x v="2"/>
    <x v="0"/>
    <s v="UPI"/>
    <n v="26.26"/>
    <n v="17.78"/>
    <x v="2"/>
    <n v="46.69"/>
    <n v="420.21"/>
    <n v="208.28"/>
    <n v="11.16"/>
    <n v="3.27"/>
    <n v="2.61"/>
    <n v="0"/>
    <n v="0"/>
    <n v="225.32"/>
    <n v="194.89"/>
    <s v="Profit"/>
    <x v="0"/>
    <n v="24"/>
    <n v="14"/>
    <s v="16-30"/>
    <s v="Yes"/>
    <n v="2"/>
    <s v="At Risk"/>
    <n v="1"/>
  </r>
  <r>
    <n v="101390"/>
    <d v="2025-12-23T00:00:00"/>
    <n v="1003"/>
    <x v="3"/>
    <x v="15"/>
    <x v="3"/>
    <x v="1"/>
    <x v="0"/>
    <s v="Card"/>
    <n v="30.47"/>
    <n v="16.48"/>
    <x v="4"/>
    <n v="25.11"/>
    <n v="477.04"/>
    <n v="217.91"/>
    <n v="4.7300000000000004"/>
    <n v="7.53"/>
    <n v="2.77"/>
    <n v="0"/>
    <n v="0"/>
    <n v="232.94"/>
    <n v="244.1"/>
    <s v="Profit"/>
    <x v="0"/>
    <n v="19"/>
    <n v="10"/>
    <s v="16-30"/>
    <s v="No"/>
    <n v="2"/>
    <s v="Healthy"/>
    <n v="0"/>
  </r>
  <r>
    <n v="101391"/>
    <d v="2025-12-10T00:00:00"/>
    <n v="1097"/>
    <x v="0"/>
    <x v="6"/>
    <x v="2"/>
    <x v="3"/>
    <x v="1"/>
    <s v="UPI"/>
    <n v="18.079999999999998"/>
    <n v="13.78"/>
    <x v="3"/>
    <n v="0"/>
    <n v="249.14"/>
    <n v="108.39"/>
    <n v="10.44"/>
    <n v="1.74"/>
    <n v="8.92"/>
    <n v="0"/>
    <n v="0"/>
    <n v="129.49"/>
    <n v="119.65"/>
    <s v="Profit"/>
    <x v="0"/>
    <n v="45"/>
    <n v="15"/>
    <s v="30+"/>
    <s v="Yes"/>
    <n v="3"/>
    <s v="At Risk"/>
    <n v="1"/>
  </r>
  <r>
    <n v="101392"/>
    <d v="2025-12-17T00:00:00"/>
    <n v="1114"/>
    <x v="2"/>
    <x v="5"/>
    <x v="2"/>
    <x v="1"/>
    <x v="0"/>
    <s v="UPI"/>
    <n v="13.92"/>
    <n v="15.47"/>
    <x v="4"/>
    <n v="10.77"/>
    <n v="204.57"/>
    <n v="104.19"/>
    <n v="6.91"/>
    <n v="1.51"/>
    <n v="7.91"/>
    <n v="0"/>
    <n v="0"/>
    <n v="120.52"/>
    <n v="84.05"/>
    <s v="Profit"/>
    <x v="0"/>
    <n v="6"/>
    <n v="14"/>
    <s v="0-15"/>
    <s v="No"/>
    <n v="0"/>
    <s v="Healthy"/>
    <n v="0"/>
  </r>
  <r>
    <n v="101393"/>
    <d v="2025-10-08T00:00:00"/>
    <n v="1049"/>
    <x v="0"/>
    <x v="11"/>
    <x v="2"/>
    <x v="3"/>
    <x v="0"/>
    <s v="Fleet_Invoice"/>
    <n v="18.010000000000002"/>
    <n v="11.82"/>
    <x v="2"/>
    <n v="21.29"/>
    <n v="191.59"/>
    <n v="98.97"/>
    <n v="5.52"/>
    <n v="0.85"/>
    <n v="9.94"/>
    <n v="0"/>
    <n v="0"/>
    <n v="115.28"/>
    <n v="76.31"/>
    <s v="Profit"/>
    <x v="0"/>
    <n v="39"/>
    <n v="5"/>
    <s v="30+"/>
    <s v="Yes"/>
    <n v="2"/>
    <s v="At Risk"/>
    <n v="1"/>
  </r>
  <r>
    <n v="101394"/>
    <d v="2025-10-20T00:00:00"/>
    <n v="1078"/>
    <x v="1"/>
    <x v="2"/>
    <x v="2"/>
    <x v="1"/>
    <x v="0"/>
    <s v="UPI"/>
    <n v="33.93"/>
    <n v="16.84"/>
    <x v="4"/>
    <n v="28.57"/>
    <n v="542.80999999999995"/>
    <n v="176.96"/>
    <n v="1"/>
    <n v="4"/>
    <n v="4.3600000000000003"/>
    <n v="0"/>
    <n v="0"/>
    <n v="186.32"/>
    <n v="356.49"/>
    <s v="Profit"/>
    <x v="0"/>
    <n v="8"/>
    <n v="2"/>
    <s v="0-15"/>
    <s v="No"/>
    <n v="0"/>
    <s v="Healthy"/>
    <n v="0"/>
  </r>
  <r>
    <n v="101395"/>
    <d v="2025-10-26T00:00:00"/>
    <n v="1024"/>
    <x v="2"/>
    <x v="12"/>
    <x v="3"/>
    <x v="1"/>
    <x v="0"/>
    <s v="Fleet_Invoice"/>
    <n v="16.97"/>
    <n v="15.95"/>
    <x v="3"/>
    <n v="0"/>
    <n v="270.67"/>
    <n v="131.86000000000001"/>
    <n v="6.77"/>
    <n v="1.08"/>
    <n v="11.51"/>
    <n v="0"/>
    <n v="0"/>
    <n v="151.22"/>
    <n v="119.45"/>
    <s v="Profit"/>
    <x v="0"/>
    <n v="18"/>
    <n v="0"/>
    <s v="16-30"/>
    <s v="No"/>
    <n v="0"/>
    <s v="Healthy"/>
    <n v="0"/>
  </r>
  <r>
    <n v="101396"/>
    <d v="2025-11-24T00:00:00"/>
    <n v="1089"/>
    <x v="2"/>
    <x v="9"/>
    <x v="2"/>
    <x v="0"/>
    <x v="0"/>
    <s v="UPI"/>
    <n v="35.06"/>
    <n v="18.899999999999999"/>
    <x v="3"/>
    <n v="0"/>
    <n v="662.63"/>
    <n v="224.16"/>
    <n v="6.6"/>
    <n v="4.6399999999999997"/>
    <n v="10.119999999999999"/>
    <n v="0"/>
    <n v="0"/>
    <n v="245.52"/>
    <n v="417.11"/>
    <s v="Profit"/>
    <x v="0"/>
    <n v="18"/>
    <n v="10"/>
    <s v="16-30"/>
    <s v="No"/>
    <n v="0"/>
    <s v="Healthy"/>
    <n v="0"/>
  </r>
  <r>
    <n v="101397"/>
    <d v="2025-10-11T00:00:00"/>
    <n v="1065"/>
    <x v="2"/>
    <x v="12"/>
    <x v="2"/>
    <x v="3"/>
    <x v="2"/>
    <s v="UPI"/>
    <n v="17.41"/>
    <n v="11.45"/>
    <x v="1"/>
    <n v="39.869999999999997"/>
    <n v="159.47"/>
    <n v="104.6"/>
    <n v="10.49"/>
    <n v="1.4"/>
    <n v="0"/>
    <n v="0"/>
    <n v="0"/>
    <n v="116.49"/>
    <n v="42.98"/>
    <s v="Profit"/>
    <x v="0"/>
    <n v="25"/>
    <n v="23"/>
    <s v="16-30"/>
    <s v="Yes"/>
    <n v="1"/>
    <s v="At Risk"/>
    <n v="1"/>
  </r>
  <r>
    <n v="101398"/>
    <d v="2025-10-19T00:00:00"/>
    <n v="1005"/>
    <x v="2"/>
    <x v="10"/>
    <x v="4"/>
    <x v="2"/>
    <x v="0"/>
    <s v="UPI"/>
    <n v="15.77"/>
    <n v="17.23"/>
    <x v="0"/>
    <n v="40.76"/>
    <n v="230.96"/>
    <n v="92.55"/>
    <n v="14.37"/>
    <n v="1.9"/>
    <n v="0"/>
    <n v="0"/>
    <n v="0"/>
    <n v="108.82"/>
    <n v="122.14"/>
    <s v="Profit"/>
    <x v="0"/>
    <n v="3"/>
    <n v="9"/>
    <s v="0-15"/>
    <s v="No"/>
    <n v="1"/>
    <s v="Healthy"/>
    <n v="0"/>
  </r>
  <r>
    <n v="101399"/>
    <d v="2025-11-17T00:00:00"/>
    <n v="1025"/>
    <x v="2"/>
    <x v="12"/>
    <x v="1"/>
    <x v="0"/>
    <x v="0"/>
    <s v="Wallet"/>
    <n v="27.65"/>
    <n v="18.98"/>
    <x v="3"/>
    <n v="0"/>
    <n v="524.79999999999995"/>
    <n v="202.48"/>
    <n v="6.43"/>
    <n v="6.3"/>
    <n v="5.91"/>
    <n v="0"/>
    <n v="0"/>
    <n v="221.12"/>
    <n v="303.68"/>
    <s v="Profit"/>
    <x v="0"/>
    <n v="6"/>
    <n v="4"/>
    <s v="0-15"/>
    <s v="No"/>
    <n v="0"/>
    <s v="Healthy"/>
    <n v="0"/>
  </r>
  <r>
    <n v="101400"/>
    <d v="2025-12-26T00:00:00"/>
    <n v="1077"/>
    <x v="3"/>
    <x v="15"/>
    <x v="4"/>
    <x v="3"/>
    <x v="2"/>
    <s v="UPI"/>
    <n v="15.16"/>
    <n v="12.51"/>
    <x v="4"/>
    <n v="9.48"/>
    <n v="180.17"/>
    <n v="109.56"/>
    <n v="6.05"/>
    <n v="1.33"/>
    <n v="10.050000000000001"/>
    <n v="0"/>
    <n v="0"/>
    <n v="126.99"/>
    <n v="53.18"/>
    <s v="Profit"/>
    <x v="0"/>
    <n v="24"/>
    <n v="0"/>
    <s v="16-30"/>
    <s v="Yes"/>
    <n v="1"/>
    <s v="At Risk"/>
    <n v="1"/>
  </r>
  <r>
    <n v="101401"/>
    <d v="2025-12-24T00:00:00"/>
    <n v="1091"/>
    <x v="1"/>
    <x v="2"/>
    <x v="2"/>
    <x v="2"/>
    <x v="0"/>
    <s v="UPI"/>
    <n v="31.99"/>
    <n v="17.16"/>
    <x v="1"/>
    <n v="109.79"/>
    <n v="439.16"/>
    <n v="248.38"/>
    <n v="10.61"/>
    <n v="3.84"/>
    <n v="8.49"/>
    <n v="0"/>
    <n v="0"/>
    <n v="271.32"/>
    <n v="167.84"/>
    <s v="Profit"/>
    <x v="0"/>
    <n v="1"/>
    <n v="6"/>
    <s v="0-15"/>
    <s v="No"/>
    <n v="0"/>
    <s v="Healthy"/>
    <n v="0"/>
  </r>
  <r>
    <n v="101402"/>
    <d v="2025-10-16T00:00:00"/>
    <n v="1124"/>
    <x v="2"/>
    <x v="12"/>
    <x v="3"/>
    <x v="0"/>
    <x v="0"/>
    <s v="UPI"/>
    <n v="21.23"/>
    <n v="20.12"/>
    <x v="3"/>
    <n v="0"/>
    <n v="427.15"/>
    <n v="165.41"/>
    <n v="7.58"/>
    <n v="2.99"/>
    <n v="4.0199999999999996"/>
    <n v="0"/>
    <n v="0"/>
    <n v="180"/>
    <n v="247.15"/>
    <s v="Profit"/>
    <x v="0"/>
    <n v="0"/>
    <n v="0"/>
    <s v="0-15"/>
    <s v="No"/>
    <n v="0"/>
    <s v="Healthy"/>
    <n v="0"/>
  </r>
  <r>
    <n v="101403"/>
    <d v="2025-11-15T00:00:00"/>
    <n v="1018"/>
    <x v="1"/>
    <x v="3"/>
    <x v="1"/>
    <x v="1"/>
    <x v="0"/>
    <s v="UPI"/>
    <n v="17.09"/>
    <n v="15.41"/>
    <x v="4"/>
    <n v="13.17"/>
    <n v="250.19"/>
    <n v="135.63999999999999"/>
    <n v="6.25"/>
    <n v="1.84"/>
    <n v="0"/>
    <n v="0"/>
    <n v="0"/>
    <n v="143.72999999999999"/>
    <n v="106.46"/>
    <s v="Profit"/>
    <x v="0"/>
    <n v="1"/>
    <n v="12"/>
    <s v="0-15"/>
    <s v="No"/>
    <n v="0"/>
    <s v="Healthy"/>
    <n v="0"/>
  </r>
  <r>
    <n v="101404"/>
    <d v="2025-10-14T00:00:00"/>
    <n v="1027"/>
    <x v="0"/>
    <x v="11"/>
    <x v="3"/>
    <x v="2"/>
    <x v="2"/>
    <s v="Card"/>
    <n v="26.81"/>
    <n v="17.79"/>
    <x v="4"/>
    <n v="23.85"/>
    <n v="453.1"/>
    <n v="157.26"/>
    <n v="7.69"/>
    <n v="7.15"/>
    <n v="8.5299999999999994"/>
    <n v="0"/>
    <n v="0"/>
    <n v="180.63"/>
    <n v="272.47000000000003"/>
    <s v="Profit"/>
    <x v="0"/>
    <n v="2"/>
    <n v="10"/>
    <s v="0-15"/>
    <s v="No"/>
    <n v="0"/>
    <s v="Healthy"/>
    <n v="0"/>
  </r>
  <r>
    <n v="101405"/>
    <d v="2025-10-25T00:00:00"/>
    <n v="1006"/>
    <x v="0"/>
    <x v="0"/>
    <x v="0"/>
    <x v="3"/>
    <x v="1"/>
    <s v="Card"/>
    <n v="12.76"/>
    <n v="13.75"/>
    <x v="3"/>
    <n v="0"/>
    <n v="175.45"/>
    <n v="84.6"/>
    <n v="11.72"/>
    <n v="2.63"/>
    <n v="4.16"/>
    <n v="0"/>
    <n v="0"/>
    <n v="103.11"/>
    <n v="72.34"/>
    <s v="Profit"/>
    <x v="0"/>
    <n v="17"/>
    <n v="8"/>
    <s v="16-30"/>
    <s v="No"/>
    <n v="0"/>
    <s v="Healthy"/>
    <n v="0"/>
  </r>
  <r>
    <n v="101406"/>
    <d v="2025-12-06T00:00:00"/>
    <n v="1101"/>
    <x v="1"/>
    <x v="2"/>
    <x v="2"/>
    <x v="3"/>
    <x v="0"/>
    <s v="UPI"/>
    <n v="17.920000000000002"/>
    <n v="12.25"/>
    <x v="2"/>
    <n v="21.95"/>
    <n v="197.57"/>
    <n v="144.66"/>
    <n v="10.17"/>
    <n v="1.54"/>
    <n v="2.7"/>
    <n v="0"/>
    <n v="0"/>
    <n v="159.07"/>
    <n v="38.5"/>
    <s v="Profit"/>
    <x v="0"/>
    <n v="1"/>
    <n v="6"/>
    <s v="0-15"/>
    <s v="No"/>
    <n v="0"/>
    <s v="Healthy"/>
    <n v="0"/>
  </r>
  <r>
    <n v="101407"/>
    <d v="2025-10-02T00:00:00"/>
    <n v="1038"/>
    <x v="2"/>
    <x v="9"/>
    <x v="0"/>
    <x v="2"/>
    <x v="1"/>
    <s v="UPI"/>
    <n v="36.880000000000003"/>
    <n v="17.559999999999999"/>
    <x v="4"/>
    <n v="32.380000000000003"/>
    <n v="615.23"/>
    <n v="242.83"/>
    <n v="6.03"/>
    <n v="4.53"/>
    <n v="9.59"/>
    <n v="0"/>
    <n v="0"/>
    <n v="262.98"/>
    <n v="352.25"/>
    <s v="Profit"/>
    <x v="0"/>
    <n v="4"/>
    <n v="2"/>
    <s v="0-15"/>
    <s v="No"/>
    <n v="0"/>
    <s v="Healthy"/>
    <n v="0"/>
  </r>
  <r>
    <n v="101408"/>
    <d v="2025-12-16T00:00:00"/>
    <n v="1030"/>
    <x v="0"/>
    <x v="0"/>
    <x v="2"/>
    <x v="1"/>
    <x v="2"/>
    <s v="Wallet"/>
    <n v="26.39"/>
    <n v="14.91"/>
    <x v="4"/>
    <n v="19.670000000000002"/>
    <n v="373.8"/>
    <n v="185.15"/>
    <n v="6.01"/>
    <n v="4.72"/>
    <n v="7.26"/>
    <n v="0"/>
    <n v="0"/>
    <n v="203.14"/>
    <n v="170.66"/>
    <s v="Profit"/>
    <x v="0"/>
    <n v="14"/>
    <n v="2"/>
    <s v="0-15"/>
    <s v="No"/>
    <n v="0"/>
    <s v="Healthy"/>
    <n v="0"/>
  </r>
  <r>
    <n v="101409"/>
    <d v="2025-10-25T00:00:00"/>
    <n v="1148"/>
    <x v="2"/>
    <x v="12"/>
    <x v="0"/>
    <x v="1"/>
    <x v="2"/>
    <s v="Fleet_Invoice"/>
    <n v="27.74"/>
    <n v="16.100000000000001"/>
    <x v="4"/>
    <n v="22.33"/>
    <n v="424.28"/>
    <n v="170.9"/>
    <n v="12.91"/>
    <n v="1.79"/>
    <n v="5.0199999999999996"/>
    <n v="0"/>
    <n v="0"/>
    <n v="190.62"/>
    <n v="233.66"/>
    <s v="Profit"/>
    <x v="0"/>
    <n v="7"/>
    <n v="14"/>
    <s v="0-15"/>
    <s v="No"/>
    <n v="0"/>
    <s v="Healthy"/>
    <n v="0"/>
  </r>
  <r>
    <n v="101410"/>
    <d v="2025-10-22T00:00:00"/>
    <n v="1076"/>
    <x v="1"/>
    <x v="3"/>
    <x v="1"/>
    <x v="1"/>
    <x v="0"/>
    <s v="UPI"/>
    <n v="15.7"/>
    <n v="14.99"/>
    <x v="3"/>
    <n v="0"/>
    <n v="235.34"/>
    <n v="87.32"/>
    <n v="7.22"/>
    <n v="1.65"/>
    <n v="2.54"/>
    <n v="0"/>
    <n v="0"/>
    <n v="98.73"/>
    <n v="136.61000000000001"/>
    <s v="Profit"/>
    <x v="0"/>
    <n v="34"/>
    <n v="5"/>
    <s v="30+"/>
    <s v="Yes"/>
    <n v="1"/>
    <s v="At Risk"/>
    <n v="1"/>
  </r>
  <r>
    <n v="101411"/>
    <d v="2025-12-08T00:00:00"/>
    <n v="1120"/>
    <x v="0"/>
    <x v="1"/>
    <x v="1"/>
    <x v="2"/>
    <x v="0"/>
    <s v="Card"/>
    <n v="10.98"/>
    <n v="17.84"/>
    <x v="0"/>
    <n v="29.38"/>
    <n v="166.5"/>
    <n v="81.25"/>
    <n v="9.17"/>
    <n v="2.94"/>
    <n v="4.16"/>
    <n v="83.67"/>
    <n v="0"/>
    <n v="181.19"/>
    <n v="-14.69"/>
    <s v="Loss"/>
    <x v="1"/>
    <n v="1"/>
    <n v="16"/>
    <s v="0-15"/>
    <s v="Yes"/>
    <n v="2"/>
    <s v="At Risk"/>
    <n v="1"/>
  </r>
  <r>
    <n v="101412"/>
    <d v="2025-10-06T00:00:00"/>
    <n v="1026"/>
    <x v="2"/>
    <x v="5"/>
    <x v="3"/>
    <x v="1"/>
    <x v="2"/>
    <s v="UPI"/>
    <n v="19.43"/>
    <n v="15.91"/>
    <x v="4"/>
    <n v="15.46"/>
    <n v="293.67"/>
    <n v="115.87"/>
    <n v="9.15"/>
    <n v="2.16"/>
    <n v="5.49"/>
    <n v="0"/>
    <n v="0"/>
    <n v="132.66999999999999"/>
    <n v="161"/>
    <s v="Profit"/>
    <x v="0"/>
    <n v="32"/>
    <n v="1"/>
    <s v="30+"/>
    <s v="Yes"/>
    <n v="4"/>
    <s v="At Risk"/>
    <n v="1"/>
  </r>
  <r>
    <n v="101413"/>
    <d v="2025-12-17T00:00:00"/>
    <n v="1050"/>
    <x v="0"/>
    <x v="6"/>
    <x v="1"/>
    <x v="3"/>
    <x v="0"/>
    <s v="Wallet"/>
    <n v="10.98"/>
    <n v="12.9"/>
    <x v="2"/>
    <n v="14.16"/>
    <n v="127.48"/>
    <n v="75.44"/>
    <n v="4.53"/>
    <n v="1.7"/>
    <n v="9.1"/>
    <n v="0"/>
    <n v="0"/>
    <n v="90.77"/>
    <n v="36.71"/>
    <s v="Profit"/>
    <x v="0"/>
    <n v="0"/>
    <n v="1"/>
    <s v="0-15"/>
    <s v="No"/>
    <n v="0"/>
    <s v="Healthy"/>
    <n v="0"/>
  </r>
  <r>
    <n v="101414"/>
    <d v="2025-11-03T00:00:00"/>
    <n v="1128"/>
    <x v="2"/>
    <x v="5"/>
    <x v="1"/>
    <x v="0"/>
    <x v="0"/>
    <s v="Card"/>
    <n v="24.21"/>
    <n v="20"/>
    <x v="4"/>
    <n v="24.21"/>
    <n v="459.99"/>
    <n v="150.79"/>
    <n v="8.7799999999999994"/>
    <n v="7.26"/>
    <n v="5.22"/>
    <n v="0"/>
    <n v="0"/>
    <n v="172.05"/>
    <n v="287.94"/>
    <s v="Profit"/>
    <x v="0"/>
    <n v="8"/>
    <n v="20"/>
    <s v="0-15"/>
    <s v="Yes"/>
    <n v="2"/>
    <s v="At Risk"/>
    <n v="1"/>
  </r>
  <r>
    <n v="101415"/>
    <d v="2025-11-05T00:00:00"/>
    <n v="1020"/>
    <x v="1"/>
    <x v="4"/>
    <x v="0"/>
    <x v="1"/>
    <x v="0"/>
    <s v="UPI"/>
    <n v="38.72"/>
    <n v="15.06"/>
    <x v="2"/>
    <n v="58.31"/>
    <n v="524.80999999999995"/>
    <n v="257.43"/>
    <n v="6.44"/>
    <n v="4.08"/>
    <n v="11.1"/>
    <n v="0"/>
    <n v="0"/>
    <n v="279.05"/>
    <n v="245.76"/>
    <s v="Profit"/>
    <x v="0"/>
    <n v="9"/>
    <n v="15"/>
    <s v="0-15"/>
    <s v="No"/>
    <n v="0"/>
    <s v="Healthy"/>
    <n v="0"/>
  </r>
  <r>
    <n v="101416"/>
    <d v="2025-12-28T00:00:00"/>
    <n v="1032"/>
    <x v="0"/>
    <x v="6"/>
    <x v="0"/>
    <x v="1"/>
    <x v="2"/>
    <s v="UPI"/>
    <n v="20.440000000000001"/>
    <n v="15.51"/>
    <x v="3"/>
    <n v="0"/>
    <n v="317.02"/>
    <n v="127.96"/>
    <n v="3.78"/>
    <n v="2.2200000000000002"/>
    <n v="13.38"/>
    <n v="0"/>
    <n v="0"/>
    <n v="147.34"/>
    <n v="169.68"/>
    <s v="Profit"/>
    <x v="0"/>
    <n v="4"/>
    <n v="7"/>
    <s v="0-15"/>
    <s v="No"/>
    <n v="0"/>
    <s v="Healthy"/>
    <n v="0"/>
  </r>
  <r>
    <n v="101417"/>
    <d v="2025-11-09T00:00:00"/>
    <n v="1136"/>
    <x v="2"/>
    <x v="10"/>
    <x v="0"/>
    <x v="3"/>
    <x v="0"/>
    <s v="UPI"/>
    <n v="18.670000000000002"/>
    <n v="12.13"/>
    <x v="4"/>
    <n v="11.32"/>
    <n v="215.15"/>
    <n v="127.5"/>
    <n v="3.36"/>
    <n v="1.59"/>
    <n v="2.14"/>
    <n v="0"/>
    <n v="0"/>
    <n v="134.59"/>
    <n v="80.56"/>
    <s v="Profit"/>
    <x v="0"/>
    <n v="6"/>
    <n v="0"/>
    <s v="0-15"/>
    <s v="No"/>
    <n v="0"/>
    <s v="Healthy"/>
    <n v="0"/>
  </r>
  <r>
    <n v="101418"/>
    <d v="2025-10-09T00:00:00"/>
    <n v="1135"/>
    <x v="3"/>
    <x v="15"/>
    <x v="0"/>
    <x v="1"/>
    <x v="0"/>
    <s v="UPI"/>
    <n v="25.62"/>
    <n v="15.58"/>
    <x v="3"/>
    <n v="0"/>
    <n v="399.16"/>
    <n v="140.43"/>
    <n v="10.47"/>
    <n v="2.79"/>
    <n v="5.7"/>
    <n v="0"/>
    <n v="0"/>
    <n v="159.38999999999999"/>
    <n v="239.77"/>
    <s v="Profit"/>
    <x v="0"/>
    <n v="1"/>
    <n v="0"/>
    <s v="0-15"/>
    <s v="No"/>
    <n v="0"/>
    <s v="Healthy"/>
    <n v="0"/>
  </r>
  <r>
    <n v="101419"/>
    <d v="2025-12-12T00:00:00"/>
    <n v="1065"/>
    <x v="2"/>
    <x v="10"/>
    <x v="0"/>
    <x v="1"/>
    <x v="2"/>
    <s v="UPI"/>
    <n v="11.86"/>
    <n v="15.22"/>
    <x v="4"/>
    <n v="9.0299999999999994"/>
    <n v="171.48"/>
    <n v="94.2"/>
    <n v="3.14"/>
    <n v="1.26"/>
    <n v="11.52"/>
    <n v="0"/>
    <n v="0"/>
    <n v="110.12"/>
    <n v="61.36"/>
    <s v="Profit"/>
    <x v="0"/>
    <n v="22"/>
    <n v="0"/>
    <s v="16-30"/>
    <s v="Yes"/>
    <n v="3"/>
    <s v="At Risk"/>
    <n v="1"/>
  </r>
  <r>
    <n v="101420"/>
    <d v="2025-11-20T00:00:00"/>
    <n v="1102"/>
    <x v="2"/>
    <x v="5"/>
    <x v="4"/>
    <x v="1"/>
    <x v="0"/>
    <s v="UPI"/>
    <n v="34.14"/>
    <n v="15.98"/>
    <x v="3"/>
    <n v="0"/>
    <n v="545.55999999999995"/>
    <n v="253.2"/>
    <n v="11.84"/>
    <n v="3.82"/>
    <n v="3.13"/>
    <n v="0"/>
    <n v="0"/>
    <n v="271.99"/>
    <n v="273.57"/>
    <s v="Profit"/>
    <x v="0"/>
    <n v="5"/>
    <n v="8"/>
    <s v="0-15"/>
    <s v="No"/>
    <n v="0"/>
    <s v="Healthy"/>
    <n v="0"/>
  </r>
  <r>
    <n v="101421"/>
    <d v="2025-10-05T00:00:00"/>
    <n v="1058"/>
    <x v="2"/>
    <x v="10"/>
    <x v="0"/>
    <x v="3"/>
    <x v="1"/>
    <s v="UPI"/>
    <n v="28"/>
    <n v="13.93"/>
    <x v="3"/>
    <n v="0"/>
    <n v="390.04"/>
    <n v="187.5"/>
    <n v="9.0399999999999991"/>
    <n v="2.73"/>
    <n v="2.46"/>
    <n v="266.54000000000002"/>
    <n v="3.81"/>
    <n v="472.08"/>
    <n v="-82.04"/>
    <s v="Loss"/>
    <x v="2"/>
    <n v="11"/>
    <n v="12"/>
    <s v="0-15"/>
    <s v="No"/>
    <n v="3"/>
    <s v="At Risk"/>
    <n v="0"/>
  </r>
  <r>
    <n v="101422"/>
    <d v="2025-12-10T00:00:00"/>
    <n v="1095"/>
    <x v="1"/>
    <x v="13"/>
    <x v="1"/>
    <x v="3"/>
    <x v="0"/>
    <s v="UPI"/>
    <n v="25.82"/>
    <n v="12.03"/>
    <x v="4"/>
    <n v="15.53"/>
    <n v="295.08"/>
    <n v="152.35"/>
    <n v="10.68"/>
    <n v="2.17"/>
    <n v="5.27"/>
    <n v="0"/>
    <n v="0"/>
    <n v="170.47"/>
    <n v="124.61"/>
    <s v="Profit"/>
    <x v="0"/>
    <n v="0"/>
    <n v="6"/>
    <s v="0-15"/>
    <s v="No"/>
    <n v="0"/>
    <s v="Healthy"/>
    <n v="0"/>
  </r>
  <r>
    <n v="101423"/>
    <d v="2025-11-10T00:00:00"/>
    <n v="1009"/>
    <x v="0"/>
    <x v="0"/>
    <x v="3"/>
    <x v="1"/>
    <x v="0"/>
    <s v="UPI"/>
    <n v="24.43"/>
    <n v="15.43"/>
    <x v="3"/>
    <n v="0"/>
    <n v="376.95"/>
    <n v="134.07"/>
    <n v="7.76"/>
    <n v="2.64"/>
    <n v="4.95"/>
    <n v="0"/>
    <n v="0"/>
    <n v="149.41999999999999"/>
    <n v="227.53"/>
    <s v="Profit"/>
    <x v="0"/>
    <n v="15"/>
    <n v="7"/>
    <s v="0-15"/>
    <s v="No"/>
    <n v="0"/>
    <s v="Healthy"/>
    <n v="0"/>
  </r>
  <r>
    <n v="101424"/>
    <d v="2025-12-06T00:00:00"/>
    <n v="1076"/>
    <x v="2"/>
    <x v="5"/>
    <x v="4"/>
    <x v="1"/>
    <x v="0"/>
    <s v="Wallet"/>
    <n v="35.21"/>
    <n v="15.68"/>
    <x v="2"/>
    <n v="55.21"/>
    <n v="496.88"/>
    <n v="296.32"/>
    <n v="9.11"/>
    <n v="6.63"/>
    <n v="3.49"/>
    <n v="0"/>
    <n v="0"/>
    <n v="315.55"/>
    <n v="181.33"/>
    <s v="Profit"/>
    <x v="0"/>
    <n v="13"/>
    <n v="8"/>
    <s v="0-15"/>
    <s v="No"/>
    <n v="1"/>
    <s v="Healthy"/>
    <n v="0"/>
  </r>
  <r>
    <n v="101425"/>
    <d v="2025-10-31T00:00:00"/>
    <n v="1114"/>
    <x v="2"/>
    <x v="5"/>
    <x v="0"/>
    <x v="3"/>
    <x v="0"/>
    <s v="UPI"/>
    <n v="17.989999999999998"/>
    <n v="12.46"/>
    <x v="2"/>
    <n v="22.42"/>
    <n v="201.74"/>
    <n v="136.93"/>
    <n v="10.82"/>
    <n v="1.57"/>
    <n v="5"/>
    <n v="0"/>
    <n v="0"/>
    <n v="154.32"/>
    <n v="47.42"/>
    <s v="Profit"/>
    <x v="0"/>
    <n v="1"/>
    <n v="5"/>
    <s v="0-15"/>
    <s v="No"/>
    <n v="0"/>
    <s v="Healthy"/>
    <n v="0"/>
  </r>
  <r>
    <n v="101426"/>
    <d v="2025-10-29T00:00:00"/>
    <n v="1083"/>
    <x v="0"/>
    <x v="6"/>
    <x v="2"/>
    <x v="1"/>
    <x v="2"/>
    <s v="UPI"/>
    <n v="19.12"/>
    <n v="15.99"/>
    <x v="4"/>
    <n v="15.29"/>
    <n v="290.44"/>
    <n v="161.87"/>
    <n v="9.09"/>
    <n v="2.14"/>
    <n v="4.34"/>
    <n v="0"/>
    <n v="0"/>
    <n v="177.44"/>
    <n v="113"/>
    <s v="Profit"/>
    <x v="0"/>
    <n v="1"/>
    <n v="27"/>
    <s v="0-15"/>
    <s v="Yes"/>
    <n v="2"/>
    <s v="At Risk"/>
    <n v="1"/>
  </r>
  <r>
    <n v="101427"/>
    <d v="2025-11-14T00:00:00"/>
    <n v="1147"/>
    <x v="3"/>
    <x v="7"/>
    <x v="1"/>
    <x v="3"/>
    <x v="0"/>
    <s v="Wallet"/>
    <n v="30.31"/>
    <n v="12.68"/>
    <x v="3"/>
    <n v="0"/>
    <n v="384.33"/>
    <n v="224.85"/>
    <n v="11.64"/>
    <n v="4.6100000000000003"/>
    <n v="5.81"/>
    <n v="0"/>
    <n v="0"/>
    <n v="246.91"/>
    <n v="137.41999999999999"/>
    <s v="Profit"/>
    <x v="0"/>
    <n v="10"/>
    <n v="1"/>
    <s v="0-15"/>
    <s v="No"/>
    <n v="0"/>
    <s v="Healthy"/>
    <n v="0"/>
  </r>
  <r>
    <n v="101428"/>
    <d v="2025-10-31T00:00:00"/>
    <n v="1079"/>
    <x v="1"/>
    <x v="2"/>
    <x v="0"/>
    <x v="3"/>
    <x v="0"/>
    <s v="Card"/>
    <n v="14.9"/>
    <n v="14.49"/>
    <x v="3"/>
    <n v="0"/>
    <n v="215.9"/>
    <n v="100.91"/>
    <n v="6.86"/>
    <n v="3.24"/>
    <n v="2.92"/>
    <n v="0"/>
    <n v="0"/>
    <n v="113.93"/>
    <n v="101.97"/>
    <s v="Profit"/>
    <x v="0"/>
    <n v="17"/>
    <n v="15"/>
    <s v="16-30"/>
    <s v="No"/>
    <n v="0"/>
    <s v="Healthy"/>
    <n v="0"/>
  </r>
  <r>
    <n v="101429"/>
    <d v="2025-12-19T00:00:00"/>
    <n v="1111"/>
    <x v="0"/>
    <x v="6"/>
    <x v="1"/>
    <x v="2"/>
    <x v="2"/>
    <s v="Fleet_Invoice"/>
    <n v="31.02"/>
    <n v="17.71"/>
    <x v="3"/>
    <n v="0"/>
    <n v="549.36"/>
    <n v="182.78"/>
    <n v="7.57"/>
    <n v="2.2000000000000002"/>
    <n v="6.93"/>
    <n v="0"/>
    <n v="0"/>
    <n v="199.48"/>
    <n v="349.88"/>
    <s v="Profit"/>
    <x v="0"/>
    <n v="9"/>
    <n v="1"/>
    <s v="0-15"/>
    <s v="No"/>
    <n v="0"/>
    <s v="Healthy"/>
    <n v="0"/>
  </r>
  <r>
    <n v="101430"/>
    <d v="2025-10-11T00:00:00"/>
    <n v="1084"/>
    <x v="0"/>
    <x v="11"/>
    <x v="2"/>
    <x v="3"/>
    <x v="0"/>
    <s v="UPI"/>
    <n v="20.239999999999998"/>
    <n v="13.72"/>
    <x v="3"/>
    <n v="0"/>
    <n v="277.69"/>
    <n v="146.29"/>
    <n v="5.8"/>
    <n v="1.94"/>
    <n v="12.47"/>
    <n v="0"/>
    <n v="0"/>
    <n v="166.5"/>
    <n v="111.19"/>
    <s v="Profit"/>
    <x v="0"/>
    <n v="3"/>
    <n v="3"/>
    <s v="0-15"/>
    <s v="No"/>
    <n v="0"/>
    <s v="Healthy"/>
    <n v="0"/>
  </r>
  <r>
    <n v="101431"/>
    <d v="2025-10-29T00:00:00"/>
    <n v="1074"/>
    <x v="0"/>
    <x v="0"/>
    <x v="3"/>
    <x v="3"/>
    <x v="0"/>
    <s v="Card"/>
    <n v="24.23"/>
    <n v="12.36"/>
    <x v="3"/>
    <n v="0"/>
    <n v="299.48"/>
    <n v="166.44"/>
    <n v="5.35"/>
    <n v="4.49"/>
    <n v="2.2799999999999998"/>
    <n v="0"/>
    <n v="0"/>
    <n v="178.56"/>
    <n v="120.92"/>
    <s v="Profit"/>
    <x v="0"/>
    <n v="12"/>
    <n v="19"/>
    <s v="0-15"/>
    <s v="Yes"/>
    <n v="1"/>
    <s v="At Risk"/>
    <n v="1"/>
  </r>
  <r>
    <n v="101432"/>
    <d v="2025-10-05T00:00:00"/>
    <n v="1088"/>
    <x v="3"/>
    <x v="8"/>
    <x v="1"/>
    <x v="1"/>
    <x v="0"/>
    <s v="Fleet_Invoice"/>
    <n v="35.53"/>
    <n v="15.95"/>
    <x v="3"/>
    <n v="0"/>
    <n v="566.70000000000005"/>
    <n v="268.41000000000003"/>
    <n v="6.64"/>
    <n v="2.27"/>
    <n v="3.08"/>
    <n v="0"/>
    <n v="0"/>
    <n v="280.39999999999998"/>
    <n v="286.3"/>
    <s v="Profit"/>
    <x v="0"/>
    <n v="1"/>
    <n v="5"/>
    <s v="0-15"/>
    <s v="No"/>
    <n v="0"/>
    <s v="Healthy"/>
    <n v="0"/>
  </r>
  <r>
    <n v="101433"/>
    <d v="2025-12-28T00:00:00"/>
    <n v="1134"/>
    <x v="2"/>
    <x v="9"/>
    <x v="1"/>
    <x v="0"/>
    <x v="0"/>
    <s v="UPI"/>
    <n v="31.03"/>
    <n v="17.84"/>
    <x v="4"/>
    <n v="27.68"/>
    <n v="525.9"/>
    <n v="249.16"/>
    <n v="7.48"/>
    <n v="3.88"/>
    <n v="0"/>
    <n v="0"/>
    <n v="0"/>
    <n v="260.52"/>
    <n v="265.38"/>
    <s v="Profit"/>
    <x v="0"/>
    <n v="12"/>
    <n v="10"/>
    <s v="0-15"/>
    <s v="No"/>
    <n v="0"/>
    <s v="Healthy"/>
    <n v="0"/>
  </r>
  <r>
    <n v="101434"/>
    <d v="2025-12-03T00:00:00"/>
    <n v="1082"/>
    <x v="0"/>
    <x v="0"/>
    <x v="0"/>
    <x v="1"/>
    <x v="2"/>
    <s v="UPI"/>
    <n v="25.43"/>
    <n v="17.04"/>
    <x v="1"/>
    <n v="86.67"/>
    <n v="346.66"/>
    <n v="178.58"/>
    <n v="13.11"/>
    <n v="3.03"/>
    <n v="10.3"/>
    <n v="0"/>
    <n v="0"/>
    <n v="205.02"/>
    <n v="141.63999999999999"/>
    <s v="Profit"/>
    <x v="0"/>
    <n v="3"/>
    <n v="14"/>
    <s v="0-15"/>
    <s v="No"/>
    <n v="0"/>
    <s v="Healthy"/>
    <n v="0"/>
  </r>
  <r>
    <n v="101435"/>
    <d v="2025-10-05T00:00:00"/>
    <n v="1145"/>
    <x v="2"/>
    <x v="12"/>
    <x v="0"/>
    <x v="3"/>
    <x v="0"/>
    <s v="UPI"/>
    <n v="25.21"/>
    <n v="13.24"/>
    <x v="3"/>
    <n v="0"/>
    <n v="333.78"/>
    <n v="149.12"/>
    <n v="7.08"/>
    <n v="2.34"/>
    <n v="0.98"/>
    <n v="0"/>
    <n v="0"/>
    <n v="159.52000000000001"/>
    <n v="174.26"/>
    <s v="Profit"/>
    <x v="0"/>
    <n v="10"/>
    <n v="8"/>
    <s v="0-15"/>
    <s v="No"/>
    <n v="0"/>
    <s v="Healthy"/>
    <n v="0"/>
  </r>
  <r>
    <n v="101436"/>
    <d v="2025-12-23T00:00:00"/>
    <n v="1087"/>
    <x v="0"/>
    <x v="1"/>
    <x v="1"/>
    <x v="3"/>
    <x v="0"/>
    <s v="UPI"/>
    <n v="12.7"/>
    <n v="13.11"/>
    <x v="2"/>
    <n v="16.649999999999999"/>
    <n v="149.85"/>
    <n v="85.02"/>
    <n v="6.57"/>
    <n v="1.17"/>
    <n v="12.25"/>
    <n v="0"/>
    <n v="0"/>
    <n v="105.01"/>
    <n v="44.84"/>
    <s v="Profit"/>
    <x v="0"/>
    <n v="2"/>
    <n v="2"/>
    <s v="0-15"/>
    <s v="No"/>
    <n v="0"/>
    <s v="Healthy"/>
    <n v="0"/>
  </r>
  <r>
    <n v="101437"/>
    <d v="2025-10-03T00:00:00"/>
    <n v="1099"/>
    <x v="0"/>
    <x v="1"/>
    <x v="0"/>
    <x v="1"/>
    <x v="0"/>
    <s v="Fleet_Invoice"/>
    <n v="27.21"/>
    <n v="15.46"/>
    <x v="2"/>
    <n v="42.07"/>
    <n v="378.6"/>
    <n v="192.96"/>
    <n v="5.29"/>
    <n v="1.68"/>
    <n v="3.3"/>
    <n v="0"/>
    <n v="0"/>
    <n v="203.23"/>
    <n v="175.37"/>
    <s v="Profit"/>
    <x v="0"/>
    <n v="2"/>
    <n v="7"/>
    <s v="0-15"/>
    <s v="No"/>
    <n v="0"/>
    <s v="Healthy"/>
    <n v="0"/>
  </r>
  <r>
    <n v="101438"/>
    <d v="2025-11-17T00:00:00"/>
    <n v="1033"/>
    <x v="3"/>
    <x v="15"/>
    <x v="3"/>
    <x v="1"/>
    <x v="0"/>
    <s v="UPI"/>
    <n v="18.100000000000001"/>
    <n v="14.39"/>
    <x v="2"/>
    <n v="26.05"/>
    <n v="234.41"/>
    <n v="126.68"/>
    <n v="9.4"/>
    <n v="1.82"/>
    <n v="0.93"/>
    <n v="0"/>
    <n v="0"/>
    <n v="138.83000000000001"/>
    <n v="95.58"/>
    <s v="Profit"/>
    <x v="0"/>
    <n v="13"/>
    <n v="36"/>
    <s v="0-15"/>
    <s v="Yes"/>
    <n v="2"/>
    <s v="At Risk"/>
    <n v="1"/>
  </r>
  <r>
    <n v="101439"/>
    <d v="2025-12-24T00:00:00"/>
    <n v="1107"/>
    <x v="2"/>
    <x v="10"/>
    <x v="2"/>
    <x v="3"/>
    <x v="2"/>
    <s v="Card"/>
    <n v="8.49"/>
    <n v="14.45"/>
    <x v="3"/>
    <n v="0"/>
    <n v="122.68"/>
    <n v="54.64"/>
    <n v="6.05"/>
    <n v="1.84"/>
    <n v="2.15"/>
    <n v="0"/>
    <n v="0"/>
    <n v="64.680000000000007"/>
    <n v="58"/>
    <s v="Profit"/>
    <x v="0"/>
    <n v="38"/>
    <n v="16"/>
    <s v="30+"/>
    <s v="Yes"/>
    <n v="1"/>
    <s v="At Risk"/>
    <n v="1"/>
  </r>
  <r>
    <n v="101440"/>
    <d v="2025-11-15T00:00:00"/>
    <n v="1007"/>
    <x v="0"/>
    <x v="6"/>
    <x v="2"/>
    <x v="2"/>
    <x v="2"/>
    <s v="UPI"/>
    <n v="43.27"/>
    <n v="19.440000000000001"/>
    <x v="3"/>
    <n v="0"/>
    <n v="841.17"/>
    <n v="309.14"/>
    <n v="7.14"/>
    <n v="5.89"/>
    <n v="11.5"/>
    <n v="352.23"/>
    <n v="24.26"/>
    <n v="710.16"/>
    <n v="131.01"/>
    <s v="Profit"/>
    <x v="2"/>
    <n v="7"/>
    <n v="12"/>
    <s v="0-15"/>
    <s v="No"/>
    <n v="3"/>
    <s v="At Risk"/>
    <n v="0"/>
  </r>
  <r>
    <n v="101441"/>
    <d v="2025-11-09T00:00:00"/>
    <n v="1052"/>
    <x v="1"/>
    <x v="2"/>
    <x v="4"/>
    <x v="2"/>
    <x v="1"/>
    <s v="UPI"/>
    <n v="35.549999999999997"/>
    <n v="16.43"/>
    <x v="1"/>
    <n v="116.82"/>
    <n v="467.27"/>
    <n v="205.71"/>
    <n v="12.15"/>
    <n v="4.09"/>
    <n v="6.28"/>
    <n v="0"/>
    <n v="0"/>
    <n v="228.23"/>
    <n v="239.04"/>
    <s v="Profit"/>
    <x v="0"/>
    <n v="0"/>
    <n v="8"/>
    <s v="0-15"/>
    <s v="No"/>
    <n v="0"/>
    <s v="Healthy"/>
    <n v="0"/>
  </r>
  <r>
    <n v="101442"/>
    <d v="2025-10-13T00:00:00"/>
    <n v="1138"/>
    <x v="0"/>
    <x v="6"/>
    <x v="4"/>
    <x v="3"/>
    <x v="0"/>
    <s v="Wallet"/>
    <n v="13.61"/>
    <n v="12.36"/>
    <x v="2"/>
    <n v="16.82"/>
    <n v="151.4"/>
    <n v="87.01"/>
    <n v="9.4700000000000006"/>
    <n v="2.02"/>
    <n v="7.68"/>
    <n v="0"/>
    <n v="0"/>
    <n v="106.18"/>
    <n v="45.22"/>
    <s v="Profit"/>
    <x v="0"/>
    <n v="14"/>
    <n v="3"/>
    <s v="0-15"/>
    <s v="No"/>
    <n v="0"/>
    <s v="Healthy"/>
    <n v="0"/>
  </r>
  <r>
    <n v="101443"/>
    <d v="2025-10-09T00:00:00"/>
    <n v="1109"/>
    <x v="1"/>
    <x v="3"/>
    <x v="3"/>
    <x v="3"/>
    <x v="0"/>
    <s v="UPI"/>
    <n v="16.22"/>
    <n v="12.02"/>
    <x v="2"/>
    <n v="19.5"/>
    <n v="175.46"/>
    <n v="117.46"/>
    <n v="1.0900000000000001"/>
    <n v="1.36"/>
    <n v="2.98"/>
    <n v="0"/>
    <n v="0"/>
    <n v="122.89"/>
    <n v="52.57"/>
    <s v="Profit"/>
    <x v="0"/>
    <n v="20"/>
    <n v="8"/>
    <s v="16-30"/>
    <s v="No"/>
    <n v="0"/>
    <s v="Healthy"/>
    <n v="0"/>
  </r>
  <r>
    <n v="101444"/>
    <d v="2025-10-23T00:00:00"/>
    <n v="1037"/>
    <x v="3"/>
    <x v="14"/>
    <x v="3"/>
    <x v="3"/>
    <x v="0"/>
    <s v="Card"/>
    <n v="8.06"/>
    <n v="12.68"/>
    <x v="3"/>
    <n v="0"/>
    <n v="102.2"/>
    <n v="56.39"/>
    <n v="9"/>
    <n v="1.53"/>
    <n v="0"/>
    <n v="0"/>
    <n v="0"/>
    <n v="66.92"/>
    <n v="35.28"/>
    <s v="Profit"/>
    <x v="0"/>
    <n v="14"/>
    <n v="2"/>
    <s v="0-15"/>
    <s v="No"/>
    <n v="0"/>
    <s v="Healthy"/>
    <n v="0"/>
  </r>
  <r>
    <n v="101445"/>
    <d v="2025-12-05T00:00:00"/>
    <n v="1034"/>
    <x v="0"/>
    <x v="6"/>
    <x v="2"/>
    <x v="1"/>
    <x v="1"/>
    <s v="Wallet"/>
    <n v="25.82"/>
    <n v="14.64"/>
    <x v="3"/>
    <n v="0"/>
    <n v="378"/>
    <n v="214.06"/>
    <n v="3.52"/>
    <n v="4.54"/>
    <n v="5.76"/>
    <n v="267.14"/>
    <n v="4.88"/>
    <n v="499.9"/>
    <n v="-121.9"/>
    <s v="Loss"/>
    <x v="2"/>
    <n v="5"/>
    <n v="0"/>
    <s v="0-15"/>
    <s v="No"/>
    <n v="1"/>
    <s v="At Risk"/>
    <n v="0"/>
  </r>
  <r>
    <n v="101446"/>
    <d v="2025-12-31T00:00:00"/>
    <n v="1054"/>
    <x v="1"/>
    <x v="4"/>
    <x v="1"/>
    <x v="0"/>
    <x v="1"/>
    <s v="UPI"/>
    <n v="29.43"/>
    <n v="19.39"/>
    <x v="3"/>
    <n v="0"/>
    <n v="570.65"/>
    <n v="260.29000000000002"/>
    <n v="13.54"/>
    <n v="3.99"/>
    <n v="0.84"/>
    <n v="342.41"/>
    <n v="5.93"/>
    <n v="627"/>
    <n v="-56.35"/>
    <s v="Loss"/>
    <x v="2"/>
    <n v="19"/>
    <n v="3"/>
    <s v="16-30"/>
    <s v="No"/>
    <n v="2"/>
    <s v="At Risk"/>
    <n v="0"/>
  </r>
  <r>
    <n v="101447"/>
    <d v="2025-12-03T00:00:00"/>
    <n v="1084"/>
    <x v="1"/>
    <x v="3"/>
    <x v="3"/>
    <x v="3"/>
    <x v="0"/>
    <s v="UPI"/>
    <n v="16.25"/>
    <n v="11.69"/>
    <x v="2"/>
    <n v="19"/>
    <n v="170.96"/>
    <n v="108.08"/>
    <n v="7.56"/>
    <n v="1.33"/>
    <n v="0"/>
    <n v="0"/>
    <n v="0"/>
    <n v="116.97"/>
    <n v="53.99"/>
    <s v="Profit"/>
    <x v="0"/>
    <n v="27"/>
    <n v="3"/>
    <s v="16-30"/>
    <s v="Yes"/>
    <n v="2"/>
    <s v="At Risk"/>
    <n v="1"/>
  </r>
  <r>
    <n v="101448"/>
    <d v="2025-11-21T00:00:00"/>
    <n v="1060"/>
    <x v="3"/>
    <x v="8"/>
    <x v="4"/>
    <x v="2"/>
    <x v="2"/>
    <s v="Fleet_Invoice"/>
    <n v="31.37"/>
    <n v="17.87"/>
    <x v="0"/>
    <n v="84.09"/>
    <n v="476.49"/>
    <n v="193.88"/>
    <n v="8.24"/>
    <n v="2.2400000000000002"/>
    <n v="3.82"/>
    <n v="0"/>
    <n v="0"/>
    <n v="208.18"/>
    <n v="268.31"/>
    <s v="Profit"/>
    <x v="0"/>
    <n v="7"/>
    <n v="1"/>
    <s v="0-15"/>
    <s v="No"/>
    <n v="0"/>
    <s v="Healthy"/>
    <n v="0"/>
  </r>
  <r>
    <n v="101449"/>
    <d v="2025-12-01T00:00:00"/>
    <n v="1089"/>
    <x v="1"/>
    <x v="4"/>
    <x v="3"/>
    <x v="1"/>
    <x v="2"/>
    <s v="UPI"/>
    <n v="27.35"/>
    <n v="14.44"/>
    <x v="2"/>
    <n v="39.49"/>
    <n v="355.44"/>
    <n v="170.24"/>
    <n v="7.65"/>
    <n v="2.76"/>
    <n v="4.22"/>
    <n v="0"/>
    <n v="0"/>
    <n v="184.87"/>
    <n v="170.57"/>
    <s v="Profit"/>
    <x v="0"/>
    <n v="10"/>
    <n v="2"/>
    <s v="0-15"/>
    <s v="No"/>
    <n v="0"/>
    <s v="Healthy"/>
    <n v="0"/>
  </r>
  <r>
    <n v="101450"/>
    <d v="2025-12-09T00:00:00"/>
    <n v="1101"/>
    <x v="1"/>
    <x v="13"/>
    <x v="4"/>
    <x v="2"/>
    <x v="0"/>
    <s v="UPI"/>
    <n v="33.72"/>
    <n v="18.41"/>
    <x v="3"/>
    <n v="0"/>
    <n v="620.79"/>
    <n v="281.05"/>
    <n v="11.54"/>
    <n v="4.3499999999999996"/>
    <n v="8.5299999999999994"/>
    <n v="0"/>
    <n v="0"/>
    <n v="305.47000000000003"/>
    <n v="315.32"/>
    <s v="Profit"/>
    <x v="0"/>
    <n v="22"/>
    <n v="18"/>
    <s v="16-30"/>
    <s v="Yes"/>
    <n v="1"/>
    <s v="At Risk"/>
    <n v="1"/>
  </r>
  <r>
    <n v="101451"/>
    <d v="2025-10-05T00:00:00"/>
    <n v="1051"/>
    <x v="0"/>
    <x v="11"/>
    <x v="3"/>
    <x v="1"/>
    <x v="0"/>
    <s v="Wallet"/>
    <n v="37.57"/>
    <n v="15.92"/>
    <x v="3"/>
    <n v="0"/>
    <n v="598.11"/>
    <n v="246.77"/>
    <n v="11.22"/>
    <n v="7.18"/>
    <n v="1.53"/>
    <n v="0"/>
    <n v="0"/>
    <n v="266.7"/>
    <n v="331.41"/>
    <s v="Profit"/>
    <x v="0"/>
    <n v="9"/>
    <n v="30"/>
    <s v="0-15"/>
    <s v="Yes"/>
    <n v="2"/>
    <s v="At Risk"/>
    <n v="1"/>
  </r>
  <r>
    <n v="101452"/>
    <d v="2025-10-15T00:00:00"/>
    <n v="1082"/>
    <x v="0"/>
    <x v="6"/>
    <x v="1"/>
    <x v="3"/>
    <x v="0"/>
    <s v="UPI"/>
    <n v="3"/>
    <n v="12.6"/>
    <x v="3"/>
    <n v="0"/>
    <n v="37.799999999999997"/>
    <n v="23.57"/>
    <n v="7.32"/>
    <n v="0.26"/>
    <n v="3.03"/>
    <n v="0"/>
    <n v="0"/>
    <n v="34.18"/>
    <n v="3.62"/>
    <s v="Profit"/>
    <x v="0"/>
    <n v="4"/>
    <n v="46"/>
    <s v="0-15"/>
    <s v="Yes"/>
    <n v="1"/>
    <s v="At Risk"/>
    <n v="1"/>
  </r>
  <r>
    <n v="101453"/>
    <d v="2025-12-29T00:00:00"/>
    <n v="1030"/>
    <x v="1"/>
    <x v="2"/>
    <x v="2"/>
    <x v="1"/>
    <x v="0"/>
    <s v="Fleet_Invoice"/>
    <n v="17.88"/>
    <n v="16.09"/>
    <x v="4"/>
    <n v="14.38"/>
    <n v="273.31"/>
    <n v="133.19999999999999"/>
    <n v="8.4499999999999993"/>
    <n v="1.1499999999999999"/>
    <n v="7.01"/>
    <n v="0"/>
    <n v="0"/>
    <n v="149.81"/>
    <n v="123.5"/>
    <s v="Profit"/>
    <x v="0"/>
    <n v="5"/>
    <n v="18"/>
    <s v="0-15"/>
    <s v="Yes"/>
    <n v="1"/>
    <s v="At Risk"/>
    <n v="1"/>
  </r>
  <r>
    <n v="101454"/>
    <d v="2025-12-06T00:00:00"/>
    <n v="1020"/>
    <x v="2"/>
    <x v="10"/>
    <x v="0"/>
    <x v="1"/>
    <x v="0"/>
    <s v="Wallet"/>
    <n v="20.67"/>
    <n v="14.53"/>
    <x v="3"/>
    <n v="0"/>
    <n v="300.33999999999997"/>
    <n v="161.32"/>
    <n v="10.67"/>
    <n v="3.6"/>
    <n v="1.18"/>
    <n v="0"/>
    <n v="0"/>
    <n v="176.77"/>
    <n v="123.57"/>
    <s v="Profit"/>
    <x v="0"/>
    <n v="7"/>
    <n v="0"/>
    <s v="0-15"/>
    <s v="No"/>
    <n v="0"/>
    <s v="Healthy"/>
    <n v="0"/>
  </r>
  <r>
    <n v="101455"/>
    <d v="2025-10-09T00:00:00"/>
    <n v="1148"/>
    <x v="3"/>
    <x v="15"/>
    <x v="3"/>
    <x v="3"/>
    <x v="0"/>
    <s v="UPI"/>
    <n v="18.79"/>
    <n v="12.31"/>
    <x v="0"/>
    <n v="34.700000000000003"/>
    <n v="196.6"/>
    <n v="134.18"/>
    <n v="9.48"/>
    <n v="1.62"/>
    <n v="4.18"/>
    <n v="0"/>
    <n v="0"/>
    <n v="149.46"/>
    <n v="47.14"/>
    <s v="Profit"/>
    <x v="0"/>
    <n v="12"/>
    <n v="3"/>
    <s v="0-15"/>
    <s v="No"/>
    <n v="0"/>
    <s v="Healthy"/>
    <n v="0"/>
  </r>
  <r>
    <n v="101456"/>
    <d v="2025-10-10T00:00:00"/>
    <n v="1122"/>
    <x v="0"/>
    <x v="6"/>
    <x v="2"/>
    <x v="3"/>
    <x v="1"/>
    <s v="UPI"/>
    <n v="3"/>
    <n v="12.71"/>
    <x v="3"/>
    <n v="0"/>
    <n v="38.130000000000003"/>
    <n v="25.46"/>
    <n v="9.19"/>
    <n v="0.27"/>
    <n v="0.2"/>
    <n v="19.16"/>
    <n v="17.5"/>
    <n v="71.78"/>
    <n v="-33.65"/>
    <s v="Loss"/>
    <x v="2"/>
    <n v="59"/>
    <n v="9"/>
    <s v="30+"/>
    <s v="Yes"/>
    <n v="2"/>
    <s v="At Risk"/>
    <n v="1"/>
  </r>
  <r>
    <n v="101457"/>
    <d v="2025-10-29T00:00:00"/>
    <n v="1044"/>
    <x v="0"/>
    <x v="11"/>
    <x v="2"/>
    <x v="2"/>
    <x v="0"/>
    <s v="Wallet"/>
    <n v="37.85"/>
    <n v="17.16"/>
    <x v="2"/>
    <n v="64.95"/>
    <n v="584.55999999999995"/>
    <n v="251.9"/>
    <n v="7.13"/>
    <n v="7.79"/>
    <n v="13.09"/>
    <n v="0"/>
    <n v="0"/>
    <n v="279.91000000000003"/>
    <n v="304.64999999999998"/>
    <s v="Profit"/>
    <x v="0"/>
    <n v="3"/>
    <n v="9"/>
    <s v="0-15"/>
    <s v="No"/>
    <n v="0"/>
    <s v="Healthy"/>
    <n v="0"/>
  </r>
  <r>
    <n v="101458"/>
    <d v="2025-11-04T00:00:00"/>
    <n v="1030"/>
    <x v="0"/>
    <x v="1"/>
    <x v="3"/>
    <x v="3"/>
    <x v="0"/>
    <s v="UPI"/>
    <n v="16.21"/>
    <n v="13.42"/>
    <x v="3"/>
    <n v="0"/>
    <n v="217.54"/>
    <n v="111"/>
    <n v="10.47"/>
    <n v="1.52"/>
    <n v="6.91"/>
    <n v="113.49"/>
    <n v="0"/>
    <n v="243.39"/>
    <n v="-25.85"/>
    <s v="Loss"/>
    <x v="1"/>
    <n v="12"/>
    <n v="1"/>
    <s v="0-15"/>
    <s v="Yes"/>
    <n v="1"/>
    <s v="At Risk"/>
    <n v="1"/>
  </r>
  <r>
    <n v="101459"/>
    <d v="2025-10-10T00:00:00"/>
    <n v="1136"/>
    <x v="0"/>
    <x v="6"/>
    <x v="4"/>
    <x v="3"/>
    <x v="0"/>
    <s v="UPI"/>
    <n v="18.27"/>
    <n v="14.38"/>
    <x v="2"/>
    <n v="26.27"/>
    <n v="236.45"/>
    <n v="135"/>
    <n v="7.7"/>
    <n v="1.84"/>
    <n v="6.43"/>
    <n v="0"/>
    <n v="0"/>
    <n v="150.97"/>
    <n v="85.48"/>
    <s v="Profit"/>
    <x v="0"/>
    <n v="11"/>
    <n v="1"/>
    <s v="0-15"/>
    <s v="No"/>
    <n v="2"/>
    <s v="Healthy"/>
    <n v="0"/>
  </r>
  <r>
    <n v="101460"/>
    <d v="2025-11-08T00:00:00"/>
    <n v="1061"/>
    <x v="1"/>
    <x v="2"/>
    <x v="4"/>
    <x v="1"/>
    <x v="2"/>
    <s v="Fleet_Invoice"/>
    <n v="32.28"/>
    <n v="15.84"/>
    <x v="2"/>
    <n v="51.13"/>
    <n v="460.19"/>
    <n v="257.02999999999997"/>
    <n v="10.62"/>
    <n v="2.0499999999999998"/>
    <n v="3.62"/>
    <n v="0"/>
    <n v="0"/>
    <n v="273.32"/>
    <n v="186.87"/>
    <s v="Profit"/>
    <x v="0"/>
    <n v="0"/>
    <n v="12"/>
    <s v="0-15"/>
    <s v="No"/>
    <n v="0"/>
    <s v="Healthy"/>
    <n v="0"/>
  </r>
  <r>
    <n v="101461"/>
    <d v="2025-12-31T00:00:00"/>
    <n v="1135"/>
    <x v="0"/>
    <x v="0"/>
    <x v="2"/>
    <x v="3"/>
    <x v="1"/>
    <s v="UPI"/>
    <n v="3.4"/>
    <n v="12.97"/>
    <x v="3"/>
    <n v="0"/>
    <n v="44.1"/>
    <n v="28.22"/>
    <n v="9.89"/>
    <n v="0.31"/>
    <n v="4.29"/>
    <n v="0"/>
    <n v="0"/>
    <n v="42.71"/>
    <n v="1.39"/>
    <s v="Profit"/>
    <x v="0"/>
    <n v="16"/>
    <n v="0"/>
    <s v="16-30"/>
    <s v="No"/>
    <n v="0"/>
    <s v="Healthy"/>
    <n v="0"/>
  </r>
  <r>
    <n v="101462"/>
    <d v="2025-10-07T00:00:00"/>
    <n v="1028"/>
    <x v="0"/>
    <x v="6"/>
    <x v="4"/>
    <x v="1"/>
    <x v="1"/>
    <s v="UPI"/>
    <n v="28.24"/>
    <n v="16.28"/>
    <x v="2"/>
    <n v="45.98"/>
    <n v="413.77"/>
    <n v="217.15"/>
    <n v="10.99"/>
    <n v="3.22"/>
    <n v="15.27"/>
    <n v="0"/>
    <n v="0"/>
    <n v="246.63"/>
    <n v="167.14"/>
    <s v="Profit"/>
    <x v="0"/>
    <n v="2"/>
    <n v="7"/>
    <s v="0-15"/>
    <s v="No"/>
    <n v="0"/>
    <s v="Healthy"/>
    <n v="0"/>
  </r>
  <r>
    <n v="101463"/>
    <d v="2025-12-02T00:00:00"/>
    <n v="1025"/>
    <x v="0"/>
    <x v="0"/>
    <x v="3"/>
    <x v="3"/>
    <x v="2"/>
    <s v="Card"/>
    <n v="33.26"/>
    <n v="12.6"/>
    <x v="3"/>
    <n v="0"/>
    <n v="419.08"/>
    <n v="266.86"/>
    <n v="5.74"/>
    <n v="6.29"/>
    <n v="11.83"/>
    <n v="0"/>
    <n v="0"/>
    <n v="290.72000000000003"/>
    <n v="128.36000000000001"/>
    <s v="Profit"/>
    <x v="0"/>
    <n v="0"/>
    <n v="14"/>
    <s v="0-15"/>
    <s v="No"/>
    <n v="1"/>
    <s v="Healthy"/>
    <n v="0"/>
  </r>
  <r>
    <n v="101464"/>
    <d v="2025-12-16T00:00:00"/>
    <n v="1050"/>
    <x v="2"/>
    <x v="5"/>
    <x v="3"/>
    <x v="1"/>
    <x v="0"/>
    <s v="UPI"/>
    <n v="37.01"/>
    <n v="15.13"/>
    <x v="3"/>
    <n v="0"/>
    <n v="559.96"/>
    <n v="317.32"/>
    <n v="8.83"/>
    <n v="3.92"/>
    <n v="2.79"/>
    <n v="258.83"/>
    <n v="0"/>
    <n v="591.69000000000005"/>
    <n v="-31.73"/>
    <s v="Loss"/>
    <x v="1"/>
    <n v="24"/>
    <n v="5"/>
    <s v="16-30"/>
    <s v="Yes"/>
    <n v="1"/>
    <s v="At Risk"/>
    <n v="1"/>
  </r>
  <r>
    <n v="101465"/>
    <d v="2025-11-17T00:00:00"/>
    <n v="1006"/>
    <x v="3"/>
    <x v="7"/>
    <x v="3"/>
    <x v="3"/>
    <x v="0"/>
    <s v="UPI"/>
    <n v="15.83"/>
    <n v="11.93"/>
    <x v="4"/>
    <n v="9.44"/>
    <n v="179.41"/>
    <n v="128.97999999999999"/>
    <n v="12.09"/>
    <n v="1.32"/>
    <n v="4.3899999999999997"/>
    <n v="0"/>
    <n v="0"/>
    <n v="146.78"/>
    <n v="32.630000000000003"/>
    <s v="Profit"/>
    <x v="0"/>
    <n v="12"/>
    <n v="11"/>
    <s v="0-15"/>
    <s v="No"/>
    <n v="0"/>
    <s v="Healthy"/>
    <n v="0"/>
  </r>
  <r>
    <n v="101466"/>
    <d v="2025-10-29T00:00:00"/>
    <n v="1146"/>
    <x v="3"/>
    <x v="8"/>
    <x v="3"/>
    <x v="2"/>
    <x v="0"/>
    <s v="UPI"/>
    <n v="28.82"/>
    <n v="17.39"/>
    <x v="3"/>
    <n v="0"/>
    <n v="501.18"/>
    <n v="191.79"/>
    <n v="10.38"/>
    <n v="3.51"/>
    <n v="15.49"/>
    <n v="0"/>
    <n v="0"/>
    <n v="221.17"/>
    <n v="280.01"/>
    <s v="Profit"/>
    <x v="0"/>
    <n v="2"/>
    <n v="0"/>
    <s v="0-15"/>
    <s v="No"/>
    <n v="0"/>
    <s v="Healthy"/>
    <n v="0"/>
  </r>
  <r>
    <n v="101467"/>
    <d v="2025-12-27T00:00:00"/>
    <n v="1050"/>
    <x v="3"/>
    <x v="7"/>
    <x v="0"/>
    <x v="0"/>
    <x v="0"/>
    <s v="UPI"/>
    <n v="24.94"/>
    <n v="20.399999999999999"/>
    <x v="4"/>
    <n v="25.44"/>
    <n v="483.34"/>
    <n v="155.27000000000001"/>
    <n v="8.02"/>
    <n v="3.56"/>
    <n v="7.2"/>
    <n v="0"/>
    <n v="0"/>
    <n v="174.05"/>
    <n v="309.29000000000002"/>
    <s v="Profit"/>
    <x v="0"/>
    <n v="16"/>
    <n v="6"/>
    <s v="16-30"/>
    <s v="No"/>
    <n v="0"/>
    <s v="Healthy"/>
    <n v="0"/>
  </r>
  <r>
    <n v="101468"/>
    <d v="2025-10-29T00:00:00"/>
    <n v="1084"/>
    <x v="1"/>
    <x v="4"/>
    <x v="1"/>
    <x v="2"/>
    <x v="0"/>
    <s v="Card"/>
    <n v="24.61"/>
    <n v="17.68"/>
    <x v="3"/>
    <n v="0"/>
    <n v="435.1"/>
    <n v="170.6"/>
    <n v="7.93"/>
    <n v="6.53"/>
    <n v="9.48"/>
    <n v="0"/>
    <n v="0"/>
    <n v="194.54"/>
    <n v="240.56"/>
    <s v="Profit"/>
    <x v="0"/>
    <n v="3"/>
    <n v="19"/>
    <s v="0-15"/>
    <s v="Yes"/>
    <n v="2"/>
    <s v="At Risk"/>
    <n v="1"/>
  </r>
  <r>
    <n v="101469"/>
    <d v="2025-10-23T00:00:00"/>
    <n v="1149"/>
    <x v="1"/>
    <x v="2"/>
    <x v="2"/>
    <x v="1"/>
    <x v="1"/>
    <s v="UPI"/>
    <n v="39.869999999999997"/>
    <n v="16.29"/>
    <x v="3"/>
    <n v="0"/>
    <n v="649.48"/>
    <n v="253.35"/>
    <n v="7.77"/>
    <n v="4.55"/>
    <n v="4.42"/>
    <n v="280.45"/>
    <n v="10.31"/>
    <n v="560.85"/>
    <n v="88.63"/>
    <s v="Profit"/>
    <x v="2"/>
    <n v="3"/>
    <n v="0"/>
    <s v="0-15"/>
    <s v="No"/>
    <n v="1"/>
    <s v="At Risk"/>
    <n v="0"/>
  </r>
  <r>
    <n v="101470"/>
    <d v="2025-12-26T00:00:00"/>
    <n v="1028"/>
    <x v="2"/>
    <x v="5"/>
    <x v="4"/>
    <x v="3"/>
    <x v="0"/>
    <s v="UPI"/>
    <n v="25.03"/>
    <n v="11.65"/>
    <x v="2"/>
    <n v="29.16"/>
    <n v="262.44"/>
    <n v="171.32"/>
    <n v="8.58"/>
    <n v="2.04"/>
    <n v="10.31"/>
    <n v="117.56"/>
    <n v="0"/>
    <n v="309.81"/>
    <n v="-47.37"/>
    <s v="Loss"/>
    <x v="2"/>
    <n v="14"/>
    <n v="33"/>
    <s v="0-15"/>
    <s v="Yes"/>
    <n v="1"/>
    <s v="At Risk"/>
    <n v="1"/>
  </r>
  <r>
    <n v="101471"/>
    <d v="2025-10-03T00:00:00"/>
    <n v="1014"/>
    <x v="1"/>
    <x v="3"/>
    <x v="0"/>
    <x v="3"/>
    <x v="0"/>
    <s v="UPI"/>
    <n v="13.73"/>
    <n v="13.67"/>
    <x v="4"/>
    <n v="9.3800000000000008"/>
    <n v="178.31"/>
    <n v="102.18"/>
    <n v="7.59"/>
    <n v="1.31"/>
    <n v="0.24"/>
    <n v="0"/>
    <n v="0"/>
    <n v="111.32"/>
    <n v="66.989999999999995"/>
    <s v="Profit"/>
    <x v="0"/>
    <n v="1"/>
    <n v="1"/>
    <s v="0-15"/>
    <s v="No"/>
    <n v="0"/>
    <s v="Healthy"/>
    <n v="0"/>
  </r>
  <r>
    <n v="101472"/>
    <d v="2025-11-24T00:00:00"/>
    <n v="1021"/>
    <x v="0"/>
    <x v="11"/>
    <x v="4"/>
    <x v="1"/>
    <x v="1"/>
    <s v="UPI"/>
    <n v="13.64"/>
    <n v="14.89"/>
    <x v="2"/>
    <n v="20.309999999999999"/>
    <n v="182.79"/>
    <n v="104.63"/>
    <n v="4.0999999999999996"/>
    <n v="1.42"/>
    <n v="0.73"/>
    <n v="125.23"/>
    <n v="23.02"/>
    <n v="259.13"/>
    <n v="-76.34"/>
    <s v="Loss"/>
    <x v="1"/>
    <n v="8"/>
    <n v="6"/>
    <s v="0-15"/>
    <s v="Yes"/>
    <n v="3"/>
    <s v="At Risk"/>
    <n v="1"/>
  </r>
  <r>
    <n v="101473"/>
    <d v="2025-10-15T00:00:00"/>
    <n v="1133"/>
    <x v="1"/>
    <x v="2"/>
    <x v="4"/>
    <x v="1"/>
    <x v="0"/>
    <s v="Wallet"/>
    <n v="26.43"/>
    <n v="15.75"/>
    <x v="4"/>
    <n v="20.81"/>
    <n v="395.46"/>
    <n v="219.36"/>
    <n v="7.47"/>
    <n v="5"/>
    <n v="9.41"/>
    <n v="0"/>
    <n v="0"/>
    <n v="241.24"/>
    <n v="154.22"/>
    <s v="Profit"/>
    <x v="0"/>
    <n v="7"/>
    <n v="7"/>
    <s v="0-15"/>
    <s v="No"/>
    <n v="0"/>
    <s v="Healthy"/>
    <n v="0"/>
  </r>
  <r>
    <n v="101474"/>
    <d v="2025-12-17T00:00:00"/>
    <n v="1044"/>
    <x v="2"/>
    <x v="9"/>
    <x v="2"/>
    <x v="3"/>
    <x v="2"/>
    <s v="UPI"/>
    <n v="21.22"/>
    <n v="12.9"/>
    <x v="2"/>
    <n v="27.37"/>
    <n v="246.37"/>
    <n v="166.15"/>
    <n v="10.06"/>
    <n v="1.92"/>
    <n v="7.64"/>
    <n v="0"/>
    <n v="0"/>
    <n v="185.77"/>
    <n v="60.6"/>
    <s v="Profit"/>
    <x v="0"/>
    <n v="1"/>
    <n v="0"/>
    <s v="0-15"/>
    <s v="No"/>
    <n v="0"/>
    <s v="Healthy"/>
    <n v="0"/>
  </r>
  <r>
    <n v="101475"/>
    <d v="2025-11-18T00:00:00"/>
    <n v="1122"/>
    <x v="0"/>
    <x v="11"/>
    <x v="4"/>
    <x v="3"/>
    <x v="0"/>
    <s v="Fleet_Invoice"/>
    <n v="16.66"/>
    <n v="12.47"/>
    <x v="0"/>
    <n v="31.16"/>
    <n v="176.59"/>
    <n v="123.64"/>
    <n v="7.69"/>
    <n v="0.83"/>
    <n v="0"/>
    <n v="0"/>
    <n v="0"/>
    <n v="132.16"/>
    <n v="44.43"/>
    <s v="Profit"/>
    <x v="0"/>
    <n v="27"/>
    <n v="8"/>
    <s v="16-30"/>
    <s v="Yes"/>
    <n v="3"/>
    <s v="At Risk"/>
    <n v="1"/>
  </r>
  <r>
    <n v="101476"/>
    <d v="2025-10-29T00:00:00"/>
    <n v="1034"/>
    <x v="3"/>
    <x v="14"/>
    <x v="0"/>
    <x v="2"/>
    <x v="0"/>
    <s v="Fleet_Invoice"/>
    <n v="31.87"/>
    <n v="17.760000000000002"/>
    <x v="3"/>
    <n v="0"/>
    <n v="566.01"/>
    <n v="251.92"/>
    <n v="14.82"/>
    <n v="2.2599999999999998"/>
    <n v="9.0399999999999991"/>
    <n v="0"/>
    <n v="0"/>
    <n v="278.04000000000002"/>
    <n v="287.97000000000003"/>
    <s v="Profit"/>
    <x v="0"/>
    <n v="1"/>
    <n v="0"/>
    <s v="0-15"/>
    <s v="No"/>
    <n v="0"/>
    <s v="Healthy"/>
    <n v="0"/>
  </r>
  <r>
    <n v="101477"/>
    <d v="2025-10-21T00:00:00"/>
    <n v="1036"/>
    <x v="1"/>
    <x v="3"/>
    <x v="0"/>
    <x v="1"/>
    <x v="0"/>
    <s v="Wallet"/>
    <n v="37.43"/>
    <n v="15.89"/>
    <x v="4"/>
    <n v="29.74"/>
    <n v="565.02"/>
    <n v="303.91000000000003"/>
    <n v="5.28"/>
    <n v="7.14"/>
    <n v="6.95"/>
    <n v="558.73"/>
    <n v="0"/>
    <n v="882.01"/>
    <n v="-316.99"/>
    <s v="Loss"/>
    <x v="1"/>
    <n v="8"/>
    <n v="9"/>
    <s v="0-15"/>
    <s v="Yes"/>
    <n v="4"/>
    <s v="At Risk"/>
    <n v="1"/>
  </r>
  <r>
    <n v="101478"/>
    <d v="2025-12-06T00:00:00"/>
    <n v="1147"/>
    <x v="0"/>
    <x v="1"/>
    <x v="3"/>
    <x v="3"/>
    <x v="2"/>
    <s v="UPI"/>
    <n v="10.76"/>
    <n v="13.67"/>
    <x v="3"/>
    <n v="0"/>
    <n v="147.09"/>
    <n v="90.19"/>
    <n v="9.3699999999999992"/>
    <n v="1.03"/>
    <n v="6.08"/>
    <n v="0"/>
    <n v="0"/>
    <n v="106.67"/>
    <n v="40.42"/>
    <s v="Profit"/>
    <x v="0"/>
    <n v="3"/>
    <n v="10"/>
    <s v="0-15"/>
    <s v="No"/>
    <n v="0"/>
    <s v="Healthy"/>
    <n v="0"/>
  </r>
  <r>
    <n v="101479"/>
    <d v="2025-10-21T00:00:00"/>
    <n v="1043"/>
    <x v="2"/>
    <x v="10"/>
    <x v="3"/>
    <x v="0"/>
    <x v="0"/>
    <s v="Fleet_Invoice"/>
    <n v="32.53"/>
    <n v="19.8"/>
    <x v="3"/>
    <n v="0"/>
    <n v="644.09"/>
    <n v="190.3"/>
    <n v="6.76"/>
    <n v="2.58"/>
    <n v="5.95"/>
    <n v="0"/>
    <n v="0"/>
    <n v="205.59"/>
    <n v="438.5"/>
    <s v="Profit"/>
    <x v="0"/>
    <n v="3"/>
    <n v="13"/>
    <s v="0-15"/>
    <s v="No"/>
    <n v="0"/>
    <s v="Healthy"/>
    <n v="0"/>
  </r>
  <r>
    <n v="101480"/>
    <d v="2025-11-09T00:00:00"/>
    <n v="1145"/>
    <x v="1"/>
    <x v="3"/>
    <x v="4"/>
    <x v="1"/>
    <x v="0"/>
    <s v="UPI"/>
    <n v="22.54"/>
    <n v="15.15"/>
    <x v="1"/>
    <n v="68.3"/>
    <n v="273.18"/>
    <n v="167.29"/>
    <n v="6.09"/>
    <n v="2.39"/>
    <n v="5.0199999999999996"/>
    <n v="0"/>
    <n v="0"/>
    <n v="180.79"/>
    <n v="92.39"/>
    <s v="Profit"/>
    <x v="0"/>
    <n v="17"/>
    <n v="1"/>
    <s v="16-30"/>
    <s v="No"/>
    <n v="0"/>
    <s v="Healthy"/>
    <n v="0"/>
  </r>
  <r>
    <n v="101481"/>
    <d v="2025-11-08T00:00:00"/>
    <n v="1085"/>
    <x v="2"/>
    <x v="9"/>
    <x v="0"/>
    <x v="3"/>
    <x v="0"/>
    <s v="UPI"/>
    <n v="23.49"/>
    <n v="11.84"/>
    <x v="3"/>
    <n v="0"/>
    <n v="278.12"/>
    <n v="182.76"/>
    <n v="11.55"/>
    <n v="1.95"/>
    <n v="15.47"/>
    <n v="0"/>
    <n v="0"/>
    <n v="211.73"/>
    <n v="66.39"/>
    <s v="Profit"/>
    <x v="0"/>
    <n v="2"/>
    <n v="0"/>
    <s v="0-15"/>
    <s v="No"/>
    <n v="0"/>
    <s v="Healthy"/>
    <n v="0"/>
  </r>
  <r>
    <n v="101482"/>
    <d v="2025-11-16T00:00:00"/>
    <n v="1074"/>
    <x v="3"/>
    <x v="14"/>
    <x v="1"/>
    <x v="1"/>
    <x v="0"/>
    <s v="Card"/>
    <n v="33.950000000000003"/>
    <n v="16.600000000000001"/>
    <x v="3"/>
    <n v="0"/>
    <n v="563.57000000000005"/>
    <n v="250.89"/>
    <n v="11.16"/>
    <n v="8.4499999999999993"/>
    <n v="10.19"/>
    <n v="523.30999999999995"/>
    <n v="0"/>
    <n v="804"/>
    <n v="-240.43"/>
    <s v="Loss"/>
    <x v="1"/>
    <n v="1"/>
    <n v="36"/>
    <s v="0-15"/>
    <s v="Yes"/>
    <n v="1"/>
    <s v="At Risk"/>
    <n v="1"/>
  </r>
  <r>
    <n v="101483"/>
    <d v="2025-12-28T00:00:00"/>
    <n v="1052"/>
    <x v="0"/>
    <x v="0"/>
    <x v="1"/>
    <x v="1"/>
    <x v="2"/>
    <s v="UPI"/>
    <n v="48.73"/>
    <n v="15.69"/>
    <x v="4"/>
    <n v="38.229999999999997"/>
    <n v="726.34"/>
    <n v="353.1"/>
    <n v="8.27"/>
    <n v="5.35"/>
    <n v="7.94"/>
    <n v="0"/>
    <n v="0"/>
    <n v="374.66"/>
    <n v="351.68"/>
    <s v="Profit"/>
    <x v="0"/>
    <n v="0"/>
    <n v="0"/>
    <s v="0-15"/>
    <s v="No"/>
    <n v="0"/>
    <s v="Healthy"/>
    <n v="0"/>
  </r>
  <r>
    <n v="101484"/>
    <d v="2025-10-18T00:00:00"/>
    <n v="1106"/>
    <x v="0"/>
    <x v="0"/>
    <x v="0"/>
    <x v="2"/>
    <x v="2"/>
    <s v="Card"/>
    <n v="46.2"/>
    <n v="17.55"/>
    <x v="3"/>
    <n v="0"/>
    <n v="810.81"/>
    <n v="354.22"/>
    <n v="4.18"/>
    <n v="12.16"/>
    <n v="8.84"/>
    <n v="0"/>
    <n v="0"/>
    <n v="379.4"/>
    <n v="431.41"/>
    <s v="Profit"/>
    <x v="0"/>
    <n v="0"/>
    <n v="9"/>
    <s v="0-15"/>
    <s v="No"/>
    <n v="1"/>
    <s v="Healthy"/>
    <n v="0"/>
  </r>
  <r>
    <n v="101485"/>
    <d v="2025-10-07T00:00:00"/>
    <n v="1045"/>
    <x v="1"/>
    <x v="4"/>
    <x v="3"/>
    <x v="3"/>
    <x v="0"/>
    <s v="UPI"/>
    <n v="22.37"/>
    <n v="12.12"/>
    <x v="4"/>
    <n v="13.56"/>
    <n v="257.56"/>
    <n v="156.22999999999999"/>
    <n v="5.79"/>
    <n v="1.9"/>
    <n v="7.73"/>
    <n v="0"/>
    <n v="0"/>
    <n v="171.65"/>
    <n v="85.91"/>
    <s v="Profit"/>
    <x v="0"/>
    <n v="5"/>
    <n v="1"/>
    <s v="0-15"/>
    <s v="No"/>
    <n v="0"/>
    <s v="Healthy"/>
    <n v="0"/>
  </r>
  <r>
    <n v="101486"/>
    <d v="2025-12-24T00:00:00"/>
    <n v="1077"/>
    <x v="1"/>
    <x v="2"/>
    <x v="1"/>
    <x v="3"/>
    <x v="2"/>
    <s v="Wallet"/>
    <n v="7.65"/>
    <n v="13.24"/>
    <x v="3"/>
    <n v="0"/>
    <n v="101.29"/>
    <n v="65.790000000000006"/>
    <n v="9.5500000000000007"/>
    <n v="1.22"/>
    <n v="12.53"/>
    <n v="90.67"/>
    <n v="0.24"/>
    <n v="180"/>
    <n v="-78.709999999999994"/>
    <s v="Loss"/>
    <x v="2"/>
    <n v="11"/>
    <n v="1"/>
    <s v="0-15"/>
    <s v="No"/>
    <n v="3"/>
    <s v="At Risk"/>
    <n v="0"/>
  </r>
  <r>
    <n v="101487"/>
    <d v="2025-10-31T00:00:00"/>
    <n v="1045"/>
    <x v="1"/>
    <x v="13"/>
    <x v="1"/>
    <x v="3"/>
    <x v="0"/>
    <s v="UPI"/>
    <n v="21.45"/>
    <n v="12.19"/>
    <x v="3"/>
    <n v="0"/>
    <n v="261.48"/>
    <n v="150.27000000000001"/>
    <n v="7.18"/>
    <n v="1.83"/>
    <n v="4.5999999999999996"/>
    <n v="0"/>
    <n v="0"/>
    <n v="163.88"/>
    <n v="97.6"/>
    <s v="Profit"/>
    <x v="0"/>
    <n v="1"/>
    <n v="17"/>
    <s v="0-15"/>
    <s v="Yes"/>
    <n v="2"/>
    <s v="At Risk"/>
    <n v="1"/>
  </r>
  <r>
    <n v="101488"/>
    <d v="2025-11-18T00:00:00"/>
    <n v="1018"/>
    <x v="0"/>
    <x v="6"/>
    <x v="1"/>
    <x v="0"/>
    <x v="0"/>
    <s v="UPI"/>
    <n v="20.49"/>
    <n v="18.170000000000002"/>
    <x v="2"/>
    <n v="37.229999999999997"/>
    <n v="335.07"/>
    <n v="132.61000000000001"/>
    <n v="3.78"/>
    <n v="2.61"/>
    <n v="7.6"/>
    <n v="0"/>
    <n v="0"/>
    <n v="146.6"/>
    <n v="188.47"/>
    <s v="Profit"/>
    <x v="0"/>
    <n v="1"/>
    <n v="3"/>
    <s v="0-15"/>
    <s v="No"/>
    <n v="0"/>
    <s v="Healthy"/>
    <n v="0"/>
  </r>
  <r>
    <n v="101489"/>
    <d v="2025-10-09T00:00:00"/>
    <n v="1002"/>
    <x v="2"/>
    <x v="5"/>
    <x v="0"/>
    <x v="3"/>
    <x v="2"/>
    <s v="Wallet"/>
    <n v="27.43"/>
    <n v="12.53"/>
    <x v="4"/>
    <n v="17.18"/>
    <n v="326.52"/>
    <n v="191.6"/>
    <n v="5.96"/>
    <n v="4.12"/>
    <n v="0.79"/>
    <n v="0"/>
    <n v="0"/>
    <n v="202.47"/>
    <n v="124.05"/>
    <s v="Profit"/>
    <x v="0"/>
    <n v="34"/>
    <n v="1"/>
    <s v="30+"/>
    <s v="Yes"/>
    <n v="3"/>
    <s v="At Risk"/>
    <n v="1"/>
  </r>
  <r>
    <n v="101490"/>
    <d v="2025-10-17T00:00:00"/>
    <n v="1091"/>
    <x v="3"/>
    <x v="15"/>
    <x v="0"/>
    <x v="3"/>
    <x v="2"/>
    <s v="Fleet_Invoice"/>
    <n v="29.95"/>
    <n v="12.84"/>
    <x v="0"/>
    <n v="57.68"/>
    <n v="326.88"/>
    <n v="181.59"/>
    <n v="6.55"/>
    <n v="1.54"/>
    <n v="6.58"/>
    <n v="0"/>
    <n v="0"/>
    <n v="196.26"/>
    <n v="130.62"/>
    <s v="Profit"/>
    <x v="0"/>
    <n v="8"/>
    <n v="0"/>
    <s v="0-15"/>
    <s v="No"/>
    <n v="0"/>
    <s v="Healthy"/>
    <n v="0"/>
  </r>
  <r>
    <n v="101491"/>
    <d v="2025-12-08T00:00:00"/>
    <n v="1036"/>
    <x v="3"/>
    <x v="8"/>
    <x v="4"/>
    <x v="0"/>
    <x v="1"/>
    <s v="Fleet_Invoice"/>
    <n v="8.08"/>
    <n v="19.43"/>
    <x v="3"/>
    <n v="0"/>
    <n v="156.99"/>
    <n v="64.58"/>
    <n v="6.97"/>
    <n v="0.63"/>
    <n v="2.2200000000000002"/>
    <n v="107.99"/>
    <n v="13.61"/>
    <n v="196"/>
    <n v="-39.01"/>
    <s v="Loss"/>
    <x v="2"/>
    <n v="13"/>
    <n v="5"/>
    <s v="0-15"/>
    <s v="No"/>
    <n v="1"/>
    <s v="At Risk"/>
    <n v="0"/>
  </r>
  <r>
    <n v="101492"/>
    <d v="2025-10-15T00:00:00"/>
    <n v="1081"/>
    <x v="0"/>
    <x v="6"/>
    <x v="0"/>
    <x v="1"/>
    <x v="2"/>
    <s v="UPI"/>
    <n v="25.67"/>
    <n v="16.670000000000002"/>
    <x v="3"/>
    <n v="0"/>
    <n v="427.92"/>
    <n v="187.32"/>
    <n v="8.9700000000000006"/>
    <n v="3"/>
    <n v="0.47"/>
    <n v="0"/>
    <n v="0"/>
    <n v="199.76"/>
    <n v="228.16"/>
    <s v="Profit"/>
    <x v="0"/>
    <n v="7"/>
    <n v="7"/>
    <s v="0-15"/>
    <s v="No"/>
    <n v="0"/>
    <s v="Healthy"/>
    <n v="0"/>
  </r>
  <r>
    <n v="101493"/>
    <d v="2025-12-02T00:00:00"/>
    <n v="1058"/>
    <x v="2"/>
    <x v="5"/>
    <x v="1"/>
    <x v="2"/>
    <x v="0"/>
    <s v="Card"/>
    <n v="17.350000000000001"/>
    <n v="17.47"/>
    <x v="3"/>
    <n v="0"/>
    <n v="303.10000000000002"/>
    <n v="117.4"/>
    <n v="8.8699999999999992"/>
    <n v="4.55"/>
    <n v="0.96"/>
    <n v="0"/>
    <n v="0"/>
    <n v="131.78"/>
    <n v="171.32"/>
    <s v="Profit"/>
    <x v="0"/>
    <n v="5"/>
    <n v="1"/>
    <s v="0-15"/>
    <s v="No"/>
    <n v="0"/>
    <s v="Healthy"/>
    <n v="0"/>
  </r>
  <r>
    <n v="101494"/>
    <d v="2025-12-11T00:00:00"/>
    <n v="1035"/>
    <x v="2"/>
    <x v="10"/>
    <x v="1"/>
    <x v="2"/>
    <x v="2"/>
    <s v="Card"/>
    <n v="22.08"/>
    <n v="17.27"/>
    <x v="1"/>
    <n v="76.260000000000005"/>
    <n v="305.06"/>
    <n v="141.02000000000001"/>
    <n v="2.5299999999999998"/>
    <n v="5.72"/>
    <n v="8.07"/>
    <n v="0"/>
    <n v="0"/>
    <n v="157.34"/>
    <n v="147.72"/>
    <s v="Profit"/>
    <x v="0"/>
    <n v="27"/>
    <n v="2"/>
    <s v="16-30"/>
    <s v="Yes"/>
    <n v="2"/>
    <s v="At Risk"/>
    <n v="1"/>
  </r>
  <r>
    <n v="101495"/>
    <d v="2025-10-02T00:00:00"/>
    <n v="1014"/>
    <x v="2"/>
    <x v="10"/>
    <x v="3"/>
    <x v="1"/>
    <x v="0"/>
    <s v="UPI"/>
    <n v="24.43"/>
    <n v="14.94"/>
    <x v="4"/>
    <n v="18.25"/>
    <n v="346.73"/>
    <n v="183.12"/>
    <n v="5.26"/>
    <n v="2.5499999999999998"/>
    <n v="5.72"/>
    <n v="0"/>
    <n v="0"/>
    <n v="196.65"/>
    <n v="150.08000000000001"/>
    <s v="Profit"/>
    <x v="0"/>
    <n v="3"/>
    <n v="1"/>
    <s v="0-15"/>
    <s v="No"/>
    <n v="0"/>
    <s v="Healthy"/>
    <n v="0"/>
  </r>
  <r>
    <n v="101496"/>
    <d v="2025-12-10T00:00:00"/>
    <n v="1021"/>
    <x v="1"/>
    <x v="2"/>
    <x v="2"/>
    <x v="1"/>
    <x v="0"/>
    <s v="UPI"/>
    <n v="26.03"/>
    <n v="15.84"/>
    <x v="2"/>
    <n v="41.23"/>
    <n v="371.09"/>
    <n v="173.83"/>
    <n v="12.38"/>
    <n v="2.89"/>
    <n v="1.04"/>
    <n v="217.47"/>
    <n v="0"/>
    <n v="407.61"/>
    <n v="-36.520000000000003"/>
    <s v="Loss"/>
    <x v="1"/>
    <n v="20"/>
    <n v="12"/>
    <s v="16-30"/>
    <s v="Yes"/>
    <n v="2"/>
    <s v="At Risk"/>
    <n v="1"/>
  </r>
  <r>
    <n v="101497"/>
    <d v="2025-10-06T00:00:00"/>
    <n v="1095"/>
    <x v="0"/>
    <x v="0"/>
    <x v="4"/>
    <x v="1"/>
    <x v="0"/>
    <s v="Wallet"/>
    <n v="23.92"/>
    <n v="15.45"/>
    <x v="3"/>
    <n v="0"/>
    <n v="369.56"/>
    <n v="159.21"/>
    <n v="6.32"/>
    <n v="4.43"/>
    <n v="2.58"/>
    <n v="280.2"/>
    <n v="0"/>
    <n v="452.74"/>
    <n v="-83.18"/>
    <s v="Loss"/>
    <x v="1"/>
    <n v="12"/>
    <n v="1"/>
    <s v="0-15"/>
    <s v="Yes"/>
    <n v="2"/>
    <s v="At Risk"/>
    <n v="1"/>
  </r>
  <r>
    <n v="101498"/>
    <d v="2025-10-18T00:00:00"/>
    <n v="1077"/>
    <x v="2"/>
    <x v="9"/>
    <x v="4"/>
    <x v="1"/>
    <x v="0"/>
    <s v="Fleet_Invoice"/>
    <n v="30.13"/>
    <n v="17"/>
    <x v="4"/>
    <n v="25.61"/>
    <n v="486.6"/>
    <n v="209.47"/>
    <n v="7.04"/>
    <n v="2.0499999999999998"/>
    <n v="6.58"/>
    <n v="0"/>
    <n v="0"/>
    <n v="225.14"/>
    <n v="261.45999999999998"/>
    <s v="Profit"/>
    <x v="0"/>
    <n v="23"/>
    <n v="15"/>
    <s v="16-30"/>
    <s v="Yes"/>
    <n v="3"/>
    <s v="At Risk"/>
    <n v="1"/>
  </r>
  <r>
    <n v="101499"/>
    <d v="2025-12-06T00:00:00"/>
    <n v="1036"/>
    <x v="0"/>
    <x v="1"/>
    <x v="0"/>
    <x v="1"/>
    <x v="0"/>
    <s v="UPI"/>
    <n v="26.41"/>
    <n v="15.55"/>
    <x v="4"/>
    <n v="20.53"/>
    <n v="390.15"/>
    <n v="185.81"/>
    <n v="5.31"/>
    <n v="2.87"/>
    <n v="7.31"/>
    <n v="0"/>
    <n v="0"/>
    <n v="201.3"/>
    <n v="188.85"/>
    <s v="Profit"/>
    <x v="0"/>
    <n v="5"/>
    <n v="3"/>
    <s v="0-15"/>
    <s v="No"/>
    <n v="1"/>
    <s v="Healthy"/>
    <n v="0"/>
  </r>
  <r>
    <n v="101500"/>
    <d v="2025-10-30T00:00:00"/>
    <n v="1137"/>
    <x v="1"/>
    <x v="3"/>
    <x v="1"/>
    <x v="3"/>
    <x v="2"/>
    <s v="Fleet_Invoice"/>
    <n v="20.2"/>
    <n v="14.13"/>
    <x v="4"/>
    <n v="14.27"/>
    <n v="271.16000000000003"/>
    <n v="149.44"/>
    <n v="11.03"/>
    <n v="1.1399999999999999"/>
    <n v="2.4700000000000002"/>
    <n v="0"/>
    <n v="0"/>
    <n v="164.08"/>
    <n v="107.08"/>
    <s v="Profit"/>
    <x v="0"/>
    <n v="15"/>
    <n v="1"/>
    <s v="0-15"/>
    <s v="No"/>
    <n v="0"/>
    <s v="Healthy"/>
    <n v="0"/>
  </r>
  <r>
    <n v="101501"/>
    <d v="2025-12-11T00:00:00"/>
    <n v="1014"/>
    <x v="2"/>
    <x v="12"/>
    <x v="3"/>
    <x v="2"/>
    <x v="0"/>
    <s v="Fleet_Invoice"/>
    <n v="18.71"/>
    <n v="17.260000000000002"/>
    <x v="3"/>
    <n v="0"/>
    <n v="322.93"/>
    <n v="142.86000000000001"/>
    <n v="8.94"/>
    <n v="1.29"/>
    <n v="7.4"/>
    <n v="0"/>
    <n v="0"/>
    <n v="160.49"/>
    <n v="162.44"/>
    <s v="Profit"/>
    <x v="0"/>
    <n v="16"/>
    <n v="16"/>
    <s v="16-30"/>
    <s v="Yes"/>
    <n v="1"/>
    <s v="At Risk"/>
    <n v="1"/>
  </r>
  <r>
    <n v="101502"/>
    <d v="2025-12-01T00:00:00"/>
    <n v="1115"/>
    <x v="0"/>
    <x v="6"/>
    <x v="0"/>
    <x v="3"/>
    <x v="0"/>
    <s v="Card"/>
    <n v="29.72"/>
    <n v="11.74"/>
    <x v="3"/>
    <n v="0"/>
    <n v="348.91"/>
    <n v="184.44"/>
    <n v="7.46"/>
    <n v="5.23"/>
    <n v="5.78"/>
    <n v="0"/>
    <n v="0"/>
    <n v="202.91"/>
    <n v="146"/>
    <s v="Profit"/>
    <x v="0"/>
    <n v="0"/>
    <n v="17"/>
    <s v="0-15"/>
    <s v="Yes"/>
    <n v="3"/>
    <s v="At Risk"/>
    <n v="1"/>
  </r>
  <r>
    <n v="101503"/>
    <d v="2025-12-13T00:00:00"/>
    <n v="1091"/>
    <x v="0"/>
    <x v="6"/>
    <x v="2"/>
    <x v="1"/>
    <x v="2"/>
    <s v="Card"/>
    <n v="38.79"/>
    <n v="15.29"/>
    <x v="2"/>
    <n v="59.31"/>
    <n v="533.79"/>
    <n v="257.08"/>
    <n v="4.8499999999999996"/>
    <n v="8.9"/>
    <n v="5.03"/>
    <n v="0"/>
    <n v="0"/>
    <n v="275.86"/>
    <n v="257.93"/>
    <s v="Profit"/>
    <x v="0"/>
    <n v="1"/>
    <n v="16"/>
    <s v="0-15"/>
    <s v="Yes"/>
    <n v="3"/>
    <s v="At Risk"/>
    <n v="1"/>
  </r>
  <r>
    <n v="101504"/>
    <d v="2025-12-20T00:00:00"/>
    <n v="1074"/>
    <x v="2"/>
    <x v="9"/>
    <x v="1"/>
    <x v="0"/>
    <x v="1"/>
    <s v="UPI"/>
    <n v="35"/>
    <n v="20.67"/>
    <x v="4"/>
    <n v="36.17"/>
    <n v="687.28"/>
    <n v="210.8"/>
    <n v="11.27"/>
    <n v="5.0599999999999996"/>
    <n v="2.81"/>
    <n v="0"/>
    <n v="0"/>
    <n v="229.94"/>
    <n v="457.34"/>
    <s v="Profit"/>
    <x v="0"/>
    <n v="5"/>
    <n v="2"/>
    <s v="0-15"/>
    <s v="No"/>
    <n v="0"/>
    <s v="Healthy"/>
    <n v="0"/>
  </r>
  <r>
    <n v="101505"/>
    <d v="2025-12-24T00:00:00"/>
    <n v="1090"/>
    <x v="1"/>
    <x v="4"/>
    <x v="3"/>
    <x v="3"/>
    <x v="2"/>
    <s v="Wallet"/>
    <n v="24.92"/>
    <n v="12.81"/>
    <x v="2"/>
    <n v="31.92"/>
    <n v="287.31"/>
    <n v="188.75"/>
    <n v="7.55"/>
    <n v="3.83"/>
    <n v="5.54"/>
    <n v="0"/>
    <n v="0"/>
    <n v="205.67"/>
    <n v="81.64"/>
    <s v="Profit"/>
    <x v="0"/>
    <n v="6"/>
    <n v="18"/>
    <s v="0-15"/>
    <s v="Yes"/>
    <n v="3"/>
    <s v="At Risk"/>
    <n v="1"/>
  </r>
  <r>
    <n v="101506"/>
    <d v="2025-10-14T00:00:00"/>
    <n v="1093"/>
    <x v="0"/>
    <x v="1"/>
    <x v="4"/>
    <x v="3"/>
    <x v="0"/>
    <s v="UPI"/>
    <n v="19.95"/>
    <n v="12.5"/>
    <x v="2"/>
    <n v="24.94"/>
    <n v="224.44"/>
    <n v="143.97"/>
    <n v="7.21"/>
    <n v="1.75"/>
    <n v="6.07"/>
    <n v="0"/>
    <n v="0"/>
    <n v="159"/>
    <n v="65.44"/>
    <s v="Profit"/>
    <x v="0"/>
    <n v="2"/>
    <n v="11"/>
    <s v="0-15"/>
    <s v="No"/>
    <n v="0"/>
    <s v="Healthy"/>
    <n v="0"/>
  </r>
  <r>
    <n v="101507"/>
    <d v="2025-12-22T00:00:00"/>
    <n v="1064"/>
    <x v="0"/>
    <x v="0"/>
    <x v="3"/>
    <x v="1"/>
    <x v="2"/>
    <s v="UPI"/>
    <n v="29.51"/>
    <n v="15.89"/>
    <x v="2"/>
    <n v="46.89"/>
    <n v="422.02"/>
    <n v="205.66"/>
    <n v="8.65"/>
    <n v="3.28"/>
    <n v="1.52"/>
    <n v="172.79"/>
    <n v="22.82"/>
    <n v="414.72"/>
    <n v="7.3"/>
    <s v="Profit"/>
    <x v="2"/>
    <n v="11"/>
    <n v="2"/>
    <s v="0-15"/>
    <s v="No"/>
    <n v="1"/>
    <s v="At Risk"/>
    <n v="0"/>
  </r>
  <r>
    <n v="101508"/>
    <d v="2025-11-09T00:00:00"/>
    <n v="1149"/>
    <x v="3"/>
    <x v="15"/>
    <x v="2"/>
    <x v="3"/>
    <x v="2"/>
    <s v="UPI"/>
    <n v="23.16"/>
    <n v="12.04"/>
    <x v="3"/>
    <n v="0"/>
    <n v="278.85000000000002"/>
    <n v="166.23"/>
    <n v="9.26"/>
    <n v="1.95"/>
    <n v="2.71"/>
    <n v="0"/>
    <n v="0"/>
    <n v="180.15"/>
    <n v="98.7"/>
    <s v="Profit"/>
    <x v="0"/>
    <n v="2"/>
    <n v="3"/>
    <s v="0-15"/>
    <s v="No"/>
    <n v="0"/>
    <s v="Healthy"/>
    <n v="0"/>
  </r>
  <r>
    <n v="101509"/>
    <d v="2025-12-16T00:00:00"/>
    <n v="1032"/>
    <x v="1"/>
    <x v="13"/>
    <x v="3"/>
    <x v="2"/>
    <x v="2"/>
    <s v="Wallet"/>
    <n v="25.77"/>
    <n v="18.8"/>
    <x v="3"/>
    <n v="0"/>
    <n v="484.48"/>
    <n v="185.33"/>
    <n v="11.57"/>
    <n v="5.81"/>
    <n v="15.11"/>
    <n v="0"/>
    <n v="0"/>
    <n v="217.82"/>
    <n v="266.66000000000003"/>
    <s v="Profit"/>
    <x v="0"/>
    <n v="37"/>
    <n v="1"/>
    <s v="30+"/>
    <s v="Yes"/>
    <n v="1"/>
    <s v="At Risk"/>
    <n v="1"/>
  </r>
  <r>
    <n v="101510"/>
    <d v="2025-12-10T00:00:00"/>
    <n v="1041"/>
    <x v="3"/>
    <x v="14"/>
    <x v="2"/>
    <x v="3"/>
    <x v="0"/>
    <s v="Card"/>
    <n v="11.76"/>
    <n v="12.27"/>
    <x v="3"/>
    <n v="0"/>
    <n v="144.30000000000001"/>
    <n v="74.239999999999995"/>
    <n v="14.24"/>
    <n v="2.16"/>
    <n v="6.96"/>
    <n v="0"/>
    <n v="0"/>
    <n v="97.6"/>
    <n v="46.7"/>
    <s v="Profit"/>
    <x v="0"/>
    <n v="23"/>
    <n v="6"/>
    <s v="16-30"/>
    <s v="Yes"/>
    <n v="3"/>
    <s v="At Risk"/>
    <n v="1"/>
  </r>
  <r>
    <n v="101511"/>
    <d v="2025-11-29T00:00:00"/>
    <n v="1029"/>
    <x v="1"/>
    <x v="3"/>
    <x v="0"/>
    <x v="1"/>
    <x v="0"/>
    <s v="Fleet_Invoice"/>
    <n v="22.01"/>
    <n v="15.29"/>
    <x v="3"/>
    <n v="0"/>
    <n v="336.53"/>
    <n v="154.36000000000001"/>
    <n v="16.600000000000001"/>
    <n v="1.35"/>
    <n v="0.56000000000000005"/>
    <n v="220.17"/>
    <n v="0"/>
    <n v="393.04"/>
    <n v="-56.51"/>
    <s v="Loss"/>
    <x v="1"/>
    <n v="57"/>
    <n v="21"/>
    <s v="30+"/>
    <s v="Yes"/>
    <n v="2"/>
    <s v="At Risk"/>
    <n v="1"/>
  </r>
  <r>
    <n v="101512"/>
    <d v="2025-11-15T00:00:00"/>
    <n v="1001"/>
    <x v="0"/>
    <x v="0"/>
    <x v="0"/>
    <x v="2"/>
    <x v="0"/>
    <s v="Fleet_Invoice"/>
    <n v="45.12"/>
    <n v="17.28"/>
    <x v="2"/>
    <n v="77.97"/>
    <n v="701.7"/>
    <n v="278.95999999999998"/>
    <n v="5.27"/>
    <n v="3.12"/>
    <n v="9.4700000000000006"/>
    <n v="0"/>
    <n v="0"/>
    <n v="296.82"/>
    <n v="404.88"/>
    <s v="Profit"/>
    <x v="0"/>
    <n v="5"/>
    <n v="2"/>
    <s v="0-15"/>
    <s v="No"/>
    <n v="0"/>
    <s v="Healthy"/>
    <n v="0"/>
  </r>
  <r>
    <n v="101513"/>
    <d v="2025-12-06T00:00:00"/>
    <n v="1054"/>
    <x v="0"/>
    <x v="1"/>
    <x v="1"/>
    <x v="1"/>
    <x v="0"/>
    <s v="UPI"/>
    <n v="25.43"/>
    <n v="15.24"/>
    <x v="4"/>
    <n v="19.38"/>
    <n v="368.17"/>
    <n v="148.83000000000001"/>
    <n v="12.68"/>
    <n v="2.71"/>
    <n v="12.06"/>
    <n v="0"/>
    <n v="0"/>
    <n v="176.28"/>
    <n v="191.89"/>
    <s v="Profit"/>
    <x v="0"/>
    <n v="6"/>
    <n v="0"/>
    <s v="0-15"/>
    <s v="No"/>
    <n v="0"/>
    <s v="Healthy"/>
    <n v="0"/>
  </r>
  <r>
    <n v="101514"/>
    <d v="2025-12-08T00:00:00"/>
    <n v="1012"/>
    <x v="2"/>
    <x v="9"/>
    <x v="3"/>
    <x v="3"/>
    <x v="0"/>
    <s v="UPI"/>
    <n v="22.11"/>
    <n v="13.31"/>
    <x v="2"/>
    <n v="29.43"/>
    <n v="264.85000000000002"/>
    <n v="137.06"/>
    <n v="8.09"/>
    <n v="2.06"/>
    <n v="11.72"/>
    <n v="0"/>
    <n v="0"/>
    <n v="158.93"/>
    <n v="105.92"/>
    <s v="Profit"/>
    <x v="0"/>
    <n v="23"/>
    <n v="30"/>
    <s v="16-30"/>
    <s v="Yes"/>
    <n v="1"/>
    <s v="At Risk"/>
    <n v="1"/>
  </r>
  <r>
    <n v="101515"/>
    <d v="2025-11-09T00:00:00"/>
    <n v="1017"/>
    <x v="3"/>
    <x v="8"/>
    <x v="1"/>
    <x v="3"/>
    <x v="0"/>
    <s v="Wallet"/>
    <n v="39.25"/>
    <n v="13.19"/>
    <x v="3"/>
    <n v="0"/>
    <n v="517.71"/>
    <n v="269.64999999999998"/>
    <n v="10.51"/>
    <n v="6.21"/>
    <n v="13.76"/>
    <n v="316.48"/>
    <n v="0"/>
    <n v="616.61"/>
    <n v="-98.9"/>
    <s v="Loss"/>
    <x v="2"/>
    <n v="4"/>
    <n v="3"/>
    <s v="0-15"/>
    <s v="No"/>
    <n v="2"/>
    <s v="At Risk"/>
    <n v="0"/>
  </r>
  <r>
    <n v="101516"/>
    <d v="2025-12-17T00:00:00"/>
    <n v="1026"/>
    <x v="1"/>
    <x v="2"/>
    <x v="0"/>
    <x v="1"/>
    <x v="0"/>
    <s v="Fleet_Invoice"/>
    <n v="36.35"/>
    <n v="15.83"/>
    <x v="3"/>
    <n v="0"/>
    <n v="575.41999999999996"/>
    <n v="255.12"/>
    <n v="6.57"/>
    <n v="2.2999999999999998"/>
    <n v="0"/>
    <n v="0"/>
    <n v="0"/>
    <n v="263.99"/>
    <n v="311.43"/>
    <s v="Profit"/>
    <x v="0"/>
    <n v="1"/>
    <n v="7"/>
    <s v="0-15"/>
    <s v="No"/>
    <n v="0"/>
    <s v="Healthy"/>
    <n v="0"/>
  </r>
  <r>
    <n v="101517"/>
    <d v="2025-11-18T00:00:00"/>
    <n v="1114"/>
    <x v="1"/>
    <x v="13"/>
    <x v="4"/>
    <x v="0"/>
    <x v="2"/>
    <s v="Card"/>
    <n v="33.090000000000003"/>
    <n v="18.86"/>
    <x v="4"/>
    <n v="31.2"/>
    <n v="592.88"/>
    <n v="237.96"/>
    <n v="8.06"/>
    <n v="9.36"/>
    <n v="5.0999999999999996"/>
    <n v="225.32"/>
    <n v="15.03"/>
    <n v="500.83"/>
    <n v="92.05"/>
    <s v="Profit"/>
    <x v="2"/>
    <n v="7"/>
    <n v="26"/>
    <s v="0-15"/>
    <s v="Yes"/>
    <n v="1"/>
    <s v="At Risk"/>
    <n v="1"/>
  </r>
  <r>
    <n v="101518"/>
    <d v="2025-12-10T00:00:00"/>
    <n v="1067"/>
    <x v="3"/>
    <x v="14"/>
    <x v="2"/>
    <x v="2"/>
    <x v="0"/>
    <s v="Card"/>
    <n v="21.89"/>
    <n v="18.23"/>
    <x v="0"/>
    <n v="59.86"/>
    <n v="339.19"/>
    <n v="146.59"/>
    <n v="8.08"/>
    <n v="5.99"/>
    <n v="4.66"/>
    <n v="0"/>
    <n v="0"/>
    <n v="165.32"/>
    <n v="173.87"/>
    <s v="Profit"/>
    <x v="0"/>
    <n v="4"/>
    <n v="0"/>
    <s v="0-15"/>
    <s v="No"/>
    <n v="0"/>
    <s v="Healthy"/>
    <n v="0"/>
  </r>
  <r>
    <n v="101519"/>
    <d v="2025-10-07T00:00:00"/>
    <n v="1043"/>
    <x v="2"/>
    <x v="9"/>
    <x v="2"/>
    <x v="0"/>
    <x v="0"/>
    <s v="UPI"/>
    <n v="33.880000000000003"/>
    <n v="21.34"/>
    <x v="3"/>
    <n v="0"/>
    <n v="723"/>
    <n v="197.26"/>
    <n v="8.16"/>
    <n v="5.0599999999999996"/>
    <n v="1.79"/>
    <n v="272.36"/>
    <n v="0"/>
    <n v="484.63"/>
    <n v="238.37"/>
    <s v="Profit"/>
    <x v="1"/>
    <n v="11"/>
    <n v="16"/>
    <s v="0-15"/>
    <s v="Yes"/>
    <n v="3"/>
    <s v="At Risk"/>
    <n v="1"/>
  </r>
  <r>
    <n v="101520"/>
    <d v="2025-12-03T00:00:00"/>
    <n v="1111"/>
    <x v="1"/>
    <x v="13"/>
    <x v="2"/>
    <x v="3"/>
    <x v="0"/>
    <s v="Fleet_Invoice"/>
    <n v="28.48"/>
    <n v="12.84"/>
    <x v="4"/>
    <n v="18.28"/>
    <n v="347.4"/>
    <n v="248.78"/>
    <n v="7.04"/>
    <n v="1.46"/>
    <n v="8.8699999999999992"/>
    <n v="0"/>
    <n v="0"/>
    <n v="266.14999999999998"/>
    <n v="81.25"/>
    <s v="Profit"/>
    <x v="0"/>
    <n v="0"/>
    <n v="11"/>
    <s v="0-15"/>
    <s v="No"/>
    <n v="0"/>
    <s v="Healthy"/>
    <n v="0"/>
  </r>
  <r>
    <n v="101521"/>
    <d v="2025-10-09T00:00:00"/>
    <n v="1056"/>
    <x v="2"/>
    <x v="10"/>
    <x v="2"/>
    <x v="3"/>
    <x v="0"/>
    <s v="Wallet"/>
    <n v="14.72"/>
    <n v="12.6"/>
    <x v="3"/>
    <n v="0"/>
    <n v="185.47"/>
    <n v="114.75"/>
    <n v="11.07"/>
    <n v="2.23"/>
    <n v="11.85"/>
    <n v="0"/>
    <n v="0"/>
    <n v="139.9"/>
    <n v="45.57"/>
    <s v="Profit"/>
    <x v="0"/>
    <n v="4"/>
    <n v="0"/>
    <s v="0-15"/>
    <s v="No"/>
    <n v="2"/>
    <s v="Healthy"/>
    <n v="0"/>
  </r>
  <r>
    <n v="101522"/>
    <d v="2025-10-06T00:00:00"/>
    <n v="1009"/>
    <x v="0"/>
    <x v="6"/>
    <x v="2"/>
    <x v="3"/>
    <x v="0"/>
    <s v="UPI"/>
    <n v="13.21"/>
    <n v="13.58"/>
    <x v="0"/>
    <n v="26.91"/>
    <n v="152.47999999999999"/>
    <n v="99.49"/>
    <n v="8.6"/>
    <n v="1.26"/>
    <n v="2.83"/>
    <n v="0"/>
    <n v="0"/>
    <n v="112.18"/>
    <n v="40.299999999999997"/>
    <s v="Profit"/>
    <x v="0"/>
    <n v="7"/>
    <n v="7"/>
    <s v="0-15"/>
    <s v="No"/>
    <n v="0"/>
    <s v="Healthy"/>
    <n v="0"/>
  </r>
  <r>
    <n v="101523"/>
    <d v="2025-11-22T00:00:00"/>
    <n v="1140"/>
    <x v="3"/>
    <x v="7"/>
    <x v="1"/>
    <x v="1"/>
    <x v="0"/>
    <s v="UPI"/>
    <n v="31.31"/>
    <n v="17.05"/>
    <x v="3"/>
    <n v="0"/>
    <n v="533.84"/>
    <n v="174.97"/>
    <n v="4.0199999999999996"/>
    <n v="3.74"/>
    <n v="12.37"/>
    <n v="0"/>
    <n v="0"/>
    <n v="195.1"/>
    <n v="338.74"/>
    <s v="Profit"/>
    <x v="0"/>
    <n v="0"/>
    <n v="10"/>
    <s v="0-15"/>
    <s v="No"/>
    <n v="1"/>
    <s v="Healthy"/>
    <n v="0"/>
  </r>
  <r>
    <n v="101524"/>
    <d v="2025-11-06T00:00:00"/>
    <n v="1033"/>
    <x v="0"/>
    <x v="11"/>
    <x v="4"/>
    <x v="1"/>
    <x v="1"/>
    <s v="Fleet_Invoice"/>
    <n v="31.51"/>
    <n v="14.6"/>
    <x v="3"/>
    <n v="0"/>
    <n v="460.05"/>
    <n v="191.27"/>
    <n v="6.92"/>
    <n v="1.84"/>
    <n v="6.45"/>
    <n v="0"/>
    <n v="0"/>
    <n v="206.48"/>
    <n v="253.57"/>
    <s v="Profit"/>
    <x v="0"/>
    <n v="11"/>
    <n v="0"/>
    <s v="0-15"/>
    <s v="No"/>
    <n v="0"/>
    <s v="Healthy"/>
    <n v="0"/>
  </r>
  <r>
    <n v="101525"/>
    <d v="2025-12-03T00:00:00"/>
    <n v="1073"/>
    <x v="0"/>
    <x v="11"/>
    <x v="1"/>
    <x v="2"/>
    <x v="0"/>
    <s v="Card"/>
    <n v="39.090000000000003"/>
    <n v="17.32"/>
    <x v="3"/>
    <n v="0"/>
    <n v="677.04"/>
    <n v="307.64"/>
    <n v="4.33"/>
    <n v="10.16"/>
    <n v="5.32"/>
    <n v="0"/>
    <n v="0"/>
    <n v="327.45"/>
    <n v="349.59"/>
    <s v="Profit"/>
    <x v="0"/>
    <n v="33"/>
    <n v="0"/>
    <s v="30+"/>
    <s v="Yes"/>
    <n v="3"/>
    <s v="At Risk"/>
    <n v="1"/>
  </r>
  <r>
    <n v="101526"/>
    <d v="2025-12-18T00:00:00"/>
    <n v="1077"/>
    <x v="1"/>
    <x v="4"/>
    <x v="1"/>
    <x v="0"/>
    <x v="0"/>
    <s v="Fleet_Invoice"/>
    <n v="32.659999999999997"/>
    <n v="20.03"/>
    <x v="0"/>
    <n v="98.13"/>
    <n v="556.04999999999995"/>
    <n v="252.08"/>
    <n v="10.71"/>
    <n v="2.62"/>
    <n v="4.1399999999999997"/>
    <n v="0"/>
    <n v="0"/>
    <n v="269.55"/>
    <n v="286.5"/>
    <s v="Profit"/>
    <x v="0"/>
    <n v="8"/>
    <n v="29"/>
    <s v="0-15"/>
    <s v="Yes"/>
    <n v="1"/>
    <s v="At Risk"/>
    <n v="1"/>
  </r>
  <r>
    <n v="101527"/>
    <d v="2025-10-11T00:00:00"/>
    <n v="1088"/>
    <x v="1"/>
    <x v="4"/>
    <x v="3"/>
    <x v="1"/>
    <x v="0"/>
    <s v="Card"/>
    <n v="35.79"/>
    <n v="15.02"/>
    <x v="0"/>
    <n v="80.64"/>
    <n v="456.93"/>
    <n v="228.99"/>
    <n v="10.57"/>
    <n v="8.06"/>
    <n v="10.24"/>
    <n v="0"/>
    <n v="0"/>
    <n v="257.86"/>
    <n v="199.07"/>
    <s v="Profit"/>
    <x v="0"/>
    <n v="10"/>
    <n v="1"/>
    <s v="0-15"/>
    <s v="No"/>
    <n v="0"/>
    <s v="Healthy"/>
    <n v="0"/>
  </r>
  <r>
    <n v="101528"/>
    <d v="2025-12-30T00:00:00"/>
    <n v="1132"/>
    <x v="3"/>
    <x v="7"/>
    <x v="1"/>
    <x v="3"/>
    <x v="0"/>
    <s v="Wallet"/>
    <n v="18.100000000000001"/>
    <n v="12.26"/>
    <x v="3"/>
    <n v="0"/>
    <n v="221.91"/>
    <n v="128.94999999999999"/>
    <n v="9.68"/>
    <n v="2.66"/>
    <n v="0"/>
    <n v="0"/>
    <n v="0"/>
    <n v="141.29"/>
    <n v="80.62"/>
    <s v="Profit"/>
    <x v="0"/>
    <n v="6"/>
    <n v="0"/>
    <s v="0-15"/>
    <s v="No"/>
    <n v="1"/>
    <s v="Healthy"/>
    <n v="0"/>
  </r>
  <r>
    <n v="101529"/>
    <d v="2025-12-26T00:00:00"/>
    <n v="1018"/>
    <x v="0"/>
    <x v="1"/>
    <x v="3"/>
    <x v="1"/>
    <x v="0"/>
    <s v="Fleet_Invoice"/>
    <n v="27.68"/>
    <n v="15.62"/>
    <x v="3"/>
    <n v="0"/>
    <n v="432.36"/>
    <n v="208.65"/>
    <n v="7.03"/>
    <n v="1.73"/>
    <n v="13.25"/>
    <n v="0"/>
    <n v="0"/>
    <n v="230.66"/>
    <n v="201.7"/>
    <s v="Profit"/>
    <x v="0"/>
    <n v="2"/>
    <n v="7"/>
    <s v="0-15"/>
    <s v="No"/>
    <n v="0"/>
    <s v="Healthy"/>
    <n v="0"/>
  </r>
  <r>
    <n v="101530"/>
    <d v="2025-12-15T00:00:00"/>
    <n v="1141"/>
    <x v="3"/>
    <x v="14"/>
    <x v="1"/>
    <x v="3"/>
    <x v="1"/>
    <s v="UPI"/>
    <n v="25.31"/>
    <n v="12.8"/>
    <x v="3"/>
    <n v="0"/>
    <n v="323.97000000000003"/>
    <n v="190.08"/>
    <n v="9.4"/>
    <n v="2.27"/>
    <n v="8.4600000000000009"/>
    <n v="0"/>
    <n v="0"/>
    <n v="210.21"/>
    <n v="113.76"/>
    <s v="Profit"/>
    <x v="0"/>
    <n v="6"/>
    <n v="41"/>
    <s v="0-15"/>
    <s v="Yes"/>
    <n v="1"/>
    <s v="At Risk"/>
    <n v="1"/>
  </r>
  <r>
    <n v="101531"/>
    <d v="2025-12-27T00:00:00"/>
    <n v="1145"/>
    <x v="1"/>
    <x v="13"/>
    <x v="0"/>
    <x v="2"/>
    <x v="0"/>
    <s v="Fleet_Invoice"/>
    <n v="33.86"/>
    <n v="16.53"/>
    <x v="4"/>
    <n v="27.99"/>
    <n v="531.72"/>
    <n v="248.36"/>
    <n v="8.16"/>
    <n v="2.2400000000000002"/>
    <n v="10.14"/>
    <n v="0"/>
    <n v="0"/>
    <n v="268.89999999999998"/>
    <n v="262.82"/>
    <s v="Profit"/>
    <x v="0"/>
    <n v="22"/>
    <n v="34"/>
    <s v="16-30"/>
    <s v="Yes"/>
    <n v="1"/>
    <s v="At Risk"/>
    <n v="1"/>
  </r>
  <r>
    <n v="101532"/>
    <d v="2025-10-11T00:00:00"/>
    <n v="1118"/>
    <x v="2"/>
    <x v="5"/>
    <x v="3"/>
    <x v="3"/>
    <x v="0"/>
    <s v="UPI"/>
    <n v="14.56"/>
    <n v="13.16"/>
    <x v="3"/>
    <n v="0"/>
    <n v="191.61"/>
    <n v="118.69"/>
    <n v="6.68"/>
    <n v="1.34"/>
    <n v="0"/>
    <n v="90.94"/>
    <n v="0"/>
    <n v="217.65"/>
    <n v="-26.04"/>
    <s v="Loss"/>
    <x v="2"/>
    <n v="0"/>
    <n v="23"/>
    <s v="0-15"/>
    <s v="Yes"/>
    <n v="3"/>
    <s v="At Risk"/>
    <n v="1"/>
  </r>
  <r>
    <n v="101533"/>
    <d v="2025-11-22T00:00:00"/>
    <n v="1100"/>
    <x v="1"/>
    <x v="3"/>
    <x v="2"/>
    <x v="3"/>
    <x v="0"/>
    <s v="Card"/>
    <n v="16.149999999999999"/>
    <n v="12.15"/>
    <x v="2"/>
    <n v="19.62"/>
    <n v="176.6"/>
    <n v="116.42"/>
    <n v="6.4"/>
    <n v="2.94"/>
    <n v="6.92"/>
    <n v="0"/>
    <n v="0"/>
    <n v="132.68"/>
    <n v="43.92"/>
    <s v="Profit"/>
    <x v="0"/>
    <n v="12"/>
    <n v="19"/>
    <s v="0-15"/>
    <s v="Yes"/>
    <n v="1"/>
    <s v="At Risk"/>
    <n v="1"/>
  </r>
  <r>
    <n v="101534"/>
    <d v="2025-12-15T00:00:00"/>
    <n v="1106"/>
    <x v="2"/>
    <x v="9"/>
    <x v="3"/>
    <x v="1"/>
    <x v="2"/>
    <s v="UPI"/>
    <n v="18.59"/>
    <n v="15.22"/>
    <x v="3"/>
    <n v="0"/>
    <n v="282.94"/>
    <n v="130.56"/>
    <n v="7.05"/>
    <n v="1.98"/>
    <n v="5.41"/>
    <n v="0"/>
    <n v="0"/>
    <n v="145"/>
    <n v="137.94"/>
    <s v="Profit"/>
    <x v="0"/>
    <n v="2"/>
    <n v="15"/>
    <s v="0-15"/>
    <s v="No"/>
    <n v="0"/>
    <s v="Healthy"/>
    <n v="0"/>
  </r>
  <r>
    <n v="101535"/>
    <d v="2025-12-24T00:00:00"/>
    <n v="1119"/>
    <x v="0"/>
    <x v="11"/>
    <x v="0"/>
    <x v="3"/>
    <x v="0"/>
    <s v="Wallet"/>
    <n v="16.43"/>
    <n v="13.66"/>
    <x v="0"/>
    <n v="33.659999999999997"/>
    <n v="190.77"/>
    <n v="76.040000000000006"/>
    <n v="5.0999999999999996"/>
    <n v="2.69"/>
    <n v="9.65"/>
    <n v="0"/>
    <n v="0"/>
    <n v="93.48"/>
    <n v="97.29"/>
    <s v="Profit"/>
    <x v="0"/>
    <n v="2"/>
    <n v="12"/>
    <s v="0-15"/>
    <s v="No"/>
    <n v="0"/>
    <s v="Healthy"/>
    <n v="0"/>
  </r>
  <r>
    <n v="101536"/>
    <d v="2025-11-14T00:00:00"/>
    <n v="1004"/>
    <x v="2"/>
    <x v="10"/>
    <x v="1"/>
    <x v="0"/>
    <x v="0"/>
    <s v="Fleet_Invoice"/>
    <n v="22.68"/>
    <n v="19.329999999999998"/>
    <x v="2"/>
    <n v="43.84"/>
    <n v="394.56"/>
    <n v="141.01"/>
    <n v="6.98"/>
    <n v="1.75"/>
    <n v="7.16"/>
    <n v="0"/>
    <n v="0"/>
    <n v="156.9"/>
    <n v="237.66"/>
    <s v="Profit"/>
    <x v="0"/>
    <n v="23"/>
    <n v="27"/>
    <s v="16-30"/>
    <s v="Yes"/>
    <n v="2"/>
    <s v="At Risk"/>
    <n v="1"/>
  </r>
  <r>
    <n v="101537"/>
    <d v="2025-10-14T00:00:00"/>
    <n v="1050"/>
    <x v="1"/>
    <x v="13"/>
    <x v="4"/>
    <x v="2"/>
    <x v="2"/>
    <s v="Fleet_Invoice"/>
    <n v="31.44"/>
    <n v="18.39"/>
    <x v="4"/>
    <n v="28.91"/>
    <n v="549.27"/>
    <n v="237.7"/>
    <n v="9.5"/>
    <n v="2.31"/>
    <n v="11.79"/>
    <n v="0"/>
    <n v="0"/>
    <n v="261.3"/>
    <n v="287.97000000000003"/>
    <s v="Profit"/>
    <x v="0"/>
    <n v="5"/>
    <n v="0"/>
    <s v="0-15"/>
    <s v="No"/>
    <n v="0"/>
    <s v="Healthy"/>
    <n v="0"/>
  </r>
  <r>
    <n v="101538"/>
    <d v="2025-10-08T00:00:00"/>
    <n v="1048"/>
    <x v="0"/>
    <x v="11"/>
    <x v="1"/>
    <x v="1"/>
    <x v="0"/>
    <s v="UPI"/>
    <n v="32.93"/>
    <n v="14.68"/>
    <x v="4"/>
    <n v="24.17"/>
    <n v="459.24"/>
    <n v="247.57"/>
    <n v="10.050000000000001"/>
    <n v="3.38"/>
    <n v="7.34"/>
    <n v="0"/>
    <n v="0"/>
    <n v="268.33999999999997"/>
    <n v="190.9"/>
    <s v="Profit"/>
    <x v="0"/>
    <n v="12"/>
    <n v="4"/>
    <s v="0-15"/>
    <s v="No"/>
    <n v="0"/>
    <s v="Healthy"/>
    <n v="0"/>
  </r>
  <r>
    <n v="101539"/>
    <d v="2025-12-16T00:00:00"/>
    <n v="1086"/>
    <x v="1"/>
    <x v="3"/>
    <x v="4"/>
    <x v="3"/>
    <x v="2"/>
    <s v="Fleet_Invoice"/>
    <n v="18.38"/>
    <n v="12.78"/>
    <x v="4"/>
    <n v="11.74"/>
    <n v="223.16"/>
    <n v="134.97"/>
    <n v="13.33"/>
    <n v="0.94"/>
    <n v="6.94"/>
    <n v="0"/>
    <n v="0"/>
    <n v="156.18"/>
    <n v="66.98"/>
    <s v="Profit"/>
    <x v="0"/>
    <n v="4"/>
    <n v="2"/>
    <s v="0-15"/>
    <s v="No"/>
    <n v="0"/>
    <s v="Healthy"/>
    <n v="0"/>
  </r>
  <r>
    <n v="101540"/>
    <d v="2025-10-31T00:00:00"/>
    <n v="1125"/>
    <x v="1"/>
    <x v="13"/>
    <x v="3"/>
    <x v="3"/>
    <x v="0"/>
    <s v="Fleet_Invoice"/>
    <n v="16.55"/>
    <n v="12.36"/>
    <x v="3"/>
    <n v="0"/>
    <n v="204.56"/>
    <n v="114.08"/>
    <n v="4.8"/>
    <n v="0.82"/>
    <n v="5.68"/>
    <n v="0"/>
    <n v="0"/>
    <n v="125.38"/>
    <n v="79.180000000000007"/>
    <s v="Profit"/>
    <x v="0"/>
    <n v="6"/>
    <n v="2"/>
    <s v="0-15"/>
    <s v="No"/>
    <n v="0"/>
    <s v="Healthy"/>
    <n v="0"/>
  </r>
  <r>
    <n v="101541"/>
    <d v="2025-10-09T00:00:00"/>
    <n v="1118"/>
    <x v="2"/>
    <x v="10"/>
    <x v="3"/>
    <x v="3"/>
    <x v="0"/>
    <s v="UPI"/>
    <n v="27.05"/>
    <n v="12.01"/>
    <x v="2"/>
    <n v="32.49"/>
    <n v="292.38"/>
    <n v="166.74"/>
    <n v="6.93"/>
    <n v="2.27"/>
    <n v="2.34"/>
    <n v="0"/>
    <n v="0"/>
    <n v="178.28"/>
    <n v="114.1"/>
    <s v="Profit"/>
    <x v="0"/>
    <n v="4"/>
    <n v="18"/>
    <s v="0-15"/>
    <s v="Yes"/>
    <n v="1"/>
    <s v="At Risk"/>
    <n v="1"/>
  </r>
  <r>
    <n v="101542"/>
    <d v="2025-11-18T00:00:00"/>
    <n v="1126"/>
    <x v="1"/>
    <x v="2"/>
    <x v="1"/>
    <x v="2"/>
    <x v="0"/>
    <s v="UPI"/>
    <n v="21"/>
    <n v="17.79"/>
    <x v="3"/>
    <n v="0"/>
    <n v="373.59"/>
    <n v="128.44999999999999"/>
    <n v="7.64"/>
    <n v="2.62"/>
    <n v="6.19"/>
    <n v="0"/>
    <n v="0"/>
    <n v="144.9"/>
    <n v="228.69"/>
    <s v="Profit"/>
    <x v="0"/>
    <n v="3"/>
    <n v="3"/>
    <s v="0-15"/>
    <s v="No"/>
    <n v="0"/>
    <s v="Healthy"/>
    <n v="0"/>
  </r>
  <r>
    <n v="101543"/>
    <d v="2025-10-07T00:00:00"/>
    <n v="1003"/>
    <x v="1"/>
    <x v="3"/>
    <x v="1"/>
    <x v="1"/>
    <x v="2"/>
    <s v="Card"/>
    <n v="41.51"/>
    <n v="15.36"/>
    <x v="2"/>
    <n v="63.76"/>
    <n v="573.83000000000004"/>
    <n v="253.99"/>
    <n v="3.62"/>
    <n v="9.56"/>
    <n v="8.7100000000000009"/>
    <n v="0"/>
    <n v="0"/>
    <n v="275.88"/>
    <n v="297.95"/>
    <s v="Profit"/>
    <x v="0"/>
    <n v="0"/>
    <n v="2"/>
    <s v="0-15"/>
    <s v="No"/>
    <n v="0"/>
    <s v="Healthy"/>
    <n v="0"/>
  </r>
  <r>
    <n v="101544"/>
    <d v="2025-11-29T00:00:00"/>
    <n v="1075"/>
    <x v="3"/>
    <x v="14"/>
    <x v="4"/>
    <x v="3"/>
    <x v="0"/>
    <s v="UPI"/>
    <n v="4.54"/>
    <n v="12.07"/>
    <x v="2"/>
    <n v="5.48"/>
    <n v="49.32"/>
    <n v="31.78"/>
    <n v="6.98"/>
    <n v="0.38"/>
    <n v="7.94"/>
    <n v="0"/>
    <n v="0"/>
    <n v="47.08"/>
    <n v="2.2400000000000002"/>
    <s v="Profit"/>
    <x v="0"/>
    <n v="10"/>
    <n v="6"/>
    <s v="0-15"/>
    <s v="No"/>
    <n v="2"/>
    <s v="Healthy"/>
    <n v="0"/>
  </r>
  <r>
    <n v="101545"/>
    <d v="2025-12-18T00:00:00"/>
    <n v="1069"/>
    <x v="0"/>
    <x v="1"/>
    <x v="3"/>
    <x v="1"/>
    <x v="0"/>
    <s v="Card"/>
    <n v="32.85"/>
    <n v="18.239999999999998"/>
    <x v="2"/>
    <n v="59.92"/>
    <n v="539.26"/>
    <n v="267.64999999999998"/>
    <n v="1.7"/>
    <n v="8.99"/>
    <n v="0"/>
    <n v="0"/>
    <n v="0"/>
    <n v="278.33999999999997"/>
    <n v="260.92"/>
    <s v="Profit"/>
    <x v="0"/>
    <n v="5"/>
    <n v="2"/>
    <s v="0-15"/>
    <s v="No"/>
    <n v="0"/>
    <s v="Healthy"/>
    <n v="0"/>
  </r>
  <r>
    <n v="101546"/>
    <d v="2025-10-02T00:00:00"/>
    <n v="1136"/>
    <x v="1"/>
    <x v="3"/>
    <x v="1"/>
    <x v="1"/>
    <x v="0"/>
    <s v="Fleet_Invoice"/>
    <n v="34.64"/>
    <n v="15.71"/>
    <x v="2"/>
    <n v="54.42"/>
    <n v="489.77"/>
    <n v="242.29"/>
    <n v="6.23"/>
    <n v="2.1800000000000002"/>
    <n v="7.3"/>
    <n v="0"/>
    <n v="0"/>
    <n v="258"/>
    <n v="231.77"/>
    <s v="Profit"/>
    <x v="0"/>
    <n v="0"/>
    <n v="14"/>
    <s v="0-15"/>
    <s v="No"/>
    <n v="0"/>
    <s v="Healthy"/>
    <n v="0"/>
  </r>
  <r>
    <n v="101547"/>
    <d v="2025-10-07T00:00:00"/>
    <n v="1097"/>
    <x v="1"/>
    <x v="4"/>
    <x v="3"/>
    <x v="3"/>
    <x v="0"/>
    <s v="Card"/>
    <n v="25.95"/>
    <n v="14.28"/>
    <x v="2"/>
    <n v="37.06"/>
    <n v="333.51"/>
    <n v="181.37"/>
    <n v="7.69"/>
    <n v="5.56"/>
    <n v="11.78"/>
    <n v="0"/>
    <n v="0"/>
    <n v="206.4"/>
    <n v="127.11"/>
    <s v="Profit"/>
    <x v="0"/>
    <n v="12"/>
    <n v="9"/>
    <s v="0-15"/>
    <s v="No"/>
    <n v="0"/>
    <s v="Healthy"/>
    <n v="0"/>
  </r>
  <r>
    <n v="101548"/>
    <d v="2025-10-04T00:00:00"/>
    <n v="1042"/>
    <x v="1"/>
    <x v="4"/>
    <x v="3"/>
    <x v="3"/>
    <x v="0"/>
    <s v="UPI"/>
    <n v="22.99"/>
    <n v="12.19"/>
    <x v="1"/>
    <n v="56.05"/>
    <n v="224.2"/>
    <n v="154.04"/>
    <n v="5.68"/>
    <n v="1.96"/>
    <n v="4.8600000000000003"/>
    <n v="0"/>
    <n v="0"/>
    <n v="166.54"/>
    <n v="57.66"/>
    <s v="Profit"/>
    <x v="0"/>
    <n v="7"/>
    <n v="1"/>
    <s v="0-15"/>
    <s v="No"/>
    <n v="0"/>
    <s v="Healthy"/>
    <n v="0"/>
  </r>
  <r>
    <n v="101549"/>
    <d v="2025-11-12T00:00:00"/>
    <n v="1112"/>
    <x v="2"/>
    <x v="5"/>
    <x v="1"/>
    <x v="1"/>
    <x v="2"/>
    <s v="Fleet_Invoice"/>
    <n v="20.18"/>
    <n v="15.2"/>
    <x v="0"/>
    <n v="46.01"/>
    <n v="260.73"/>
    <n v="140.07"/>
    <n v="2.17"/>
    <n v="1.23"/>
    <n v="3.57"/>
    <n v="0"/>
    <n v="0"/>
    <n v="147.04"/>
    <n v="113.69"/>
    <s v="Profit"/>
    <x v="0"/>
    <n v="13"/>
    <n v="29"/>
    <s v="0-15"/>
    <s v="Yes"/>
    <n v="1"/>
    <s v="At Risk"/>
    <n v="1"/>
  </r>
  <r>
    <n v="101550"/>
    <d v="2025-12-15T00:00:00"/>
    <n v="1023"/>
    <x v="2"/>
    <x v="5"/>
    <x v="1"/>
    <x v="3"/>
    <x v="0"/>
    <s v="UPI"/>
    <n v="30.1"/>
    <n v="11.87"/>
    <x v="3"/>
    <n v="0"/>
    <n v="357.29"/>
    <n v="162.75"/>
    <n v="6.62"/>
    <n v="2.5"/>
    <n v="10.37"/>
    <n v="0"/>
    <n v="0"/>
    <n v="182.24"/>
    <n v="175.05"/>
    <s v="Profit"/>
    <x v="0"/>
    <n v="20"/>
    <n v="2"/>
    <s v="16-30"/>
    <s v="No"/>
    <n v="0"/>
    <s v="Healthy"/>
    <n v="0"/>
  </r>
  <r>
    <n v="101551"/>
    <d v="2025-10-15T00:00:00"/>
    <n v="1116"/>
    <x v="1"/>
    <x v="13"/>
    <x v="4"/>
    <x v="3"/>
    <x v="0"/>
    <s v="UPI"/>
    <n v="26.65"/>
    <n v="12.11"/>
    <x v="4"/>
    <n v="16.14"/>
    <n v="306.58999999999997"/>
    <n v="170.29"/>
    <n v="9.27"/>
    <n v="2.2599999999999998"/>
    <n v="2.78"/>
    <n v="234.02"/>
    <n v="0"/>
    <n v="418.62"/>
    <n v="-112.03"/>
    <s v="Loss"/>
    <x v="2"/>
    <n v="4"/>
    <n v="11"/>
    <s v="0-15"/>
    <s v="No"/>
    <n v="3"/>
    <s v="At Risk"/>
    <n v="0"/>
  </r>
  <r>
    <n v="101552"/>
    <d v="2025-12-29T00:00:00"/>
    <n v="1110"/>
    <x v="3"/>
    <x v="15"/>
    <x v="0"/>
    <x v="3"/>
    <x v="0"/>
    <s v="UPI"/>
    <n v="11.6"/>
    <n v="12.36"/>
    <x v="4"/>
    <n v="7.17"/>
    <n v="136.21"/>
    <n v="81.77"/>
    <n v="2.4900000000000002"/>
    <n v="1"/>
    <n v="0"/>
    <n v="0"/>
    <n v="0"/>
    <n v="85.26"/>
    <n v="50.95"/>
    <s v="Profit"/>
    <x v="0"/>
    <n v="2"/>
    <n v="9"/>
    <s v="0-15"/>
    <s v="No"/>
    <n v="0"/>
    <s v="Healthy"/>
    <n v="0"/>
  </r>
  <r>
    <n v="101553"/>
    <d v="2025-12-18T00:00:00"/>
    <n v="1004"/>
    <x v="0"/>
    <x v="11"/>
    <x v="3"/>
    <x v="1"/>
    <x v="0"/>
    <s v="UPI"/>
    <n v="16.690000000000001"/>
    <n v="14.56"/>
    <x v="3"/>
    <n v="0"/>
    <n v="243.01"/>
    <n v="134.69"/>
    <n v="10.07"/>
    <n v="1.7"/>
    <n v="8.8000000000000007"/>
    <n v="0"/>
    <n v="0"/>
    <n v="155.26"/>
    <n v="87.75"/>
    <s v="Profit"/>
    <x v="0"/>
    <n v="9"/>
    <n v="3"/>
    <s v="0-15"/>
    <s v="No"/>
    <n v="0"/>
    <s v="Healthy"/>
    <n v="0"/>
  </r>
  <r>
    <n v="101554"/>
    <d v="2025-12-26T00:00:00"/>
    <n v="1001"/>
    <x v="2"/>
    <x v="10"/>
    <x v="1"/>
    <x v="2"/>
    <x v="0"/>
    <s v="UPI"/>
    <n v="26.98"/>
    <n v="16.62"/>
    <x v="4"/>
    <n v="22.42"/>
    <n v="425.99"/>
    <n v="186.3"/>
    <n v="9.32"/>
    <n v="3.14"/>
    <n v="8.2100000000000009"/>
    <n v="0"/>
    <n v="0"/>
    <n v="206.97"/>
    <n v="219.02"/>
    <s v="Profit"/>
    <x v="0"/>
    <n v="18"/>
    <n v="20"/>
    <s v="16-30"/>
    <s v="Yes"/>
    <n v="2"/>
    <s v="At Risk"/>
    <n v="1"/>
  </r>
  <r>
    <n v="101555"/>
    <d v="2025-12-27T00:00:00"/>
    <n v="1019"/>
    <x v="0"/>
    <x v="1"/>
    <x v="4"/>
    <x v="1"/>
    <x v="2"/>
    <s v="Wallet"/>
    <n v="35.950000000000003"/>
    <n v="15.41"/>
    <x v="3"/>
    <n v="0"/>
    <n v="553.99"/>
    <n v="230.59"/>
    <n v="7.07"/>
    <n v="6.65"/>
    <n v="5.58"/>
    <n v="0"/>
    <n v="0"/>
    <n v="249.89"/>
    <n v="304.10000000000002"/>
    <s v="Profit"/>
    <x v="0"/>
    <n v="35"/>
    <n v="4"/>
    <s v="30+"/>
    <s v="Yes"/>
    <n v="1"/>
    <s v="At Risk"/>
    <n v="1"/>
  </r>
  <r>
    <n v="101556"/>
    <d v="2025-12-28T00:00:00"/>
    <n v="1119"/>
    <x v="0"/>
    <x v="6"/>
    <x v="3"/>
    <x v="2"/>
    <x v="2"/>
    <s v="UPI"/>
    <n v="26.04"/>
    <n v="16.239999999999998"/>
    <x v="0"/>
    <n v="63.43"/>
    <n v="359.46"/>
    <n v="169.06"/>
    <n v="5.52"/>
    <n v="2.96"/>
    <n v="7.23"/>
    <n v="0"/>
    <n v="0"/>
    <n v="184.77"/>
    <n v="174.69"/>
    <s v="Profit"/>
    <x v="0"/>
    <n v="4"/>
    <n v="4"/>
    <s v="0-15"/>
    <s v="No"/>
    <n v="0"/>
    <s v="Healthy"/>
    <n v="0"/>
  </r>
  <r>
    <n v="101557"/>
    <d v="2025-10-09T00:00:00"/>
    <n v="1023"/>
    <x v="3"/>
    <x v="15"/>
    <x v="2"/>
    <x v="2"/>
    <x v="0"/>
    <s v="UPI"/>
    <n v="32.74"/>
    <n v="16.329999999999998"/>
    <x v="3"/>
    <n v="0"/>
    <n v="534.64"/>
    <n v="243.39"/>
    <n v="6.61"/>
    <n v="3.74"/>
    <n v="1.78"/>
    <n v="469.84"/>
    <n v="0"/>
    <n v="725.36"/>
    <n v="-190.72"/>
    <s v="Loss"/>
    <x v="1"/>
    <n v="45"/>
    <n v="4"/>
    <s v="30+"/>
    <s v="Yes"/>
    <n v="1"/>
    <s v="At Risk"/>
    <n v="1"/>
  </r>
  <r>
    <n v="101558"/>
    <d v="2025-10-08T00:00:00"/>
    <n v="1080"/>
    <x v="2"/>
    <x v="9"/>
    <x v="2"/>
    <x v="2"/>
    <x v="0"/>
    <s v="UPI"/>
    <n v="33.869999999999997"/>
    <n v="17.89"/>
    <x v="2"/>
    <n v="60.59"/>
    <n v="545.34"/>
    <n v="262.06"/>
    <n v="15.65"/>
    <n v="4.24"/>
    <n v="4.53"/>
    <n v="0"/>
    <n v="0"/>
    <n v="286.48"/>
    <n v="258.86"/>
    <s v="Profit"/>
    <x v="0"/>
    <n v="32"/>
    <n v="0"/>
    <s v="30+"/>
    <s v="Yes"/>
    <n v="1"/>
    <s v="At Risk"/>
    <n v="1"/>
  </r>
  <r>
    <n v="101559"/>
    <d v="2025-12-15T00:00:00"/>
    <n v="1056"/>
    <x v="0"/>
    <x v="11"/>
    <x v="4"/>
    <x v="2"/>
    <x v="0"/>
    <s v="UPI"/>
    <n v="28.38"/>
    <n v="17.28"/>
    <x v="2"/>
    <n v="49.04"/>
    <n v="441.37"/>
    <n v="180.99"/>
    <n v="11.12"/>
    <n v="3.43"/>
    <n v="1.22"/>
    <n v="0"/>
    <n v="0"/>
    <n v="196.76"/>
    <n v="244.61"/>
    <s v="Profit"/>
    <x v="0"/>
    <n v="19"/>
    <n v="3"/>
    <s v="16-30"/>
    <s v="No"/>
    <n v="1"/>
    <s v="Healthy"/>
    <n v="0"/>
  </r>
  <r>
    <n v="101560"/>
    <d v="2025-10-07T00:00:00"/>
    <n v="1098"/>
    <x v="0"/>
    <x v="1"/>
    <x v="4"/>
    <x v="3"/>
    <x v="0"/>
    <s v="UPI"/>
    <n v="11.81"/>
    <n v="13.6"/>
    <x v="3"/>
    <n v="0"/>
    <n v="160.62"/>
    <n v="90.17"/>
    <n v="7.48"/>
    <n v="1.1200000000000001"/>
    <n v="4.08"/>
    <n v="0"/>
    <n v="0"/>
    <n v="102.85"/>
    <n v="57.77"/>
    <s v="Profit"/>
    <x v="0"/>
    <n v="24"/>
    <n v="5"/>
    <s v="16-30"/>
    <s v="Yes"/>
    <n v="2"/>
    <s v="At Risk"/>
    <n v="1"/>
  </r>
  <r>
    <n v="101561"/>
    <d v="2025-12-06T00:00:00"/>
    <n v="1010"/>
    <x v="3"/>
    <x v="8"/>
    <x v="3"/>
    <x v="1"/>
    <x v="0"/>
    <s v="UPI"/>
    <n v="31.75"/>
    <n v="15.27"/>
    <x v="3"/>
    <n v="0"/>
    <n v="484.82"/>
    <n v="238.65"/>
    <n v="6.51"/>
    <n v="3.39"/>
    <n v="6.51"/>
    <n v="239.21"/>
    <n v="0"/>
    <n v="494.27"/>
    <n v="-9.4499999999999993"/>
    <s v="Loss"/>
    <x v="1"/>
    <n v="12"/>
    <n v="4"/>
    <s v="0-15"/>
    <s v="Yes"/>
    <n v="1"/>
    <s v="At Risk"/>
    <n v="1"/>
  </r>
  <r>
    <n v="101562"/>
    <d v="2025-11-09T00:00:00"/>
    <n v="1059"/>
    <x v="2"/>
    <x v="12"/>
    <x v="3"/>
    <x v="2"/>
    <x v="0"/>
    <s v="UPI"/>
    <n v="47.09"/>
    <n v="16.8"/>
    <x v="3"/>
    <n v="0"/>
    <n v="791.11"/>
    <n v="412.43"/>
    <n v="8.26"/>
    <n v="5.54"/>
    <n v="12.14"/>
    <n v="0"/>
    <n v="0"/>
    <n v="438.37"/>
    <n v="352.74"/>
    <s v="Profit"/>
    <x v="0"/>
    <n v="1"/>
    <n v="7"/>
    <s v="0-15"/>
    <s v="No"/>
    <n v="0"/>
    <s v="Healthy"/>
    <n v="0"/>
  </r>
  <r>
    <n v="101563"/>
    <d v="2025-10-27T00:00:00"/>
    <n v="1088"/>
    <x v="3"/>
    <x v="8"/>
    <x v="4"/>
    <x v="0"/>
    <x v="2"/>
    <s v="UPI"/>
    <n v="18.170000000000002"/>
    <n v="20.04"/>
    <x v="3"/>
    <n v="0"/>
    <n v="364.13"/>
    <n v="150.38"/>
    <n v="5.99"/>
    <n v="2.5499999999999998"/>
    <n v="2.17"/>
    <n v="170.45"/>
    <n v="24.31"/>
    <n v="355.85"/>
    <n v="8.2799999999999994"/>
    <s v="Profit"/>
    <x v="1"/>
    <n v="5"/>
    <n v="2"/>
    <s v="0-15"/>
    <s v="Yes"/>
    <n v="3"/>
    <s v="At Risk"/>
    <n v="1"/>
  </r>
  <r>
    <n v="101564"/>
    <d v="2025-10-26T00:00:00"/>
    <n v="1021"/>
    <x v="3"/>
    <x v="7"/>
    <x v="1"/>
    <x v="1"/>
    <x v="0"/>
    <s v="UPI"/>
    <n v="11.8"/>
    <n v="16.12"/>
    <x v="3"/>
    <n v="0"/>
    <n v="190.22"/>
    <n v="103.05"/>
    <n v="10.24"/>
    <n v="1.33"/>
    <n v="3.89"/>
    <n v="0"/>
    <n v="0"/>
    <n v="118.51"/>
    <n v="71.709999999999994"/>
    <s v="Profit"/>
    <x v="0"/>
    <n v="5"/>
    <n v="23"/>
    <s v="0-15"/>
    <s v="Yes"/>
    <n v="1"/>
    <s v="At Risk"/>
    <n v="1"/>
  </r>
  <r>
    <n v="101565"/>
    <d v="2025-12-15T00:00:00"/>
    <n v="1047"/>
    <x v="2"/>
    <x v="5"/>
    <x v="2"/>
    <x v="2"/>
    <x v="0"/>
    <s v="Card"/>
    <n v="31.24"/>
    <n v="16.89"/>
    <x v="3"/>
    <n v="0"/>
    <n v="527.64"/>
    <n v="233.5"/>
    <n v="8.98"/>
    <n v="7.91"/>
    <n v="3.56"/>
    <n v="0"/>
    <n v="0"/>
    <n v="253.95"/>
    <n v="273.69"/>
    <s v="Profit"/>
    <x v="0"/>
    <n v="2"/>
    <n v="1"/>
    <s v="0-15"/>
    <s v="No"/>
    <n v="0"/>
    <s v="Healthy"/>
    <n v="0"/>
  </r>
  <r>
    <n v="101566"/>
    <d v="2025-12-17T00:00:00"/>
    <n v="1005"/>
    <x v="3"/>
    <x v="14"/>
    <x v="2"/>
    <x v="3"/>
    <x v="2"/>
    <s v="UPI"/>
    <n v="18.3"/>
    <n v="12.94"/>
    <x v="0"/>
    <n v="35.520000000000003"/>
    <n v="201.28"/>
    <n v="132.63"/>
    <n v="9.0399999999999991"/>
    <n v="1.66"/>
    <n v="3.12"/>
    <n v="0"/>
    <n v="0"/>
    <n v="146.44999999999999"/>
    <n v="54.83"/>
    <s v="Profit"/>
    <x v="0"/>
    <n v="10"/>
    <n v="12"/>
    <s v="0-15"/>
    <s v="No"/>
    <n v="0"/>
    <s v="Healthy"/>
    <n v="0"/>
  </r>
  <r>
    <n v="101567"/>
    <d v="2025-11-26T00:00:00"/>
    <n v="1064"/>
    <x v="3"/>
    <x v="14"/>
    <x v="3"/>
    <x v="0"/>
    <x v="0"/>
    <s v="Card"/>
    <n v="31.61"/>
    <n v="19.07"/>
    <x v="4"/>
    <n v="30.14"/>
    <n v="572.66"/>
    <n v="240.92"/>
    <n v="7.22"/>
    <n v="9.0399999999999991"/>
    <n v="9.57"/>
    <n v="0"/>
    <n v="0"/>
    <n v="266.75"/>
    <n v="305.91000000000003"/>
    <s v="Profit"/>
    <x v="0"/>
    <n v="2"/>
    <n v="8"/>
    <s v="0-15"/>
    <s v="No"/>
    <n v="0"/>
    <s v="Healthy"/>
    <n v="0"/>
  </r>
  <r>
    <n v="101568"/>
    <d v="2025-11-03T00:00:00"/>
    <n v="1084"/>
    <x v="0"/>
    <x v="11"/>
    <x v="2"/>
    <x v="0"/>
    <x v="1"/>
    <s v="Wallet"/>
    <n v="15.56"/>
    <n v="19.04"/>
    <x v="4"/>
    <n v="14.81"/>
    <n v="281.45"/>
    <n v="118.29"/>
    <n v="9.8800000000000008"/>
    <n v="3.56"/>
    <n v="3.76"/>
    <n v="0"/>
    <n v="0"/>
    <n v="135.49"/>
    <n v="145.96"/>
    <s v="Profit"/>
    <x v="0"/>
    <n v="10"/>
    <n v="6"/>
    <s v="0-15"/>
    <s v="No"/>
    <n v="0"/>
    <s v="Healthy"/>
    <n v="0"/>
  </r>
  <r>
    <n v="101569"/>
    <d v="2025-12-30T00:00:00"/>
    <n v="1139"/>
    <x v="1"/>
    <x v="2"/>
    <x v="3"/>
    <x v="1"/>
    <x v="2"/>
    <s v="UPI"/>
    <n v="17.16"/>
    <n v="14.57"/>
    <x v="0"/>
    <n v="37.5"/>
    <n v="212.52"/>
    <n v="129.37"/>
    <n v="4.3600000000000003"/>
    <n v="1.75"/>
    <n v="4.7699999999999996"/>
    <n v="0"/>
    <n v="0"/>
    <n v="140.25"/>
    <n v="72.27"/>
    <s v="Profit"/>
    <x v="0"/>
    <n v="24"/>
    <n v="1"/>
    <s v="16-30"/>
    <s v="Yes"/>
    <n v="2"/>
    <s v="At Risk"/>
    <n v="1"/>
  </r>
  <r>
    <n v="101570"/>
    <d v="2025-10-30T00:00:00"/>
    <n v="1028"/>
    <x v="2"/>
    <x v="5"/>
    <x v="1"/>
    <x v="3"/>
    <x v="0"/>
    <s v="UPI"/>
    <n v="29.3"/>
    <n v="13.16"/>
    <x v="0"/>
    <n v="57.84"/>
    <n v="327.75"/>
    <n v="209.59"/>
    <n v="5.0599999999999996"/>
    <n v="2.7"/>
    <n v="8.91"/>
    <n v="205.19"/>
    <n v="0"/>
    <n v="431.45"/>
    <n v="-103.7"/>
    <s v="Loss"/>
    <x v="1"/>
    <n v="3"/>
    <n v="11"/>
    <s v="0-15"/>
    <s v="Yes"/>
    <n v="2"/>
    <s v="At Risk"/>
    <n v="1"/>
  </r>
  <r>
    <n v="101571"/>
    <d v="2025-12-01T00:00:00"/>
    <n v="1036"/>
    <x v="3"/>
    <x v="7"/>
    <x v="2"/>
    <x v="2"/>
    <x v="1"/>
    <s v="Fleet_Invoice"/>
    <n v="42.71"/>
    <n v="17.77"/>
    <x v="0"/>
    <n v="113.84"/>
    <n v="645.12"/>
    <n v="260.82"/>
    <n v="11.58"/>
    <n v="3.04"/>
    <n v="6.46"/>
    <n v="0"/>
    <n v="0"/>
    <n v="281.89999999999998"/>
    <n v="363.22"/>
    <s v="Profit"/>
    <x v="0"/>
    <n v="6"/>
    <n v="6"/>
    <s v="0-15"/>
    <s v="No"/>
    <n v="0"/>
    <s v="Healthy"/>
    <n v="0"/>
  </r>
  <r>
    <n v="101572"/>
    <d v="2025-12-13T00:00:00"/>
    <n v="1117"/>
    <x v="1"/>
    <x v="4"/>
    <x v="4"/>
    <x v="0"/>
    <x v="1"/>
    <s v="Card"/>
    <n v="33.6"/>
    <n v="18.649999999999999"/>
    <x v="3"/>
    <n v="0"/>
    <n v="626.64"/>
    <n v="217.56"/>
    <n v="4.6100000000000003"/>
    <n v="9.4"/>
    <n v="6.52"/>
    <n v="0"/>
    <n v="0"/>
    <n v="238.09"/>
    <n v="388.55"/>
    <s v="Profit"/>
    <x v="0"/>
    <n v="37"/>
    <n v="8"/>
    <s v="30+"/>
    <s v="Yes"/>
    <n v="2"/>
    <s v="At Risk"/>
    <n v="1"/>
  </r>
  <r>
    <n v="101573"/>
    <d v="2025-11-23T00:00:00"/>
    <n v="1147"/>
    <x v="0"/>
    <x v="6"/>
    <x v="0"/>
    <x v="3"/>
    <x v="2"/>
    <s v="UPI"/>
    <n v="15.49"/>
    <n v="12.57"/>
    <x v="2"/>
    <n v="19.47"/>
    <n v="175.24"/>
    <n v="107.47"/>
    <n v="8.11"/>
    <n v="1.36"/>
    <n v="10.43"/>
    <n v="0"/>
    <n v="0"/>
    <n v="127.37"/>
    <n v="47.87"/>
    <s v="Profit"/>
    <x v="0"/>
    <n v="19"/>
    <n v="14"/>
    <s v="16-30"/>
    <s v="No"/>
    <n v="0"/>
    <s v="Healthy"/>
    <n v="0"/>
  </r>
  <r>
    <n v="101574"/>
    <d v="2025-12-24T00:00:00"/>
    <n v="1004"/>
    <x v="0"/>
    <x v="11"/>
    <x v="1"/>
    <x v="3"/>
    <x v="0"/>
    <s v="UPI"/>
    <n v="13.54"/>
    <n v="11.7"/>
    <x v="1"/>
    <n v="31.68"/>
    <n v="126.74"/>
    <n v="96.13"/>
    <n v="12.8"/>
    <n v="1.1100000000000001"/>
    <n v="5.21"/>
    <n v="0"/>
    <n v="0"/>
    <n v="115.25"/>
    <n v="11.49"/>
    <s v="Profit"/>
    <x v="0"/>
    <n v="27"/>
    <n v="23"/>
    <s v="16-30"/>
    <s v="Yes"/>
    <n v="1"/>
    <s v="At Risk"/>
    <n v="1"/>
  </r>
  <r>
    <n v="101575"/>
    <d v="2025-12-04T00:00:00"/>
    <n v="1125"/>
    <x v="1"/>
    <x v="4"/>
    <x v="0"/>
    <x v="1"/>
    <x v="0"/>
    <s v="UPI"/>
    <n v="23.92"/>
    <n v="15.98"/>
    <x v="3"/>
    <n v="0"/>
    <n v="382.24"/>
    <n v="192.37"/>
    <n v="9.82"/>
    <n v="2.68"/>
    <n v="2.84"/>
    <n v="0"/>
    <n v="0"/>
    <n v="207.71"/>
    <n v="174.53"/>
    <s v="Profit"/>
    <x v="0"/>
    <n v="5"/>
    <n v="14"/>
    <s v="0-15"/>
    <s v="No"/>
    <n v="0"/>
    <s v="Healthy"/>
    <n v="0"/>
  </r>
  <r>
    <n v="101576"/>
    <d v="2025-11-20T00:00:00"/>
    <n v="1039"/>
    <x v="2"/>
    <x v="5"/>
    <x v="0"/>
    <x v="1"/>
    <x v="0"/>
    <s v="Fleet_Invoice"/>
    <n v="20"/>
    <n v="14.42"/>
    <x v="4"/>
    <n v="14.42"/>
    <n v="273.98"/>
    <n v="127.66"/>
    <n v="6.37"/>
    <n v="1.1499999999999999"/>
    <n v="4.82"/>
    <n v="0"/>
    <n v="0"/>
    <n v="140"/>
    <n v="133.97999999999999"/>
    <s v="Profit"/>
    <x v="0"/>
    <n v="13"/>
    <n v="8"/>
    <s v="0-15"/>
    <s v="No"/>
    <n v="0"/>
    <s v="Healthy"/>
    <n v="0"/>
  </r>
  <r>
    <n v="101577"/>
    <d v="2025-11-08T00:00:00"/>
    <n v="1103"/>
    <x v="0"/>
    <x v="0"/>
    <x v="4"/>
    <x v="2"/>
    <x v="1"/>
    <s v="UPI"/>
    <n v="27.99"/>
    <n v="18.36"/>
    <x v="3"/>
    <n v="0"/>
    <n v="513.9"/>
    <n v="236.26"/>
    <n v="6"/>
    <n v="3.6"/>
    <n v="1.77"/>
    <n v="0"/>
    <n v="0"/>
    <n v="247.63"/>
    <n v="266.27"/>
    <s v="Profit"/>
    <x v="0"/>
    <n v="48"/>
    <n v="16"/>
    <s v="30+"/>
    <s v="Yes"/>
    <n v="2"/>
    <s v="At Risk"/>
    <n v="1"/>
  </r>
  <r>
    <n v="101578"/>
    <d v="2025-10-12T00:00:00"/>
    <n v="1147"/>
    <x v="1"/>
    <x v="3"/>
    <x v="2"/>
    <x v="2"/>
    <x v="0"/>
    <s v="UPI"/>
    <n v="19.48"/>
    <n v="16.71"/>
    <x v="3"/>
    <n v="0"/>
    <n v="325.51"/>
    <n v="173.99"/>
    <n v="7"/>
    <n v="2.2799999999999998"/>
    <n v="0.56999999999999995"/>
    <n v="0"/>
    <n v="0"/>
    <n v="183.84"/>
    <n v="141.66999999999999"/>
    <s v="Profit"/>
    <x v="0"/>
    <n v="2"/>
    <n v="6"/>
    <s v="0-15"/>
    <s v="No"/>
    <n v="0"/>
    <s v="Healthy"/>
    <n v="0"/>
  </r>
  <r>
    <n v="101579"/>
    <d v="2025-12-21T00:00:00"/>
    <n v="1010"/>
    <x v="2"/>
    <x v="10"/>
    <x v="3"/>
    <x v="3"/>
    <x v="0"/>
    <s v="Wallet"/>
    <n v="14.79"/>
    <n v="10.97"/>
    <x v="3"/>
    <n v="0"/>
    <n v="162.25"/>
    <n v="106.27"/>
    <n v="11.73"/>
    <n v="1.95"/>
    <n v="6.17"/>
    <n v="0"/>
    <n v="0"/>
    <n v="126.12"/>
    <n v="36.130000000000003"/>
    <s v="Profit"/>
    <x v="0"/>
    <n v="0"/>
    <n v="0"/>
    <s v="0-15"/>
    <s v="No"/>
    <n v="0"/>
    <s v="Healthy"/>
    <n v="0"/>
  </r>
  <r>
    <n v="101580"/>
    <d v="2025-11-11T00:00:00"/>
    <n v="1046"/>
    <x v="2"/>
    <x v="10"/>
    <x v="3"/>
    <x v="2"/>
    <x v="0"/>
    <s v="Wallet"/>
    <n v="24.39"/>
    <n v="17.11"/>
    <x v="3"/>
    <n v="0"/>
    <n v="417.31"/>
    <n v="172.59"/>
    <n v="9.2799999999999994"/>
    <n v="5.01"/>
    <n v="6.59"/>
    <n v="0"/>
    <n v="0"/>
    <n v="193.47"/>
    <n v="223.84"/>
    <s v="Profit"/>
    <x v="0"/>
    <n v="39"/>
    <n v="0"/>
    <s v="30+"/>
    <s v="Yes"/>
    <n v="2"/>
    <s v="At Risk"/>
    <n v="1"/>
  </r>
  <r>
    <n v="101581"/>
    <d v="2025-11-09T00:00:00"/>
    <n v="1075"/>
    <x v="1"/>
    <x v="4"/>
    <x v="4"/>
    <x v="3"/>
    <x v="2"/>
    <s v="UPI"/>
    <n v="29.62"/>
    <n v="12.35"/>
    <x v="2"/>
    <n v="36.58"/>
    <n v="329.23"/>
    <n v="228.04"/>
    <n v="13.02"/>
    <n v="2.56"/>
    <n v="6.03"/>
    <n v="0"/>
    <n v="0"/>
    <n v="249.65"/>
    <n v="79.58"/>
    <s v="Profit"/>
    <x v="0"/>
    <n v="5"/>
    <n v="24"/>
    <s v="0-15"/>
    <s v="Yes"/>
    <n v="1"/>
    <s v="At Risk"/>
    <n v="1"/>
  </r>
  <r>
    <n v="101582"/>
    <d v="2025-10-20T00:00:00"/>
    <n v="1109"/>
    <x v="0"/>
    <x v="1"/>
    <x v="4"/>
    <x v="3"/>
    <x v="2"/>
    <s v="UPI"/>
    <n v="19.64"/>
    <n v="12.95"/>
    <x v="2"/>
    <n v="25.43"/>
    <n v="228.91"/>
    <n v="162.41999999999999"/>
    <n v="4.42"/>
    <n v="1.78"/>
    <n v="1.58"/>
    <n v="0"/>
    <n v="0"/>
    <n v="170.2"/>
    <n v="58.71"/>
    <s v="Profit"/>
    <x v="0"/>
    <n v="2"/>
    <n v="6"/>
    <s v="0-15"/>
    <s v="No"/>
    <n v="0"/>
    <s v="Healthy"/>
    <n v="0"/>
  </r>
  <r>
    <n v="101583"/>
    <d v="2025-11-27T00:00:00"/>
    <n v="1010"/>
    <x v="0"/>
    <x v="0"/>
    <x v="1"/>
    <x v="3"/>
    <x v="0"/>
    <s v="Fleet_Invoice"/>
    <n v="16.87"/>
    <n v="12.52"/>
    <x v="2"/>
    <n v="21.12"/>
    <n v="190.09"/>
    <n v="127.51"/>
    <n v="11.99"/>
    <n v="0.84"/>
    <n v="5.16"/>
    <n v="0"/>
    <n v="0"/>
    <n v="145.5"/>
    <n v="44.59"/>
    <s v="Profit"/>
    <x v="0"/>
    <n v="12"/>
    <n v="0"/>
    <s v="0-15"/>
    <s v="No"/>
    <n v="0"/>
    <s v="Healthy"/>
    <n v="0"/>
  </r>
  <r>
    <n v="101584"/>
    <d v="2025-11-17T00:00:00"/>
    <n v="1120"/>
    <x v="1"/>
    <x v="3"/>
    <x v="1"/>
    <x v="2"/>
    <x v="0"/>
    <s v="Card"/>
    <n v="26.06"/>
    <n v="18.64"/>
    <x v="2"/>
    <n v="48.58"/>
    <n v="437.18"/>
    <n v="215.9"/>
    <n v="6.4"/>
    <n v="7.29"/>
    <n v="8.6199999999999992"/>
    <n v="0"/>
    <n v="0"/>
    <n v="238.21"/>
    <n v="198.97"/>
    <s v="Profit"/>
    <x v="0"/>
    <n v="3"/>
    <n v="3"/>
    <s v="0-15"/>
    <s v="No"/>
    <n v="0"/>
    <s v="Healthy"/>
    <n v="0"/>
  </r>
  <r>
    <n v="101585"/>
    <d v="2025-12-17T00:00:00"/>
    <n v="1124"/>
    <x v="1"/>
    <x v="4"/>
    <x v="4"/>
    <x v="1"/>
    <x v="2"/>
    <s v="Fleet_Invoice"/>
    <n v="17.920000000000002"/>
    <n v="16.010000000000002"/>
    <x v="3"/>
    <n v="0"/>
    <n v="286.89999999999998"/>
    <n v="139.97999999999999"/>
    <n v="9.8000000000000007"/>
    <n v="1.1499999999999999"/>
    <n v="6.35"/>
    <n v="146.22999999999999"/>
    <n v="3.9"/>
    <n v="307.41000000000003"/>
    <n v="-20.51"/>
    <s v="Loss"/>
    <x v="2"/>
    <n v="10"/>
    <n v="11"/>
    <s v="0-15"/>
    <s v="No"/>
    <n v="1"/>
    <s v="At Risk"/>
    <n v="0"/>
  </r>
  <r>
    <n v="101586"/>
    <d v="2025-10-05T00:00:00"/>
    <n v="1075"/>
    <x v="2"/>
    <x v="5"/>
    <x v="4"/>
    <x v="1"/>
    <x v="1"/>
    <s v="Card"/>
    <n v="29.56"/>
    <n v="14.36"/>
    <x v="1"/>
    <n v="84.9"/>
    <n v="339.58"/>
    <n v="219.01"/>
    <n v="11.89"/>
    <n v="6.37"/>
    <n v="12.38"/>
    <n v="0"/>
    <n v="0"/>
    <n v="249.65"/>
    <n v="89.93"/>
    <s v="Profit"/>
    <x v="0"/>
    <n v="2"/>
    <n v="11"/>
    <s v="0-15"/>
    <s v="No"/>
    <n v="0"/>
    <s v="Healthy"/>
    <n v="0"/>
  </r>
  <r>
    <n v="101587"/>
    <d v="2025-10-02T00:00:00"/>
    <n v="1126"/>
    <x v="2"/>
    <x v="5"/>
    <x v="3"/>
    <x v="2"/>
    <x v="2"/>
    <s v="Card"/>
    <n v="34.15"/>
    <n v="16.8"/>
    <x v="3"/>
    <n v="0"/>
    <n v="573.72"/>
    <n v="246.73"/>
    <n v="2.95"/>
    <n v="8.61"/>
    <n v="7.55"/>
    <n v="0"/>
    <n v="0"/>
    <n v="265.83999999999997"/>
    <n v="307.88"/>
    <s v="Profit"/>
    <x v="0"/>
    <n v="36"/>
    <n v="9"/>
    <s v="30+"/>
    <s v="Yes"/>
    <n v="1"/>
    <s v="At Risk"/>
    <n v="1"/>
  </r>
  <r>
    <n v="101588"/>
    <d v="2025-10-25T00:00:00"/>
    <n v="1081"/>
    <x v="3"/>
    <x v="15"/>
    <x v="1"/>
    <x v="3"/>
    <x v="2"/>
    <s v="UPI"/>
    <n v="30.86"/>
    <n v="11.64"/>
    <x v="0"/>
    <n v="53.88"/>
    <n v="305.33"/>
    <n v="235.63"/>
    <n v="6.99"/>
    <n v="2.5099999999999998"/>
    <n v="5.01"/>
    <n v="0"/>
    <n v="0"/>
    <n v="250.14"/>
    <n v="55.19"/>
    <s v="Profit"/>
    <x v="0"/>
    <n v="11"/>
    <n v="35"/>
    <s v="0-15"/>
    <s v="Yes"/>
    <n v="1"/>
    <s v="At Risk"/>
    <n v="1"/>
  </r>
  <r>
    <n v="101589"/>
    <d v="2025-12-26T00:00:00"/>
    <n v="1054"/>
    <x v="1"/>
    <x v="3"/>
    <x v="2"/>
    <x v="3"/>
    <x v="0"/>
    <s v="UPI"/>
    <n v="25.13"/>
    <n v="14.72"/>
    <x v="4"/>
    <n v="18.5"/>
    <n v="351.41"/>
    <n v="139.91999999999999"/>
    <n v="12.66"/>
    <n v="2.59"/>
    <n v="9.93"/>
    <n v="0"/>
    <n v="0"/>
    <n v="165.1"/>
    <n v="186.31"/>
    <s v="Profit"/>
    <x v="0"/>
    <n v="13"/>
    <n v="2"/>
    <s v="0-15"/>
    <s v="No"/>
    <n v="0"/>
    <s v="Healthy"/>
    <n v="0"/>
  </r>
  <r>
    <n v="101590"/>
    <d v="2025-11-23T00:00:00"/>
    <n v="1106"/>
    <x v="0"/>
    <x v="1"/>
    <x v="3"/>
    <x v="2"/>
    <x v="0"/>
    <s v="UPI"/>
    <n v="32.35"/>
    <n v="18.47"/>
    <x v="3"/>
    <n v="0"/>
    <n v="597.5"/>
    <n v="250.24"/>
    <n v="4.2"/>
    <n v="4.18"/>
    <n v="15.28"/>
    <n v="0"/>
    <n v="0"/>
    <n v="273.89999999999998"/>
    <n v="323.60000000000002"/>
    <s v="Profit"/>
    <x v="0"/>
    <n v="5"/>
    <n v="6"/>
    <s v="0-15"/>
    <s v="No"/>
    <n v="1"/>
    <s v="Healthy"/>
    <n v="0"/>
  </r>
  <r>
    <n v="101591"/>
    <d v="2025-12-05T00:00:00"/>
    <n v="1036"/>
    <x v="2"/>
    <x v="12"/>
    <x v="4"/>
    <x v="3"/>
    <x v="0"/>
    <s v="Fleet_Invoice"/>
    <n v="37.08"/>
    <n v="12.12"/>
    <x v="3"/>
    <n v="0"/>
    <n v="449.41"/>
    <n v="309.5"/>
    <n v="6.71"/>
    <n v="1.8"/>
    <n v="4.62"/>
    <n v="0"/>
    <n v="0"/>
    <n v="322.63"/>
    <n v="126.78"/>
    <s v="Profit"/>
    <x v="0"/>
    <n v="0"/>
    <n v="1"/>
    <s v="0-15"/>
    <s v="No"/>
    <n v="0"/>
    <s v="Healthy"/>
    <n v="0"/>
  </r>
  <r>
    <n v="101592"/>
    <d v="2025-11-09T00:00:00"/>
    <n v="1148"/>
    <x v="1"/>
    <x v="3"/>
    <x v="1"/>
    <x v="1"/>
    <x v="0"/>
    <s v="Wallet"/>
    <n v="14.41"/>
    <n v="14.88"/>
    <x v="3"/>
    <n v="0"/>
    <n v="214.42"/>
    <n v="118.69"/>
    <n v="4"/>
    <n v="2.57"/>
    <n v="12.26"/>
    <n v="0"/>
    <n v="0"/>
    <n v="137.52000000000001"/>
    <n v="76.900000000000006"/>
    <s v="Profit"/>
    <x v="0"/>
    <n v="4"/>
    <n v="9"/>
    <s v="0-15"/>
    <s v="No"/>
    <n v="1"/>
    <s v="Healthy"/>
    <n v="0"/>
  </r>
  <r>
    <n v="101593"/>
    <d v="2025-10-06T00:00:00"/>
    <n v="1129"/>
    <x v="2"/>
    <x v="12"/>
    <x v="1"/>
    <x v="1"/>
    <x v="2"/>
    <s v="UPI"/>
    <n v="35.49"/>
    <n v="16.84"/>
    <x v="0"/>
    <n v="89.65"/>
    <n v="508"/>
    <n v="245.74"/>
    <n v="6.9"/>
    <n v="4.18"/>
    <n v="6.34"/>
    <n v="0"/>
    <n v="0"/>
    <n v="263.16000000000003"/>
    <n v="244.84"/>
    <s v="Profit"/>
    <x v="0"/>
    <n v="11"/>
    <n v="6"/>
    <s v="0-15"/>
    <s v="No"/>
    <n v="0"/>
    <s v="Healthy"/>
    <n v="0"/>
  </r>
  <r>
    <n v="101594"/>
    <d v="2025-12-16T00:00:00"/>
    <n v="1073"/>
    <x v="1"/>
    <x v="2"/>
    <x v="4"/>
    <x v="3"/>
    <x v="1"/>
    <s v="Wallet"/>
    <n v="28.66"/>
    <n v="14.22"/>
    <x v="1"/>
    <n v="81.510000000000005"/>
    <n v="326.04000000000002"/>
    <n v="222.1"/>
    <n v="2.7"/>
    <n v="4.8899999999999997"/>
    <n v="0.35"/>
    <n v="0"/>
    <n v="0"/>
    <n v="230.04"/>
    <n v="96"/>
    <s v="Profit"/>
    <x v="0"/>
    <n v="35"/>
    <n v="3"/>
    <s v="30+"/>
    <s v="Yes"/>
    <n v="3"/>
    <s v="At Risk"/>
    <n v="1"/>
  </r>
  <r>
    <n v="101595"/>
    <d v="2025-11-15T00:00:00"/>
    <n v="1078"/>
    <x v="1"/>
    <x v="13"/>
    <x v="1"/>
    <x v="3"/>
    <x v="0"/>
    <s v="UPI"/>
    <n v="7.14"/>
    <n v="11.42"/>
    <x v="3"/>
    <n v="0"/>
    <n v="81.540000000000006"/>
    <n v="52.71"/>
    <n v="6.48"/>
    <n v="0.56999999999999995"/>
    <n v="9.11"/>
    <n v="0"/>
    <n v="0"/>
    <n v="68.87"/>
    <n v="12.67"/>
    <s v="Profit"/>
    <x v="0"/>
    <n v="23"/>
    <n v="11"/>
    <s v="16-30"/>
    <s v="Yes"/>
    <n v="1"/>
    <s v="At Risk"/>
    <n v="1"/>
  </r>
  <r>
    <n v="101596"/>
    <d v="2025-12-05T00:00:00"/>
    <n v="1027"/>
    <x v="2"/>
    <x v="10"/>
    <x v="3"/>
    <x v="3"/>
    <x v="1"/>
    <s v="Card"/>
    <n v="18.23"/>
    <n v="12.4"/>
    <x v="1"/>
    <n v="45.21"/>
    <n v="180.84"/>
    <n v="145.09"/>
    <n v="5.05"/>
    <n v="3.39"/>
    <n v="7.31"/>
    <n v="0"/>
    <n v="0"/>
    <n v="160.84"/>
    <n v="20"/>
    <s v="Profit"/>
    <x v="0"/>
    <n v="10"/>
    <n v="2"/>
    <s v="0-15"/>
    <s v="No"/>
    <n v="0"/>
    <s v="Healthy"/>
    <n v="0"/>
  </r>
  <r>
    <n v="101597"/>
    <d v="2025-11-15T00:00:00"/>
    <n v="1013"/>
    <x v="2"/>
    <x v="9"/>
    <x v="0"/>
    <x v="2"/>
    <x v="0"/>
    <s v="Wallet"/>
    <n v="39.880000000000003"/>
    <n v="16.7"/>
    <x v="4"/>
    <n v="33.299999999999997"/>
    <n v="632.70000000000005"/>
    <n v="297.92"/>
    <n v="7.83"/>
    <n v="7.99"/>
    <n v="15.73"/>
    <n v="0"/>
    <n v="0"/>
    <n v="329.47"/>
    <n v="303.23"/>
    <s v="Profit"/>
    <x v="0"/>
    <n v="8"/>
    <n v="4"/>
    <s v="0-15"/>
    <s v="No"/>
    <n v="0"/>
    <s v="Healthy"/>
    <n v="0"/>
  </r>
  <r>
    <n v="101598"/>
    <d v="2025-12-16T00:00:00"/>
    <n v="1140"/>
    <x v="2"/>
    <x v="9"/>
    <x v="4"/>
    <x v="1"/>
    <x v="0"/>
    <s v="UPI"/>
    <n v="20.3"/>
    <n v="15.55"/>
    <x v="2"/>
    <n v="31.57"/>
    <n v="284.10000000000002"/>
    <n v="151.82"/>
    <n v="2.5"/>
    <n v="2.21"/>
    <n v="8.9600000000000009"/>
    <n v="0"/>
    <n v="0"/>
    <n v="165.49"/>
    <n v="118.61"/>
    <s v="Profit"/>
    <x v="0"/>
    <n v="24"/>
    <n v="25"/>
    <s v="16-30"/>
    <s v="Yes"/>
    <n v="2"/>
    <s v="At Risk"/>
    <n v="1"/>
  </r>
  <r>
    <n v="101599"/>
    <d v="2025-11-25T00:00:00"/>
    <n v="1096"/>
    <x v="0"/>
    <x v="11"/>
    <x v="0"/>
    <x v="3"/>
    <x v="0"/>
    <s v="UPI"/>
    <n v="13.33"/>
    <n v="11.53"/>
    <x v="2"/>
    <n v="15.37"/>
    <n v="138.32"/>
    <n v="100.48"/>
    <n v="4.84"/>
    <n v="1.08"/>
    <n v="8.07"/>
    <n v="135.66"/>
    <n v="0"/>
    <n v="250.13"/>
    <n v="-111.81"/>
    <s v="Loss"/>
    <x v="2"/>
    <n v="19"/>
    <n v="12"/>
    <s v="16-30"/>
    <s v="No"/>
    <n v="4"/>
    <s v="At Risk"/>
    <n v="0"/>
  </r>
  <r>
    <n v="101600"/>
    <d v="2025-12-12T00:00:00"/>
    <n v="1136"/>
    <x v="0"/>
    <x v="0"/>
    <x v="3"/>
    <x v="2"/>
    <x v="0"/>
    <s v="UPI"/>
    <n v="42.4"/>
    <n v="19.52"/>
    <x v="0"/>
    <n v="124.15"/>
    <n v="703.5"/>
    <n v="309.83"/>
    <n v="2.6"/>
    <n v="5.79"/>
    <n v="10.83"/>
    <n v="0"/>
    <n v="0"/>
    <n v="329.05"/>
    <n v="374.45"/>
    <s v="Profit"/>
    <x v="0"/>
    <n v="19"/>
    <n v="17"/>
    <s v="16-30"/>
    <s v="Yes"/>
    <n v="1"/>
    <s v="At Risk"/>
    <n v="1"/>
  </r>
  <r>
    <n v="101601"/>
    <d v="2025-12-15T00:00:00"/>
    <n v="1006"/>
    <x v="3"/>
    <x v="8"/>
    <x v="1"/>
    <x v="0"/>
    <x v="1"/>
    <s v="UPI"/>
    <n v="24.7"/>
    <n v="17.600000000000001"/>
    <x v="3"/>
    <n v="0"/>
    <n v="434.72"/>
    <n v="160.87"/>
    <n v="10.96"/>
    <n v="3.04"/>
    <n v="11.16"/>
    <n v="0"/>
    <n v="0"/>
    <n v="186.03"/>
    <n v="248.69"/>
    <s v="Profit"/>
    <x v="0"/>
    <n v="8"/>
    <n v="3"/>
    <s v="0-15"/>
    <s v="No"/>
    <n v="0"/>
    <s v="Healthy"/>
    <n v="0"/>
  </r>
  <r>
    <n v="101602"/>
    <d v="2025-12-26T00:00:00"/>
    <n v="1037"/>
    <x v="0"/>
    <x v="11"/>
    <x v="1"/>
    <x v="2"/>
    <x v="0"/>
    <s v="Fleet_Invoice"/>
    <n v="19.39"/>
    <n v="18.53"/>
    <x v="3"/>
    <n v="0"/>
    <n v="359.3"/>
    <n v="155.87"/>
    <n v="5.26"/>
    <n v="1.44"/>
    <n v="5.5"/>
    <n v="0"/>
    <n v="0"/>
    <n v="168.07"/>
    <n v="191.23"/>
    <s v="Profit"/>
    <x v="0"/>
    <n v="5"/>
    <n v="6"/>
    <s v="0-15"/>
    <s v="No"/>
    <n v="0"/>
    <s v="Healthy"/>
    <n v="0"/>
  </r>
  <r>
    <n v="101603"/>
    <d v="2025-12-05T00:00:00"/>
    <n v="1046"/>
    <x v="3"/>
    <x v="15"/>
    <x v="1"/>
    <x v="3"/>
    <x v="2"/>
    <s v="UPI"/>
    <n v="10.37"/>
    <n v="12.19"/>
    <x v="0"/>
    <n v="18.96"/>
    <n v="107.45"/>
    <n v="69.89"/>
    <n v="9.4499999999999993"/>
    <n v="0.88"/>
    <n v="7.65"/>
    <n v="0"/>
    <n v="0"/>
    <n v="87.87"/>
    <n v="19.579999999999998"/>
    <s v="Profit"/>
    <x v="0"/>
    <n v="35"/>
    <n v="2"/>
    <s v="30+"/>
    <s v="Yes"/>
    <n v="1"/>
    <s v="At Risk"/>
    <n v="1"/>
  </r>
  <r>
    <n v="101604"/>
    <d v="2025-12-17T00:00:00"/>
    <n v="1012"/>
    <x v="0"/>
    <x v="6"/>
    <x v="4"/>
    <x v="3"/>
    <x v="0"/>
    <s v="UPI"/>
    <n v="15.28"/>
    <n v="12.38"/>
    <x v="3"/>
    <n v="0"/>
    <n v="189.17"/>
    <n v="97.73"/>
    <n v="12.64"/>
    <n v="1.32"/>
    <n v="9.77"/>
    <n v="0"/>
    <n v="0"/>
    <n v="121.46"/>
    <n v="67.709999999999994"/>
    <s v="Profit"/>
    <x v="0"/>
    <n v="1"/>
    <n v="0"/>
    <s v="0-15"/>
    <s v="No"/>
    <n v="0"/>
    <s v="Healthy"/>
    <n v="0"/>
  </r>
  <r>
    <n v="101605"/>
    <d v="2025-12-21T00:00:00"/>
    <n v="1145"/>
    <x v="1"/>
    <x v="2"/>
    <x v="3"/>
    <x v="2"/>
    <x v="0"/>
    <s v="UPI"/>
    <n v="9.01"/>
    <n v="18.89"/>
    <x v="4"/>
    <n v="8.51"/>
    <n v="161.69"/>
    <n v="59.51"/>
    <n v="6.69"/>
    <n v="1.19"/>
    <n v="5.81"/>
    <n v="0"/>
    <n v="0"/>
    <n v="73.2"/>
    <n v="88.49"/>
    <s v="Profit"/>
    <x v="0"/>
    <n v="3"/>
    <n v="10"/>
    <s v="0-15"/>
    <s v="No"/>
    <n v="1"/>
    <s v="Healthy"/>
    <n v="0"/>
  </r>
  <r>
    <n v="101606"/>
    <d v="2025-10-20T00:00:00"/>
    <n v="1001"/>
    <x v="2"/>
    <x v="12"/>
    <x v="1"/>
    <x v="1"/>
    <x v="0"/>
    <s v="Card"/>
    <n v="28.66"/>
    <n v="15.46"/>
    <x v="3"/>
    <n v="0"/>
    <n v="443.08"/>
    <n v="212.05"/>
    <n v="6.14"/>
    <n v="6.65"/>
    <n v="1.17"/>
    <n v="0"/>
    <n v="0"/>
    <n v="226.01"/>
    <n v="217.07"/>
    <s v="Profit"/>
    <x v="0"/>
    <n v="61"/>
    <n v="19"/>
    <s v="30+"/>
    <s v="Yes"/>
    <n v="2"/>
    <s v="At Risk"/>
    <n v="1"/>
  </r>
  <r>
    <n v="101607"/>
    <d v="2025-12-26T00:00:00"/>
    <n v="1045"/>
    <x v="2"/>
    <x v="9"/>
    <x v="2"/>
    <x v="1"/>
    <x v="1"/>
    <s v="UPI"/>
    <n v="36.69"/>
    <n v="17.84"/>
    <x v="4"/>
    <n v="32.729999999999997"/>
    <n v="621.82000000000005"/>
    <n v="278.16000000000003"/>
    <n v="10.94"/>
    <n v="4.58"/>
    <n v="6.1"/>
    <n v="0"/>
    <n v="0"/>
    <n v="299.77999999999997"/>
    <n v="322.04000000000002"/>
    <s v="Profit"/>
    <x v="0"/>
    <n v="2"/>
    <n v="15"/>
    <s v="0-15"/>
    <s v="No"/>
    <n v="0"/>
    <s v="Healthy"/>
    <n v="0"/>
  </r>
  <r>
    <n v="101608"/>
    <d v="2025-10-10T00:00:00"/>
    <n v="1104"/>
    <x v="0"/>
    <x v="11"/>
    <x v="3"/>
    <x v="3"/>
    <x v="2"/>
    <s v="Fleet_Invoice"/>
    <n v="12.77"/>
    <n v="13.72"/>
    <x v="2"/>
    <n v="17.52"/>
    <n v="157.68"/>
    <n v="66.62"/>
    <n v="10.25"/>
    <n v="0.7"/>
    <n v="1.84"/>
    <n v="0"/>
    <n v="0"/>
    <n v="79.41"/>
    <n v="78.27"/>
    <s v="Profit"/>
    <x v="0"/>
    <n v="24"/>
    <n v="10"/>
    <s v="16-30"/>
    <s v="Yes"/>
    <n v="1"/>
    <s v="At Risk"/>
    <n v="1"/>
  </r>
  <r>
    <n v="101609"/>
    <d v="2025-12-30T00:00:00"/>
    <n v="1069"/>
    <x v="1"/>
    <x v="2"/>
    <x v="2"/>
    <x v="0"/>
    <x v="1"/>
    <s v="UPI"/>
    <n v="27"/>
    <n v="19.510000000000002"/>
    <x v="3"/>
    <n v="0"/>
    <n v="526.77"/>
    <n v="206.5"/>
    <n v="11.64"/>
    <n v="3.69"/>
    <n v="4.28"/>
    <n v="447.71"/>
    <n v="5.57"/>
    <n v="679.39"/>
    <n v="-152.62"/>
    <s v="Loss"/>
    <x v="1"/>
    <n v="4"/>
    <n v="15"/>
    <s v="0-15"/>
    <s v="Yes"/>
    <n v="2"/>
    <s v="At Risk"/>
    <n v="1"/>
  </r>
  <r>
    <n v="101610"/>
    <d v="2025-11-29T00:00:00"/>
    <n v="1106"/>
    <x v="3"/>
    <x v="14"/>
    <x v="4"/>
    <x v="0"/>
    <x v="2"/>
    <s v="UPI"/>
    <n v="25.73"/>
    <n v="19.73"/>
    <x v="3"/>
    <n v="0"/>
    <n v="507.65"/>
    <n v="197.46"/>
    <n v="13.31"/>
    <n v="3.55"/>
    <n v="3.13"/>
    <n v="0"/>
    <n v="0"/>
    <n v="217.45"/>
    <n v="290.2"/>
    <s v="Profit"/>
    <x v="0"/>
    <n v="3"/>
    <n v="26"/>
    <s v="0-15"/>
    <s v="Yes"/>
    <n v="2"/>
    <s v="At Risk"/>
    <n v="1"/>
  </r>
  <r>
    <n v="101611"/>
    <d v="2025-12-13T00:00:00"/>
    <n v="1118"/>
    <x v="0"/>
    <x v="11"/>
    <x v="3"/>
    <x v="1"/>
    <x v="0"/>
    <s v="Wallet"/>
    <n v="20.66"/>
    <n v="15.81"/>
    <x v="3"/>
    <n v="0"/>
    <n v="326.63"/>
    <n v="159.16999999999999"/>
    <n v="4.1900000000000004"/>
    <n v="3.92"/>
    <n v="4.6900000000000004"/>
    <n v="0"/>
    <n v="0"/>
    <n v="171.97"/>
    <n v="154.66"/>
    <s v="Profit"/>
    <x v="0"/>
    <n v="15"/>
    <n v="11"/>
    <s v="0-15"/>
    <s v="No"/>
    <n v="0"/>
    <s v="Healthy"/>
    <n v="0"/>
  </r>
  <r>
    <n v="101612"/>
    <d v="2025-10-07T00:00:00"/>
    <n v="1113"/>
    <x v="2"/>
    <x v="10"/>
    <x v="2"/>
    <x v="1"/>
    <x v="0"/>
    <s v="Fleet_Invoice"/>
    <n v="39.4"/>
    <n v="15.68"/>
    <x v="3"/>
    <n v="0"/>
    <n v="617.79"/>
    <n v="311.43"/>
    <n v="5.55"/>
    <n v="2.4700000000000002"/>
    <n v="7.7"/>
    <n v="0"/>
    <n v="0"/>
    <n v="327.14999999999998"/>
    <n v="290.64"/>
    <s v="Profit"/>
    <x v="0"/>
    <n v="20"/>
    <n v="7"/>
    <s v="16-30"/>
    <s v="No"/>
    <n v="0"/>
    <s v="Healthy"/>
    <n v="0"/>
  </r>
  <r>
    <n v="101613"/>
    <d v="2025-12-07T00:00:00"/>
    <n v="1088"/>
    <x v="3"/>
    <x v="14"/>
    <x v="3"/>
    <x v="3"/>
    <x v="2"/>
    <s v="UPI"/>
    <n v="18.47"/>
    <n v="14.06"/>
    <x v="3"/>
    <n v="0"/>
    <n v="259.69"/>
    <n v="134.06"/>
    <n v="10.61"/>
    <n v="1.82"/>
    <n v="6.27"/>
    <n v="0"/>
    <n v="0"/>
    <n v="152.76"/>
    <n v="106.93"/>
    <s v="Profit"/>
    <x v="0"/>
    <n v="20"/>
    <n v="1"/>
    <s v="16-30"/>
    <s v="No"/>
    <n v="0"/>
    <s v="Healthy"/>
    <n v="0"/>
  </r>
  <r>
    <n v="101614"/>
    <d v="2025-10-16T00:00:00"/>
    <n v="1142"/>
    <x v="0"/>
    <x v="0"/>
    <x v="1"/>
    <x v="3"/>
    <x v="0"/>
    <s v="UPI"/>
    <n v="26.18"/>
    <n v="13.79"/>
    <x v="4"/>
    <n v="18.05"/>
    <n v="342.97"/>
    <n v="194.22"/>
    <n v="8.91"/>
    <n v="2.5299999999999998"/>
    <n v="4.92"/>
    <n v="237.13"/>
    <n v="0"/>
    <n v="447.71"/>
    <n v="-104.74"/>
    <s v="Loss"/>
    <x v="1"/>
    <n v="6"/>
    <n v="10"/>
    <s v="0-15"/>
    <s v="Yes"/>
    <n v="2"/>
    <s v="At Risk"/>
    <n v="1"/>
  </r>
  <r>
    <n v="101615"/>
    <d v="2025-10-15T00:00:00"/>
    <n v="1054"/>
    <x v="0"/>
    <x v="6"/>
    <x v="3"/>
    <x v="2"/>
    <x v="0"/>
    <s v="Wallet"/>
    <n v="19.27"/>
    <n v="18.03"/>
    <x v="4"/>
    <n v="17.37"/>
    <n v="330.07"/>
    <n v="125.73"/>
    <n v="7.45"/>
    <n v="4.17"/>
    <n v="11.09"/>
    <n v="0"/>
    <n v="0"/>
    <n v="148.44"/>
    <n v="181.63"/>
    <s v="Profit"/>
    <x v="0"/>
    <n v="8"/>
    <n v="9"/>
    <s v="0-15"/>
    <s v="No"/>
    <n v="0"/>
    <s v="Healthy"/>
    <n v="0"/>
  </r>
  <r>
    <n v="101616"/>
    <d v="2025-10-20T00:00:00"/>
    <n v="1120"/>
    <x v="2"/>
    <x v="12"/>
    <x v="4"/>
    <x v="1"/>
    <x v="2"/>
    <s v="UPI"/>
    <n v="42.93"/>
    <n v="16.28"/>
    <x v="4"/>
    <n v="34.94"/>
    <n v="663.96"/>
    <n v="281.64999999999998"/>
    <n v="10.57"/>
    <n v="4.8899999999999997"/>
    <n v="5.54"/>
    <n v="0"/>
    <n v="0"/>
    <n v="302.64999999999998"/>
    <n v="361.31"/>
    <s v="Profit"/>
    <x v="0"/>
    <n v="12"/>
    <n v="6"/>
    <s v="0-15"/>
    <s v="No"/>
    <n v="0"/>
    <s v="Healthy"/>
    <n v="0"/>
  </r>
  <r>
    <n v="101617"/>
    <d v="2025-10-17T00:00:00"/>
    <n v="1138"/>
    <x v="3"/>
    <x v="8"/>
    <x v="4"/>
    <x v="2"/>
    <x v="0"/>
    <s v="Wallet"/>
    <n v="18.8"/>
    <n v="16.989999999999998"/>
    <x v="2"/>
    <n v="31.94"/>
    <n v="287.47000000000003"/>
    <n v="143.29"/>
    <n v="8.1999999999999993"/>
    <n v="3.83"/>
    <n v="6.19"/>
    <n v="0"/>
    <n v="0"/>
    <n v="161.51"/>
    <n v="125.96"/>
    <s v="Profit"/>
    <x v="0"/>
    <n v="5"/>
    <n v="13"/>
    <s v="0-15"/>
    <s v="No"/>
    <n v="0"/>
    <s v="Healthy"/>
    <n v="0"/>
  </r>
  <r>
    <n v="101618"/>
    <d v="2025-11-24T00:00:00"/>
    <n v="1020"/>
    <x v="2"/>
    <x v="5"/>
    <x v="0"/>
    <x v="1"/>
    <x v="0"/>
    <s v="UPI"/>
    <n v="35.049999999999997"/>
    <n v="16.8"/>
    <x v="2"/>
    <n v="58.88"/>
    <n v="529.96"/>
    <n v="293.22000000000003"/>
    <n v="7.83"/>
    <n v="4.12"/>
    <n v="2.04"/>
    <n v="0"/>
    <n v="0"/>
    <n v="307.20999999999998"/>
    <n v="222.75"/>
    <s v="Profit"/>
    <x v="0"/>
    <n v="0"/>
    <n v="3"/>
    <s v="0-15"/>
    <s v="No"/>
    <n v="0"/>
    <s v="Healthy"/>
    <n v="0"/>
  </r>
  <r>
    <n v="101619"/>
    <d v="2025-11-20T00:00:00"/>
    <n v="1030"/>
    <x v="0"/>
    <x v="11"/>
    <x v="1"/>
    <x v="3"/>
    <x v="0"/>
    <s v="UPI"/>
    <n v="33.32"/>
    <n v="13.71"/>
    <x v="4"/>
    <n v="22.84"/>
    <n v="433.98"/>
    <n v="191.76"/>
    <n v="8.5"/>
    <n v="3.2"/>
    <n v="0.01"/>
    <n v="0"/>
    <n v="0"/>
    <n v="203.47"/>
    <n v="230.51"/>
    <s v="Profit"/>
    <x v="0"/>
    <n v="1"/>
    <n v="10"/>
    <s v="0-15"/>
    <s v="No"/>
    <n v="0"/>
    <s v="Healthy"/>
    <n v="0"/>
  </r>
  <r>
    <n v="101620"/>
    <d v="2025-12-20T00:00:00"/>
    <n v="1042"/>
    <x v="0"/>
    <x v="11"/>
    <x v="0"/>
    <x v="1"/>
    <x v="0"/>
    <s v="UPI"/>
    <n v="26.35"/>
    <n v="16.02"/>
    <x v="4"/>
    <n v="21.11"/>
    <n v="401.02"/>
    <n v="168.7"/>
    <n v="6.07"/>
    <n v="2.95"/>
    <n v="4.28"/>
    <n v="0"/>
    <n v="0"/>
    <n v="182"/>
    <n v="219.02"/>
    <s v="Profit"/>
    <x v="0"/>
    <n v="15"/>
    <n v="26"/>
    <s v="0-15"/>
    <s v="Yes"/>
    <n v="1"/>
    <s v="At Risk"/>
    <n v="1"/>
  </r>
  <r>
    <n v="101621"/>
    <d v="2025-11-03T00:00:00"/>
    <n v="1089"/>
    <x v="2"/>
    <x v="9"/>
    <x v="1"/>
    <x v="1"/>
    <x v="1"/>
    <s v="Card"/>
    <n v="18.5"/>
    <n v="16.45"/>
    <x v="2"/>
    <n v="30.43"/>
    <n v="273.89"/>
    <n v="145.54"/>
    <n v="7.92"/>
    <n v="4.5599999999999996"/>
    <n v="3.95"/>
    <n v="0"/>
    <n v="0"/>
    <n v="161.97"/>
    <n v="111.92"/>
    <s v="Profit"/>
    <x v="0"/>
    <n v="0"/>
    <n v="7"/>
    <s v="0-15"/>
    <s v="No"/>
    <n v="0"/>
    <s v="Healthy"/>
    <n v="0"/>
  </r>
  <r>
    <n v="101622"/>
    <d v="2025-12-12T00:00:00"/>
    <n v="1079"/>
    <x v="1"/>
    <x v="4"/>
    <x v="4"/>
    <x v="2"/>
    <x v="0"/>
    <s v="Card"/>
    <n v="23.18"/>
    <n v="18.53"/>
    <x v="4"/>
    <n v="21.48"/>
    <n v="408.05"/>
    <n v="152.99"/>
    <n v="12.57"/>
    <n v="6.44"/>
    <n v="0"/>
    <n v="0"/>
    <n v="0"/>
    <n v="172"/>
    <n v="236.05"/>
    <s v="Profit"/>
    <x v="0"/>
    <n v="27"/>
    <n v="68"/>
    <s v="16-30"/>
    <s v="Yes"/>
    <n v="2"/>
    <s v="At Risk"/>
    <n v="1"/>
  </r>
  <r>
    <n v="101623"/>
    <d v="2025-11-26T00:00:00"/>
    <n v="1101"/>
    <x v="2"/>
    <x v="12"/>
    <x v="4"/>
    <x v="3"/>
    <x v="2"/>
    <s v="Card"/>
    <n v="3.42"/>
    <n v="14.35"/>
    <x v="3"/>
    <n v="0"/>
    <n v="49.08"/>
    <n v="28.06"/>
    <n v="10.94"/>
    <n v="0.74"/>
    <n v="0"/>
    <n v="0"/>
    <n v="0"/>
    <n v="39.74"/>
    <n v="9.34"/>
    <s v="Profit"/>
    <x v="0"/>
    <n v="1"/>
    <n v="3"/>
    <s v="0-15"/>
    <s v="No"/>
    <n v="0"/>
    <s v="Healthy"/>
    <n v="0"/>
  </r>
  <r>
    <n v="101624"/>
    <d v="2025-11-09T00:00:00"/>
    <n v="1130"/>
    <x v="1"/>
    <x v="2"/>
    <x v="0"/>
    <x v="3"/>
    <x v="2"/>
    <s v="UPI"/>
    <n v="16.079999999999998"/>
    <n v="12.9"/>
    <x v="1"/>
    <n v="41.49"/>
    <n v="165.94"/>
    <n v="153.61000000000001"/>
    <n v="7.48"/>
    <n v="1.45"/>
    <n v="2.79"/>
    <n v="0"/>
    <n v="0"/>
    <n v="165.33"/>
    <n v="0.61"/>
    <s v="Profit"/>
    <x v="0"/>
    <n v="6"/>
    <n v="22"/>
    <s v="0-15"/>
    <s v="Yes"/>
    <n v="3"/>
    <s v="At Risk"/>
    <n v="1"/>
  </r>
  <r>
    <n v="101625"/>
    <d v="2025-12-24T00:00:00"/>
    <n v="1097"/>
    <x v="2"/>
    <x v="10"/>
    <x v="1"/>
    <x v="3"/>
    <x v="0"/>
    <s v="Card"/>
    <n v="16.11"/>
    <n v="12.45"/>
    <x v="2"/>
    <n v="20.059999999999999"/>
    <n v="180.51"/>
    <n v="108.11"/>
    <n v="10.39"/>
    <n v="3.01"/>
    <n v="10.38"/>
    <n v="0"/>
    <n v="0"/>
    <n v="131.88999999999999"/>
    <n v="48.62"/>
    <s v="Profit"/>
    <x v="0"/>
    <n v="19"/>
    <n v="5"/>
    <s v="16-30"/>
    <s v="No"/>
    <n v="0"/>
    <s v="Healthy"/>
    <n v="0"/>
  </r>
  <r>
    <n v="101626"/>
    <d v="2025-12-27T00:00:00"/>
    <n v="1034"/>
    <x v="3"/>
    <x v="8"/>
    <x v="4"/>
    <x v="1"/>
    <x v="0"/>
    <s v="Fleet_Invoice"/>
    <n v="38.86"/>
    <n v="14.69"/>
    <x v="3"/>
    <n v="0"/>
    <n v="570.85"/>
    <n v="352.74"/>
    <n v="2.4"/>
    <n v="2.2799999999999998"/>
    <n v="7.6"/>
    <n v="0"/>
    <n v="0"/>
    <n v="365.02"/>
    <n v="205.83"/>
    <s v="Profit"/>
    <x v="0"/>
    <n v="6"/>
    <n v="15"/>
    <s v="0-15"/>
    <s v="No"/>
    <n v="0"/>
    <s v="Healthy"/>
    <n v="0"/>
  </r>
  <r>
    <n v="101627"/>
    <d v="2025-11-14T00:00:00"/>
    <n v="1068"/>
    <x v="3"/>
    <x v="14"/>
    <x v="0"/>
    <x v="2"/>
    <x v="2"/>
    <s v="UPI"/>
    <n v="37.07"/>
    <n v="17.309999999999999"/>
    <x v="4"/>
    <n v="32.08"/>
    <n v="609.6"/>
    <n v="233.96"/>
    <n v="5.13"/>
    <n v="4.49"/>
    <n v="4.78"/>
    <n v="479.12"/>
    <n v="24.23"/>
    <n v="751.71"/>
    <n v="-142.11000000000001"/>
    <s v="Loss"/>
    <x v="2"/>
    <n v="3"/>
    <n v="3"/>
    <s v="0-15"/>
    <s v="No"/>
    <n v="3"/>
    <s v="At Risk"/>
    <n v="0"/>
  </r>
  <r>
    <n v="101628"/>
    <d v="2025-12-22T00:00:00"/>
    <n v="1015"/>
    <x v="1"/>
    <x v="4"/>
    <x v="1"/>
    <x v="0"/>
    <x v="0"/>
    <s v="Fleet_Invoice"/>
    <n v="29.26"/>
    <n v="19.16"/>
    <x v="3"/>
    <n v="0"/>
    <n v="560.62"/>
    <n v="173.67"/>
    <n v="6.72"/>
    <n v="2.2400000000000002"/>
    <n v="7.44"/>
    <n v="209.33"/>
    <n v="0"/>
    <n v="399.4"/>
    <n v="161.22"/>
    <s v="Profit"/>
    <x v="1"/>
    <n v="0"/>
    <n v="1"/>
    <s v="0-15"/>
    <s v="Yes"/>
    <n v="2"/>
    <s v="At Risk"/>
    <n v="1"/>
  </r>
  <r>
    <n v="101629"/>
    <d v="2025-10-23T00:00:00"/>
    <n v="1065"/>
    <x v="2"/>
    <x v="12"/>
    <x v="1"/>
    <x v="3"/>
    <x v="0"/>
    <s v="UPI"/>
    <n v="12.69"/>
    <n v="11.53"/>
    <x v="4"/>
    <n v="7.32"/>
    <n v="139"/>
    <n v="104.21"/>
    <n v="10.99"/>
    <n v="1.02"/>
    <n v="6.77"/>
    <n v="0"/>
    <n v="0"/>
    <n v="122.99"/>
    <n v="16.010000000000002"/>
    <s v="Profit"/>
    <x v="0"/>
    <n v="25"/>
    <n v="0"/>
    <s v="16-30"/>
    <s v="Yes"/>
    <n v="1"/>
    <s v="At Risk"/>
    <n v="1"/>
  </r>
  <r>
    <n v="101630"/>
    <d v="2025-11-25T00:00:00"/>
    <n v="1138"/>
    <x v="3"/>
    <x v="15"/>
    <x v="3"/>
    <x v="3"/>
    <x v="0"/>
    <s v="Card"/>
    <n v="20.45"/>
    <n v="14.34"/>
    <x v="4"/>
    <n v="14.66"/>
    <n v="278.58999999999997"/>
    <n v="144.68"/>
    <n v="5.51"/>
    <n v="4.4000000000000004"/>
    <n v="3.01"/>
    <n v="0"/>
    <n v="0"/>
    <n v="157.6"/>
    <n v="120.99"/>
    <s v="Profit"/>
    <x v="0"/>
    <n v="8"/>
    <n v="3"/>
    <s v="0-15"/>
    <s v="No"/>
    <n v="0"/>
    <s v="Healthy"/>
    <n v="0"/>
  </r>
  <r>
    <n v="101631"/>
    <d v="2025-10-22T00:00:00"/>
    <n v="1025"/>
    <x v="2"/>
    <x v="10"/>
    <x v="1"/>
    <x v="2"/>
    <x v="2"/>
    <s v="Card"/>
    <n v="35.51"/>
    <n v="16.87"/>
    <x v="3"/>
    <n v="0"/>
    <n v="599.04999999999995"/>
    <n v="229.07"/>
    <n v="7.51"/>
    <n v="8.99"/>
    <n v="12.12"/>
    <n v="0"/>
    <n v="0"/>
    <n v="257.69"/>
    <n v="341.36"/>
    <s v="Profit"/>
    <x v="0"/>
    <n v="23"/>
    <n v="2"/>
    <s v="16-30"/>
    <s v="Yes"/>
    <n v="1"/>
    <s v="At Risk"/>
    <n v="1"/>
  </r>
  <r>
    <n v="101632"/>
    <d v="2025-11-18T00:00:00"/>
    <n v="1070"/>
    <x v="3"/>
    <x v="15"/>
    <x v="3"/>
    <x v="1"/>
    <x v="0"/>
    <s v="UPI"/>
    <n v="23.37"/>
    <n v="16.3"/>
    <x v="4"/>
    <n v="19.05"/>
    <n v="361.88"/>
    <n v="174.25"/>
    <n v="6.08"/>
    <n v="2.67"/>
    <n v="0"/>
    <n v="0"/>
    <n v="0"/>
    <n v="183"/>
    <n v="178.88"/>
    <s v="Profit"/>
    <x v="0"/>
    <n v="36"/>
    <n v="14"/>
    <s v="30+"/>
    <s v="Yes"/>
    <n v="2"/>
    <s v="At Risk"/>
    <n v="1"/>
  </r>
  <r>
    <n v="101633"/>
    <d v="2025-10-29T00:00:00"/>
    <n v="1010"/>
    <x v="3"/>
    <x v="14"/>
    <x v="4"/>
    <x v="2"/>
    <x v="0"/>
    <s v="UPI"/>
    <n v="18"/>
    <n v="20.07"/>
    <x v="2"/>
    <n v="36.130000000000003"/>
    <n v="325.13"/>
    <n v="111.12"/>
    <n v="9.14"/>
    <n v="2.5299999999999998"/>
    <n v="3.3"/>
    <n v="0"/>
    <n v="0"/>
    <n v="126.09"/>
    <n v="199.04"/>
    <s v="Profit"/>
    <x v="0"/>
    <n v="10"/>
    <n v="18"/>
    <s v="0-15"/>
    <s v="Yes"/>
    <n v="1"/>
    <s v="At Risk"/>
    <n v="1"/>
  </r>
  <r>
    <n v="101634"/>
    <d v="2025-10-14T00:00:00"/>
    <n v="1111"/>
    <x v="0"/>
    <x v="11"/>
    <x v="4"/>
    <x v="3"/>
    <x v="0"/>
    <s v="Wallet"/>
    <n v="19.55"/>
    <n v="12.06"/>
    <x v="3"/>
    <n v="0"/>
    <n v="235.77"/>
    <n v="146.15"/>
    <n v="5.92"/>
    <n v="2.83"/>
    <n v="5.54"/>
    <n v="0"/>
    <n v="0"/>
    <n v="160.44"/>
    <n v="75.33"/>
    <s v="Profit"/>
    <x v="0"/>
    <n v="10"/>
    <n v="23"/>
    <s v="0-15"/>
    <s v="Yes"/>
    <n v="3"/>
    <s v="At Risk"/>
    <n v="1"/>
  </r>
  <r>
    <n v="101635"/>
    <d v="2025-11-17T00:00:00"/>
    <n v="1134"/>
    <x v="0"/>
    <x v="11"/>
    <x v="2"/>
    <x v="1"/>
    <x v="0"/>
    <s v="UPI"/>
    <n v="25.62"/>
    <n v="16.059999999999999"/>
    <x v="1"/>
    <n v="82.29"/>
    <n v="329.17"/>
    <n v="182.29"/>
    <n v="10.42"/>
    <n v="2.88"/>
    <n v="5.9"/>
    <n v="0"/>
    <n v="0"/>
    <n v="201.49"/>
    <n v="127.68"/>
    <s v="Profit"/>
    <x v="0"/>
    <n v="3"/>
    <n v="3"/>
    <s v="0-15"/>
    <s v="No"/>
    <n v="1"/>
    <s v="Healthy"/>
    <n v="0"/>
  </r>
  <r>
    <n v="101636"/>
    <d v="2025-10-27T00:00:00"/>
    <n v="1044"/>
    <x v="3"/>
    <x v="7"/>
    <x v="1"/>
    <x v="2"/>
    <x v="1"/>
    <s v="UPI"/>
    <n v="29.87"/>
    <n v="17.45"/>
    <x v="3"/>
    <n v="0"/>
    <n v="521.23"/>
    <n v="194.64"/>
    <n v="7.09"/>
    <n v="3.65"/>
    <n v="13.23"/>
    <n v="0"/>
    <n v="0"/>
    <n v="218.61"/>
    <n v="302.62"/>
    <s v="Profit"/>
    <x v="0"/>
    <n v="5"/>
    <n v="7"/>
    <s v="0-15"/>
    <s v="No"/>
    <n v="0"/>
    <s v="Healthy"/>
    <n v="0"/>
  </r>
  <r>
    <n v="101637"/>
    <d v="2025-12-29T00:00:00"/>
    <n v="1025"/>
    <x v="2"/>
    <x v="12"/>
    <x v="3"/>
    <x v="0"/>
    <x v="0"/>
    <s v="UPI"/>
    <n v="27.76"/>
    <n v="18.88"/>
    <x v="0"/>
    <n v="78.62"/>
    <n v="445.49"/>
    <n v="148.79"/>
    <n v="9.1199999999999992"/>
    <n v="3.67"/>
    <n v="4.34"/>
    <n v="0"/>
    <n v="0"/>
    <n v="165.92"/>
    <n v="279.57"/>
    <s v="Profit"/>
    <x v="0"/>
    <n v="2"/>
    <n v="12"/>
    <s v="0-15"/>
    <s v="No"/>
    <n v="0"/>
    <s v="Healthy"/>
    <n v="0"/>
  </r>
  <r>
    <n v="101638"/>
    <d v="2025-12-19T00:00:00"/>
    <n v="1147"/>
    <x v="0"/>
    <x v="6"/>
    <x v="3"/>
    <x v="1"/>
    <x v="0"/>
    <s v="Wallet"/>
    <n v="33.61"/>
    <n v="17.48"/>
    <x v="4"/>
    <n v="29.38"/>
    <n v="558.12"/>
    <n v="250.8"/>
    <n v="8.81"/>
    <n v="7.05"/>
    <n v="0"/>
    <n v="0"/>
    <n v="0"/>
    <n v="266.66000000000003"/>
    <n v="291.45999999999998"/>
    <s v="Profit"/>
    <x v="0"/>
    <n v="9"/>
    <n v="9"/>
    <s v="0-15"/>
    <s v="No"/>
    <n v="0"/>
    <s v="Healthy"/>
    <n v="0"/>
  </r>
  <r>
    <n v="101639"/>
    <d v="2025-12-10T00:00:00"/>
    <n v="1033"/>
    <x v="0"/>
    <x v="6"/>
    <x v="3"/>
    <x v="0"/>
    <x v="1"/>
    <s v="UPI"/>
    <n v="30.95"/>
    <n v="19.63"/>
    <x v="0"/>
    <n v="91.13"/>
    <n v="516.41999999999996"/>
    <n v="231.34"/>
    <n v="6.94"/>
    <n v="4.25"/>
    <n v="12.6"/>
    <n v="0"/>
    <n v="0"/>
    <n v="255.13"/>
    <n v="261.29000000000002"/>
    <s v="Profit"/>
    <x v="0"/>
    <n v="8"/>
    <n v="7"/>
    <s v="0-15"/>
    <s v="No"/>
    <n v="1"/>
    <s v="Healthy"/>
    <n v="0"/>
  </r>
  <r>
    <n v="101640"/>
    <d v="2025-12-17T00:00:00"/>
    <n v="1130"/>
    <x v="3"/>
    <x v="14"/>
    <x v="2"/>
    <x v="0"/>
    <x v="0"/>
    <s v="UPI"/>
    <n v="31.41"/>
    <n v="19.05"/>
    <x v="2"/>
    <n v="59.84"/>
    <n v="538.52"/>
    <n v="262.39"/>
    <n v="8.09"/>
    <n v="4.1900000000000004"/>
    <n v="4.78"/>
    <n v="0"/>
    <n v="0"/>
    <n v="279.45"/>
    <n v="259.07"/>
    <s v="Profit"/>
    <x v="0"/>
    <n v="7"/>
    <n v="6"/>
    <s v="0-15"/>
    <s v="No"/>
    <n v="0"/>
    <s v="Healthy"/>
    <n v="0"/>
  </r>
  <r>
    <n v="101641"/>
    <d v="2025-12-11T00:00:00"/>
    <n v="1049"/>
    <x v="3"/>
    <x v="15"/>
    <x v="3"/>
    <x v="3"/>
    <x v="0"/>
    <s v="Fleet_Invoice"/>
    <n v="23.45"/>
    <n v="11.85"/>
    <x v="3"/>
    <n v="0"/>
    <n v="277.88"/>
    <n v="162.56"/>
    <n v="9.4600000000000009"/>
    <n v="1.1100000000000001"/>
    <n v="9.11"/>
    <n v="0"/>
    <n v="0"/>
    <n v="182.24"/>
    <n v="95.64"/>
    <s v="Profit"/>
    <x v="0"/>
    <n v="0"/>
    <n v="3"/>
    <s v="0-15"/>
    <s v="No"/>
    <n v="1"/>
    <s v="Healthy"/>
    <n v="0"/>
  </r>
  <r>
    <n v="101642"/>
    <d v="2025-12-15T00:00:00"/>
    <n v="1122"/>
    <x v="0"/>
    <x v="1"/>
    <x v="1"/>
    <x v="3"/>
    <x v="0"/>
    <s v="Card"/>
    <n v="9.09"/>
    <n v="12.01"/>
    <x v="3"/>
    <n v="0"/>
    <n v="109.17"/>
    <n v="59.23"/>
    <n v="6.64"/>
    <n v="1.64"/>
    <n v="7.18"/>
    <n v="74.81"/>
    <n v="0"/>
    <n v="149.5"/>
    <n v="-40.33"/>
    <s v="Loss"/>
    <x v="1"/>
    <n v="45"/>
    <n v="5"/>
    <s v="30+"/>
    <s v="Yes"/>
    <n v="2"/>
    <s v="At Risk"/>
    <n v="1"/>
  </r>
  <r>
    <n v="101643"/>
    <d v="2025-10-27T00:00:00"/>
    <n v="1088"/>
    <x v="2"/>
    <x v="10"/>
    <x v="0"/>
    <x v="3"/>
    <x v="2"/>
    <s v="Wallet"/>
    <n v="14.96"/>
    <n v="11.72"/>
    <x v="4"/>
    <n v="8.77"/>
    <n v="166.56"/>
    <n v="91.13"/>
    <n v="3.19"/>
    <n v="2.1"/>
    <n v="4.83"/>
    <n v="0"/>
    <n v="0"/>
    <n v="101.25"/>
    <n v="65.31"/>
    <s v="Profit"/>
    <x v="0"/>
    <n v="9"/>
    <n v="4"/>
    <s v="0-15"/>
    <s v="No"/>
    <n v="0"/>
    <s v="Healthy"/>
    <n v="0"/>
  </r>
  <r>
    <n v="101644"/>
    <d v="2025-12-11T00:00:00"/>
    <n v="1026"/>
    <x v="0"/>
    <x v="11"/>
    <x v="2"/>
    <x v="3"/>
    <x v="2"/>
    <s v="Fleet_Invoice"/>
    <n v="22.53"/>
    <n v="13.58"/>
    <x v="2"/>
    <n v="30.6"/>
    <n v="275.36"/>
    <n v="139.11000000000001"/>
    <n v="6.54"/>
    <n v="1.22"/>
    <n v="14.65"/>
    <n v="0"/>
    <n v="0"/>
    <n v="161.52000000000001"/>
    <n v="113.84"/>
    <s v="Profit"/>
    <x v="0"/>
    <n v="2"/>
    <n v="1"/>
    <s v="0-15"/>
    <s v="No"/>
    <n v="0"/>
    <s v="Healthy"/>
    <n v="0"/>
  </r>
  <r>
    <n v="101645"/>
    <d v="2025-10-06T00:00:00"/>
    <n v="1071"/>
    <x v="0"/>
    <x v="6"/>
    <x v="1"/>
    <x v="3"/>
    <x v="0"/>
    <s v="UPI"/>
    <n v="13.45"/>
    <n v="14.18"/>
    <x v="1"/>
    <n v="38.14"/>
    <n v="152.58000000000001"/>
    <n v="89.83"/>
    <n v="8.06"/>
    <n v="1.34"/>
    <n v="11.64"/>
    <n v="0"/>
    <n v="0"/>
    <n v="110.87"/>
    <n v="41.71"/>
    <s v="Profit"/>
    <x v="0"/>
    <n v="0"/>
    <n v="16"/>
    <s v="0-15"/>
    <s v="Yes"/>
    <n v="1"/>
    <s v="At Risk"/>
    <n v="1"/>
  </r>
  <r>
    <n v="101646"/>
    <d v="2025-11-15T00:00:00"/>
    <n v="1016"/>
    <x v="1"/>
    <x v="3"/>
    <x v="3"/>
    <x v="3"/>
    <x v="0"/>
    <s v="Fleet_Invoice"/>
    <n v="19.75"/>
    <n v="12.81"/>
    <x v="3"/>
    <n v="0"/>
    <n v="253"/>
    <n v="130.49"/>
    <n v="7.79"/>
    <n v="1.01"/>
    <n v="6.76"/>
    <n v="228.8"/>
    <n v="0"/>
    <n v="374.85"/>
    <n v="-121.85"/>
    <s v="Loss"/>
    <x v="1"/>
    <n v="8"/>
    <n v="8"/>
    <s v="0-15"/>
    <s v="Yes"/>
    <n v="2"/>
    <s v="At Risk"/>
    <n v="1"/>
  </r>
  <r>
    <n v="101647"/>
    <d v="2025-10-04T00:00:00"/>
    <n v="1024"/>
    <x v="0"/>
    <x v="1"/>
    <x v="0"/>
    <x v="1"/>
    <x v="2"/>
    <s v="Card"/>
    <n v="34.909999999999997"/>
    <n v="16.45"/>
    <x v="3"/>
    <n v="0"/>
    <n v="574.27"/>
    <n v="276.26"/>
    <n v="11.39"/>
    <n v="8.61"/>
    <n v="3.78"/>
    <n v="0"/>
    <n v="0"/>
    <n v="300.04000000000002"/>
    <n v="274.23"/>
    <s v="Profit"/>
    <x v="0"/>
    <n v="8"/>
    <n v="1"/>
    <s v="0-15"/>
    <s v="No"/>
    <n v="0"/>
    <s v="Healthy"/>
    <n v="0"/>
  </r>
  <r>
    <n v="101648"/>
    <d v="2025-11-08T00:00:00"/>
    <n v="1027"/>
    <x v="3"/>
    <x v="15"/>
    <x v="1"/>
    <x v="3"/>
    <x v="0"/>
    <s v="UPI"/>
    <n v="19.84"/>
    <n v="13.48"/>
    <x v="4"/>
    <n v="13.37"/>
    <n v="254.07"/>
    <n v="146.05000000000001"/>
    <n v="6.92"/>
    <n v="1.87"/>
    <n v="3.77"/>
    <n v="0"/>
    <n v="0"/>
    <n v="158.61000000000001"/>
    <n v="95.46"/>
    <s v="Profit"/>
    <x v="0"/>
    <n v="1"/>
    <n v="11"/>
    <s v="0-15"/>
    <s v="No"/>
    <n v="0"/>
    <s v="Healthy"/>
    <n v="0"/>
  </r>
  <r>
    <n v="101649"/>
    <d v="2025-12-10T00:00:00"/>
    <n v="1123"/>
    <x v="1"/>
    <x v="3"/>
    <x v="0"/>
    <x v="3"/>
    <x v="2"/>
    <s v="Card"/>
    <n v="28.17"/>
    <n v="12.58"/>
    <x v="4"/>
    <n v="17.72"/>
    <n v="336.66"/>
    <n v="220.06"/>
    <n v="7.09"/>
    <n v="5.32"/>
    <n v="4.07"/>
    <n v="0"/>
    <n v="0"/>
    <n v="236.54"/>
    <n v="100.12"/>
    <s v="Profit"/>
    <x v="0"/>
    <n v="2"/>
    <n v="1"/>
    <s v="0-15"/>
    <s v="No"/>
    <n v="1"/>
    <s v="Healthy"/>
    <n v="0"/>
  </r>
  <r>
    <n v="101650"/>
    <d v="2025-12-25T00:00:00"/>
    <n v="1008"/>
    <x v="0"/>
    <x v="6"/>
    <x v="0"/>
    <x v="0"/>
    <x v="0"/>
    <s v="UPI"/>
    <n v="29.61"/>
    <n v="18.78"/>
    <x v="2"/>
    <n v="55.61"/>
    <n v="500.47"/>
    <n v="194.3"/>
    <n v="6.42"/>
    <n v="3.89"/>
    <n v="1.73"/>
    <n v="0"/>
    <n v="0"/>
    <n v="206.34"/>
    <n v="294.13"/>
    <s v="Profit"/>
    <x v="0"/>
    <n v="18"/>
    <n v="2"/>
    <s v="16-30"/>
    <s v="No"/>
    <n v="0"/>
    <s v="Healthy"/>
    <n v="0"/>
  </r>
  <r>
    <n v="101651"/>
    <d v="2025-11-23T00:00:00"/>
    <n v="1121"/>
    <x v="0"/>
    <x v="0"/>
    <x v="0"/>
    <x v="2"/>
    <x v="0"/>
    <s v="UPI"/>
    <n v="27.29"/>
    <n v="18.309999999999999"/>
    <x v="3"/>
    <n v="0"/>
    <n v="499.68"/>
    <n v="213.33"/>
    <n v="13.83"/>
    <n v="3.5"/>
    <n v="6.42"/>
    <n v="0"/>
    <n v="0"/>
    <n v="237.08"/>
    <n v="262.60000000000002"/>
    <s v="Profit"/>
    <x v="0"/>
    <n v="35"/>
    <n v="0"/>
    <s v="30+"/>
    <s v="Yes"/>
    <n v="3"/>
    <s v="At Risk"/>
    <n v="1"/>
  </r>
  <r>
    <n v="101652"/>
    <d v="2025-11-30T00:00:00"/>
    <n v="1126"/>
    <x v="3"/>
    <x v="14"/>
    <x v="1"/>
    <x v="0"/>
    <x v="1"/>
    <s v="UPI"/>
    <n v="37.270000000000003"/>
    <n v="19.649999999999999"/>
    <x v="2"/>
    <n v="73.239999999999995"/>
    <n v="659.12"/>
    <n v="242.32"/>
    <n v="7.58"/>
    <n v="5.13"/>
    <n v="0"/>
    <n v="0"/>
    <n v="0"/>
    <n v="255.03"/>
    <n v="404.09"/>
    <s v="Profit"/>
    <x v="0"/>
    <n v="3"/>
    <n v="9"/>
    <s v="0-15"/>
    <s v="No"/>
    <n v="0"/>
    <s v="Healthy"/>
    <n v="0"/>
  </r>
  <r>
    <n v="101653"/>
    <d v="2025-10-13T00:00:00"/>
    <n v="1057"/>
    <x v="2"/>
    <x v="10"/>
    <x v="1"/>
    <x v="1"/>
    <x v="0"/>
    <s v="UPI"/>
    <n v="23.21"/>
    <n v="16.72"/>
    <x v="3"/>
    <n v="0"/>
    <n v="388.07"/>
    <n v="169.6"/>
    <n v="6.82"/>
    <n v="2.72"/>
    <n v="3.17"/>
    <n v="0"/>
    <n v="0"/>
    <n v="182.31"/>
    <n v="205.76"/>
    <s v="Profit"/>
    <x v="0"/>
    <n v="11"/>
    <n v="4"/>
    <s v="0-15"/>
    <s v="No"/>
    <n v="1"/>
    <s v="Healthy"/>
    <n v="0"/>
  </r>
  <r>
    <n v="101654"/>
    <d v="2025-12-02T00:00:00"/>
    <n v="1125"/>
    <x v="3"/>
    <x v="7"/>
    <x v="0"/>
    <x v="3"/>
    <x v="0"/>
    <s v="UPI"/>
    <n v="13.38"/>
    <n v="12.97"/>
    <x v="3"/>
    <n v="0"/>
    <n v="173.54"/>
    <n v="86.2"/>
    <n v="4.9800000000000004"/>
    <n v="1.21"/>
    <n v="4.3499999999999996"/>
    <n v="0"/>
    <n v="0"/>
    <n v="96.74"/>
    <n v="76.8"/>
    <s v="Profit"/>
    <x v="0"/>
    <n v="16"/>
    <n v="2"/>
    <s v="16-30"/>
    <s v="No"/>
    <n v="0"/>
    <s v="Healthy"/>
    <n v="0"/>
  </r>
  <r>
    <n v="101655"/>
    <d v="2025-12-26T00:00:00"/>
    <n v="1094"/>
    <x v="0"/>
    <x v="0"/>
    <x v="4"/>
    <x v="0"/>
    <x v="0"/>
    <s v="UPI"/>
    <n v="27.88"/>
    <n v="19.399999999999999"/>
    <x v="3"/>
    <n v="0"/>
    <n v="540.87"/>
    <n v="232.12"/>
    <n v="10.220000000000001"/>
    <n v="3.79"/>
    <n v="6.09"/>
    <n v="0"/>
    <n v="0"/>
    <n v="252.22"/>
    <n v="288.64999999999998"/>
    <s v="Profit"/>
    <x v="0"/>
    <n v="20"/>
    <n v="7"/>
    <s v="16-30"/>
    <s v="No"/>
    <n v="0"/>
    <s v="Healthy"/>
    <n v="0"/>
  </r>
  <r>
    <n v="101656"/>
    <d v="2025-11-08T00:00:00"/>
    <n v="1046"/>
    <x v="0"/>
    <x v="1"/>
    <x v="3"/>
    <x v="2"/>
    <x v="1"/>
    <s v="UPI"/>
    <n v="13.91"/>
    <n v="16.21"/>
    <x v="4"/>
    <n v="11.27"/>
    <n v="214.21"/>
    <n v="100.74"/>
    <n v="12.83"/>
    <n v="1.58"/>
    <n v="12.07"/>
    <n v="0"/>
    <n v="0"/>
    <n v="127.22"/>
    <n v="86.99"/>
    <s v="Profit"/>
    <x v="0"/>
    <n v="1"/>
    <n v="6"/>
    <s v="0-15"/>
    <s v="No"/>
    <n v="0"/>
    <s v="Healthy"/>
    <n v="0"/>
  </r>
  <r>
    <n v="101657"/>
    <d v="2025-12-18T00:00:00"/>
    <n v="1045"/>
    <x v="3"/>
    <x v="15"/>
    <x v="3"/>
    <x v="3"/>
    <x v="2"/>
    <s v="Wallet"/>
    <n v="30.73"/>
    <n v="12.74"/>
    <x v="3"/>
    <n v="0"/>
    <n v="391.5"/>
    <n v="248.04"/>
    <n v="3.99"/>
    <n v="4.7"/>
    <n v="5.96"/>
    <n v="0"/>
    <n v="0"/>
    <n v="262.69"/>
    <n v="128.81"/>
    <s v="Profit"/>
    <x v="0"/>
    <n v="14"/>
    <n v="3"/>
    <s v="0-15"/>
    <s v="No"/>
    <n v="0"/>
    <s v="Healthy"/>
    <n v="0"/>
  </r>
  <r>
    <n v="101658"/>
    <d v="2025-12-21T00:00:00"/>
    <n v="1020"/>
    <x v="1"/>
    <x v="4"/>
    <x v="1"/>
    <x v="1"/>
    <x v="0"/>
    <s v="Card"/>
    <n v="42.98"/>
    <n v="15.62"/>
    <x v="0"/>
    <n v="100.7"/>
    <n v="570.65"/>
    <n v="316.56"/>
    <n v="10.63"/>
    <n v="10.07"/>
    <n v="7.68"/>
    <n v="0"/>
    <n v="0"/>
    <n v="344.94"/>
    <n v="225.71"/>
    <s v="Profit"/>
    <x v="0"/>
    <n v="5"/>
    <n v="7"/>
    <s v="0-15"/>
    <s v="No"/>
    <n v="0"/>
    <s v="Healthy"/>
    <n v="0"/>
  </r>
  <r>
    <n v="101659"/>
    <d v="2025-10-09T00:00:00"/>
    <n v="1068"/>
    <x v="3"/>
    <x v="15"/>
    <x v="1"/>
    <x v="3"/>
    <x v="2"/>
    <s v="UPI"/>
    <n v="18.8"/>
    <n v="11.95"/>
    <x v="1"/>
    <n v="44.93"/>
    <n v="179.73"/>
    <n v="146.19999999999999"/>
    <n v="7.6"/>
    <n v="1.57"/>
    <n v="4.95"/>
    <n v="0"/>
    <n v="0"/>
    <n v="160.32"/>
    <n v="19.41"/>
    <s v="Profit"/>
    <x v="0"/>
    <n v="2"/>
    <n v="1"/>
    <s v="0-15"/>
    <s v="No"/>
    <n v="0"/>
    <s v="Healthy"/>
    <n v="0"/>
  </r>
  <r>
    <n v="101660"/>
    <d v="2025-10-16T00:00:00"/>
    <n v="1096"/>
    <x v="0"/>
    <x v="1"/>
    <x v="2"/>
    <x v="3"/>
    <x v="2"/>
    <s v="UPI"/>
    <n v="25.67"/>
    <n v="11.82"/>
    <x v="3"/>
    <n v="0"/>
    <n v="303.42"/>
    <n v="205.64"/>
    <n v="5.95"/>
    <n v="2.12"/>
    <n v="3.22"/>
    <n v="0"/>
    <n v="0"/>
    <n v="216.93"/>
    <n v="86.49"/>
    <s v="Profit"/>
    <x v="0"/>
    <n v="5"/>
    <n v="0"/>
    <s v="0-15"/>
    <s v="No"/>
    <n v="1"/>
    <s v="Healthy"/>
    <n v="0"/>
  </r>
  <r>
    <n v="101661"/>
    <d v="2025-12-15T00:00:00"/>
    <n v="1112"/>
    <x v="3"/>
    <x v="15"/>
    <x v="2"/>
    <x v="1"/>
    <x v="2"/>
    <s v="UPI"/>
    <n v="34.33"/>
    <n v="16.21"/>
    <x v="4"/>
    <n v="27.82"/>
    <n v="528.66999999999996"/>
    <n v="253.72"/>
    <n v="11.47"/>
    <n v="3.9"/>
    <n v="8.89"/>
    <n v="0"/>
    <n v="0"/>
    <n v="277.98"/>
    <n v="250.69"/>
    <s v="Profit"/>
    <x v="0"/>
    <n v="14"/>
    <n v="46"/>
    <s v="0-15"/>
    <s v="Yes"/>
    <n v="2"/>
    <s v="At Risk"/>
    <n v="1"/>
  </r>
  <r>
    <n v="101662"/>
    <d v="2025-12-05T00:00:00"/>
    <n v="1018"/>
    <x v="1"/>
    <x v="2"/>
    <x v="3"/>
    <x v="3"/>
    <x v="0"/>
    <s v="UPI"/>
    <n v="17.62"/>
    <n v="12.01"/>
    <x v="0"/>
    <n v="31.74"/>
    <n v="179.88"/>
    <n v="134.41"/>
    <n v="9.65"/>
    <n v="1.48"/>
    <n v="4.3099999999999996"/>
    <n v="0"/>
    <n v="0"/>
    <n v="149.85"/>
    <n v="30.03"/>
    <s v="Profit"/>
    <x v="0"/>
    <n v="7"/>
    <n v="24"/>
    <s v="0-15"/>
    <s v="Yes"/>
    <n v="1"/>
    <s v="At Risk"/>
    <n v="1"/>
  </r>
  <r>
    <n v="101663"/>
    <d v="2025-11-08T00:00:00"/>
    <n v="1067"/>
    <x v="3"/>
    <x v="8"/>
    <x v="3"/>
    <x v="0"/>
    <x v="0"/>
    <s v="Wallet"/>
    <n v="34.840000000000003"/>
    <n v="19.329999999999998"/>
    <x v="0"/>
    <n v="101.02"/>
    <n v="572.44000000000005"/>
    <n v="247.98"/>
    <n v="5.75"/>
    <n v="8.08"/>
    <n v="3.74"/>
    <n v="0"/>
    <n v="0"/>
    <n v="265.55"/>
    <n v="306.89"/>
    <s v="Profit"/>
    <x v="0"/>
    <n v="14"/>
    <n v="2"/>
    <s v="0-15"/>
    <s v="No"/>
    <n v="0"/>
    <s v="Healthy"/>
    <n v="0"/>
  </r>
  <r>
    <n v="101664"/>
    <d v="2025-10-06T00:00:00"/>
    <n v="1017"/>
    <x v="1"/>
    <x v="4"/>
    <x v="2"/>
    <x v="3"/>
    <x v="2"/>
    <s v="UPI"/>
    <n v="13.75"/>
    <n v="13.15"/>
    <x v="3"/>
    <n v="0"/>
    <n v="180.81"/>
    <n v="102.01"/>
    <n v="5.83"/>
    <n v="1.27"/>
    <n v="8.19"/>
    <n v="0"/>
    <n v="0"/>
    <n v="117.3"/>
    <n v="63.51"/>
    <s v="Profit"/>
    <x v="0"/>
    <n v="26"/>
    <n v="11"/>
    <s v="16-30"/>
    <s v="Yes"/>
    <n v="2"/>
    <s v="At Risk"/>
    <n v="1"/>
  </r>
  <r>
    <n v="101665"/>
    <d v="2025-10-01T00:00:00"/>
    <n v="1075"/>
    <x v="1"/>
    <x v="2"/>
    <x v="1"/>
    <x v="2"/>
    <x v="2"/>
    <s v="Wallet"/>
    <n v="20.329999999999998"/>
    <n v="16.739999999999998"/>
    <x v="3"/>
    <n v="0"/>
    <n v="340.32"/>
    <n v="159.47"/>
    <n v="4.8899999999999997"/>
    <n v="4.08"/>
    <n v="5.78"/>
    <n v="0"/>
    <n v="0"/>
    <n v="174.22"/>
    <n v="166.1"/>
    <s v="Profit"/>
    <x v="0"/>
    <n v="9"/>
    <n v="2"/>
    <s v="0-15"/>
    <s v="No"/>
    <n v="0"/>
    <s v="Healthy"/>
    <n v="0"/>
  </r>
  <r>
    <n v="101666"/>
    <d v="2025-11-24T00:00:00"/>
    <n v="1035"/>
    <x v="0"/>
    <x v="0"/>
    <x v="2"/>
    <x v="3"/>
    <x v="0"/>
    <s v="Fleet_Invoice"/>
    <n v="17.88"/>
    <n v="12.09"/>
    <x v="4"/>
    <n v="10.81"/>
    <n v="205.36"/>
    <n v="114.83"/>
    <n v="9.07"/>
    <n v="0.86"/>
    <n v="10.1"/>
    <n v="0"/>
    <n v="0"/>
    <n v="134.86000000000001"/>
    <n v="70.5"/>
    <s v="Profit"/>
    <x v="0"/>
    <n v="64"/>
    <n v="29"/>
    <s v="30+"/>
    <s v="Yes"/>
    <n v="3"/>
    <s v="At Risk"/>
    <n v="1"/>
  </r>
  <r>
    <n v="101667"/>
    <d v="2025-12-28T00:00:00"/>
    <n v="1006"/>
    <x v="0"/>
    <x v="11"/>
    <x v="2"/>
    <x v="0"/>
    <x v="0"/>
    <s v="UPI"/>
    <n v="37.369999999999997"/>
    <n v="19.239999999999998"/>
    <x v="4"/>
    <n v="35.950000000000003"/>
    <n v="683.05"/>
    <n v="272.67"/>
    <n v="3.2"/>
    <n v="5.03"/>
    <n v="11.72"/>
    <n v="0"/>
    <n v="0"/>
    <n v="292.62"/>
    <n v="390.43"/>
    <s v="Profit"/>
    <x v="0"/>
    <n v="5"/>
    <n v="2"/>
    <s v="0-15"/>
    <s v="No"/>
    <n v="0"/>
    <s v="Healthy"/>
    <n v="0"/>
  </r>
  <r>
    <n v="101668"/>
    <d v="2025-11-09T00:00:00"/>
    <n v="1016"/>
    <x v="1"/>
    <x v="2"/>
    <x v="4"/>
    <x v="3"/>
    <x v="0"/>
    <s v="UPI"/>
    <n v="12.04"/>
    <n v="14.21"/>
    <x v="3"/>
    <n v="0"/>
    <n v="171.09"/>
    <n v="94"/>
    <n v="12.16"/>
    <n v="1.2"/>
    <n v="8.81"/>
    <n v="139.81"/>
    <n v="0"/>
    <n v="255.98"/>
    <n v="-84.89"/>
    <s v="Loss"/>
    <x v="2"/>
    <n v="7"/>
    <n v="1"/>
    <s v="0-15"/>
    <s v="No"/>
    <n v="2"/>
    <s v="At Risk"/>
    <n v="0"/>
  </r>
  <r>
    <n v="101669"/>
    <d v="2025-12-23T00:00:00"/>
    <n v="1106"/>
    <x v="2"/>
    <x v="9"/>
    <x v="4"/>
    <x v="0"/>
    <x v="0"/>
    <s v="UPI"/>
    <n v="30.22"/>
    <n v="18.309999999999999"/>
    <x v="3"/>
    <n v="0"/>
    <n v="553.33000000000004"/>
    <n v="171.19"/>
    <n v="7.62"/>
    <n v="3.87"/>
    <n v="11.91"/>
    <n v="0"/>
    <n v="0"/>
    <n v="194.59"/>
    <n v="358.74"/>
    <s v="Profit"/>
    <x v="0"/>
    <n v="1"/>
    <n v="17"/>
    <s v="0-15"/>
    <s v="Yes"/>
    <n v="3"/>
    <s v="At Risk"/>
    <n v="1"/>
  </r>
  <r>
    <n v="101670"/>
    <d v="2025-11-12T00:00:00"/>
    <n v="1058"/>
    <x v="3"/>
    <x v="8"/>
    <x v="1"/>
    <x v="1"/>
    <x v="2"/>
    <s v="UPI"/>
    <n v="29.11"/>
    <n v="14.92"/>
    <x v="4"/>
    <n v="21.72"/>
    <n v="412.6"/>
    <n v="218.59"/>
    <n v="7.44"/>
    <n v="3.04"/>
    <n v="5.95"/>
    <n v="246.2"/>
    <n v="14.46"/>
    <n v="495.68"/>
    <n v="-83.08"/>
    <s v="Loss"/>
    <x v="1"/>
    <n v="1"/>
    <n v="15"/>
    <s v="0-15"/>
    <s v="Yes"/>
    <n v="4"/>
    <s v="At Risk"/>
    <n v="1"/>
  </r>
  <r>
    <n v="101671"/>
    <d v="2025-12-05T00:00:00"/>
    <n v="1043"/>
    <x v="2"/>
    <x v="9"/>
    <x v="4"/>
    <x v="3"/>
    <x v="0"/>
    <s v="Wallet"/>
    <n v="20.52"/>
    <n v="12.58"/>
    <x v="3"/>
    <n v="0"/>
    <n v="258.14"/>
    <n v="122.99"/>
    <n v="12.34"/>
    <n v="3.1"/>
    <n v="7.88"/>
    <n v="0"/>
    <n v="0"/>
    <n v="146.31"/>
    <n v="111.83"/>
    <s v="Profit"/>
    <x v="0"/>
    <n v="34"/>
    <n v="3"/>
    <s v="30+"/>
    <s v="Yes"/>
    <n v="4"/>
    <s v="At Risk"/>
    <n v="1"/>
  </r>
  <r>
    <n v="101672"/>
    <d v="2025-11-22T00:00:00"/>
    <n v="1126"/>
    <x v="0"/>
    <x v="1"/>
    <x v="2"/>
    <x v="0"/>
    <x v="0"/>
    <s v="UPI"/>
    <n v="29.41"/>
    <n v="18.78"/>
    <x v="3"/>
    <n v="0"/>
    <n v="552.32000000000005"/>
    <n v="205.13"/>
    <n v="13.73"/>
    <n v="3.87"/>
    <n v="7.61"/>
    <n v="0"/>
    <n v="0"/>
    <n v="230.34"/>
    <n v="321.98"/>
    <s v="Profit"/>
    <x v="0"/>
    <n v="1"/>
    <n v="9"/>
    <s v="0-15"/>
    <s v="No"/>
    <n v="0"/>
    <s v="Healthy"/>
    <n v="0"/>
  </r>
  <r>
    <n v="101673"/>
    <d v="2025-11-11T00:00:00"/>
    <n v="1027"/>
    <x v="0"/>
    <x v="11"/>
    <x v="2"/>
    <x v="0"/>
    <x v="2"/>
    <s v="UPI"/>
    <n v="23.38"/>
    <n v="19.12"/>
    <x v="3"/>
    <n v="0"/>
    <n v="447.03"/>
    <n v="159.19999999999999"/>
    <n v="3.82"/>
    <n v="3.13"/>
    <n v="6.36"/>
    <n v="0"/>
    <n v="0"/>
    <n v="172.51"/>
    <n v="274.52"/>
    <s v="Profit"/>
    <x v="0"/>
    <n v="6"/>
    <n v="8"/>
    <s v="0-15"/>
    <s v="No"/>
    <n v="0"/>
    <s v="Healthy"/>
    <n v="0"/>
  </r>
  <r>
    <n v="101674"/>
    <d v="2025-12-29T00:00:00"/>
    <n v="1085"/>
    <x v="0"/>
    <x v="6"/>
    <x v="3"/>
    <x v="1"/>
    <x v="0"/>
    <s v="Fleet_Invoice"/>
    <n v="37.69"/>
    <n v="15.22"/>
    <x v="3"/>
    <n v="0"/>
    <n v="573.64"/>
    <n v="273.93"/>
    <n v="11.49"/>
    <n v="2.29"/>
    <n v="5.01"/>
    <n v="0"/>
    <n v="0"/>
    <n v="292.72000000000003"/>
    <n v="280.92"/>
    <s v="Profit"/>
    <x v="0"/>
    <n v="11"/>
    <n v="6"/>
    <s v="0-15"/>
    <s v="No"/>
    <n v="0"/>
    <s v="Healthy"/>
    <n v="0"/>
  </r>
  <r>
    <n v="101675"/>
    <d v="2025-12-17T00:00:00"/>
    <n v="1098"/>
    <x v="1"/>
    <x v="2"/>
    <x v="3"/>
    <x v="3"/>
    <x v="2"/>
    <s v="UPI"/>
    <n v="22.47"/>
    <n v="12.5"/>
    <x v="3"/>
    <n v="0"/>
    <n v="280.88"/>
    <n v="172.75"/>
    <n v="13.41"/>
    <n v="1.97"/>
    <n v="2.93"/>
    <n v="0"/>
    <n v="0"/>
    <n v="191.06"/>
    <n v="89.82"/>
    <s v="Profit"/>
    <x v="0"/>
    <n v="17"/>
    <n v="14"/>
    <s v="16-30"/>
    <s v="No"/>
    <n v="0"/>
    <s v="Healthy"/>
    <n v="0"/>
  </r>
  <r>
    <n v="101676"/>
    <d v="2025-12-06T00:00:00"/>
    <n v="1042"/>
    <x v="2"/>
    <x v="10"/>
    <x v="2"/>
    <x v="1"/>
    <x v="0"/>
    <s v="UPI"/>
    <n v="31.32"/>
    <n v="15.43"/>
    <x v="4"/>
    <n v="24.16"/>
    <n v="459.11"/>
    <n v="222.51"/>
    <n v="12.85"/>
    <n v="3.38"/>
    <n v="2.0299999999999998"/>
    <n v="0"/>
    <n v="0"/>
    <n v="240.77"/>
    <n v="218.34"/>
    <s v="Profit"/>
    <x v="0"/>
    <n v="0"/>
    <n v="22"/>
    <s v="0-15"/>
    <s v="Yes"/>
    <n v="3"/>
    <s v="At Risk"/>
    <n v="1"/>
  </r>
  <r>
    <n v="101677"/>
    <d v="2025-10-27T00:00:00"/>
    <n v="1078"/>
    <x v="3"/>
    <x v="15"/>
    <x v="0"/>
    <x v="2"/>
    <x v="0"/>
    <s v="Card"/>
    <n v="26.53"/>
    <n v="17.3"/>
    <x v="3"/>
    <n v="0"/>
    <n v="458.97"/>
    <n v="228.51"/>
    <n v="2.14"/>
    <n v="6.88"/>
    <n v="4.09"/>
    <n v="0"/>
    <n v="0"/>
    <n v="241.62"/>
    <n v="217.35"/>
    <s v="Profit"/>
    <x v="0"/>
    <n v="28"/>
    <n v="9"/>
    <s v="16-30"/>
    <s v="Yes"/>
    <n v="2"/>
    <s v="At Risk"/>
    <n v="1"/>
  </r>
  <r>
    <n v="101678"/>
    <d v="2025-12-10T00:00:00"/>
    <n v="1022"/>
    <x v="2"/>
    <x v="5"/>
    <x v="2"/>
    <x v="1"/>
    <x v="1"/>
    <s v="Fleet_Invoice"/>
    <n v="39.1"/>
    <n v="16.09"/>
    <x v="4"/>
    <n v="31.46"/>
    <n v="597.66"/>
    <n v="284.75"/>
    <n v="13.52"/>
    <n v="2.52"/>
    <n v="6.65"/>
    <n v="0"/>
    <n v="0"/>
    <n v="307.44"/>
    <n v="290.22000000000003"/>
    <s v="Profit"/>
    <x v="0"/>
    <n v="5"/>
    <n v="0"/>
    <s v="0-15"/>
    <s v="No"/>
    <n v="1"/>
    <s v="Healthy"/>
    <n v="0"/>
  </r>
  <r>
    <n v="101679"/>
    <d v="2025-10-12T00:00:00"/>
    <n v="1091"/>
    <x v="3"/>
    <x v="14"/>
    <x v="4"/>
    <x v="3"/>
    <x v="2"/>
    <s v="UPI"/>
    <n v="5.43"/>
    <n v="12.6"/>
    <x v="3"/>
    <n v="0"/>
    <n v="68.42"/>
    <n v="42.05"/>
    <n v="8.5299999999999994"/>
    <n v="0.48"/>
    <n v="12.15"/>
    <n v="0"/>
    <n v="0"/>
    <n v="63.21"/>
    <n v="5.21"/>
    <s v="Profit"/>
    <x v="0"/>
    <n v="6"/>
    <n v="16"/>
    <s v="0-15"/>
    <s v="Yes"/>
    <n v="2"/>
    <s v="At Risk"/>
    <n v="1"/>
  </r>
  <r>
    <n v="101680"/>
    <d v="2025-12-02T00:00:00"/>
    <n v="1088"/>
    <x v="2"/>
    <x v="9"/>
    <x v="4"/>
    <x v="1"/>
    <x v="0"/>
    <s v="UPI"/>
    <n v="33.76"/>
    <n v="14.99"/>
    <x v="1"/>
    <n v="101.21"/>
    <n v="404.85"/>
    <n v="227.89"/>
    <n v="6.22"/>
    <n v="3.54"/>
    <n v="8.31"/>
    <n v="0"/>
    <n v="0"/>
    <n v="245.96"/>
    <n v="158.88999999999999"/>
    <s v="Profit"/>
    <x v="0"/>
    <n v="18"/>
    <n v="7"/>
    <s v="16-30"/>
    <s v="No"/>
    <n v="0"/>
    <s v="Healthy"/>
    <n v="0"/>
  </r>
  <r>
    <n v="101681"/>
    <d v="2025-11-09T00:00:00"/>
    <n v="1085"/>
    <x v="0"/>
    <x v="0"/>
    <x v="0"/>
    <x v="1"/>
    <x v="0"/>
    <s v="Card"/>
    <n v="27.8"/>
    <n v="15.97"/>
    <x v="3"/>
    <n v="0"/>
    <n v="443.97"/>
    <n v="174.4"/>
    <n v="12.78"/>
    <n v="6.66"/>
    <n v="7.47"/>
    <n v="0"/>
    <n v="0"/>
    <n v="201.31"/>
    <n v="242.66"/>
    <s v="Profit"/>
    <x v="0"/>
    <n v="35"/>
    <n v="7"/>
    <s v="30+"/>
    <s v="Yes"/>
    <n v="1"/>
    <s v="At Risk"/>
    <n v="1"/>
  </r>
  <r>
    <n v="101682"/>
    <d v="2025-12-14T00:00:00"/>
    <n v="1126"/>
    <x v="0"/>
    <x v="6"/>
    <x v="2"/>
    <x v="2"/>
    <x v="0"/>
    <s v="Fleet_Invoice"/>
    <n v="33.64"/>
    <n v="18.190000000000001"/>
    <x v="3"/>
    <n v="0"/>
    <n v="611.91"/>
    <n v="244.45"/>
    <n v="10.35"/>
    <n v="2.4500000000000002"/>
    <n v="3.76"/>
    <n v="381.96"/>
    <n v="0"/>
    <n v="642.97"/>
    <n v="-31.06"/>
    <s v="Loss"/>
    <x v="2"/>
    <n v="23"/>
    <n v="3"/>
    <s v="16-30"/>
    <s v="Yes"/>
    <n v="2"/>
    <s v="At Risk"/>
    <n v="1"/>
  </r>
  <r>
    <n v="101683"/>
    <d v="2025-11-16T00:00:00"/>
    <n v="1131"/>
    <x v="2"/>
    <x v="10"/>
    <x v="4"/>
    <x v="3"/>
    <x v="2"/>
    <s v="UPI"/>
    <n v="11.8"/>
    <n v="12.36"/>
    <x v="2"/>
    <n v="14.58"/>
    <n v="131.27000000000001"/>
    <n v="97.82"/>
    <n v="5.62"/>
    <n v="1.02"/>
    <n v="3.98"/>
    <n v="0"/>
    <n v="0"/>
    <n v="108.44"/>
    <n v="22.83"/>
    <s v="Profit"/>
    <x v="0"/>
    <n v="20"/>
    <n v="17"/>
    <s v="16-30"/>
    <s v="Yes"/>
    <n v="4"/>
    <s v="At Risk"/>
    <n v="1"/>
  </r>
  <r>
    <n v="101684"/>
    <d v="2025-10-23T00:00:00"/>
    <n v="1008"/>
    <x v="2"/>
    <x v="10"/>
    <x v="4"/>
    <x v="1"/>
    <x v="0"/>
    <s v="UPI"/>
    <n v="33.83"/>
    <n v="16.21"/>
    <x v="1"/>
    <n v="109.68"/>
    <n v="438.7"/>
    <n v="268.5"/>
    <n v="9.3699999999999992"/>
    <n v="3.84"/>
    <n v="6"/>
    <n v="0"/>
    <n v="0"/>
    <n v="287.70999999999998"/>
    <n v="150.99"/>
    <s v="Profit"/>
    <x v="0"/>
    <n v="27"/>
    <n v="22"/>
    <s v="16-30"/>
    <s v="Yes"/>
    <n v="2"/>
    <s v="At Risk"/>
    <n v="1"/>
  </r>
  <r>
    <n v="101685"/>
    <d v="2025-12-26T00:00:00"/>
    <n v="1044"/>
    <x v="3"/>
    <x v="14"/>
    <x v="2"/>
    <x v="3"/>
    <x v="0"/>
    <s v="Wallet"/>
    <n v="6.37"/>
    <n v="12.91"/>
    <x v="2"/>
    <n v="8.2200000000000006"/>
    <n v="74.02"/>
    <n v="47.2"/>
    <n v="6.45"/>
    <n v="0.99"/>
    <n v="3.53"/>
    <n v="0"/>
    <n v="0"/>
    <n v="58.17"/>
    <n v="15.85"/>
    <s v="Profit"/>
    <x v="0"/>
    <n v="1"/>
    <n v="15"/>
    <s v="0-15"/>
    <s v="No"/>
    <n v="1"/>
    <s v="Healthy"/>
    <n v="0"/>
  </r>
  <r>
    <n v="101686"/>
    <d v="2025-10-19T00:00:00"/>
    <n v="1129"/>
    <x v="1"/>
    <x v="3"/>
    <x v="0"/>
    <x v="1"/>
    <x v="0"/>
    <s v="Card"/>
    <n v="35.130000000000003"/>
    <n v="15.35"/>
    <x v="3"/>
    <n v="0"/>
    <n v="539.25"/>
    <n v="256.44"/>
    <n v="5.55"/>
    <n v="8.09"/>
    <n v="6.76"/>
    <n v="0"/>
    <n v="0"/>
    <n v="276.83999999999997"/>
    <n v="262.41000000000003"/>
    <s v="Profit"/>
    <x v="0"/>
    <n v="18"/>
    <n v="3"/>
    <s v="16-30"/>
    <s v="No"/>
    <n v="1"/>
    <s v="Healthy"/>
    <n v="0"/>
  </r>
  <r>
    <n v="101687"/>
    <d v="2025-10-14T00:00:00"/>
    <n v="1086"/>
    <x v="0"/>
    <x v="0"/>
    <x v="1"/>
    <x v="1"/>
    <x v="0"/>
    <s v="UPI"/>
    <n v="19.41"/>
    <n v="15.7"/>
    <x v="3"/>
    <n v="0"/>
    <n v="304.74"/>
    <n v="92.73"/>
    <n v="8.61"/>
    <n v="2.13"/>
    <n v="0"/>
    <n v="0"/>
    <n v="0"/>
    <n v="103.47"/>
    <n v="201.27"/>
    <s v="Profit"/>
    <x v="0"/>
    <n v="10"/>
    <n v="7"/>
    <s v="0-15"/>
    <s v="No"/>
    <n v="0"/>
    <s v="Healthy"/>
    <n v="0"/>
  </r>
  <r>
    <n v="101688"/>
    <d v="2025-12-09T00:00:00"/>
    <n v="1047"/>
    <x v="2"/>
    <x v="5"/>
    <x v="0"/>
    <x v="3"/>
    <x v="1"/>
    <s v="Fleet_Invoice"/>
    <n v="24.64"/>
    <n v="15.22"/>
    <x v="2"/>
    <n v="37.5"/>
    <n v="337.52"/>
    <n v="195.04"/>
    <n v="7.99"/>
    <n v="1.5"/>
    <n v="13.06"/>
    <n v="0"/>
    <n v="0"/>
    <n v="217.59"/>
    <n v="119.93"/>
    <s v="Profit"/>
    <x v="0"/>
    <n v="21"/>
    <n v="1"/>
    <s v="16-30"/>
    <s v="Yes"/>
    <n v="2"/>
    <s v="At Risk"/>
    <n v="1"/>
  </r>
  <r>
    <n v="101689"/>
    <d v="2025-10-16T00:00:00"/>
    <n v="1133"/>
    <x v="3"/>
    <x v="14"/>
    <x v="2"/>
    <x v="2"/>
    <x v="1"/>
    <s v="Wallet"/>
    <n v="22.12"/>
    <n v="18.21"/>
    <x v="1"/>
    <n v="80.56"/>
    <n v="322.25"/>
    <n v="159.59"/>
    <n v="8.7799999999999994"/>
    <n v="4.83"/>
    <n v="9.06"/>
    <n v="0"/>
    <n v="0"/>
    <n v="182.26"/>
    <n v="139.99"/>
    <s v="Profit"/>
    <x v="0"/>
    <n v="7"/>
    <n v="5"/>
    <s v="0-15"/>
    <s v="No"/>
    <n v="0"/>
    <s v="Healthy"/>
    <n v="0"/>
  </r>
  <r>
    <n v="101690"/>
    <d v="2025-11-02T00:00:00"/>
    <n v="1010"/>
    <x v="3"/>
    <x v="15"/>
    <x v="4"/>
    <x v="3"/>
    <x v="2"/>
    <s v="UPI"/>
    <n v="16.97"/>
    <n v="13.01"/>
    <x v="3"/>
    <n v="0"/>
    <n v="220.78"/>
    <n v="124.28"/>
    <n v="11.62"/>
    <n v="1.55"/>
    <n v="7.44"/>
    <n v="0"/>
    <n v="0"/>
    <n v="144.88999999999999"/>
    <n v="75.89"/>
    <s v="Profit"/>
    <x v="0"/>
    <n v="6"/>
    <n v="2"/>
    <s v="0-15"/>
    <s v="No"/>
    <n v="0"/>
    <s v="Healthy"/>
    <n v="0"/>
  </r>
  <r>
    <n v="101691"/>
    <d v="2025-11-17T00:00:00"/>
    <n v="1133"/>
    <x v="0"/>
    <x v="6"/>
    <x v="3"/>
    <x v="1"/>
    <x v="2"/>
    <s v="Fleet_Invoice"/>
    <n v="19.37"/>
    <n v="16.27"/>
    <x v="3"/>
    <n v="0"/>
    <n v="315.14999999999998"/>
    <n v="136.5"/>
    <n v="8.15"/>
    <n v="1.26"/>
    <n v="7.72"/>
    <n v="248.56"/>
    <n v="16.399999999999999"/>
    <n v="418.59"/>
    <n v="-103.44"/>
    <s v="Loss"/>
    <x v="1"/>
    <n v="2"/>
    <n v="1"/>
    <s v="0-15"/>
    <s v="Yes"/>
    <n v="1"/>
    <s v="At Risk"/>
    <n v="1"/>
  </r>
  <r>
    <n v="101692"/>
    <d v="2025-12-23T00:00:00"/>
    <n v="1145"/>
    <x v="2"/>
    <x v="9"/>
    <x v="3"/>
    <x v="0"/>
    <x v="0"/>
    <s v="UPI"/>
    <n v="26.65"/>
    <n v="18.649999999999999"/>
    <x v="1"/>
    <n v="99.4"/>
    <n v="397.62"/>
    <n v="211.97"/>
    <n v="7.7"/>
    <n v="3.48"/>
    <n v="5.14"/>
    <n v="0"/>
    <n v="0"/>
    <n v="228.29"/>
    <n v="169.33"/>
    <s v="Profit"/>
    <x v="0"/>
    <n v="18"/>
    <n v="5"/>
    <s v="16-30"/>
    <s v="No"/>
    <n v="0"/>
    <s v="Healthy"/>
    <n v="0"/>
  </r>
  <r>
    <n v="101693"/>
    <d v="2025-10-27T00:00:00"/>
    <n v="1131"/>
    <x v="1"/>
    <x v="4"/>
    <x v="1"/>
    <x v="3"/>
    <x v="0"/>
    <s v="UPI"/>
    <n v="20.85"/>
    <n v="12.51"/>
    <x v="1"/>
    <n v="52.17"/>
    <n v="208.66"/>
    <n v="135.27000000000001"/>
    <n v="7.34"/>
    <n v="1.83"/>
    <n v="3.92"/>
    <n v="0"/>
    <n v="0"/>
    <n v="148.36000000000001"/>
    <n v="60.3"/>
    <s v="Profit"/>
    <x v="0"/>
    <n v="4"/>
    <n v="6"/>
    <s v="0-15"/>
    <s v="No"/>
    <n v="0"/>
    <s v="Healthy"/>
    <n v="0"/>
  </r>
  <r>
    <n v="101694"/>
    <d v="2025-10-12T00:00:00"/>
    <n v="1128"/>
    <x v="2"/>
    <x v="9"/>
    <x v="4"/>
    <x v="3"/>
    <x v="0"/>
    <s v="UPI"/>
    <n v="12.46"/>
    <n v="12.84"/>
    <x v="1"/>
    <n v="32"/>
    <n v="127.99"/>
    <n v="78.36"/>
    <n v="9.75"/>
    <n v="1.1200000000000001"/>
    <n v="7.79"/>
    <n v="0"/>
    <n v="0"/>
    <n v="97.02"/>
    <n v="30.97"/>
    <s v="Profit"/>
    <x v="0"/>
    <n v="2"/>
    <n v="2"/>
    <s v="0-15"/>
    <s v="No"/>
    <n v="0"/>
    <s v="Healthy"/>
    <n v="0"/>
  </r>
  <r>
    <n v="101695"/>
    <d v="2025-12-04T00:00:00"/>
    <n v="1098"/>
    <x v="0"/>
    <x v="11"/>
    <x v="4"/>
    <x v="0"/>
    <x v="0"/>
    <s v="Wallet"/>
    <n v="17.440000000000001"/>
    <n v="18.87"/>
    <x v="4"/>
    <n v="16.45"/>
    <n v="312.64"/>
    <n v="146.56"/>
    <n v="5.49"/>
    <n v="3.95"/>
    <n v="7.17"/>
    <n v="0"/>
    <n v="0"/>
    <n v="163.16999999999999"/>
    <n v="149.47"/>
    <s v="Profit"/>
    <x v="0"/>
    <n v="5"/>
    <n v="12"/>
    <s v="0-15"/>
    <s v="No"/>
    <n v="0"/>
    <s v="Healthy"/>
    <n v="0"/>
  </r>
  <r>
    <n v="101696"/>
    <d v="2025-12-19T00:00:00"/>
    <n v="1120"/>
    <x v="2"/>
    <x v="10"/>
    <x v="4"/>
    <x v="2"/>
    <x v="0"/>
    <s v="UPI"/>
    <n v="26.39"/>
    <n v="16.829999999999998"/>
    <x v="4"/>
    <n v="22.21"/>
    <n v="421.93"/>
    <n v="196.01"/>
    <n v="9.07"/>
    <n v="3.11"/>
    <n v="11.68"/>
    <n v="0"/>
    <n v="0"/>
    <n v="219.87"/>
    <n v="202.06"/>
    <s v="Profit"/>
    <x v="0"/>
    <n v="13"/>
    <n v="11"/>
    <s v="0-15"/>
    <s v="No"/>
    <n v="0"/>
    <s v="Healthy"/>
    <n v="0"/>
  </r>
  <r>
    <n v="101697"/>
    <d v="2025-11-05T00:00:00"/>
    <n v="1043"/>
    <x v="0"/>
    <x v="1"/>
    <x v="4"/>
    <x v="1"/>
    <x v="1"/>
    <s v="UPI"/>
    <n v="20.59"/>
    <n v="15.4"/>
    <x v="3"/>
    <n v="0"/>
    <n v="317.08999999999997"/>
    <n v="157.97"/>
    <n v="8.85"/>
    <n v="2.2200000000000002"/>
    <n v="16.45"/>
    <n v="0"/>
    <n v="0"/>
    <n v="185.49"/>
    <n v="131.6"/>
    <s v="Profit"/>
    <x v="0"/>
    <n v="2"/>
    <n v="7"/>
    <s v="0-15"/>
    <s v="No"/>
    <n v="1"/>
    <s v="Healthy"/>
    <n v="0"/>
  </r>
  <r>
    <n v="101698"/>
    <d v="2025-12-13T00:00:00"/>
    <n v="1015"/>
    <x v="2"/>
    <x v="5"/>
    <x v="1"/>
    <x v="0"/>
    <x v="0"/>
    <s v="Fleet_Invoice"/>
    <n v="30.45"/>
    <n v="18.170000000000002"/>
    <x v="4"/>
    <n v="27.66"/>
    <n v="525.62"/>
    <n v="212.24"/>
    <n v="5.7"/>
    <n v="2.21"/>
    <n v="8.56"/>
    <n v="0"/>
    <n v="0"/>
    <n v="228.71"/>
    <n v="296.91000000000003"/>
    <s v="Profit"/>
    <x v="0"/>
    <n v="0"/>
    <n v="64"/>
    <s v="0-15"/>
    <s v="Yes"/>
    <n v="1"/>
    <s v="At Risk"/>
    <n v="1"/>
  </r>
  <r>
    <n v="101699"/>
    <d v="2025-12-09T00:00:00"/>
    <n v="1059"/>
    <x v="0"/>
    <x v="6"/>
    <x v="3"/>
    <x v="1"/>
    <x v="0"/>
    <s v="Card"/>
    <n v="25.9"/>
    <n v="16.12"/>
    <x v="3"/>
    <n v="0"/>
    <n v="417.51"/>
    <n v="178.55"/>
    <n v="10.5"/>
    <n v="6.26"/>
    <n v="8.91"/>
    <n v="0"/>
    <n v="0"/>
    <n v="204.22"/>
    <n v="213.29"/>
    <s v="Profit"/>
    <x v="0"/>
    <n v="5"/>
    <n v="0"/>
    <s v="0-15"/>
    <s v="No"/>
    <n v="0"/>
    <s v="Healthy"/>
    <n v="0"/>
  </r>
  <r>
    <n v="101700"/>
    <d v="2025-10-05T00:00:00"/>
    <n v="1003"/>
    <x v="2"/>
    <x v="9"/>
    <x v="3"/>
    <x v="1"/>
    <x v="2"/>
    <s v="UPI"/>
    <n v="35.950000000000003"/>
    <n v="15.31"/>
    <x v="0"/>
    <n v="82.56"/>
    <n v="467.83"/>
    <n v="254.64"/>
    <n v="9.4700000000000006"/>
    <n v="3.85"/>
    <n v="0"/>
    <n v="0"/>
    <n v="0"/>
    <n v="267.95999999999998"/>
    <n v="199.87"/>
    <s v="Profit"/>
    <x v="0"/>
    <n v="21"/>
    <n v="13"/>
    <s v="16-30"/>
    <s v="Yes"/>
    <n v="2"/>
    <s v="At Risk"/>
    <n v="1"/>
  </r>
  <r>
    <n v="101701"/>
    <d v="2025-10-24T00:00:00"/>
    <n v="1114"/>
    <x v="2"/>
    <x v="5"/>
    <x v="3"/>
    <x v="1"/>
    <x v="0"/>
    <s v="Wallet"/>
    <n v="30.79"/>
    <n v="15.44"/>
    <x v="3"/>
    <n v="0"/>
    <n v="475.4"/>
    <n v="203"/>
    <n v="8.5399999999999991"/>
    <n v="5.7"/>
    <n v="7.25"/>
    <n v="0"/>
    <n v="0"/>
    <n v="224.49"/>
    <n v="250.91"/>
    <s v="Profit"/>
    <x v="0"/>
    <n v="4"/>
    <n v="1"/>
    <s v="0-15"/>
    <s v="No"/>
    <n v="0"/>
    <s v="Healthy"/>
    <n v="0"/>
  </r>
  <r>
    <n v="101702"/>
    <d v="2025-12-04T00:00:00"/>
    <n v="1106"/>
    <x v="0"/>
    <x v="1"/>
    <x v="4"/>
    <x v="3"/>
    <x v="2"/>
    <s v="UPI"/>
    <n v="26.67"/>
    <n v="12.48"/>
    <x v="3"/>
    <n v="0"/>
    <n v="332.84"/>
    <n v="180.71"/>
    <n v="14.3"/>
    <n v="2.33"/>
    <n v="5.0199999999999996"/>
    <n v="0"/>
    <n v="0"/>
    <n v="202.36"/>
    <n v="130.47999999999999"/>
    <s v="Profit"/>
    <x v="0"/>
    <n v="9"/>
    <n v="13"/>
    <s v="0-15"/>
    <s v="No"/>
    <n v="0"/>
    <s v="Healthy"/>
    <n v="0"/>
  </r>
  <r>
    <n v="101703"/>
    <d v="2025-11-10T00:00:00"/>
    <n v="1111"/>
    <x v="1"/>
    <x v="13"/>
    <x v="1"/>
    <x v="0"/>
    <x v="0"/>
    <s v="Fleet_Invoice"/>
    <n v="12.87"/>
    <n v="19.05"/>
    <x v="3"/>
    <n v="0"/>
    <n v="245.17"/>
    <n v="69.900000000000006"/>
    <n v="14.59"/>
    <n v="0.98"/>
    <n v="8.07"/>
    <n v="0"/>
    <n v="0"/>
    <n v="93.54"/>
    <n v="151.63"/>
    <s v="Profit"/>
    <x v="0"/>
    <n v="10"/>
    <n v="0"/>
    <s v="0-15"/>
    <s v="No"/>
    <n v="0"/>
    <s v="Healthy"/>
    <n v="0"/>
  </r>
  <r>
    <n v="101704"/>
    <d v="2025-12-04T00:00:00"/>
    <n v="1078"/>
    <x v="2"/>
    <x v="12"/>
    <x v="4"/>
    <x v="3"/>
    <x v="0"/>
    <s v="Card"/>
    <n v="21.1"/>
    <n v="15.66"/>
    <x v="4"/>
    <n v="16.52"/>
    <n v="313.91000000000003"/>
    <n v="141.59"/>
    <n v="5.99"/>
    <n v="4.96"/>
    <n v="6.23"/>
    <n v="0"/>
    <n v="0"/>
    <n v="158.77000000000001"/>
    <n v="155.13999999999999"/>
    <s v="Profit"/>
    <x v="0"/>
    <n v="10"/>
    <n v="3"/>
    <s v="0-15"/>
    <s v="No"/>
    <n v="0"/>
    <s v="Healthy"/>
    <n v="0"/>
  </r>
  <r>
    <n v="101705"/>
    <d v="2025-12-01T00:00:00"/>
    <n v="1107"/>
    <x v="2"/>
    <x v="12"/>
    <x v="1"/>
    <x v="0"/>
    <x v="2"/>
    <s v="Fleet_Invoice"/>
    <n v="33.33"/>
    <n v="18.899999999999999"/>
    <x v="3"/>
    <n v="0"/>
    <n v="629.94000000000005"/>
    <n v="193.7"/>
    <n v="5.15"/>
    <n v="2.52"/>
    <n v="9.1199999999999992"/>
    <n v="0"/>
    <n v="0"/>
    <n v="210.49"/>
    <n v="419.45"/>
    <s v="Profit"/>
    <x v="0"/>
    <n v="11"/>
    <n v="0"/>
    <s v="0-15"/>
    <s v="No"/>
    <n v="1"/>
    <s v="Healthy"/>
    <n v="0"/>
  </r>
  <r>
    <n v="101706"/>
    <d v="2025-12-26T00:00:00"/>
    <n v="1067"/>
    <x v="1"/>
    <x v="2"/>
    <x v="3"/>
    <x v="1"/>
    <x v="0"/>
    <s v="UPI"/>
    <n v="33.729999999999997"/>
    <n v="15.17"/>
    <x v="3"/>
    <n v="0"/>
    <n v="511.68"/>
    <n v="202.31"/>
    <n v="8.94"/>
    <n v="3.58"/>
    <n v="7.7"/>
    <n v="0"/>
    <n v="0"/>
    <n v="222.53"/>
    <n v="289.14999999999998"/>
    <s v="Profit"/>
    <x v="0"/>
    <n v="21"/>
    <n v="8"/>
    <s v="16-30"/>
    <s v="Yes"/>
    <n v="1"/>
    <s v="At Risk"/>
    <n v="1"/>
  </r>
  <r>
    <n v="101707"/>
    <d v="2025-12-23T00:00:00"/>
    <n v="1145"/>
    <x v="2"/>
    <x v="12"/>
    <x v="4"/>
    <x v="2"/>
    <x v="1"/>
    <s v="Wallet"/>
    <n v="20.010000000000002"/>
    <n v="17.649999999999999"/>
    <x v="3"/>
    <n v="0"/>
    <n v="353.18"/>
    <n v="149.71"/>
    <n v="13.33"/>
    <n v="4.24"/>
    <n v="3.84"/>
    <n v="213.07"/>
    <n v="15.75"/>
    <n v="399.94"/>
    <n v="-46.76"/>
    <s v="Loss"/>
    <x v="2"/>
    <n v="0"/>
    <n v="4"/>
    <s v="0-15"/>
    <s v="No"/>
    <n v="1"/>
    <s v="At Risk"/>
    <n v="0"/>
  </r>
  <r>
    <n v="101708"/>
    <d v="2025-11-24T00:00:00"/>
    <n v="1033"/>
    <x v="0"/>
    <x v="0"/>
    <x v="2"/>
    <x v="3"/>
    <x v="0"/>
    <s v="UPI"/>
    <n v="16.63"/>
    <n v="12.48"/>
    <x v="3"/>
    <n v="0"/>
    <n v="207.54"/>
    <n v="132.24"/>
    <n v="4.18"/>
    <n v="1.45"/>
    <n v="9.36"/>
    <n v="0"/>
    <n v="0"/>
    <n v="147.22999999999999"/>
    <n v="60.31"/>
    <s v="Profit"/>
    <x v="0"/>
    <n v="1"/>
    <n v="16"/>
    <s v="0-15"/>
    <s v="Yes"/>
    <n v="2"/>
    <s v="At Risk"/>
    <n v="1"/>
  </r>
  <r>
    <n v="101709"/>
    <d v="2025-10-21T00:00:00"/>
    <n v="1099"/>
    <x v="2"/>
    <x v="9"/>
    <x v="1"/>
    <x v="3"/>
    <x v="0"/>
    <s v="Fleet_Invoice"/>
    <n v="20.69"/>
    <n v="14.07"/>
    <x v="3"/>
    <n v="0"/>
    <n v="291.11"/>
    <n v="142.97999999999999"/>
    <n v="7.25"/>
    <n v="1.1599999999999999"/>
    <n v="1.89"/>
    <n v="248.12"/>
    <n v="0"/>
    <n v="401.4"/>
    <n v="-110.29"/>
    <s v="Loss"/>
    <x v="1"/>
    <n v="6"/>
    <n v="9"/>
    <s v="0-15"/>
    <s v="Yes"/>
    <n v="1"/>
    <s v="At Risk"/>
    <n v="1"/>
  </r>
  <r>
    <n v="101710"/>
    <d v="2025-11-01T00:00:00"/>
    <n v="1147"/>
    <x v="2"/>
    <x v="9"/>
    <x v="1"/>
    <x v="0"/>
    <x v="2"/>
    <s v="UPI"/>
    <n v="9.07"/>
    <n v="19.79"/>
    <x v="4"/>
    <n v="8.98"/>
    <n v="170.52"/>
    <n v="64.97"/>
    <n v="8.77"/>
    <n v="1.26"/>
    <n v="8.61"/>
    <n v="0"/>
    <n v="0"/>
    <n v="83.61"/>
    <n v="86.91"/>
    <s v="Profit"/>
    <x v="0"/>
    <n v="76"/>
    <n v="2"/>
    <s v="30+"/>
    <s v="Yes"/>
    <n v="3"/>
    <s v="At Risk"/>
    <n v="1"/>
  </r>
  <r>
    <n v="101711"/>
    <d v="2025-10-23T00:00:00"/>
    <n v="1149"/>
    <x v="0"/>
    <x v="11"/>
    <x v="0"/>
    <x v="1"/>
    <x v="2"/>
    <s v="UPI"/>
    <n v="38.68"/>
    <n v="16.22"/>
    <x v="3"/>
    <n v="0"/>
    <n v="627.39"/>
    <n v="291.49"/>
    <n v="12.08"/>
    <n v="4.3899999999999997"/>
    <n v="2.36"/>
    <n v="0"/>
    <n v="0"/>
    <n v="310.32"/>
    <n v="317.07"/>
    <s v="Profit"/>
    <x v="0"/>
    <n v="4"/>
    <n v="22"/>
    <s v="0-15"/>
    <s v="Yes"/>
    <n v="1"/>
    <s v="At Risk"/>
    <n v="1"/>
  </r>
  <r>
    <n v="101712"/>
    <d v="2025-11-06T00:00:00"/>
    <n v="1141"/>
    <x v="3"/>
    <x v="15"/>
    <x v="3"/>
    <x v="3"/>
    <x v="2"/>
    <s v="UPI"/>
    <n v="29.19"/>
    <n v="12"/>
    <x v="4"/>
    <n v="17.510000000000002"/>
    <n v="332.77"/>
    <n v="202.6"/>
    <n v="3.47"/>
    <n v="2.4500000000000002"/>
    <n v="6.47"/>
    <n v="0"/>
    <n v="0"/>
    <n v="214.99"/>
    <n v="117.78"/>
    <s v="Profit"/>
    <x v="0"/>
    <n v="16"/>
    <n v="7"/>
    <s v="16-30"/>
    <s v="No"/>
    <n v="0"/>
    <s v="Healthy"/>
    <n v="0"/>
  </r>
  <r>
    <n v="101713"/>
    <d v="2025-12-28T00:00:00"/>
    <n v="1087"/>
    <x v="3"/>
    <x v="14"/>
    <x v="4"/>
    <x v="1"/>
    <x v="0"/>
    <s v="Wallet"/>
    <n v="23.96"/>
    <n v="15.21"/>
    <x v="3"/>
    <n v="0"/>
    <n v="364.43"/>
    <n v="163.78"/>
    <n v="12.01"/>
    <n v="4.37"/>
    <n v="10.28"/>
    <n v="0"/>
    <n v="0"/>
    <n v="190.44"/>
    <n v="173.99"/>
    <s v="Profit"/>
    <x v="0"/>
    <n v="2"/>
    <n v="3"/>
    <s v="0-15"/>
    <s v="No"/>
    <n v="0"/>
    <s v="Healthy"/>
    <n v="0"/>
  </r>
  <r>
    <n v="101714"/>
    <d v="2025-11-27T00:00:00"/>
    <n v="1005"/>
    <x v="0"/>
    <x v="11"/>
    <x v="3"/>
    <x v="0"/>
    <x v="0"/>
    <s v="UPI"/>
    <n v="34.840000000000003"/>
    <n v="22.55"/>
    <x v="3"/>
    <n v="0"/>
    <n v="785.64"/>
    <n v="278.44"/>
    <n v="14.89"/>
    <n v="5.5"/>
    <n v="5.45"/>
    <n v="0"/>
    <n v="0"/>
    <n v="304.27999999999997"/>
    <n v="481.36"/>
    <s v="Profit"/>
    <x v="0"/>
    <n v="2"/>
    <n v="4"/>
    <s v="0-15"/>
    <s v="No"/>
    <n v="0"/>
    <s v="Healthy"/>
    <n v="0"/>
  </r>
  <r>
    <n v="101715"/>
    <d v="2025-10-10T00:00:00"/>
    <n v="1004"/>
    <x v="1"/>
    <x v="2"/>
    <x v="1"/>
    <x v="3"/>
    <x v="0"/>
    <s v="Fleet_Invoice"/>
    <n v="20.13"/>
    <n v="11.69"/>
    <x v="2"/>
    <n v="23.53"/>
    <n v="211.79"/>
    <n v="156.16"/>
    <n v="11.25"/>
    <n v="0.94"/>
    <n v="4.6500000000000004"/>
    <n v="0"/>
    <n v="0"/>
    <n v="173"/>
    <n v="38.79"/>
    <s v="Profit"/>
    <x v="0"/>
    <n v="12"/>
    <n v="1"/>
    <s v="0-15"/>
    <s v="No"/>
    <n v="2"/>
    <s v="Healthy"/>
    <n v="0"/>
  </r>
  <r>
    <n v="101716"/>
    <d v="2025-10-15T00:00:00"/>
    <n v="1005"/>
    <x v="2"/>
    <x v="12"/>
    <x v="3"/>
    <x v="1"/>
    <x v="0"/>
    <s v="Wallet"/>
    <n v="21.32"/>
    <n v="15.52"/>
    <x v="3"/>
    <n v="0"/>
    <n v="330.89"/>
    <n v="179.31"/>
    <n v="10.32"/>
    <n v="3.97"/>
    <n v="5.76"/>
    <n v="0"/>
    <n v="0"/>
    <n v="199.36"/>
    <n v="131.53"/>
    <s v="Profit"/>
    <x v="0"/>
    <n v="3"/>
    <n v="6"/>
    <s v="0-15"/>
    <s v="No"/>
    <n v="0"/>
    <s v="Healthy"/>
    <n v="0"/>
  </r>
  <r>
    <n v="101717"/>
    <d v="2025-12-07T00:00:00"/>
    <n v="1031"/>
    <x v="2"/>
    <x v="12"/>
    <x v="4"/>
    <x v="1"/>
    <x v="1"/>
    <s v="UPI"/>
    <n v="21.21"/>
    <n v="15.78"/>
    <x v="2"/>
    <n v="33.47"/>
    <n v="301.22000000000003"/>
    <n v="158"/>
    <n v="7.25"/>
    <n v="2.34"/>
    <n v="6.62"/>
    <n v="163.04"/>
    <n v="1.89"/>
    <n v="339.14"/>
    <n v="-37.92"/>
    <s v="Loss"/>
    <x v="1"/>
    <n v="3"/>
    <n v="7"/>
    <s v="0-15"/>
    <s v="Yes"/>
    <n v="3"/>
    <s v="At Risk"/>
    <n v="1"/>
  </r>
  <r>
    <n v="101718"/>
    <d v="2025-10-16T00:00:00"/>
    <n v="1047"/>
    <x v="3"/>
    <x v="7"/>
    <x v="3"/>
    <x v="1"/>
    <x v="0"/>
    <s v="Wallet"/>
    <n v="28.32"/>
    <n v="14.69"/>
    <x v="4"/>
    <n v="20.8"/>
    <n v="395.22"/>
    <n v="171"/>
    <n v="5.0199999999999996"/>
    <n v="4.99"/>
    <n v="7.03"/>
    <n v="0"/>
    <n v="0"/>
    <n v="188.04"/>
    <n v="207.18"/>
    <s v="Profit"/>
    <x v="0"/>
    <n v="22"/>
    <n v="7"/>
    <s v="16-30"/>
    <s v="Yes"/>
    <n v="1"/>
    <s v="At Risk"/>
    <n v="1"/>
  </r>
  <r>
    <n v="101719"/>
    <d v="2025-10-05T00:00:00"/>
    <n v="1030"/>
    <x v="1"/>
    <x v="3"/>
    <x v="3"/>
    <x v="3"/>
    <x v="2"/>
    <s v="UPI"/>
    <n v="4.07"/>
    <n v="12.29"/>
    <x v="0"/>
    <n v="7.5"/>
    <n v="42.52"/>
    <n v="34.5"/>
    <n v="6.14"/>
    <n v="0.35"/>
    <n v="9.81"/>
    <n v="0"/>
    <n v="0"/>
    <n v="50.8"/>
    <n v="-8.2799999999999994"/>
    <s v="Loss"/>
    <x v="0"/>
    <n v="11"/>
    <n v="9"/>
    <s v="0-15"/>
    <s v="No"/>
    <n v="0"/>
    <s v="At Risk"/>
    <n v="0"/>
  </r>
  <r>
    <n v="101720"/>
    <d v="2025-11-17T00:00:00"/>
    <n v="1078"/>
    <x v="2"/>
    <x v="10"/>
    <x v="4"/>
    <x v="1"/>
    <x v="0"/>
    <s v="UPI"/>
    <n v="28.49"/>
    <n v="15.59"/>
    <x v="3"/>
    <n v="0"/>
    <n v="444.16"/>
    <n v="237.5"/>
    <n v="9.1199999999999992"/>
    <n v="3.11"/>
    <n v="7.38"/>
    <n v="0"/>
    <n v="0"/>
    <n v="257.11"/>
    <n v="187.05"/>
    <s v="Profit"/>
    <x v="0"/>
    <n v="4"/>
    <n v="0"/>
    <s v="0-15"/>
    <s v="No"/>
    <n v="0"/>
    <s v="Healthy"/>
    <n v="0"/>
  </r>
  <r>
    <n v="101721"/>
    <d v="2025-12-20T00:00:00"/>
    <n v="1112"/>
    <x v="2"/>
    <x v="12"/>
    <x v="4"/>
    <x v="3"/>
    <x v="0"/>
    <s v="Fleet_Invoice"/>
    <n v="29.53"/>
    <n v="12.78"/>
    <x v="3"/>
    <n v="0"/>
    <n v="377.39"/>
    <n v="231.62"/>
    <n v="8.43"/>
    <n v="1.51"/>
    <n v="0.75"/>
    <n v="0"/>
    <n v="0"/>
    <n v="242.31"/>
    <n v="135.08000000000001"/>
    <s v="Profit"/>
    <x v="0"/>
    <n v="16"/>
    <n v="6"/>
    <s v="16-30"/>
    <s v="No"/>
    <n v="0"/>
    <s v="Healthy"/>
    <n v="0"/>
  </r>
  <r>
    <n v="101722"/>
    <d v="2025-10-08T00:00:00"/>
    <n v="1145"/>
    <x v="2"/>
    <x v="10"/>
    <x v="4"/>
    <x v="1"/>
    <x v="2"/>
    <s v="Wallet"/>
    <n v="36.119999999999997"/>
    <n v="15.31"/>
    <x v="0"/>
    <n v="82.95"/>
    <n v="470.05"/>
    <n v="273.63"/>
    <n v="9.2899999999999991"/>
    <n v="6.64"/>
    <n v="3.76"/>
    <n v="0"/>
    <n v="0"/>
    <n v="293.32"/>
    <n v="176.73"/>
    <s v="Profit"/>
    <x v="0"/>
    <n v="6"/>
    <n v="4"/>
    <s v="0-15"/>
    <s v="No"/>
    <n v="0"/>
    <s v="Healthy"/>
    <n v="0"/>
  </r>
  <r>
    <n v="101723"/>
    <d v="2025-11-15T00:00:00"/>
    <n v="1022"/>
    <x v="2"/>
    <x v="5"/>
    <x v="1"/>
    <x v="0"/>
    <x v="0"/>
    <s v="Card"/>
    <n v="21.93"/>
    <n v="19.07"/>
    <x v="4"/>
    <n v="20.91"/>
    <n v="397.3"/>
    <n v="144.30000000000001"/>
    <n v="8.36"/>
    <n v="6.27"/>
    <n v="9.73"/>
    <n v="0"/>
    <n v="0"/>
    <n v="168.66"/>
    <n v="228.64"/>
    <s v="Profit"/>
    <x v="0"/>
    <n v="7"/>
    <n v="1"/>
    <s v="0-15"/>
    <s v="No"/>
    <n v="0"/>
    <s v="Healthy"/>
    <n v="0"/>
  </r>
  <r>
    <n v="101724"/>
    <d v="2025-11-19T00:00:00"/>
    <n v="1006"/>
    <x v="1"/>
    <x v="4"/>
    <x v="2"/>
    <x v="2"/>
    <x v="0"/>
    <s v="UPI"/>
    <n v="22.38"/>
    <n v="17.8"/>
    <x v="3"/>
    <n v="0"/>
    <n v="398.36"/>
    <n v="170.15"/>
    <n v="6.91"/>
    <n v="2.79"/>
    <n v="8.39"/>
    <n v="0"/>
    <n v="0"/>
    <n v="188.24"/>
    <n v="210.12"/>
    <s v="Profit"/>
    <x v="0"/>
    <n v="2"/>
    <n v="40"/>
    <s v="0-15"/>
    <s v="Yes"/>
    <n v="1"/>
    <s v="At Risk"/>
    <n v="1"/>
  </r>
  <r>
    <n v="101725"/>
    <d v="2025-11-05T00:00:00"/>
    <n v="1002"/>
    <x v="3"/>
    <x v="8"/>
    <x v="2"/>
    <x v="3"/>
    <x v="2"/>
    <s v="UPI"/>
    <n v="21.32"/>
    <n v="13.81"/>
    <x v="2"/>
    <n v="29.44"/>
    <n v="264.99"/>
    <n v="171.27"/>
    <n v="9.4700000000000006"/>
    <n v="2.06"/>
    <n v="1.39"/>
    <n v="0"/>
    <n v="0"/>
    <n v="184.19"/>
    <n v="80.8"/>
    <s v="Profit"/>
    <x v="0"/>
    <n v="3"/>
    <n v="8"/>
    <s v="0-15"/>
    <s v="No"/>
    <n v="0"/>
    <s v="Healthy"/>
    <n v="0"/>
  </r>
  <r>
    <n v="101726"/>
    <d v="2025-11-25T00:00:00"/>
    <n v="1008"/>
    <x v="0"/>
    <x v="11"/>
    <x v="4"/>
    <x v="3"/>
    <x v="0"/>
    <s v="UPI"/>
    <n v="32.520000000000003"/>
    <n v="12.66"/>
    <x v="4"/>
    <n v="20.58"/>
    <n v="391.12"/>
    <n v="277.62"/>
    <n v="5"/>
    <n v="2.88"/>
    <n v="7.27"/>
    <n v="329.8"/>
    <n v="0"/>
    <n v="622.57000000000005"/>
    <n v="-231.45"/>
    <s v="Loss"/>
    <x v="2"/>
    <n v="2"/>
    <n v="6"/>
    <s v="0-15"/>
    <s v="No"/>
    <n v="1"/>
    <s v="At Risk"/>
    <n v="0"/>
  </r>
  <r>
    <n v="101727"/>
    <d v="2025-12-18T00:00:00"/>
    <n v="1052"/>
    <x v="2"/>
    <x v="10"/>
    <x v="4"/>
    <x v="3"/>
    <x v="0"/>
    <s v="UPI"/>
    <n v="16.03"/>
    <n v="13.13"/>
    <x v="2"/>
    <n v="21.05"/>
    <n v="189.42"/>
    <n v="122.63"/>
    <n v="5"/>
    <n v="1.47"/>
    <n v="6.4"/>
    <n v="0"/>
    <n v="0"/>
    <n v="135.5"/>
    <n v="53.92"/>
    <s v="Profit"/>
    <x v="0"/>
    <n v="1"/>
    <n v="7"/>
    <s v="0-15"/>
    <s v="No"/>
    <n v="2"/>
    <s v="Healthy"/>
    <n v="0"/>
  </r>
  <r>
    <n v="101728"/>
    <d v="2025-10-26T00:00:00"/>
    <n v="1060"/>
    <x v="1"/>
    <x v="4"/>
    <x v="0"/>
    <x v="3"/>
    <x v="0"/>
    <s v="Fleet_Invoice"/>
    <n v="3"/>
    <n v="12.94"/>
    <x v="4"/>
    <n v="1.94"/>
    <n v="36.880000000000003"/>
    <n v="21.53"/>
    <n v="8.33"/>
    <n v="0.16"/>
    <n v="2.94"/>
    <n v="0"/>
    <n v="0"/>
    <n v="32.96"/>
    <n v="3.92"/>
    <s v="Profit"/>
    <x v="0"/>
    <n v="0"/>
    <n v="0"/>
    <s v="0-15"/>
    <s v="No"/>
    <n v="1"/>
    <s v="Healthy"/>
    <n v="0"/>
  </r>
  <r>
    <n v="101729"/>
    <d v="2025-12-14T00:00:00"/>
    <n v="1123"/>
    <x v="2"/>
    <x v="10"/>
    <x v="3"/>
    <x v="1"/>
    <x v="0"/>
    <s v="Wallet"/>
    <n v="35.01"/>
    <n v="17.07"/>
    <x v="3"/>
    <n v="0"/>
    <n v="597.62"/>
    <n v="220"/>
    <n v="8.44"/>
    <n v="7.17"/>
    <n v="3.54"/>
    <n v="0"/>
    <n v="0"/>
    <n v="239.15"/>
    <n v="358.47"/>
    <s v="Profit"/>
    <x v="0"/>
    <n v="15"/>
    <n v="1"/>
    <s v="0-15"/>
    <s v="No"/>
    <n v="1"/>
    <s v="Healthy"/>
    <n v="0"/>
  </r>
  <r>
    <n v="101730"/>
    <d v="2025-11-10T00:00:00"/>
    <n v="1131"/>
    <x v="2"/>
    <x v="5"/>
    <x v="2"/>
    <x v="0"/>
    <x v="1"/>
    <s v="Wallet"/>
    <n v="28.26"/>
    <n v="19.68"/>
    <x v="2"/>
    <n v="55.62"/>
    <n v="500.54"/>
    <n v="201.19"/>
    <n v="6.38"/>
    <n v="6.67"/>
    <n v="10"/>
    <n v="0"/>
    <n v="0"/>
    <n v="224.24"/>
    <n v="276.3"/>
    <s v="Profit"/>
    <x v="0"/>
    <n v="1"/>
    <n v="2"/>
    <s v="0-15"/>
    <s v="No"/>
    <n v="0"/>
    <s v="Healthy"/>
    <n v="0"/>
  </r>
  <r>
    <n v="101731"/>
    <d v="2025-12-03T00:00:00"/>
    <n v="1092"/>
    <x v="0"/>
    <x v="1"/>
    <x v="1"/>
    <x v="1"/>
    <x v="0"/>
    <s v="Wallet"/>
    <n v="24.24"/>
    <n v="16.38"/>
    <x v="2"/>
    <n v="39.71"/>
    <n v="357.34"/>
    <n v="160.46"/>
    <n v="5.5"/>
    <n v="4.76"/>
    <n v="6.07"/>
    <n v="0"/>
    <n v="0"/>
    <n v="176.79"/>
    <n v="180.55"/>
    <s v="Profit"/>
    <x v="0"/>
    <n v="30"/>
    <n v="1"/>
    <s v="16-30"/>
    <s v="Yes"/>
    <n v="2"/>
    <s v="At Risk"/>
    <n v="1"/>
  </r>
  <r>
    <n v="101732"/>
    <d v="2025-12-22T00:00:00"/>
    <n v="1131"/>
    <x v="0"/>
    <x v="11"/>
    <x v="1"/>
    <x v="3"/>
    <x v="0"/>
    <s v="Fleet_Invoice"/>
    <n v="29.12"/>
    <n v="11.5"/>
    <x v="4"/>
    <n v="16.739999999999998"/>
    <n v="318.14"/>
    <n v="217.22"/>
    <n v="11.69"/>
    <n v="1.34"/>
    <n v="6.53"/>
    <n v="0"/>
    <n v="0"/>
    <n v="236.78"/>
    <n v="81.36"/>
    <s v="Profit"/>
    <x v="0"/>
    <n v="22"/>
    <n v="0"/>
    <s v="16-30"/>
    <s v="Yes"/>
    <n v="2"/>
    <s v="At Risk"/>
    <n v="1"/>
  </r>
  <r>
    <n v="101733"/>
    <d v="2025-11-04T00:00:00"/>
    <n v="1013"/>
    <x v="2"/>
    <x v="12"/>
    <x v="1"/>
    <x v="2"/>
    <x v="0"/>
    <s v="UPI"/>
    <n v="37.33"/>
    <n v="17.28"/>
    <x v="3"/>
    <n v="0"/>
    <n v="645.05999999999995"/>
    <n v="315.79000000000002"/>
    <n v="8.35"/>
    <n v="4.5199999999999996"/>
    <n v="11.86"/>
    <n v="0"/>
    <n v="0"/>
    <n v="340.52"/>
    <n v="304.54000000000002"/>
    <s v="Profit"/>
    <x v="0"/>
    <n v="11"/>
    <n v="2"/>
    <s v="0-15"/>
    <s v="No"/>
    <n v="0"/>
    <s v="Healthy"/>
    <n v="0"/>
  </r>
  <r>
    <n v="101734"/>
    <d v="2025-11-03T00:00:00"/>
    <n v="1129"/>
    <x v="0"/>
    <x v="11"/>
    <x v="3"/>
    <x v="3"/>
    <x v="0"/>
    <s v="UPI"/>
    <n v="19.7"/>
    <n v="12.53"/>
    <x v="3"/>
    <n v="0"/>
    <n v="246.84"/>
    <n v="138.05000000000001"/>
    <n v="3.93"/>
    <n v="1.73"/>
    <n v="2.08"/>
    <n v="0"/>
    <n v="0"/>
    <n v="145.79"/>
    <n v="101.05"/>
    <s v="Profit"/>
    <x v="0"/>
    <n v="17"/>
    <n v="18"/>
    <s v="16-30"/>
    <s v="Yes"/>
    <n v="2"/>
    <s v="At Risk"/>
    <n v="1"/>
  </r>
  <r>
    <n v="101735"/>
    <d v="2025-12-29T00:00:00"/>
    <n v="1117"/>
    <x v="3"/>
    <x v="8"/>
    <x v="1"/>
    <x v="2"/>
    <x v="2"/>
    <s v="Wallet"/>
    <n v="21.84"/>
    <n v="17.97"/>
    <x v="2"/>
    <n v="39.25"/>
    <n v="353.21"/>
    <n v="148.91"/>
    <n v="7.4"/>
    <n v="4.71"/>
    <n v="10.09"/>
    <n v="0"/>
    <n v="0"/>
    <n v="171.11"/>
    <n v="182.1"/>
    <s v="Profit"/>
    <x v="0"/>
    <n v="10"/>
    <n v="13"/>
    <s v="0-15"/>
    <s v="No"/>
    <n v="0"/>
    <s v="Healthy"/>
    <n v="0"/>
  </r>
  <r>
    <n v="101736"/>
    <d v="2025-12-19T00:00:00"/>
    <n v="1006"/>
    <x v="0"/>
    <x v="1"/>
    <x v="3"/>
    <x v="3"/>
    <x v="0"/>
    <s v="UPI"/>
    <n v="15.9"/>
    <n v="12.75"/>
    <x v="3"/>
    <n v="0"/>
    <n v="202.72"/>
    <n v="132.38999999999999"/>
    <n v="9.2899999999999991"/>
    <n v="1.42"/>
    <n v="8.23"/>
    <n v="0"/>
    <n v="0"/>
    <n v="151.33000000000001"/>
    <n v="51.39"/>
    <s v="Profit"/>
    <x v="0"/>
    <n v="3"/>
    <n v="15"/>
    <s v="0-15"/>
    <s v="No"/>
    <n v="0"/>
    <s v="Healthy"/>
    <n v="0"/>
  </r>
  <r>
    <n v="101737"/>
    <d v="2025-10-25T00:00:00"/>
    <n v="1096"/>
    <x v="1"/>
    <x v="4"/>
    <x v="4"/>
    <x v="3"/>
    <x v="0"/>
    <s v="Card"/>
    <n v="20.149999999999999"/>
    <n v="11.95"/>
    <x v="1"/>
    <n v="48.16"/>
    <n v="192.63"/>
    <n v="131.97"/>
    <n v="4.8600000000000003"/>
    <n v="3.61"/>
    <n v="0"/>
    <n v="0"/>
    <n v="0"/>
    <n v="140.44"/>
    <n v="52.19"/>
    <s v="Profit"/>
    <x v="0"/>
    <n v="1"/>
    <n v="0"/>
    <s v="0-15"/>
    <s v="No"/>
    <n v="0"/>
    <s v="Healthy"/>
    <n v="0"/>
  </r>
  <r>
    <n v="101738"/>
    <d v="2025-12-25T00:00:00"/>
    <n v="1078"/>
    <x v="0"/>
    <x v="6"/>
    <x v="1"/>
    <x v="3"/>
    <x v="2"/>
    <s v="Wallet"/>
    <n v="16.34"/>
    <n v="12.92"/>
    <x v="3"/>
    <n v="0"/>
    <n v="211.11"/>
    <n v="123.65"/>
    <n v="9.8699999999999992"/>
    <n v="2.5299999999999998"/>
    <n v="3.55"/>
    <n v="0"/>
    <n v="0"/>
    <n v="139.6"/>
    <n v="71.510000000000005"/>
    <s v="Profit"/>
    <x v="0"/>
    <n v="8"/>
    <n v="1"/>
    <s v="0-15"/>
    <s v="No"/>
    <n v="0"/>
    <s v="Healthy"/>
    <n v="0"/>
  </r>
  <r>
    <n v="101739"/>
    <d v="2025-11-05T00:00:00"/>
    <n v="1130"/>
    <x v="2"/>
    <x v="5"/>
    <x v="1"/>
    <x v="2"/>
    <x v="2"/>
    <s v="UPI"/>
    <n v="29.74"/>
    <n v="17.079999999999998"/>
    <x v="0"/>
    <n v="76.19"/>
    <n v="431.77"/>
    <n v="172.26"/>
    <n v="4.6500000000000004"/>
    <n v="3.56"/>
    <n v="6.78"/>
    <n v="0"/>
    <n v="0"/>
    <n v="187.25"/>
    <n v="244.52"/>
    <s v="Profit"/>
    <x v="0"/>
    <n v="9"/>
    <n v="10"/>
    <s v="0-15"/>
    <s v="No"/>
    <n v="0"/>
    <s v="Healthy"/>
    <n v="0"/>
  </r>
  <r>
    <n v="101740"/>
    <d v="2025-12-31T00:00:00"/>
    <n v="1053"/>
    <x v="1"/>
    <x v="3"/>
    <x v="3"/>
    <x v="3"/>
    <x v="2"/>
    <s v="UPI"/>
    <n v="25.32"/>
    <n v="12.84"/>
    <x v="3"/>
    <n v="0"/>
    <n v="325.11"/>
    <n v="192.31"/>
    <n v="7.21"/>
    <n v="2.2799999999999998"/>
    <n v="4.8899999999999997"/>
    <n v="0"/>
    <n v="0"/>
    <n v="206.69"/>
    <n v="118.42"/>
    <s v="Profit"/>
    <x v="0"/>
    <n v="8"/>
    <n v="2"/>
    <s v="0-15"/>
    <s v="No"/>
    <n v="0"/>
    <s v="Healthy"/>
    <n v="0"/>
  </r>
  <r>
    <n v="101741"/>
    <d v="2025-10-22T00:00:00"/>
    <n v="1103"/>
    <x v="0"/>
    <x v="6"/>
    <x v="3"/>
    <x v="1"/>
    <x v="2"/>
    <s v="UPI"/>
    <n v="26.06"/>
    <n v="15.04"/>
    <x v="2"/>
    <n v="39.19"/>
    <n v="352.75"/>
    <n v="203.49"/>
    <n v="5.94"/>
    <n v="2.74"/>
    <n v="9.0399999999999991"/>
    <n v="0"/>
    <n v="0"/>
    <n v="221.21"/>
    <n v="131.54"/>
    <s v="Profit"/>
    <x v="0"/>
    <n v="4"/>
    <n v="12"/>
    <s v="0-15"/>
    <s v="No"/>
    <n v="0"/>
    <s v="Healthy"/>
    <n v="0"/>
  </r>
  <r>
    <n v="101742"/>
    <d v="2025-11-27T00:00:00"/>
    <n v="1148"/>
    <x v="2"/>
    <x v="9"/>
    <x v="2"/>
    <x v="3"/>
    <x v="1"/>
    <s v="Card"/>
    <n v="4.24"/>
    <n v="14.14"/>
    <x v="4"/>
    <n v="3"/>
    <n v="56.95"/>
    <n v="31.73"/>
    <n v="2.93"/>
    <n v="0.9"/>
    <n v="4.32"/>
    <n v="58.81"/>
    <n v="12.49"/>
    <n v="111.18"/>
    <n v="-54.23"/>
    <s v="Loss"/>
    <x v="1"/>
    <n v="28"/>
    <n v="0"/>
    <s v="16-30"/>
    <s v="Yes"/>
    <n v="1"/>
    <s v="At Risk"/>
    <n v="1"/>
  </r>
  <r>
    <n v="101743"/>
    <d v="2025-11-09T00:00:00"/>
    <n v="1040"/>
    <x v="3"/>
    <x v="7"/>
    <x v="0"/>
    <x v="3"/>
    <x v="0"/>
    <s v="Fleet_Invoice"/>
    <n v="11.74"/>
    <n v="12.74"/>
    <x v="3"/>
    <n v="0"/>
    <n v="149.57"/>
    <n v="84.99"/>
    <n v="13.11"/>
    <n v="0.6"/>
    <n v="1.18"/>
    <n v="0"/>
    <n v="0"/>
    <n v="99.88"/>
    <n v="49.69"/>
    <s v="Profit"/>
    <x v="0"/>
    <n v="8"/>
    <n v="28"/>
    <s v="0-15"/>
    <s v="Yes"/>
    <n v="1"/>
    <s v="At Risk"/>
    <n v="1"/>
  </r>
  <r>
    <n v="101744"/>
    <d v="2025-12-06T00:00:00"/>
    <n v="1122"/>
    <x v="1"/>
    <x v="4"/>
    <x v="2"/>
    <x v="1"/>
    <x v="0"/>
    <s v="UPI"/>
    <n v="27.17"/>
    <n v="15.2"/>
    <x v="2"/>
    <n v="41.3"/>
    <n v="371.68"/>
    <n v="204.06"/>
    <n v="5.28"/>
    <n v="2.89"/>
    <n v="3.85"/>
    <n v="0"/>
    <n v="0"/>
    <n v="216.08"/>
    <n v="155.6"/>
    <s v="Profit"/>
    <x v="0"/>
    <n v="0"/>
    <n v="18"/>
    <s v="0-15"/>
    <s v="Yes"/>
    <n v="1"/>
    <s v="At Risk"/>
    <n v="1"/>
  </r>
  <r>
    <n v="101745"/>
    <d v="2025-12-27T00:00:00"/>
    <n v="1149"/>
    <x v="2"/>
    <x v="5"/>
    <x v="3"/>
    <x v="3"/>
    <x v="1"/>
    <s v="UPI"/>
    <n v="15.4"/>
    <n v="11.17"/>
    <x v="3"/>
    <n v="0"/>
    <n v="172.02"/>
    <n v="137.38"/>
    <n v="10.87"/>
    <n v="1.2"/>
    <n v="0.47"/>
    <n v="0"/>
    <n v="0"/>
    <n v="149.91999999999999"/>
    <n v="22.1"/>
    <s v="Profit"/>
    <x v="0"/>
    <n v="19"/>
    <n v="1"/>
    <s v="16-30"/>
    <s v="No"/>
    <n v="0"/>
    <s v="Healthy"/>
    <n v="0"/>
  </r>
  <r>
    <n v="101746"/>
    <d v="2025-12-23T00:00:00"/>
    <n v="1027"/>
    <x v="1"/>
    <x v="4"/>
    <x v="0"/>
    <x v="3"/>
    <x v="2"/>
    <s v="Card"/>
    <n v="15.28"/>
    <n v="12.83"/>
    <x v="0"/>
    <n v="29.41"/>
    <n v="166.63"/>
    <n v="83.97"/>
    <n v="6.36"/>
    <n v="2.94"/>
    <n v="5.83"/>
    <n v="0"/>
    <n v="0"/>
    <n v="99.1"/>
    <n v="67.53"/>
    <s v="Profit"/>
    <x v="0"/>
    <n v="0"/>
    <n v="5"/>
    <s v="0-15"/>
    <s v="No"/>
    <n v="0"/>
    <s v="Healthy"/>
    <n v="0"/>
  </r>
  <r>
    <n v="101747"/>
    <d v="2025-10-21T00:00:00"/>
    <n v="1026"/>
    <x v="2"/>
    <x v="5"/>
    <x v="2"/>
    <x v="3"/>
    <x v="0"/>
    <s v="Card"/>
    <n v="18.22"/>
    <n v="11.76"/>
    <x v="4"/>
    <n v="10.71"/>
    <n v="203.56"/>
    <n v="129.78"/>
    <n v="3.61"/>
    <n v="3.21"/>
    <n v="3.08"/>
    <n v="128.68"/>
    <n v="0"/>
    <n v="268.36"/>
    <n v="-64.8"/>
    <s v="Loss"/>
    <x v="2"/>
    <n v="7"/>
    <n v="1"/>
    <s v="0-15"/>
    <s v="No"/>
    <n v="1"/>
    <s v="At Risk"/>
    <n v="0"/>
  </r>
  <r>
    <n v="101748"/>
    <d v="2025-10-24T00:00:00"/>
    <n v="1038"/>
    <x v="1"/>
    <x v="13"/>
    <x v="1"/>
    <x v="3"/>
    <x v="0"/>
    <s v="Fleet_Invoice"/>
    <n v="17.77"/>
    <n v="12.41"/>
    <x v="2"/>
    <n v="22.05"/>
    <n v="198.48"/>
    <n v="155.43"/>
    <n v="10.94"/>
    <n v="0.88"/>
    <n v="0.66"/>
    <n v="0"/>
    <n v="0"/>
    <n v="167.91"/>
    <n v="30.57"/>
    <s v="Profit"/>
    <x v="0"/>
    <n v="19"/>
    <n v="17"/>
    <s v="16-30"/>
    <s v="Yes"/>
    <n v="3"/>
    <s v="At Risk"/>
    <n v="1"/>
  </r>
  <r>
    <n v="101749"/>
    <d v="2025-10-02T00:00:00"/>
    <n v="1024"/>
    <x v="0"/>
    <x v="11"/>
    <x v="4"/>
    <x v="1"/>
    <x v="0"/>
    <s v="UPI"/>
    <n v="17.32"/>
    <n v="15.82"/>
    <x v="1"/>
    <n v="54.8"/>
    <n v="219.2"/>
    <n v="136.29"/>
    <n v="5.57"/>
    <n v="1.92"/>
    <n v="4.66"/>
    <n v="0"/>
    <n v="0"/>
    <n v="148.44"/>
    <n v="70.760000000000005"/>
    <s v="Profit"/>
    <x v="0"/>
    <n v="11"/>
    <n v="5"/>
    <s v="0-15"/>
    <s v="No"/>
    <n v="0"/>
    <s v="Healthy"/>
    <n v="0"/>
  </r>
  <r>
    <n v="101750"/>
    <d v="2025-11-12T00:00:00"/>
    <n v="1028"/>
    <x v="2"/>
    <x v="10"/>
    <x v="1"/>
    <x v="1"/>
    <x v="0"/>
    <s v="Fleet_Invoice"/>
    <n v="28.37"/>
    <n v="14.64"/>
    <x v="4"/>
    <n v="20.77"/>
    <n v="394.57"/>
    <n v="198.48"/>
    <n v="9.61"/>
    <n v="1.66"/>
    <n v="14.08"/>
    <n v="0"/>
    <n v="0"/>
    <n v="223.83"/>
    <n v="170.74"/>
    <s v="Profit"/>
    <x v="0"/>
    <n v="4"/>
    <n v="2"/>
    <s v="0-15"/>
    <s v="No"/>
    <n v="0"/>
    <s v="Healthy"/>
    <n v="0"/>
  </r>
  <r>
    <n v="101751"/>
    <d v="2025-10-09T00:00:00"/>
    <n v="1142"/>
    <x v="0"/>
    <x v="1"/>
    <x v="2"/>
    <x v="3"/>
    <x v="1"/>
    <s v="UPI"/>
    <n v="25.2"/>
    <n v="12.2"/>
    <x v="2"/>
    <n v="30.74"/>
    <n v="276.7"/>
    <n v="194.38"/>
    <n v="6.63"/>
    <n v="2.15"/>
    <n v="15.23"/>
    <n v="0"/>
    <n v="0"/>
    <n v="218.39"/>
    <n v="58.31"/>
    <s v="Profit"/>
    <x v="0"/>
    <n v="10"/>
    <n v="0"/>
    <s v="0-15"/>
    <s v="No"/>
    <n v="0"/>
    <s v="Healthy"/>
    <n v="0"/>
  </r>
  <r>
    <n v="101752"/>
    <d v="2025-12-21T00:00:00"/>
    <n v="1079"/>
    <x v="1"/>
    <x v="3"/>
    <x v="0"/>
    <x v="0"/>
    <x v="0"/>
    <s v="UPI"/>
    <n v="35.450000000000003"/>
    <n v="19.8"/>
    <x v="0"/>
    <n v="105.29"/>
    <n v="596.62"/>
    <n v="265.26"/>
    <n v="5.12"/>
    <n v="4.91"/>
    <n v="0"/>
    <n v="0"/>
    <n v="0"/>
    <n v="275.29000000000002"/>
    <n v="321.33"/>
    <s v="Profit"/>
    <x v="0"/>
    <n v="22"/>
    <n v="26"/>
    <s v="16-30"/>
    <s v="Yes"/>
    <n v="2"/>
    <s v="At Risk"/>
    <n v="1"/>
  </r>
  <r>
    <n v="101753"/>
    <d v="2025-11-23T00:00:00"/>
    <n v="1114"/>
    <x v="1"/>
    <x v="2"/>
    <x v="4"/>
    <x v="3"/>
    <x v="2"/>
    <s v="UPI"/>
    <n v="34.93"/>
    <n v="12.51"/>
    <x v="4"/>
    <n v="21.85"/>
    <n v="415.12"/>
    <n v="268.45999999999998"/>
    <n v="10.08"/>
    <n v="3.06"/>
    <n v="2.11"/>
    <n v="0"/>
    <n v="0"/>
    <n v="283.70999999999998"/>
    <n v="131.41"/>
    <s v="Profit"/>
    <x v="0"/>
    <n v="3"/>
    <n v="3"/>
    <s v="0-15"/>
    <s v="No"/>
    <n v="0"/>
    <s v="Healthy"/>
    <n v="0"/>
  </r>
  <r>
    <n v="101754"/>
    <d v="2025-12-10T00:00:00"/>
    <n v="1050"/>
    <x v="1"/>
    <x v="13"/>
    <x v="1"/>
    <x v="1"/>
    <x v="0"/>
    <s v="UPI"/>
    <n v="17.309999999999999"/>
    <n v="17.3"/>
    <x v="2"/>
    <n v="29.95"/>
    <n v="269.51"/>
    <n v="129.47999999999999"/>
    <n v="5.86"/>
    <n v="2.1"/>
    <n v="7.41"/>
    <n v="148.99"/>
    <n v="0"/>
    <n v="293.83999999999997"/>
    <n v="-24.33"/>
    <s v="Loss"/>
    <x v="1"/>
    <n v="12"/>
    <n v="2"/>
    <s v="0-15"/>
    <s v="Yes"/>
    <n v="2"/>
    <s v="At Risk"/>
    <n v="1"/>
  </r>
  <r>
    <n v="101755"/>
    <d v="2025-11-19T00:00:00"/>
    <n v="1117"/>
    <x v="2"/>
    <x v="5"/>
    <x v="1"/>
    <x v="0"/>
    <x v="2"/>
    <s v="UPI"/>
    <n v="18.41"/>
    <n v="19.32"/>
    <x v="3"/>
    <n v="0"/>
    <n v="355.68"/>
    <n v="139.03"/>
    <n v="8.2200000000000006"/>
    <n v="2.4900000000000002"/>
    <n v="4.2300000000000004"/>
    <n v="0"/>
    <n v="0"/>
    <n v="153.97"/>
    <n v="201.71"/>
    <s v="Profit"/>
    <x v="0"/>
    <n v="0"/>
    <n v="0"/>
    <s v="0-15"/>
    <s v="No"/>
    <n v="0"/>
    <s v="Healthy"/>
    <n v="0"/>
  </r>
  <r>
    <n v="101756"/>
    <d v="2025-12-05T00:00:00"/>
    <n v="1035"/>
    <x v="0"/>
    <x v="0"/>
    <x v="4"/>
    <x v="3"/>
    <x v="2"/>
    <s v="UPI"/>
    <n v="12.24"/>
    <n v="13.52"/>
    <x v="2"/>
    <n v="16.55"/>
    <n v="148.93"/>
    <n v="72.47"/>
    <n v="10.27"/>
    <n v="1.1599999999999999"/>
    <n v="8.51"/>
    <n v="0"/>
    <n v="0"/>
    <n v="92.41"/>
    <n v="56.52"/>
    <s v="Profit"/>
    <x v="0"/>
    <n v="5"/>
    <n v="13"/>
    <s v="0-15"/>
    <s v="No"/>
    <n v="0"/>
    <s v="Healthy"/>
    <n v="0"/>
  </r>
  <r>
    <n v="101757"/>
    <d v="2025-10-06T00:00:00"/>
    <n v="1068"/>
    <x v="2"/>
    <x v="10"/>
    <x v="4"/>
    <x v="0"/>
    <x v="0"/>
    <s v="UPI"/>
    <n v="34.950000000000003"/>
    <n v="19.559999999999999"/>
    <x v="3"/>
    <n v="0"/>
    <n v="683.62"/>
    <n v="262.49"/>
    <n v="5.21"/>
    <n v="4.79"/>
    <n v="0"/>
    <n v="0"/>
    <n v="0"/>
    <n v="272.49"/>
    <n v="411.13"/>
    <s v="Profit"/>
    <x v="0"/>
    <n v="20"/>
    <n v="1"/>
    <s v="16-30"/>
    <s v="No"/>
    <n v="0"/>
    <s v="Healthy"/>
    <n v="0"/>
  </r>
  <r>
    <n v="101758"/>
    <d v="2025-12-12T00:00:00"/>
    <n v="1033"/>
    <x v="2"/>
    <x v="5"/>
    <x v="4"/>
    <x v="3"/>
    <x v="2"/>
    <s v="Fleet_Invoice"/>
    <n v="7.14"/>
    <n v="12.33"/>
    <x v="4"/>
    <n v="4.4000000000000004"/>
    <n v="83.64"/>
    <n v="46.01"/>
    <n v="3.98"/>
    <n v="0.35"/>
    <n v="2.34"/>
    <n v="0"/>
    <n v="0"/>
    <n v="52.68"/>
    <n v="30.96"/>
    <s v="Profit"/>
    <x v="0"/>
    <n v="3"/>
    <n v="2"/>
    <s v="0-15"/>
    <s v="No"/>
    <n v="0"/>
    <s v="Healthy"/>
    <n v="0"/>
  </r>
  <r>
    <n v="101759"/>
    <d v="2025-10-07T00:00:00"/>
    <n v="1016"/>
    <x v="1"/>
    <x v="4"/>
    <x v="3"/>
    <x v="3"/>
    <x v="0"/>
    <s v="Wallet"/>
    <n v="23.88"/>
    <n v="12.68"/>
    <x v="4"/>
    <n v="15.14"/>
    <n v="287.66000000000003"/>
    <n v="174.57"/>
    <n v="9.39"/>
    <n v="3.63"/>
    <n v="6.09"/>
    <n v="0"/>
    <n v="0"/>
    <n v="193.68"/>
    <n v="93.98"/>
    <s v="Profit"/>
    <x v="0"/>
    <n v="2"/>
    <n v="3"/>
    <s v="0-15"/>
    <s v="No"/>
    <n v="0"/>
    <s v="Healthy"/>
    <n v="0"/>
  </r>
  <r>
    <n v="101760"/>
    <d v="2025-11-30T00:00:00"/>
    <n v="1128"/>
    <x v="2"/>
    <x v="5"/>
    <x v="3"/>
    <x v="2"/>
    <x v="0"/>
    <s v="UPI"/>
    <n v="28.92"/>
    <n v="16.829999999999998"/>
    <x v="3"/>
    <n v="0"/>
    <n v="486.72"/>
    <n v="190.14"/>
    <n v="6.64"/>
    <n v="3.41"/>
    <n v="2.98"/>
    <n v="0"/>
    <n v="0"/>
    <n v="203.17"/>
    <n v="283.55"/>
    <s v="Profit"/>
    <x v="0"/>
    <n v="0"/>
    <n v="9"/>
    <s v="0-15"/>
    <s v="No"/>
    <n v="0"/>
    <s v="Healthy"/>
    <n v="0"/>
  </r>
  <r>
    <n v="101761"/>
    <d v="2025-10-04T00:00:00"/>
    <n v="1059"/>
    <x v="3"/>
    <x v="14"/>
    <x v="0"/>
    <x v="3"/>
    <x v="1"/>
    <s v="Card"/>
    <n v="25.92"/>
    <n v="12.38"/>
    <x v="4"/>
    <n v="16.04"/>
    <n v="304.85000000000002"/>
    <n v="190.61"/>
    <n v="8.42"/>
    <n v="4.8099999999999996"/>
    <n v="3.25"/>
    <n v="0"/>
    <n v="0"/>
    <n v="207.09"/>
    <n v="97.76"/>
    <s v="Profit"/>
    <x v="0"/>
    <n v="4"/>
    <n v="2"/>
    <s v="0-15"/>
    <s v="No"/>
    <n v="0"/>
    <s v="Healthy"/>
    <n v="0"/>
  </r>
  <r>
    <n v="101762"/>
    <d v="2025-11-28T00:00:00"/>
    <n v="1038"/>
    <x v="1"/>
    <x v="13"/>
    <x v="3"/>
    <x v="1"/>
    <x v="0"/>
    <s v="Card"/>
    <n v="29"/>
    <n v="15.75"/>
    <x v="2"/>
    <n v="45.68"/>
    <n v="411.07"/>
    <n v="205.36"/>
    <n v="8.31"/>
    <n v="6.85"/>
    <n v="5.0599999999999996"/>
    <n v="0"/>
    <n v="0"/>
    <n v="225.58"/>
    <n v="185.49"/>
    <s v="Profit"/>
    <x v="0"/>
    <n v="16"/>
    <n v="7"/>
    <s v="16-30"/>
    <s v="No"/>
    <n v="0"/>
    <s v="Healthy"/>
    <n v="0"/>
  </r>
  <r>
    <n v="101763"/>
    <d v="2025-11-04T00:00:00"/>
    <n v="1105"/>
    <x v="0"/>
    <x v="1"/>
    <x v="3"/>
    <x v="3"/>
    <x v="0"/>
    <s v="Wallet"/>
    <n v="22.04"/>
    <n v="12.75"/>
    <x v="3"/>
    <n v="0"/>
    <n v="281.01"/>
    <n v="155.35"/>
    <n v="8.98"/>
    <n v="3.37"/>
    <n v="4.45"/>
    <n v="107.53"/>
    <n v="0"/>
    <n v="279.68"/>
    <n v="1.33"/>
    <s v="Profit"/>
    <x v="2"/>
    <n v="1"/>
    <n v="12"/>
    <s v="0-15"/>
    <s v="No"/>
    <n v="3"/>
    <s v="At Risk"/>
    <n v="0"/>
  </r>
  <r>
    <n v="101764"/>
    <d v="2025-12-13T00:00:00"/>
    <n v="1122"/>
    <x v="1"/>
    <x v="13"/>
    <x v="2"/>
    <x v="3"/>
    <x v="1"/>
    <s v="Wallet"/>
    <n v="24.84"/>
    <n v="12.54"/>
    <x v="3"/>
    <n v="0"/>
    <n v="311.49"/>
    <n v="169.61"/>
    <n v="12.16"/>
    <n v="3.74"/>
    <n v="12.36"/>
    <n v="0"/>
    <n v="0"/>
    <n v="197.87"/>
    <n v="113.62"/>
    <s v="Profit"/>
    <x v="0"/>
    <n v="6"/>
    <n v="2"/>
    <s v="0-15"/>
    <s v="No"/>
    <n v="0"/>
    <s v="Healthy"/>
    <n v="0"/>
  </r>
  <r>
    <n v="101765"/>
    <d v="2025-12-20T00:00:00"/>
    <n v="1055"/>
    <x v="1"/>
    <x v="2"/>
    <x v="4"/>
    <x v="2"/>
    <x v="2"/>
    <s v="UPI"/>
    <n v="29.7"/>
    <n v="17.23"/>
    <x v="4"/>
    <n v="25.59"/>
    <n v="486.14"/>
    <n v="241.63"/>
    <n v="9.27"/>
    <n v="3.58"/>
    <n v="7.39"/>
    <n v="324.75"/>
    <n v="9.74"/>
    <n v="596.36"/>
    <n v="-110.22"/>
    <s v="Loss"/>
    <x v="1"/>
    <n v="0"/>
    <n v="1"/>
    <s v="0-15"/>
    <s v="Yes"/>
    <n v="1"/>
    <s v="At Risk"/>
    <n v="1"/>
  </r>
  <r>
    <n v="101766"/>
    <d v="2025-12-13T00:00:00"/>
    <n v="1096"/>
    <x v="2"/>
    <x v="10"/>
    <x v="1"/>
    <x v="0"/>
    <x v="2"/>
    <s v="UPI"/>
    <n v="39.26"/>
    <n v="18.2"/>
    <x v="4"/>
    <n v="35.729999999999997"/>
    <n v="678.8"/>
    <n v="261.27999999999997"/>
    <n v="7.95"/>
    <n v="5"/>
    <n v="6.41"/>
    <n v="258.64"/>
    <n v="9.49"/>
    <n v="548.77"/>
    <n v="130.03"/>
    <s v="Profit"/>
    <x v="1"/>
    <n v="21"/>
    <n v="26"/>
    <s v="16-30"/>
    <s v="Yes"/>
    <n v="2"/>
    <s v="At Risk"/>
    <n v="1"/>
  </r>
  <r>
    <n v="101767"/>
    <d v="2025-10-17T00:00:00"/>
    <n v="1138"/>
    <x v="2"/>
    <x v="12"/>
    <x v="0"/>
    <x v="3"/>
    <x v="2"/>
    <s v="UPI"/>
    <n v="19.46"/>
    <n v="15.51"/>
    <x v="3"/>
    <n v="0"/>
    <n v="301.82"/>
    <n v="152.65"/>
    <n v="4.8099999999999996"/>
    <n v="2.11"/>
    <n v="5.5"/>
    <n v="0"/>
    <n v="0"/>
    <n v="165.07"/>
    <n v="136.75"/>
    <s v="Profit"/>
    <x v="0"/>
    <n v="1"/>
    <n v="17"/>
    <s v="0-15"/>
    <s v="Yes"/>
    <n v="2"/>
    <s v="At Risk"/>
    <n v="1"/>
  </r>
  <r>
    <n v="101768"/>
    <d v="2025-11-09T00:00:00"/>
    <n v="1065"/>
    <x v="1"/>
    <x v="13"/>
    <x v="1"/>
    <x v="1"/>
    <x v="0"/>
    <s v="UPI"/>
    <n v="18.89"/>
    <n v="15.91"/>
    <x v="3"/>
    <n v="0"/>
    <n v="300.54000000000002"/>
    <n v="127.78"/>
    <n v="7.29"/>
    <n v="2.1"/>
    <n v="7.5"/>
    <n v="140.77000000000001"/>
    <n v="0"/>
    <n v="285.44"/>
    <n v="15.1"/>
    <s v="Profit"/>
    <x v="2"/>
    <n v="51"/>
    <n v="49"/>
    <s v="30+"/>
    <s v="Yes"/>
    <n v="1"/>
    <s v="At Risk"/>
    <n v="1"/>
  </r>
  <r>
    <n v="101769"/>
    <d v="2025-11-03T00:00:00"/>
    <n v="1003"/>
    <x v="3"/>
    <x v="14"/>
    <x v="0"/>
    <x v="3"/>
    <x v="1"/>
    <s v="UPI"/>
    <n v="6.17"/>
    <n v="11.7"/>
    <x v="0"/>
    <n v="10.83"/>
    <n v="61.36"/>
    <n v="48.89"/>
    <n v="5.97"/>
    <n v="0.51"/>
    <n v="8.41"/>
    <n v="0"/>
    <n v="0"/>
    <n v="63.78"/>
    <n v="-2.42"/>
    <s v="Loss"/>
    <x v="0"/>
    <n v="0"/>
    <n v="3"/>
    <s v="0-15"/>
    <s v="No"/>
    <n v="0"/>
    <s v="Healthy"/>
    <n v="0"/>
  </r>
  <r>
    <n v="101770"/>
    <d v="2025-12-12T00:00:00"/>
    <n v="1120"/>
    <x v="3"/>
    <x v="8"/>
    <x v="3"/>
    <x v="0"/>
    <x v="1"/>
    <s v="UPI"/>
    <n v="25.02"/>
    <n v="18.98"/>
    <x v="2"/>
    <n v="47.49"/>
    <n v="427.39"/>
    <n v="215.91"/>
    <n v="12.21"/>
    <n v="3.32"/>
    <n v="0"/>
    <n v="0"/>
    <n v="0"/>
    <n v="231.44"/>
    <n v="195.95"/>
    <s v="Profit"/>
    <x v="0"/>
    <n v="7"/>
    <n v="7"/>
    <s v="0-15"/>
    <s v="No"/>
    <n v="0"/>
    <s v="Healthy"/>
    <n v="0"/>
  </r>
  <r>
    <n v="101771"/>
    <d v="2025-12-17T00:00:00"/>
    <n v="1131"/>
    <x v="1"/>
    <x v="3"/>
    <x v="4"/>
    <x v="1"/>
    <x v="1"/>
    <s v="UPI"/>
    <n v="20.63"/>
    <n v="15.85"/>
    <x v="0"/>
    <n v="49.05"/>
    <n v="277.94"/>
    <n v="110.19"/>
    <n v="13.16"/>
    <n v="2.29"/>
    <n v="5.46"/>
    <n v="0"/>
    <n v="0"/>
    <n v="131.1"/>
    <n v="146.84"/>
    <s v="Profit"/>
    <x v="0"/>
    <n v="2"/>
    <n v="24"/>
    <s v="0-15"/>
    <s v="Yes"/>
    <n v="2"/>
    <s v="At Risk"/>
    <n v="1"/>
  </r>
  <r>
    <n v="101772"/>
    <d v="2025-10-15T00:00:00"/>
    <n v="1122"/>
    <x v="1"/>
    <x v="4"/>
    <x v="0"/>
    <x v="1"/>
    <x v="0"/>
    <s v="UPI"/>
    <n v="21.39"/>
    <n v="17.64"/>
    <x v="3"/>
    <n v="0"/>
    <n v="377.32"/>
    <n v="165.35"/>
    <n v="7.08"/>
    <n v="2.64"/>
    <n v="1.42"/>
    <n v="0"/>
    <n v="0"/>
    <n v="176.49"/>
    <n v="200.83"/>
    <s v="Profit"/>
    <x v="0"/>
    <n v="19"/>
    <n v="5"/>
    <s v="16-30"/>
    <s v="No"/>
    <n v="1"/>
    <s v="Healthy"/>
    <n v="0"/>
  </r>
  <r>
    <n v="101773"/>
    <d v="2025-10-17T00:00:00"/>
    <n v="1003"/>
    <x v="3"/>
    <x v="15"/>
    <x v="1"/>
    <x v="3"/>
    <x v="2"/>
    <s v="UPI"/>
    <n v="18.43"/>
    <n v="12.41"/>
    <x v="1"/>
    <n v="45.74"/>
    <n v="182.98"/>
    <n v="155.1"/>
    <n v="10.63"/>
    <n v="1.6"/>
    <n v="8.93"/>
    <n v="0"/>
    <n v="0"/>
    <n v="176.26"/>
    <n v="6.72"/>
    <s v="Profit"/>
    <x v="0"/>
    <n v="30"/>
    <n v="7"/>
    <s v="16-30"/>
    <s v="Yes"/>
    <n v="1"/>
    <s v="At Risk"/>
    <n v="1"/>
  </r>
  <r>
    <n v="101774"/>
    <d v="2025-10-19T00:00:00"/>
    <n v="1140"/>
    <x v="2"/>
    <x v="9"/>
    <x v="1"/>
    <x v="3"/>
    <x v="1"/>
    <s v="Card"/>
    <n v="25.39"/>
    <n v="11.59"/>
    <x v="2"/>
    <n v="29.43"/>
    <n v="264.83999999999997"/>
    <n v="198.8"/>
    <n v="11.68"/>
    <n v="4.41"/>
    <n v="9.8000000000000007"/>
    <n v="0"/>
    <n v="0"/>
    <n v="224.69"/>
    <n v="40.15"/>
    <s v="Profit"/>
    <x v="0"/>
    <n v="9"/>
    <n v="3"/>
    <s v="0-15"/>
    <s v="No"/>
    <n v="0"/>
    <s v="Healthy"/>
    <n v="0"/>
  </r>
  <r>
    <n v="101775"/>
    <d v="2025-10-12T00:00:00"/>
    <n v="1111"/>
    <x v="1"/>
    <x v="4"/>
    <x v="0"/>
    <x v="1"/>
    <x v="1"/>
    <s v="Card"/>
    <n v="29.98"/>
    <n v="15.77"/>
    <x v="3"/>
    <n v="0"/>
    <n v="472.78"/>
    <n v="261.97000000000003"/>
    <n v="8.5"/>
    <n v="7.09"/>
    <n v="3.25"/>
    <n v="0"/>
    <n v="0"/>
    <n v="280.81"/>
    <n v="191.97"/>
    <s v="Profit"/>
    <x v="0"/>
    <n v="1"/>
    <n v="1"/>
    <s v="0-15"/>
    <s v="No"/>
    <n v="0"/>
    <s v="Healthy"/>
    <n v="0"/>
  </r>
  <r>
    <n v="101776"/>
    <d v="2025-10-07T00:00:00"/>
    <n v="1039"/>
    <x v="0"/>
    <x v="0"/>
    <x v="1"/>
    <x v="3"/>
    <x v="2"/>
    <s v="UPI"/>
    <n v="10.5"/>
    <n v="11.51"/>
    <x v="1"/>
    <n v="24.17"/>
    <n v="96.69"/>
    <n v="84.74"/>
    <n v="4.12"/>
    <n v="0.85"/>
    <n v="7.62"/>
    <n v="0"/>
    <n v="0"/>
    <n v="97.33"/>
    <n v="-0.64"/>
    <s v="Loss"/>
    <x v="0"/>
    <n v="1"/>
    <n v="0"/>
    <s v="0-15"/>
    <s v="No"/>
    <n v="0"/>
    <s v="Healthy"/>
    <n v="0"/>
  </r>
  <r>
    <n v="101777"/>
    <d v="2025-11-27T00:00:00"/>
    <n v="1001"/>
    <x v="2"/>
    <x v="9"/>
    <x v="1"/>
    <x v="0"/>
    <x v="0"/>
    <s v="UPI"/>
    <n v="26.9"/>
    <n v="18.87"/>
    <x v="1"/>
    <n v="101.52"/>
    <n v="406.08"/>
    <n v="175.01"/>
    <n v="11.56"/>
    <n v="3.55"/>
    <n v="12.26"/>
    <n v="0"/>
    <n v="0"/>
    <n v="202.38"/>
    <n v="203.7"/>
    <s v="Profit"/>
    <x v="0"/>
    <n v="24"/>
    <n v="0"/>
    <s v="16-30"/>
    <s v="Yes"/>
    <n v="2"/>
    <s v="At Risk"/>
    <n v="1"/>
  </r>
  <r>
    <n v="101778"/>
    <d v="2025-12-12T00:00:00"/>
    <n v="1091"/>
    <x v="0"/>
    <x v="6"/>
    <x v="3"/>
    <x v="2"/>
    <x v="0"/>
    <s v="Card"/>
    <n v="25.79"/>
    <n v="17.98"/>
    <x v="4"/>
    <n v="23.18"/>
    <n v="440.52"/>
    <n v="221.92"/>
    <n v="10.96"/>
    <n v="6.96"/>
    <n v="2.2999999999999998"/>
    <n v="0"/>
    <n v="0"/>
    <n v="242.14"/>
    <n v="198.38"/>
    <s v="Profit"/>
    <x v="0"/>
    <n v="3"/>
    <n v="3"/>
    <s v="0-15"/>
    <s v="No"/>
    <n v="0"/>
    <s v="Healthy"/>
    <n v="0"/>
  </r>
  <r>
    <n v="101779"/>
    <d v="2025-11-28T00:00:00"/>
    <n v="1030"/>
    <x v="2"/>
    <x v="9"/>
    <x v="3"/>
    <x v="1"/>
    <x v="0"/>
    <s v="Fleet_Invoice"/>
    <n v="31.19"/>
    <n v="15.72"/>
    <x v="0"/>
    <n v="73.55"/>
    <n v="416.76"/>
    <n v="178.53"/>
    <n v="5.89"/>
    <n v="1.96"/>
    <n v="8.15"/>
    <n v="0"/>
    <n v="0"/>
    <n v="194.53"/>
    <n v="222.23"/>
    <s v="Profit"/>
    <x v="0"/>
    <n v="1"/>
    <n v="3"/>
    <s v="0-15"/>
    <s v="No"/>
    <n v="0"/>
    <s v="Healthy"/>
    <n v="0"/>
  </r>
  <r>
    <n v="101780"/>
    <d v="2025-12-21T00:00:00"/>
    <n v="1085"/>
    <x v="1"/>
    <x v="13"/>
    <x v="4"/>
    <x v="3"/>
    <x v="1"/>
    <s v="UPI"/>
    <n v="18.489999999999998"/>
    <n v="13.17"/>
    <x v="0"/>
    <n v="36.53"/>
    <n v="206.98"/>
    <n v="129.37"/>
    <n v="4.3600000000000003"/>
    <n v="1.7"/>
    <n v="11.31"/>
    <n v="173.25"/>
    <n v="11.01"/>
    <n v="331"/>
    <n v="-124.02"/>
    <s v="Loss"/>
    <x v="2"/>
    <n v="3"/>
    <n v="3"/>
    <s v="0-15"/>
    <s v="No"/>
    <n v="1"/>
    <s v="At Risk"/>
    <n v="0"/>
  </r>
  <r>
    <n v="101781"/>
    <d v="2025-12-21T00:00:00"/>
    <n v="1115"/>
    <x v="1"/>
    <x v="13"/>
    <x v="2"/>
    <x v="3"/>
    <x v="0"/>
    <s v="Wallet"/>
    <n v="18.760000000000002"/>
    <n v="12.5"/>
    <x v="3"/>
    <n v="0"/>
    <n v="234.5"/>
    <n v="135.19"/>
    <n v="7.5"/>
    <n v="2.81"/>
    <n v="6"/>
    <n v="0"/>
    <n v="0"/>
    <n v="151.5"/>
    <n v="83"/>
    <s v="Profit"/>
    <x v="0"/>
    <n v="7"/>
    <n v="6"/>
    <s v="0-15"/>
    <s v="No"/>
    <n v="0"/>
    <s v="Healthy"/>
    <n v="0"/>
  </r>
  <r>
    <n v="101782"/>
    <d v="2025-11-10T00:00:00"/>
    <n v="1057"/>
    <x v="1"/>
    <x v="4"/>
    <x v="4"/>
    <x v="0"/>
    <x v="0"/>
    <s v="Fleet_Invoice"/>
    <n v="32.590000000000003"/>
    <n v="19.71"/>
    <x v="3"/>
    <n v="0"/>
    <n v="642.35"/>
    <n v="177.04"/>
    <n v="9.99"/>
    <n v="2.57"/>
    <n v="5.8"/>
    <n v="0"/>
    <n v="0"/>
    <n v="195.4"/>
    <n v="446.95"/>
    <s v="Profit"/>
    <x v="0"/>
    <n v="5"/>
    <n v="6"/>
    <s v="0-15"/>
    <s v="No"/>
    <n v="0"/>
    <s v="Healthy"/>
    <n v="0"/>
  </r>
  <r>
    <n v="101783"/>
    <d v="2025-11-01T00:00:00"/>
    <n v="1048"/>
    <x v="0"/>
    <x v="1"/>
    <x v="3"/>
    <x v="2"/>
    <x v="0"/>
    <s v="UPI"/>
    <n v="23.63"/>
    <n v="16.829999999999998"/>
    <x v="0"/>
    <n v="59.65"/>
    <n v="338.04"/>
    <n v="136.88"/>
    <n v="8.0299999999999994"/>
    <n v="2.78"/>
    <n v="10.88"/>
    <n v="0"/>
    <n v="0"/>
    <n v="158.57"/>
    <n v="179.47"/>
    <s v="Profit"/>
    <x v="0"/>
    <n v="19"/>
    <n v="9"/>
    <s v="16-30"/>
    <s v="No"/>
    <n v="0"/>
    <s v="Healthy"/>
    <n v="0"/>
  </r>
  <r>
    <n v="101784"/>
    <d v="2025-12-13T00:00:00"/>
    <n v="1060"/>
    <x v="1"/>
    <x v="3"/>
    <x v="4"/>
    <x v="3"/>
    <x v="2"/>
    <s v="Card"/>
    <n v="20.69"/>
    <n v="11.76"/>
    <x v="2"/>
    <n v="24.33"/>
    <n v="218.98"/>
    <n v="140.93"/>
    <n v="8.5299999999999994"/>
    <n v="3.65"/>
    <n v="10.14"/>
    <n v="0"/>
    <n v="0"/>
    <n v="163.25"/>
    <n v="55.73"/>
    <s v="Profit"/>
    <x v="0"/>
    <n v="2"/>
    <n v="6"/>
    <s v="0-15"/>
    <s v="No"/>
    <n v="2"/>
    <s v="Healthy"/>
    <n v="0"/>
  </r>
  <r>
    <n v="101785"/>
    <d v="2025-11-19T00:00:00"/>
    <n v="1086"/>
    <x v="2"/>
    <x v="5"/>
    <x v="0"/>
    <x v="0"/>
    <x v="0"/>
    <s v="Fleet_Invoice"/>
    <n v="35.799999999999997"/>
    <n v="19.3"/>
    <x v="2"/>
    <n v="69.09"/>
    <n v="621.85"/>
    <n v="259.39"/>
    <n v="7.15"/>
    <n v="2.76"/>
    <n v="14.59"/>
    <n v="0"/>
    <n v="0"/>
    <n v="283.89"/>
    <n v="337.96"/>
    <s v="Profit"/>
    <x v="0"/>
    <n v="4"/>
    <n v="9"/>
    <s v="0-15"/>
    <s v="No"/>
    <n v="1"/>
    <s v="Healthy"/>
    <n v="0"/>
  </r>
  <r>
    <n v="101786"/>
    <d v="2025-10-19T00:00:00"/>
    <n v="1012"/>
    <x v="0"/>
    <x v="6"/>
    <x v="2"/>
    <x v="3"/>
    <x v="0"/>
    <s v="Card"/>
    <n v="23.65"/>
    <n v="12.09"/>
    <x v="4"/>
    <n v="14.3"/>
    <n v="271.63"/>
    <n v="170.87"/>
    <n v="6.72"/>
    <n v="4.29"/>
    <n v="0.49"/>
    <n v="0"/>
    <n v="0"/>
    <n v="182.37"/>
    <n v="89.26"/>
    <s v="Profit"/>
    <x v="0"/>
    <n v="8"/>
    <n v="34"/>
    <s v="0-15"/>
    <s v="Yes"/>
    <n v="1"/>
    <s v="At Risk"/>
    <n v="1"/>
  </r>
  <r>
    <n v="101787"/>
    <d v="2025-12-30T00:00:00"/>
    <n v="1096"/>
    <x v="3"/>
    <x v="7"/>
    <x v="3"/>
    <x v="2"/>
    <x v="0"/>
    <s v="UPI"/>
    <n v="26.45"/>
    <n v="17.329999999999998"/>
    <x v="3"/>
    <n v="0"/>
    <n v="458.38"/>
    <n v="234.8"/>
    <n v="11.42"/>
    <n v="3.21"/>
    <n v="8.32"/>
    <n v="0"/>
    <n v="0"/>
    <n v="257.75"/>
    <n v="200.63"/>
    <s v="Profit"/>
    <x v="0"/>
    <n v="23"/>
    <n v="27"/>
    <s v="16-30"/>
    <s v="Yes"/>
    <n v="2"/>
    <s v="At Risk"/>
    <n v="1"/>
  </r>
  <r>
    <n v="101788"/>
    <d v="2025-11-05T00:00:00"/>
    <n v="1130"/>
    <x v="2"/>
    <x v="12"/>
    <x v="1"/>
    <x v="3"/>
    <x v="0"/>
    <s v="UPI"/>
    <n v="29.42"/>
    <n v="13.97"/>
    <x v="3"/>
    <n v="0"/>
    <n v="411"/>
    <n v="214.11"/>
    <n v="8.94"/>
    <n v="2.88"/>
    <n v="4.5599999999999996"/>
    <n v="0"/>
    <n v="0"/>
    <n v="230.49"/>
    <n v="180.51"/>
    <s v="Profit"/>
    <x v="0"/>
    <n v="18"/>
    <n v="3"/>
    <s v="16-30"/>
    <s v="No"/>
    <n v="0"/>
    <s v="Healthy"/>
    <n v="0"/>
  </r>
  <r>
    <n v="101789"/>
    <d v="2025-12-28T00:00:00"/>
    <n v="1001"/>
    <x v="2"/>
    <x v="9"/>
    <x v="2"/>
    <x v="3"/>
    <x v="0"/>
    <s v="UPI"/>
    <n v="17.66"/>
    <n v="11.78"/>
    <x v="0"/>
    <n v="31.2"/>
    <n v="176.83"/>
    <n v="143.66999999999999"/>
    <n v="6.41"/>
    <n v="1.46"/>
    <n v="6.92"/>
    <n v="0"/>
    <n v="0"/>
    <n v="158.46"/>
    <n v="18.37"/>
    <s v="Profit"/>
    <x v="0"/>
    <n v="0"/>
    <n v="2"/>
    <s v="0-15"/>
    <s v="No"/>
    <n v="0"/>
    <s v="Healthy"/>
    <n v="0"/>
  </r>
  <r>
    <n v="101790"/>
    <d v="2025-12-29T00:00:00"/>
    <n v="1059"/>
    <x v="3"/>
    <x v="15"/>
    <x v="1"/>
    <x v="0"/>
    <x v="1"/>
    <s v="Wallet"/>
    <n v="35.57"/>
    <n v="18.760000000000002"/>
    <x v="4"/>
    <n v="33.36"/>
    <n v="633.92999999999995"/>
    <n v="266.74"/>
    <n v="8.1999999999999993"/>
    <n v="8.01"/>
    <n v="4.3600000000000003"/>
    <n v="0"/>
    <n v="0"/>
    <n v="287.31"/>
    <n v="346.62"/>
    <s v="Profit"/>
    <x v="0"/>
    <n v="15"/>
    <n v="1"/>
    <s v="0-15"/>
    <s v="No"/>
    <n v="0"/>
    <s v="Healthy"/>
    <n v="0"/>
  </r>
  <r>
    <n v="101791"/>
    <d v="2025-11-02T00:00:00"/>
    <n v="1108"/>
    <x v="3"/>
    <x v="8"/>
    <x v="1"/>
    <x v="1"/>
    <x v="0"/>
    <s v="UPI"/>
    <n v="25.84"/>
    <n v="16.84"/>
    <x v="4"/>
    <n v="21.76"/>
    <n v="413.39"/>
    <n v="150.36000000000001"/>
    <n v="5.64"/>
    <n v="3.05"/>
    <n v="11.17"/>
    <n v="0"/>
    <n v="0"/>
    <n v="170.22"/>
    <n v="243.17"/>
    <s v="Profit"/>
    <x v="0"/>
    <n v="2"/>
    <n v="3"/>
    <s v="0-15"/>
    <s v="No"/>
    <n v="0"/>
    <s v="Healthy"/>
    <n v="0"/>
  </r>
  <r>
    <n v="101792"/>
    <d v="2025-11-24T00:00:00"/>
    <n v="1089"/>
    <x v="2"/>
    <x v="10"/>
    <x v="3"/>
    <x v="3"/>
    <x v="0"/>
    <s v="Wallet"/>
    <n v="31.06"/>
    <n v="13.23"/>
    <x v="3"/>
    <n v="0"/>
    <n v="410.92"/>
    <n v="240.27"/>
    <n v="8.42"/>
    <n v="4.93"/>
    <n v="7.45"/>
    <n v="0"/>
    <n v="0"/>
    <n v="261.07"/>
    <n v="149.85"/>
    <s v="Profit"/>
    <x v="0"/>
    <n v="4"/>
    <n v="9"/>
    <s v="0-15"/>
    <s v="No"/>
    <n v="0"/>
    <s v="Healthy"/>
    <n v="0"/>
  </r>
  <r>
    <n v="101793"/>
    <d v="2025-10-24T00:00:00"/>
    <n v="1106"/>
    <x v="0"/>
    <x v="6"/>
    <x v="4"/>
    <x v="0"/>
    <x v="0"/>
    <s v="Wallet"/>
    <n v="21.3"/>
    <n v="20.9"/>
    <x v="4"/>
    <n v="22.26"/>
    <n v="422.91"/>
    <n v="157.41"/>
    <n v="5.36"/>
    <n v="5.34"/>
    <n v="5.66"/>
    <n v="0"/>
    <n v="0"/>
    <n v="173.77"/>
    <n v="249.14"/>
    <s v="Profit"/>
    <x v="0"/>
    <n v="0"/>
    <n v="15"/>
    <s v="0-15"/>
    <s v="No"/>
    <n v="0"/>
    <s v="Healthy"/>
    <n v="0"/>
  </r>
  <r>
    <n v="101794"/>
    <d v="2025-10-21T00:00:00"/>
    <n v="1001"/>
    <x v="3"/>
    <x v="7"/>
    <x v="0"/>
    <x v="3"/>
    <x v="2"/>
    <s v="UPI"/>
    <n v="9.56"/>
    <n v="12.09"/>
    <x v="2"/>
    <n v="11.56"/>
    <n v="104.02"/>
    <n v="64.86"/>
    <n v="9.44"/>
    <n v="0.81"/>
    <n v="8.6"/>
    <n v="0"/>
    <n v="0"/>
    <n v="83.71"/>
    <n v="20.309999999999999"/>
    <s v="Profit"/>
    <x v="0"/>
    <n v="6"/>
    <n v="0"/>
    <s v="0-15"/>
    <s v="No"/>
    <n v="0"/>
    <s v="Healthy"/>
    <n v="0"/>
  </r>
  <r>
    <n v="101795"/>
    <d v="2025-12-31T00:00:00"/>
    <n v="1122"/>
    <x v="2"/>
    <x v="10"/>
    <x v="3"/>
    <x v="1"/>
    <x v="0"/>
    <s v="Card"/>
    <n v="42.76"/>
    <n v="15.53"/>
    <x v="4"/>
    <n v="33.200000000000003"/>
    <n v="630.86"/>
    <n v="295.57"/>
    <n v="11.3"/>
    <n v="9.9600000000000009"/>
    <n v="7.32"/>
    <n v="654.20000000000005"/>
    <n v="0"/>
    <n v="978.35"/>
    <n v="-347.49"/>
    <s v="Loss"/>
    <x v="1"/>
    <n v="8"/>
    <n v="0"/>
    <s v="0-15"/>
    <s v="Yes"/>
    <n v="1"/>
    <s v="At Risk"/>
    <n v="1"/>
  </r>
  <r>
    <n v="101796"/>
    <d v="2025-12-17T00:00:00"/>
    <n v="1104"/>
    <x v="0"/>
    <x v="6"/>
    <x v="2"/>
    <x v="0"/>
    <x v="2"/>
    <s v="UPI"/>
    <n v="41.81"/>
    <n v="18.22"/>
    <x v="4"/>
    <n v="38.090000000000003"/>
    <n v="723.69"/>
    <n v="237.72"/>
    <n v="6.1"/>
    <n v="5.33"/>
    <n v="2.31"/>
    <n v="0"/>
    <n v="0"/>
    <n v="251.46"/>
    <n v="472.23"/>
    <s v="Profit"/>
    <x v="0"/>
    <n v="13"/>
    <n v="2"/>
    <s v="0-15"/>
    <s v="No"/>
    <n v="0"/>
    <s v="Healthy"/>
    <n v="0"/>
  </r>
  <r>
    <n v="101797"/>
    <d v="2025-12-01T00:00:00"/>
    <n v="1141"/>
    <x v="2"/>
    <x v="5"/>
    <x v="0"/>
    <x v="2"/>
    <x v="0"/>
    <s v="UPI"/>
    <n v="21.93"/>
    <n v="17.27"/>
    <x v="4"/>
    <n v="18.940000000000001"/>
    <n v="359.79"/>
    <n v="158.36000000000001"/>
    <n v="1"/>
    <n v="2.65"/>
    <n v="15.57"/>
    <n v="0"/>
    <n v="0"/>
    <n v="177.58"/>
    <n v="182.21"/>
    <s v="Profit"/>
    <x v="0"/>
    <n v="24"/>
    <n v="10"/>
    <s v="16-30"/>
    <s v="Yes"/>
    <n v="1"/>
    <s v="At Risk"/>
    <n v="1"/>
  </r>
  <r>
    <n v="101798"/>
    <d v="2025-10-07T00:00:00"/>
    <n v="1095"/>
    <x v="2"/>
    <x v="12"/>
    <x v="1"/>
    <x v="3"/>
    <x v="1"/>
    <s v="UPI"/>
    <n v="16.07"/>
    <n v="12.26"/>
    <x v="2"/>
    <n v="19.7"/>
    <n v="177.32"/>
    <n v="120.41"/>
    <n v="4.29"/>
    <n v="1.38"/>
    <n v="4.71"/>
    <n v="0"/>
    <n v="0"/>
    <n v="130.79"/>
    <n v="46.53"/>
    <s v="Profit"/>
    <x v="0"/>
    <n v="7"/>
    <n v="3"/>
    <s v="0-15"/>
    <s v="No"/>
    <n v="0"/>
    <s v="Healthy"/>
    <n v="0"/>
  </r>
  <r>
    <n v="101799"/>
    <d v="2025-11-29T00:00:00"/>
    <n v="1136"/>
    <x v="0"/>
    <x v="0"/>
    <x v="4"/>
    <x v="3"/>
    <x v="0"/>
    <s v="UPI"/>
    <n v="9.99"/>
    <n v="12.93"/>
    <x v="3"/>
    <n v="0"/>
    <n v="129.16999999999999"/>
    <n v="79.91"/>
    <n v="7.48"/>
    <n v="0.9"/>
    <n v="4.8600000000000003"/>
    <n v="59.89"/>
    <n v="0"/>
    <n v="153.04"/>
    <n v="-23.87"/>
    <s v="Loss"/>
    <x v="2"/>
    <n v="7"/>
    <n v="2"/>
    <s v="0-15"/>
    <s v="No"/>
    <n v="3"/>
    <s v="At Risk"/>
    <n v="0"/>
  </r>
  <r>
    <n v="101800"/>
    <d v="2025-10-10T00:00:00"/>
    <n v="1069"/>
    <x v="1"/>
    <x v="4"/>
    <x v="3"/>
    <x v="0"/>
    <x v="0"/>
    <s v="UPI"/>
    <n v="33.28"/>
    <n v="19.600000000000001"/>
    <x v="2"/>
    <n v="65.23"/>
    <n v="587.05999999999995"/>
    <n v="271.68"/>
    <n v="3.08"/>
    <n v="4.57"/>
    <n v="4.5999999999999996"/>
    <n v="0"/>
    <n v="0"/>
    <n v="283.93"/>
    <n v="303.13"/>
    <s v="Profit"/>
    <x v="0"/>
    <n v="1"/>
    <n v="2"/>
    <s v="0-15"/>
    <s v="No"/>
    <n v="0"/>
    <s v="Healthy"/>
    <n v="0"/>
  </r>
  <r>
    <n v="101801"/>
    <d v="2025-10-14T00:00:00"/>
    <n v="1089"/>
    <x v="3"/>
    <x v="15"/>
    <x v="3"/>
    <x v="3"/>
    <x v="1"/>
    <s v="Wallet"/>
    <n v="16.61"/>
    <n v="12.98"/>
    <x v="3"/>
    <n v="0"/>
    <n v="215.6"/>
    <n v="116.05"/>
    <n v="7.56"/>
    <n v="2.59"/>
    <n v="3.15"/>
    <n v="0"/>
    <n v="0"/>
    <n v="129.35"/>
    <n v="86.25"/>
    <s v="Profit"/>
    <x v="0"/>
    <n v="3"/>
    <n v="0"/>
    <s v="0-15"/>
    <s v="No"/>
    <n v="0"/>
    <s v="Healthy"/>
    <n v="0"/>
  </r>
  <r>
    <n v="101802"/>
    <d v="2025-10-26T00:00:00"/>
    <n v="1044"/>
    <x v="0"/>
    <x v="6"/>
    <x v="1"/>
    <x v="3"/>
    <x v="0"/>
    <s v="Card"/>
    <n v="14.21"/>
    <n v="12.23"/>
    <x v="4"/>
    <n v="8.69"/>
    <n v="165.1"/>
    <n v="103.27"/>
    <n v="12.91"/>
    <n v="2.61"/>
    <n v="11.61"/>
    <n v="0"/>
    <n v="0"/>
    <n v="130.4"/>
    <n v="34.700000000000003"/>
    <s v="Profit"/>
    <x v="0"/>
    <n v="0"/>
    <n v="2"/>
    <s v="0-15"/>
    <s v="No"/>
    <n v="0"/>
    <s v="Healthy"/>
    <n v="0"/>
  </r>
  <r>
    <n v="101803"/>
    <d v="2025-12-03T00:00:00"/>
    <n v="1083"/>
    <x v="2"/>
    <x v="9"/>
    <x v="2"/>
    <x v="0"/>
    <x v="0"/>
    <s v="Wallet"/>
    <n v="21.53"/>
    <n v="18"/>
    <x v="2"/>
    <n v="38.75"/>
    <n v="348.79"/>
    <n v="162.31"/>
    <n v="6.32"/>
    <n v="4.6500000000000004"/>
    <n v="11.63"/>
    <n v="0"/>
    <n v="0"/>
    <n v="184.91"/>
    <n v="163.88"/>
    <s v="Profit"/>
    <x v="0"/>
    <n v="9"/>
    <n v="15"/>
    <s v="0-15"/>
    <s v="No"/>
    <n v="0"/>
    <s v="Healthy"/>
    <n v="0"/>
  </r>
  <r>
    <n v="101804"/>
    <d v="2025-11-20T00:00:00"/>
    <n v="1042"/>
    <x v="0"/>
    <x v="0"/>
    <x v="3"/>
    <x v="1"/>
    <x v="2"/>
    <s v="UPI"/>
    <n v="24.65"/>
    <n v="15.38"/>
    <x v="1"/>
    <n v="75.819999999999993"/>
    <n v="303.3"/>
    <n v="140.22999999999999"/>
    <n v="7.34"/>
    <n v="2.65"/>
    <n v="0.99"/>
    <n v="0"/>
    <n v="0"/>
    <n v="151.21"/>
    <n v="152.09"/>
    <s v="Profit"/>
    <x v="0"/>
    <n v="17"/>
    <n v="3"/>
    <s v="16-30"/>
    <s v="No"/>
    <n v="0"/>
    <s v="Healthy"/>
    <n v="0"/>
  </r>
  <r>
    <n v="101805"/>
    <d v="2025-12-03T00:00:00"/>
    <n v="1142"/>
    <x v="0"/>
    <x v="6"/>
    <x v="0"/>
    <x v="3"/>
    <x v="2"/>
    <s v="Wallet"/>
    <n v="26.16"/>
    <n v="12.69"/>
    <x v="1"/>
    <n v="66.39"/>
    <n v="265.58"/>
    <n v="189.06"/>
    <n v="7.6"/>
    <n v="3.98"/>
    <n v="4.1100000000000003"/>
    <n v="0"/>
    <n v="0"/>
    <n v="204.75"/>
    <n v="60.83"/>
    <s v="Profit"/>
    <x v="0"/>
    <n v="14"/>
    <n v="8"/>
    <s v="0-15"/>
    <s v="No"/>
    <n v="0"/>
    <s v="Healthy"/>
    <n v="0"/>
  </r>
  <r>
    <n v="101806"/>
    <d v="2025-12-28T00:00:00"/>
    <n v="1097"/>
    <x v="3"/>
    <x v="7"/>
    <x v="4"/>
    <x v="3"/>
    <x v="0"/>
    <s v="Fleet_Invoice"/>
    <n v="25.35"/>
    <n v="14.18"/>
    <x v="0"/>
    <n v="53.92"/>
    <n v="305.54000000000002"/>
    <n v="179.34"/>
    <n v="1.64"/>
    <n v="1.44"/>
    <n v="9.4499999999999993"/>
    <n v="0"/>
    <n v="0"/>
    <n v="191.87"/>
    <n v="113.67"/>
    <s v="Profit"/>
    <x v="0"/>
    <n v="7"/>
    <n v="10"/>
    <s v="0-15"/>
    <s v="No"/>
    <n v="0"/>
    <s v="Healthy"/>
    <n v="0"/>
  </r>
  <r>
    <n v="101807"/>
    <d v="2025-12-24T00:00:00"/>
    <n v="1077"/>
    <x v="1"/>
    <x v="13"/>
    <x v="3"/>
    <x v="2"/>
    <x v="2"/>
    <s v="UPI"/>
    <n v="11.05"/>
    <n v="18.53"/>
    <x v="3"/>
    <n v="0"/>
    <n v="204.76"/>
    <n v="76.040000000000006"/>
    <n v="9.48"/>
    <n v="1.43"/>
    <n v="5.77"/>
    <n v="0"/>
    <n v="0"/>
    <n v="92.72"/>
    <n v="112.04"/>
    <s v="Profit"/>
    <x v="0"/>
    <n v="12"/>
    <n v="2"/>
    <s v="0-15"/>
    <s v="No"/>
    <n v="0"/>
    <s v="Healthy"/>
    <n v="0"/>
  </r>
  <r>
    <n v="101808"/>
    <d v="2025-10-14T00:00:00"/>
    <n v="1139"/>
    <x v="1"/>
    <x v="2"/>
    <x v="0"/>
    <x v="3"/>
    <x v="2"/>
    <s v="Card"/>
    <n v="33.97"/>
    <n v="12.29"/>
    <x v="2"/>
    <n v="41.75"/>
    <n v="375.74"/>
    <n v="241.59"/>
    <n v="4.57"/>
    <n v="6.26"/>
    <n v="3.8"/>
    <n v="404.65"/>
    <n v="12.64"/>
    <n v="673.51"/>
    <n v="-297.77"/>
    <s v="Loss"/>
    <x v="2"/>
    <n v="10"/>
    <n v="4"/>
    <s v="0-15"/>
    <s v="No"/>
    <n v="2"/>
    <s v="At Risk"/>
    <n v="0"/>
  </r>
  <r>
    <n v="101809"/>
    <d v="2025-10-03T00:00:00"/>
    <n v="1062"/>
    <x v="0"/>
    <x v="6"/>
    <x v="4"/>
    <x v="3"/>
    <x v="0"/>
    <s v="UPI"/>
    <n v="27.48"/>
    <n v="12.24"/>
    <x v="3"/>
    <n v="0"/>
    <n v="336.36"/>
    <n v="194.28"/>
    <n v="9.8699999999999992"/>
    <n v="2.35"/>
    <n v="8.8800000000000008"/>
    <n v="0"/>
    <n v="0"/>
    <n v="215.38"/>
    <n v="120.98"/>
    <s v="Profit"/>
    <x v="0"/>
    <n v="5"/>
    <n v="2"/>
    <s v="0-15"/>
    <s v="No"/>
    <n v="0"/>
    <s v="Healthy"/>
    <n v="0"/>
  </r>
  <r>
    <n v="101810"/>
    <d v="2025-11-08T00:00:00"/>
    <n v="1130"/>
    <x v="2"/>
    <x v="5"/>
    <x v="0"/>
    <x v="3"/>
    <x v="0"/>
    <s v="Fleet_Invoice"/>
    <n v="18.72"/>
    <n v="13.31"/>
    <x v="2"/>
    <n v="24.92"/>
    <n v="224.24"/>
    <n v="118.93"/>
    <n v="6.91"/>
    <n v="1"/>
    <n v="6.71"/>
    <n v="0"/>
    <n v="0"/>
    <n v="133.55000000000001"/>
    <n v="90.69"/>
    <s v="Profit"/>
    <x v="0"/>
    <n v="21"/>
    <n v="4"/>
    <s v="16-30"/>
    <s v="Yes"/>
    <n v="2"/>
    <s v="At Risk"/>
    <n v="1"/>
  </r>
  <r>
    <n v="101811"/>
    <d v="2025-10-24T00:00:00"/>
    <n v="1005"/>
    <x v="0"/>
    <x v="11"/>
    <x v="4"/>
    <x v="3"/>
    <x v="0"/>
    <s v="Card"/>
    <n v="17.29"/>
    <n v="12.07"/>
    <x v="0"/>
    <n v="31.3"/>
    <n v="177.39"/>
    <n v="130.44"/>
    <n v="12.49"/>
    <n v="3.13"/>
    <n v="0.56000000000000005"/>
    <n v="0"/>
    <n v="0"/>
    <n v="146.62"/>
    <n v="30.77"/>
    <s v="Profit"/>
    <x v="0"/>
    <n v="6"/>
    <n v="9"/>
    <s v="0-15"/>
    <s v="No"/>
    <n v="0"/>
    <s v="Healthy"/>
    <n v="0"/>
  </r>
  <r>
    <n v="101812"/>
    <d v="2025-12-18T00:00:00"/>
    <n v="1094"/>
    <x v="2"/>
    <x v="12"/>
    <x v="2"/>
    <x v="1"/>
    <x v="0"/>
    <s v="Wallet"/>
    <n v="40.04"/>
    <n v="15.77"/>
    <x v="4"/>
    <n v="31.57"/>
    <n v="599.86"/>
    <n v="252.12"/>
    <n v="14.2"/>
    <n v="7.58"/>
    <n v="1.36"/>
    <n v="602.44000000000005"/>
    <n v="0"/>
    <n v="877.7"/>
    <n v="-277.83999999999997"/>
    <s v="Loss"/>
    <x v="1"/>
    <n v="4"/>
    <n v="19"/>
    <s v="0-15"/>
    <s v="Yes"/>
    <n v="3"/>
    <s v="At Risk"/>
    <n v="1"/>
  </r>
  <r>
    <n v="101813"/>
    <d v="2025-10-09T00:00:00"/>
    <n v="1092"/>
    <x v="0"/>
    <x v="11"/>
    <x v="4"/>
    <x v="3"/>
    <x v="0"/>
    <s v="UPI"/>
    <n v="21.26"/>
    <n v="14.34"/>
    <x v="1"/>
    <n v="60.97"/>
    <n v="243.9"/>
    <n v="143.54"/>
    <n v="8.65"/>
    <n v="2.13"/>
    <n v="4.05"/>
    <n v="0"/>
    <n v="0"/>
    <n v="158.37"/>
    <n v="85.53"/>
    <s v="Profit"/>
    <x v="0"/>
    <n v="3"/>
    <n v="15"/>
    <s v="0-15"/>
    <s v="No"/>
    <n v="0"/>
    <s v="Healthy"/>
    <n v="0"/>
  </r>
  <r>
    <n v="101814"/>
    <d v="2025-12-03T00:00:00"/>
    <n v="1072"/>
    <x v="3"/>
    <x v="8"/>
    <x v="2"/>
    <x v="3"/>
    <x v="1"/>
    <s v="Card"/>
    <n v="32.58"/>
    <n v="12.37"/>
    <x v="3"/>
    <n v="0"/>
    <n v="403.01"/>
    <n v="238.35"/>
    <n v="2.35"/>
    <n v="6.05"/>
    <n v="4.87"/>
    <n v="0"/>
    <n v="0"/>
    <n v="251.62"/>
    <n v="151.38999999999999"/>
    <s v="Profit"/>
    <x v="0"/>
    <n v="7"/>
    <n v="3"/>
    <s v="0-15"/>
    <s v="No"/>
    <n v="0"/>
    <s v="Healthy"/>
    <n v="0"/>
  </r>
  <r>
    <n v="101815"/>
    <d v="2025-10-18T00:00:00"/>
    <n v="1073"/>
    <x v="1"/>
    <x v="3"/>
    <x v="2"/>
    <x v="3"/>
    <x v="0"/>
    <s v="Card"/>
    <n v="33.43"/>
    <n v="11.78"/>
    <x v="3"/>
    <n v="0"/>
    <n v="393.81"/>
    <n v="222.57"/>
    <n v="11.44"/>
    <n v="5.91"/>
    <n v="7.36"/>
    <n v="0"/>
    <n v="0"/>
    <n v="247.28"/>
    <n v="146.53"/>
    <s v="Profit"/>
    <x v="0"/>
    <n v="0"/>
    <n v="4"/>
    <s v="0-15"/>
    <s v="No"/>
    <n v="0"/>
    <s v="Healthy"/>
    <n v="0"/>
  </r>
  <r>
    <n v="101816"/>
    <d v="2025-11-05T00:00:00"/>
    <n v="1127"/>
    <x v="3"/>
    <x v="15"/>
    <x v="2"/>
    <x v="0"/>
    <x v="0"/>
    <s v="UPI"/>
    <n v="26.1"/>
    <n v="19.46"/>
    <x v="4"/>
    <n v="25.4"/>
    <n v="482.51"/>
    <n v="190.43"/>
    <n v="8.19"/>
    <n v="3.56"/>
    <n v="6.13"/>
    <n v="0"/>
    <n v="0"/>
    <n v="208.31"/>
    <n v="274.2"/>
    <s v="Profit"/>
    <x v="0"/>
    <n v="0"/>
    <n v="2"/>
    <s v="0-15"/>
    <s v="No"/>
    <n v="0"/>
    <s v="Healthy"/>
    <n v="0"/>
  </r>
  <r>
    <n v="101817"/>
    <d v="2025-11-19T00:00:00"/>
    <n v="1005"/>
    <x v="3"/>
    <x v="8"/>
    <x v="0"/>
    <x v="2"/>
    <x v="0"/>
    <s v="Fleet_Invoice"/>
    <n v="22.08"/>
    <n v="17.5"/>
    <x v="1"/>
    <n v="77.28"/>
    <n v="309.12"/>
    <n v="147.26"/>
    <n v="7.46"/>
    <n v="1.55"/>
    <n v="4.8600000000000003"/>
    <n v="324.02"/>
    <n v="0"/>
    <n v="485.15"/>
    <n v="-176.03"/>
    <s v="Loss"/>
    <x v="1"/>
    <n v="2"/>
    <n v="20"/>
    <s v="0-15"/>
    <s v="Yes"/>
    <n v="2"/>
    <s v="At Risk"/>
    <n v="1"/>
  </r>
  <r>
    <n v="101818"/>
    <d v="2025-12-04T00:00:00"/>
    <n v="1022"/>
    <x v="2"/>
    <x v="12"/>
    <x v="1"/>
    <x v="0"/>
    <x v="0"/>
    <s v="Card"/>
    <n v="37.57"/>
    <n v="18.260000000000002"/>
    <x v="2"/>
    <n v="68.599999999999994"/>
    <n v="617.42999999999995"/>
    <n v="288.83999999999997"/>
    <n v="6.23"/>
    <n v="10.29"/>
    <n v="1.5"/>
    <n v="0"/>
    <n v="0"/>
    <n v="306.86"/>
    <n v="310.57"/>
    <s v="Profit"/>
    <x v="0"/>
    <n v="8"/>
    <n v="2"/>
    <s v="0-15"/>
    <s v="No"/>
    <n v="0"/>
    <s v="Healthy"/>
    <n v="0"/>
  </r>
  <r>
    <n v="101819"/>
    <d v="2025-11-17T00:00:00"/>
    <n v="1145"/>
    <x v="2"/>
    <x v="10"/>
    <x v="3"/>
    <x v="1"/>
    <x v="1"/>
    <s v="Fleet_Invoice"/>
    <n v="20.13"/>
    <n v="15.83"/>
    <x v="4"/>
    <n v="15.93"/>
    <n v="302.73"/>
    <n v="146.94"/>
    <n v="3.42"/>
    <n v="1.27"/>
    <n v="2.2400000000000002"/>
    <n v="0"/>
    <n v="0"/>
    <n v="153.87"/>
    <n v="148.86000000000001"/>
    <s v="Profit"/>
    <x v="0"/>
    <n v="24"/>
    <n v="7"/>
    <s v="16-30"/>
    <s v="Yes"/>
    <n v="3"/>
    <s v="At Risk"/>
    <n v="1"/>
  </r>
  <r>
    <n v="101820"/>
    <d v="2025-11-12T00:00:00"/>
    <n v="1051"/>
    <x v="0"/>
    <x v="0"/>
    <x v="2"/>
    <x v="0"/>
    <x v="0"/>
    <s v="Wallet"/>
    <n v="37.08"/>
    <n v="18.38"/>
    <x v="1"/>
    <n v="136.31"/>
    <n v="545.22"/>
    <n v="236.45"/>
    <n v="4.63"/>
    <n v="8.18"/>
    <n v="9.5500000000000007"/>
    <n v="0"/>
    <n v="0"/>
    <n v="258.81"/>
    <n v="286.41000000000003"/>
    <s v="Profit"/>
    <x v="0"/>
    <n v="3"/>
    <n v="10"/>
    <s v="0-15"/>
    <s v="No"/>
    <n v="0"/>
    <s v="Healthy"/>
    <n v="0"/>
  </r>
  <r>
    <n v="101821"/>
    <d v="2025-12-31T00:00:00"/>
    <n v="1087"/>
    <x v="3"/>
    <x v="8"/>
    <x v="1"/>
    <x v="1"/>
    <x v="0"/>
    <s v="Card"/>
    <n v="15.51"/>
    <n v="16.04"/>
    <x v="3"/>
    <n v="0"/>
    <n v="248.78"/>
    <n v="131.04"/>
    <n v="7.1"/>
    <n v="3.73"/>
    <n v="6.32"/>
    <n v="0"/>
    <n v="0"/>
    <n v="148.19"/>
    <n v="100.59"/>
    <s v="Profit"/>
    <x v="0"/>
    <n v="11"/>
    <n v="6"/>
    <s v="0-15"/>
    <s v="No"/>
    <n v="1"/>
    <s v="Healthy"/>
    <n v="0"/>
  </r>
  <r>
    <n v="101822"/>
    <d v="2025-12-09T00:00:00"/>
    <n v="1053"/>
    <x v="0"/>
    <x v="1"/>
    <x v="3"/>
    <x v="2"/>
    <x v="0"/>
    <s v="UPI"/>
    <n v="19.190000000000001"/>
    <n v="17.690000000000001"/>
    <x v="0"/>
    <n v="50.92"/>
    <n v="288.55"/>
    <n v="137.88999999999999"/>
    <n v="11.29"/>
    <n v="2.38"/>
    <n v="1.0900000000000001"/>
    <n v="0"/>
    <n v="0"/>
    <n v="152.65"/>
    <n v="135.9"/>
    <s v="Profit"/>
    <x v="0"/>
    <n v="3"/>
    <n v="1"/>
    <s v="0-15"/>
    <s v="No"/>
    <n v="0"/>
    <s v="Healthy"/>
    <n v="0"/>
  </r>
  <r>
    <n v="101823"/>
    <d v="2025-12-18T00:00:00"/>
    <n v="1029"/>
    <x v="2"/>
    <x v="5"/>
    <x v="0"/>
    <x v="3"/>
    <x v="0"/>
    <s v="UPI"/>
    <n v="25.4"/>
    <n v="13.86"/>
    <x v="3"/>
    <n v="0"/>
    <n v="352.04"/>
    <n v="195.81"/>
    <n v="1"/>
    <n v="2.46"/>
    <n v="1.81"/>
    <n v="0"/>
    <n v="0"/>
    <n v="201.08"/>
    <n v="150.96"/>
    <s v="Profit"/>
    <x v="0"/>
    <n v="0"/>
    <n v="5"/>
    <s v="0-15"/>
    <s v="No"/>
    <n v="0"/>
    <s v="Healthy"/>
    <n v="0"/>
  </r>
  <r>
    <n v="101824"/>
    <d v="2025-11-04T00:00:00"/>
    <n v="1046"/>
    <x v="1"/>
    <x v="3"/>
    <x v="2"/>
    <x v="3"/>
    <x v="1"/>
    <s v="Fleet_Invoice"/>
    <n v="7.78"/>
    <n v="11.98"/>
    <x v="3"/>
    <n v="0"/>
    <n v="93.2"/>
    <n v="59.91"/>
    <n v="5.64"/>
    <n v="0.37"/>
    <n v="5.17"/>
    <n v="0"/>
    <n v="0"/>
    <n v="71.09"/>
    <n v="22.11"/>
    <s v="Profit"/>
    <x v="0"/>
    <n v="17"/>
    <n v="3"/>
    <s v="16-30"/>
    <s v="No"/>
    <n v="0"/>
    <s v="Healthy"/>
    <n v="0"/>
  </r>
  <r>
    <n v="101825"/>
    <d v="2025-11-26T00:00:00"/>
    <n v="1131"/>
    <x v="1"/>
    <x v="3"/>
    <x v="3"/>
    <x v="0"/>
    <x v="0"/>
    <s v="UPI"/>
    <n v="26.5"/>
    <n v="19.12"/>
    <x v="3"/>
    <n v="0"/>
    <n v="506.68"/>
    <n v="180.93"/>
    <n v="1.83"/>
    <n v="3.55"/>
    <n v="10.89"/>
    <n v="0"/>
    <n v="0"/>
    <n v="197.2"/>
    <n v="309.48"/>
    <s v="Profit"/>
    <x v="0"/>
    <n v="1"/>
    <n v="5"/>
    <s v="0-15"/>
    <s v="No"/>
    <n v="0"/>
    <s v="Healthy"/>
    <n v="0"/>
  </r>
  <r>
    <n v="101826"/>
    <d v="2025-12-25T00:00:00"/>
    <n v="1126"/>
    <x v="3"/>
    <x v="7"/>
    <x v="0"/>
    <x v="3"/>
    <x v="1"/>
    <s v="Fleet_Invoice"/>
    <n v="26.04"/>
    <n v="12.95"/>
    <x v="1"/>
    <n v="67.44"/>
    <n v="269.77999999999997"/>
    <n v="209.47"/>
    <n v="5.04"/>
    <n v="1.35"/>
    <n v="11.83"/>
    <n v="0"/>
    <n v="0"/>
    <n v="227.69"/>
    <n v="42.09"/>
    <s v="Profit"/>
    <x v="0"/>
    <n v="9"/>
    <n v="0"/>
    <s v="0-15"/>
    <s v="No"/>
    <n v="0"/>
    <s v="Healthy"/>
    <n v="0"/>
  </r>
  <r>
    <n v="101827"/>
    <d v="2025-12-17T00:00:00"/>
    <n v="1034"/>
    <x v="0"/>
    <x v="11"/>
    <x v="1"/>
    <x v="0"/>
    <x v="0"/>
    <s v="Wallet"/>
    <n v="15.34"/>
    <n v="19.27"/>
    <x v="4"/>
    <n v="14.78"/>
    <n v="280.82"/>
    <n v="98.04"/>
    <n v="5.0199999999999996"/>
    <n v="3.55"/>
    <n v="2.69"/>
    <n v="0"/>
    <n v="0"/>
    <n v="109.3"/>
    <n v="171.52"/>
    <s v="Profit"/>
    <x v="0"/>
    <n v="14"/>
    <n v="0"/>
    <s v="0-15"/>
    <s v="No"/>
    <n v="0"/>
    <s v="Healthy"/>
    <n v="0"/>
  </r>
  <r>
    <n v="101828"/>
    <d v="2025-12-02T00:00:00"/>
    <n v="1075"/>
    <x v="2"/>
    <x v="5"/>
    <x v="2"/>
    <x v="1"/>
    <x v="2"/>
    <s v="Fleet_Invoice"/>
    <n v="32.79"/>
    <n v="15.17"/>
    <x v="4"/>
    <n v="24.87"/>
    <n v="472.55"/>
    <n v="285.47000000000003"/>
    <n v="9.7799999999999994"/>
    <n v="1.99"/>
    <n v="2.68"/>
    <n v="0"/>
    <n v="0"/>
    <n v="299.92"/>
    <n v="172.63"/>
    <s v="Profit"/>
    <x v="0"/>
    <n v="8"/>
    <n v="9"/>
    <s v="0-15"/>
    <s v="No"/>
    <n v="0"/>
    <s v="Healthy"/>
    <n v="0"/>
  </r>
  <r>
    <n v="101829"/>
    <d v="2025-10-27T00:00:00"/>
    <n v="1150"/>
    <x v="1"/>
    <x v="3"/>
    <x v="3"/>
    <x v="1"/>
    <x v="0"/>
    <s v="UPI"/>
    <n v="27.88"/>
    <n v="14.74"/>
    <x v="3"/>
    <n v="0"/>
    <n v="410.95"/>
    <n v="159.08000000000001"/>
    <n v="5.69"/>
    <n v="2.88"/>
    <n v="9.2100000000000009"/>
    <n v="0"/>
    <n v="0"/>
    <n v="176.86"/>
    <n v="234.09"/>
    <s v="Profit"/>
    <x v="0"/>
    <n v="6"/>
    <n v="1"/>
    <s v="0-15"/>
    <s v="No"/>
    <n v="0"/>
    <s v="Healthy"/>
    <n v="0"/>
  </r>
  <r>
    <n v="101830"/>
    <d v="2025-11-04T00:00:00"/>
    <n v="1001"/>
    <x v="1"/>
    <x v="4"/>
    <x v="3"/>
    <x v="2"/>
    <x v="0"/>
    <s v="Card"/>
    <n v="35.61"/>
    <n v="17.43"/>
    <x v="0"/>
    <n v="93.1"/>
    <n v="527.58000000000004"/>
    <n v="231.71"/>
    <n v="4.2"/>
    <n v="9.31"/>
    <n v="7.92"/>
    <n v="0"/>
    <n v="0"/>
    <n v="253.14"/>
    <n v="274.44"/>
    <s v="Profit"/>
    <x v="0"/>
    <n v="4"/>
    <n v="9"/>
    <s v="0-15"/>
    <s v="No"/>
    <n v="0"/>
    <s v="Healthy"/>
    <n v="0"/>
  </r>
  <r>
    <n v="101831"/>
    <d v="2025-11-11T00:00:00"/>
    <n v="1055"/>
    <x v="0"/>
    <x v="1"/>
    <x v="4"/>
    <x v="3"/>
    <x v="2"/>
    <s v="UPI"/>
    <n v="32.520000000000003"/>
    <n v="12.69"/>
    <x v="4"/>
    <n v="20.63"/>
    <n v="392.05"/>
    <n v="250.11"/>
    <n v="8.3000000000000007"/>
    <n v="2.89"/>
    <n v="2.0099999999999998"/>
    <n v="0"/>
    <n v="0"/>
    <n v="263.31"/>
    <n v="128.74"/>
    <s v="Profit"/>
    <x v="0"/>
    <n v="1"/>
    <n v="3"/>
    <s v="0-15"/>
    <s v="No"/>
    <n v="0"/>
    <s v="Healthy"/>
    <n v="0"/>
  </r>
  <r>
    <n v="101832"/>
    <d v="2025-12-13T00:00:00"/>
    <n v="1129"/>
    <x v="0"/>
    <x v="6"/>
    <x v="2"/>
    <x v="0"/>
    <x v="2"/>
    <s v="UPI"/>
    <n v="29.06"/>
    <n v="19.43"/>
    <x v="0"/>
    <n v="84.7"/>
    <n v="479.94"/>
    <n v="216.73"/>
    <n v="9.31"/>
    <n v="3.95"/>
    <n v="0"/>
    <n v="0"/>
    <n v="0"/>
    <n v="229.99"/>
    <n v="249.95"/>
    <s v="Profit"/>
    <x v="0"/>
    <n v="5"/>
    <n v="1"/>
    <s v="0-15"/>
    <s v="No"/>
    <n v="0"/>
    <s v="Healthy"/>
    <n v="0"/>
  </r>
  <r>
    <n v="101833"/>
    <d v="2025-11-09T00:00:00"/>
    <n v="1103"/>
    <x v="3"/>
    <x v="15"/>
    <x v="1"/>
    <x v="1"/>
    <x v="0"/>
    <s v="UPI"/>
    <n v="30.52"/>
    <n v="14.36"/>
    <x v="4"/>
    <n v="21.91"/>
    <n v="416.36"/>
    <n v="218.13"/>
    <n v="7.17"/>
    <n v="3.07"/>
    <n v="4.01"/>
    <n v="195.42"/>
    <n v="0"/>
    <n v="427.8"/>
    <n v="-11.44"/>
    <s v="Loss"/>
    <x v="2"/>
    <n v="5"/>
    <n v="13"/>
    <s v="0-15"/>
    <s v="No"/>
    <n v="2"/>
    <s v="At Risk"/>
    <n v="0"/>
  </r>
  <r>
    <n v="101834"/>
    <d v="2025-10-06T00:00:00"/>
    <n v="1033"/>
    <x v="0"/>
    <x v="1"/>
    <x v="4"/>
    <x v="3"/>
    <x v="0"/>
    <s v="UPI"/>
    <n v="34.32"/>
    <n v="11.39"/>
    <x v="2"/>
    <n v="39.090000000000003"/>
    <n v="351.81"/>
    <n v="230.69"/>
    <n v="10.56"/>
    <n v="2.74"/>
    <n v="2.09"/>
    <n v="0"/>
    <n v="0"/>
    <n v="246.08"/>
    <n v="105.73"/>
    <s v="Profit"/>
    <x v="0"/>
    <n v="1"/>
    <n v="15"/>
    <s v="0-15"/>
    <s v="No"/>
    <n v="2"/>
    <s v="Healthy"/>
    <n v="0"/>
  </r>
  <r>
    <n v="101835"/>
    <d v="2025-11-19T00:00:00"/>
    <n v="1015"/>
    <x v="3"/>
    <x v="8"/>
    <x v="2"/>
    <x v="1"/>
    <x v="0"/>
    <s v="UPI"/>
    <n v="35.03"/>
    <n v="18.25"/>
    <x v="2"/>
    <n v="63.93"/>
    <n v="575.37"/>
    <n v="251.69"/>
    <n v="8.44"/>
    <n v="4.4800000000000004"/>
    <n v="1.98"/>
    <n v="0"/>
    <n v="0"/>
    <n v="266.58999999999997"/>
    <n v="308.77999999999997"/>
    <s v="Profit"/>
    <x v="0"/>
    <n v="10"/>
    <n v="0"/>
    <s v="0-15"/>
    <s v="No"/>
    <n v="0"/>
    <s v="Healthy"/>
    <n v="0"/>
  </r>
  <r>
    <n v="101836"/>
    <d v="2025-12-28T00:00:00"/>
    <n v="1145"/>
    <x v="1"/>
    <x v="4"/>
    <x v="0"/>
    <x v="1"/>
    <x v="1"/>
    <s v="UPI"/>
    <n v="24.84"/>
    <n v="15.99"/>
    <x v="3"/>
    <n v="0"/>
    <n v="397.19"/>
    <n v="180.48"/>
    <n v="3.48"/>
    <n v="2.78"/>
    <n v="7.74"/>
    <n v="0"/>
    <n v="0"/>
    <n v="194.48"/>
    <n v="202.71"/>
    <s v="Profit"/>
    <x v="0"/>
    <n v="4"/>
    <n v="16"/>
    <s v="0-15"/>
    <s v="Yes"/>
    <n v="1"/>
    <s v="At Risk"/>
    <n v="1"/>
  </r>
  <r>
    <n v="101837"/>
    <d v="2025-12-30T00:00:00"/>
    <n v="1109"/>
    <x v="1"/>
    <x v="4"/>
    <x v="0"/>
    <x v="3"/>
    <x v="1"/>
    <s v="Fleet_Invoice"/>
    <n v="22.39"/>
    <n v="12.72"/>
    <x v="3"/>
    <n v="0"/>
    <n v="284.8"/>
    <n v="137.79"/>
    <n v="15.15"/>
    <n v="1.1399999999999999"/>
    <n v="1.83"/>
    <n v="0"/>
    <n v="0"/>
    <n v="155.91"/>
    <n v="128.88999999999999"/>
    <s v="Profit"/>
    <x v="0"/>
    <n v="15"/>
    <n v="7"/>
    <s v="0-15"/>
    <s v="No"/>
    <n v="0"/>
    <s v="Healthy"/>
    <n v="0"/>
  </r>
  <r>
    <n v="101838"/>
    <d v="2025-10-15T00:00:00"/>
    <n v="1108"/>
    <x v="1"/>
    <x v="3"/>
    <x v="1"/>
    <x v="1"/>
    <x v="0"/>
    <s v="Wallet"/>
    <n v="24.85"/>
    <n v="15.29"/>
    <x v="4"/>
    <n v="19"/>
    <n v="360.96"/>
    <n v="159.33000000000001"/>
    <n v="9.6199999999999992"/>
    <n v="4.5599999999999996"/>
    <n v="8.2100000000000009"/>
    <n v="0"/>
    <n v="0"/>
    <n v="181.72"/>
    <n v="179.24"/>
    <s v="Profit"/>
    <x v="0"/>
    <n v="13"/>
    <n v="4"/>
    <s v="0-15"/>
    <s v="No"/>
    <n v="0"/>
    <s v="Healthy"/>
    <n v="0"/>
  </r>
  <r>
    <n v="101839"/>
    <d v="2025-12-20T00:00:00"/>
    <n v="1088"/>
    <x v="2"/>
    <x v="5"/>
    <x v="1"/>
    <x v="3"/>
    <x v="1"/>
    <s v="UPI"/>
    <n v="33.78"/>
    <n v="11.86"/>
    <x v="4"/>
    <n v="20.03"/>
    <n v="380.6"/>
    <n v="262.11"/>
    <n v="7.43"/>
    <n v="2.8"/>
    <n v="8.36"/>
    <n v="0"/>
    <n v="0"/>
    <n v="280.7"/>
    <n v="99.9"/>
    <s v="Profit"/>
    <x v="0"/>
    <n v="20"/>
    <n v="4"/>
    <s v="16-30"/>
    <s v="No"/>
    <n v="1"/>
    <s v="Healthy"/>
    <n v="0"/>
  </r>
  <r>
    <n v="101840"/>
    <d v="2025-11-13T00:00:00"/>
    <n v="1091"/>
    <x v="1"/>
    <x v="2"/>
    <x v="4"/>
    <x v="0"/>
    <x v="0"/>
    <s v="UPI"/>
    <n v="30.48"/>
    <n v="20.72"/>
    <x v="2"/>
    <n v="63.16"/>
    <n v="568.39"/>
    <n v="235.02"/>
    <n v="8.7899999999999991"/>
    <n v="4.42"/>
    <n v="0.74"/>
    <n v="0"/>
    <n v="0"/>
    <n v="248.97"/>
    <n v="319.42"/>
    <s v="Profit"/>
    <x v="0"/>
    <n v="6"/>
    <n v="5"/>
    <s v="0-15"/>
    <s v="No"/>
    <n v="0"/>
    <s v="Healthy"/>
    <n v="0"/>
  </r>
  <r>
    <n v="101841"/>
    <d v="2025-12-21T00:00:00"/>
    <n v="1012"/>
    <x v="1"/>
    <x v="3"/>
    <x v="4"/>
    <x v="2"/>
    <x v="0"/>
    <s v="Card"/>
    <n v="24.82"/>
    <n v="18.760000000000002"/>
    <x v="4"/>
    <n v="23.28"/>
    <n v="442.34"/>
    <n v="194.39"/>
    <n v="9.08"/>
    <n v="6.98"/>
    <n v="7.99"/>
    <n v="0"/>
    <n v="0"/>
    <n v="218.44"/>
    <n v="223.9"/>
    <s v="Profit"/>
    <x v="0"/>
    <n v="10"/>
    <n v="13"/>
    <s v="0-15"/>
    <s v="No"/>
    <n v="0"/>
    <s v="Healthy"/>
    <n v="0"/>
  </r>
  <r>
    <n v="101842"/>
    <d v="2025-10-06T00:00:00"/>
    <n v="1097"/>
    <x v="1"/>
    <x v="13"/>
    <x v="0"/>
    <x v="0"/>
    <x v="0"/>
    <s v="Wallet"/>
    <n v="18.71"/>
    <n v="19.989999999999998"/>
    <x v="3"/>
    <n v="0"/>
    <n v="374.01"/>
    <n v="121.1"/>
    <n v="8.14"/>
    <n v="4.49"/>
    <n v="6.73"/>
    <n v="0"/>
    <n v="0"/>
    <n v="140.46"/>
    <n v="233.55"/>
    <s v="Profit"/>
    <x v="0"/>
    <n v="3"/>
    <n v="2"/>
    <s v="0-15"/>
    <s v="No"/>
    <n v="0"/>
    <s v="Healthy"/>
    <n v="0"/>
  </r>
  <r>
    <n v="101843"/>
    <d v="2025-12-25T00:00:00"/>
    <n v="1104"/>
    <x v="1"/>
    <x v="4"/>
    <x v="4"/>
    <x v="3"/>
    <x v="0"/>
    <s v="UPI"/>
    <n v="14.72"/>
    <n v="13.27"/>
    <x v="3"/>
    <n v="0"/>
    <n v="195.33"/>
    <n v="94.45"/>
    <n v="8.08"/>
    <n v="1.37"/>
    <n v="1.67"/>
    <n v="0"/>
    <n v="0"/>
    <n v="105.57"/>
    <n v="89.76"/>
    <s v="Profit"/>
    <x v="0"/>
    <n v="1"/>
    <n v="4"/>
    <s v="0-15"/>
    <s v="No"/>
    <n v="0"/>
    <s v="Healthy"/>
    <n v="0"/>
  </r>
  <r>
    <n v="101844"/>
    <d v="2025-12-09T00:00:00"/>
    <n v="1091"/>
    <x v="0"/>
    <x v="11"/>
    <x v="4"/>
    <x v="1"/>
    <x v="0"/>
    <s v="Card"/>
    <n v="48.37"/>
    <n v="14.97"/>
    <x v="4"/>
    <n v="36.21"/>
    <n v="687.89"/>
    <n v="291.06"/>
    <n v="11.17"/>
    <n v="10.86"/>
    <n v="4.96"/>
    <n v="416.42"/>
    <n v="0"/>
    <n v="734.47"/>
    <n v="-46.58"/>
    <s v="Loss"/>
    <x v="2"/>
    <n v="32"/>
    <n v="1"/>
    <s v="30+"/>
    <s v="Yes"/>
    <n v="1"/>
    <s v="At Risk"/>
    <n v="1"/>
  </r>
  <r>
    <n v="101845"/>
    <d v="2025-10-17T00:00:00"/>
    <n v="1026"/>
    <x v="1"/>
    <x v="3"/>
    <x v="3"/>
    <x v="2"/>
    <x v="2"/>
    <s v="Card"/>
    <n v="21.15"/>
    <n v="17.190000000000001"/>
    <x v="0"/>
    <n v="54.54"/>
    <n v="309.02999999999997"/>
    <n v="159.46"/>
    <n v="10.16"/>
    <n v="5.45"/>
    <n v="7.51"/>
    <n v="0"/>
    <n v="0"/>
    <n v="182.58"/>
    <n v="126.45"/>
    <s v="Profit"/>
    <x v="0"/>
    <n v="44"/>
    <n v="5"/>
    <s v="30+"/>
    <s v="Yes"/>
    <n v="1"/>
    <s v="At Risk"/>
    <n v="1"/>
  </r>
  <r>
    <n v="101846"/>
    <d v="2025-12-11T00:00:00"/>
    <n v="1126"/>
    <x v="1"/>
    <x v="2"/>
    <x v="2"/>
    <x v="0"/>
    <x v="0"/>
    <s v="Card"/>
    <n v="30.22"/>
    <n v="17.579999999999998"/>
    <x v="4"/>
    <n v="26.56"/>
    <n v="504.71"/>
    <n v="261.14999999999998"/>
    <n v="8.91"/>
    <n v="7.97"/>
    <n v="0"/>
    <n v="0"/>
    <n v="0"/>
    <n v="278.02999999999997"/>
    <n v="226.68"/>
    <s v="Profit"/>
    <x v="0"/>
    <n v="3"/>
    <n v="3"/>
    <s v="0-15"/>
    <s v="No"/>
    <n v="0"/>
    <s v="Healthy"/>
    <n v="0"/>
  </r>
  <r>
    <n v="101847"/>
    <d v="2025-11-21T00:00:00"/>
    <n v="1016"/>
    <x v="3"/>
    <x v="15"/>
    <x v="4"/>
    <x v="1"/>
    <x v="0"/>
    <s v="Wallet"/>
    <n v="23.44"/>
    <n v="15.27"/>
    <x v="3"/>
    <n v="0"/>
    <n v="357.93"/>
    <n v="145.80000000000001"/>
    <n v="6.8"/>
    <n v="4.3"/>
    <n v="0"/>
    <n v="0"/>
    <n v="0"/>
    <n v="156.9"/>
    <n v="201.03"/>
    <s v="Profit"/>
    <x v="0"/>
    <n v="45"/>
    <n v="7"/>
    <s v="30+"/>
    <s v="Yes"/>
    <n v="1"/>
    <s v="At Risk"/>
    <n v="1"/>
  </r>
  <r>
    <n v="101848"/>
    <d v="2025-12-25T00:00:00"/>
    <n v="1028"/>
    <x v="1"/>
    <x v="13"/>
    <x v="4"/>
    <x v="1"/>
    <x v="2"/>
    <s v="UPI"/>
    <n v="34.869999999999997"/>
    <n v="15.9"/>
    <x v="3"/>
    <n v="0"/>
    <n v="554.42999999999995"/>
    <n v="247.2"/>
    <n v="7.98"/>
    <n v="3.88"/>
    <n v="10.94"/>
    <n v="0"/>
    <n v="0"/>
    <n v="270"/>
    <n v="284.43"/>
    <s v="Profit"/>
    <x v="0"/>
    <n v="7"/>
    <n v="6"/>
    <s v="0-15"/>
    <s v="No"/>
    <n v="0"/>
    <s v="Healthy"/>
    <n v="0"/>
  </r>
  <r>
    <n v="101849"/>
    <d v="2025-10-16T00:00:00"/>
    <n v="1143"/>
    <x v="3"/>
    <x v="8"/>
    <x v="4"/>
    <x v="2"/>
    <x v="0"/>
    <s v="Wallet"/>
    <n v="30.89"/>
    <n v="19.170000000000002"/>
    <x v="3"/>
    <n v="0"/>
    <n v="592.16"/>
    <n v="241.52"/>
    <n v="7.41"/>
    <n v="7.11"/>
    <n v="2.79"/>
    <n v="0"/>
    <n v="0"/>
    <n v="258.83"/>
    <n v="333.33"/>
    <s v="Profit"/>
    <x v="0"/>
    <n v="8"/>
    <n v="1"/>
    <s v="0-15"/>
    <s v="No"/>
    <n v="0"/>
    <s v="Healthy"/>
    <n v="0"/>
  </r>
  <r>
    <n v="101850"/>
    <d v="2025-12-27T00:00:00"/>
    <n v="1058"/>
    <x v="0"/>
    <x v="1"/>
    <x v="4"/>
    <x v="3"/>
    <x v="0"/>
    <s v="UPI"/>
    <n v="10.85"/>
    <n v="12.1"/>
    <x v="2"/>
    <n v="13.13"/>
    <n v="118.15"/>
    <n v="60.75"/>
    <n v="6.73"/>
    <n v="0.92"/>
    <n v="2.75"/>
    <n v="0"/>
    <n v="0"/>
    <n v="71.150000000000006"/>
    <n v="47"/>
    <s v="Profit"/>
    <x v="0"/>
    <n v="10"/>
    <n v="5"/>
    <s v="0-15"/>
    <s v="No"/>
    <n v="1"/>
    <s v="Healthy"/>
    <n v="0"/>
  </r>
  <r>
    <n v="101851"/>
    <d v="2025-11-10T00:00:00"/>
    <n v="1075"/>
    <x v="1"/>
    <x v="2"/>
    <x v="0"/>
    <x v="3"/>
    <x v="2"/>
    <s v="Wallet"/>
    <n v="19.91"/>
    <n v="12.33"/>
    <x v="2"/>
    <n v="24.55"/>
    <n v="220.94"/>
    <n v="149.66"/>
    <n v="7.63"/>
    <n v="2.95"/>
    <n v="5.43"/>
    <n v="0"/>
    <n v="0"/>
    <n v="165.67"/>
    <n v="55.27"/>
    <s v="Profit"/>
    <x v="0"/>
    <n v="13"/>
    <n v="4"/>
    <s v="0-15"/>
    <s v="No"/>
    <n v="0"/>
    <s v="Healthy"/>
    <n v="0"/>
  </r>
  <r>
    <n v="101852"/>
    <d v="2025-11-06T00:00:00"/>
    <n v="1015"/>
    <x v="0"/>
    <x v="1"/>
    <x v="1"/>
    <x v="2"/>
    <x v="2"/>
    <s v="Fleet_Invoice"/>
    <n v="25.44"/>
    <n v="19.45"/>
    <x v="3"/>
    <n v="0"/>
    <n v="494.81"/>
    <n v="207.81"/>
    <n v="4.3899999999999997"/>
    <n v="1.98"/>
    <n v="7.86"/>
    <n v="0"/>
    <n v="0"/>
    <n v="222.04"/>
    <n v="272.77"/>
    <s v="Profit"/>
    <x v="0"/>
    <n v="125"/>
    <n v="4"/>
    <s v="30+"/>
    <s v="Yes"/>
    <n v="2"/>
    <s v="At Risk"/>
    <n v="1"/>
  </r>
  <r>
    <n v="101853"/>
    <d v="2025-12-02T00:00:00"/>
    <n v="1147"/>
    <x v="0"/>
    <x v="0"/>
    <x v="1"/>
    <x v="1"/>
    <x v="2"/>
    <s v="UPI"/>
    <n v="27.03"/>
    <n v="16.36"/>
    <x v="3"/>
    <n v="0"/>
    <n v="442.21"/>
    <n v="145.79"/>
    <n v="5.97"/>
    <n v="3.1"/>
    <n v="0"/>
    <n v="271.24"/>
    <n v="4.0999999999999996"/>
    <n v="430.2"/>
    <n v="12.01"/>
    <s v="Profit"/>
    <x v="1"/>
    <n v="24"/>
    <n v="4"/>
    <s v="16-30"/>
    <s v="Yes"/>
    <n v="3"/>
    <s v="At Risk"/>
    <n v="1"/>
  </r>
  <r>
    <n v="101854"/>
    <d v="2025-12-11T00:00:00"/>
    <n v="1113"/>
    <x v="0"/>
    <x v="11"/>
    <x v="1"/>
    <x v="0"/>
    <x v="0"/>
    <s v="Card"/>
    <n v="39.53"/>
    <n v="19.62"/>
    <x v="3"/>
    <n v="0"/>
    <n v="775.58"/>
    <n v="287.8"/>
    <n v="3.44"/>
    <n v="11.63"/>
    <n v="6.98"/>
    <n v="0"/>
    <n v="0"/>
    <n v="309.85000000000002"/>
    <n v="465.73"/>
    <s v="Profit"/>
    <x v="0"/>
    <n v="21"/>
    <n v="27"/>
    <s v="16-30"/>
    <s v="Yes"/>
    <n v="4"/>
    <s v="At Risk"/>
    <n v="1"/>
  </r>
  <r>
    <n v="101855"/>
    <d v="2025-10-16T00:00:00"/>
    <n v="1060"/>
    <x v="3"/>
    <x v="14"/>
    <x v="4"/>
    <x v="2"/>
    <x v="2"/>
    <s v="UPI"/>
    <n v="29.05"/>
    <n v="16.07"/>
    <x v="3"/>
    <n v="0"/>
    <n v="466.83"/>
    <n v="211.76"/>
    <n v="8.32"/>
    <n v="3.27"/>
    <n v="8.08"/>
    <n v="270.61"/>
    <n v="14.72"/>
    <n v="516.76"/>
    <n v="-49.93"/>
    <s v="Loss"/>
    <x v="1"/>
    <n v="14"/>
    <n v="2"/>
    <s v="0-15"/>
    <s v="Yes"/>
    <n v="1"/>
    <s v="At Risk"/>
    <n v="1"/>
  </r>
  <r>
    <n v="101856"/>
    <d v="2025-10-29T00:00:00"/>
    <n v="1015"/>
    <x v="3"/>
    <x v="14"/>
    <x v="0"/>
    <x v="2"/>
    <x v="0"/>
    <s v="Card"/>
    <n v="26.91"/>
    <n v="20.04"/>
    <x v="3"/>
    <n v="0"/>
    <n v="539.28"/>
    <n v="201.62"/>
    <n v="8.73"/>
    <n v="8.09"/>
    <n v="11.59"/>
    <n v="0"/>
    <n v="0"/>
    <n v="230.03"/>
    <n v="309.25"/>
    <s v="Profit"/>
    <x v="0"/>
    <n v="0"/>
    <n v="2"/>
    <s v="0-15"/>
    <s v="No"/>
    <n v="0"/>
    <s v="Healthy"/>
    <n v="0"/>
  </r>
  <r>
    <n v="101857"/>
    <d v="2025-12-07T00:00:00"/>
    <n v="1063"/>
    <x v="3"/>
    <x v="7"/>
    <x v="1"/>
    <x v="3"/>
    <x v="0"/>
    <s v="Card"/>
    <n v="7.3"/>
    <n v="14.43"/>
    <x v="2"/>
    <n v="10.53"/>
    <n v="94.81"/>
    <n v="46.59"/>
    <n v="16.75"/>
    <n v="1.58"/>
    <n v="0"/>
    <n v="0"/>
    <n v="0"/>
    <n v="64.92"/>
    <n v="29.89"/>
    <s v="Profit"/>
    <x v="0"/>
    <n v="7"/>
    <n v="2"/>
    <s v="0-15"/>
    <s v="No"/>
    <n v="0"/>
    <s v="Healthy"/>
    <n v="0"/>
  </r>
  <r>
    <n v="101858"/>
    <d v="2025-11-19T00:00:00"/>
    <n v="1001"/>
    <x v="3"/>
    <x v="14"/>
    <x v="2"/>
    <x v="0"/>
    <x v="0"/>
    <s v="UPI"/>
    <n v="31.51"/>
    <n v="20.21"/>
    <x v="2"/>
    <n v="63.68"/>
    <n v="573.14"/>
    <n v="220.93"/>
    <n v="5.21"/>
    <n v="4.46"/>
    <n v="11.83"/>
    <n v="0"/>
    <n v="0"/>
    <n v="242.43"/>
    <n v="330.71"/>
    <s v="Profit"/>
    <x v="0"/>
    <n v="3"/>
    <n v="2"/>
    <s v="0-15"/>
    <s v="No"/>
    <n v="0"/>
    <s v="Healthy"/>
    <n v="0"/>
  </r>
  <r>
    <n v="101859"/>
    <d v="2025-10-18T00:00:00"/>
    <n v="1019"/>
    <x v="3"/>
    <x v="7"/>
    <x v="2"/>
    <x v="1"/>
    <x v="0"/>
    <s v="UPI"/>
    <n v="25.05"/>
    <n v="14.77"/>
    <x v="0"/>
    <n v="55.5"/>
    <n v="314.49"/>
    <n v="170.65"/>
    <n v="13.31"/>
    <n v="2.59"/>
    <n v="8.56"/>
    <n v="181.41"/>
    <n v="0"/>
    <n v="376.52"/>
    <n v="-62.03"/>
    <s v="Loss"/>
    <x v="1"/>
    <n v="8"/>
    <n v="8"/>
    <s v="0-15"/>
    <s v="Yes"/>
    <n v="1"/>
    <s v="At Risk"/>
    <n v="1"/>
  </r>
  <r>
    <n v="101860"/>
    <d v="2025-11-13T00:00:00"/>
    <n v="1080"/>
    <x v="0"/>
    <x v="11"/>
    <x v="4"/>
    <x v="1"/>
    <x v="0"/>
    <s v="Fleet_Invoice"/>
    <n v="44.61"/>
    <n v="14.8"/>
    <x v="2"/>
    <n v="66.02"/>
    <n v="594.21"/>
    <n v="372.89"/>
    <n v="13.11"/>
    <n v="2.64"/>
    <n v="1.36"/>
    <n v="0"/>
    <n v="0"/>
    <n v="390"/>
    <n v="204.21"/>
    <s v="Profit"/>
    <x v="0"/>
    <n v="0"/>
    <n v="5"/>
    <s v="0-15"/>
    <s v="No"/>
    <n v="0"/>
    <s v="Healthy"/>
    <n v="0"/>
  </r>
  <r>
    <n v="101861"/>
    <d v="2025-10-23T00:00:00"/>
    <n v="1137"/>
    <x v="1"/>
    <x v="3"/>
    <x v="3"/>
    <x v="0"/>
    <x v="0"/>
    <s v="UPI"/>
    <n v="31.12"/>
    <n v="17.760000000000002"/>
    <x v="3"/>
    <n v="0"/>
    <n v="552.69000000000005"/>
    <n v="182.09"/>
    <n v="7.26"/>
    <n v="3.87"/>
    <n v="0"/>
    <n v="210.65"/>
    <n v="0"/>
    <n v="403.87"/>
    <n v="148.82"/>
    <s v="Profit"/>
    <x v="1"/>
    <n v="8"/>
    <n v="0"/>
    <s v="0-15"/>
    <s v="Yes"/>
    <n v="3"/>
    <s v="At Risk"/>
    <n v="1"/>
  </r>
  <r>
    <n v="101862"/>
    <d v="2025-10-24T00:00:00"/>
    <n v="1126"/>
    <x v="1"/>
    <x v="2"/>
    <x v="3"/>
    <x v="3"/>
    <x v="2"/>
    <s v="UPI"/>
    <n v="13.65"/>
    <n v="12.65"/>
    <x v="3"/>
    <n v="0"/>
    <n v="172.67"/>
    <n v="82.97"/>
    <n v="10.37"/>
    <n v="1.21"/>
    <n v="4.41"/>
    <n v="0"/>
    <n v="0"/>
    <n v="98.96"/>
    <n v="73.709999999999994"/>
    <s v="Profit"/>
    <x v="0"/>
    <n v="15"/>
    <n v="17"/>
    <s v="0-15"/>
    <s v="Yes"/>
    <n v="1"/>
    <s v="At Risk"/>
    <n v="1"/>
  </r>
  <r>
    <n v="101863"/>
    <d v="2025-12-08T00:00:00"/>
    <n v="1052"/>
    <x v="0"/>
    <x v="6"/>
    <x v="1"/>
    <x v="3"/>
    <x v="0"/>
    <s v="UPI"/>
    <n v="20.72"/>
    <n v="13.65"/>
    <x v="1"/>
    <n v="56.57"/>
    <n v="226.26"/>
    <n v="188.51"/>
    <n v="8.8800000000000008"/>
    <n v="1.98"/>
    <n v="4.16"/>
    <n v="0"/>
    <n v="0"/>
    <n v="203.53"/>
    <n v="22.73"/>
    <s v="Profit"/>
    <x v="0"/>
    <n v="7"/>
    <n v="3"/>
    <s v="0-15"/>
    <s v="No"/>
    <n v="0"/>
    <s v="Healthy"/>
    <n v="0"/>
  </r>
  <r>
    <n v="101864"/>
    <d v="2025-12-27T00:00:00"/>
    <n v="1014"/>
    <x v="0"/>
    <x v="0"/>
    <x v="0"/>
    <x v="0"/>
    <x v="0"/>
    <s v="UPI"/>
    <n v="22.56"/>
    <n v="18.95"/>
    <x v="3"/>
    <n v="0"/>
    <n v="427.51"/>
    <n v="128.15"/>
    <n v="8.31"/>
    <n v="2.99"/>
    <n v="3.34"/>
    <n v="0"/>
    <n v="0"/>
    <n v="142.79"/>
    <n v="284.72000000000003"/>
    <s v="Profit"/>
    <x v="0"/>
    <n v="9"/>
    <n v="6"/>
    <s v="0-15"/>
    <s v="No"/>
    <n v="0"/>
    <s v="Healthy"/>
    <n v="0"/>
  </r>
  <r>
    <n v="101865"/>
    <d v="2025-12-04T00:00:00"/>
    <n v="1041"/>
    <x v="1"/>
    <x v="2"/>
    <x v="4"/>
    <x v="3"/>
    <x v="1"/>
    <s v="Fleet_Invoice"/>
    <n v="19.62"/>
    <n v="12.95"/>
    <x v="4"/>
    <n v="12.7"/>
    <n v="241.38"/>
    <n v="149.80000000000001"/>
    <n v="2.5099999999999998"/>
    <n v="1.02"/>
    <n v="7.86"/>
    <n v="0"/>
    <n v="0"/>
    <n v="161.19"/>
    <n v="80.19"/>
    <s v="Profit"/>
    <x v="0"/>
    <n v="17"/>
    <n v="5"/>
    <s v="16-30"/>
    <s v="No"/>
    <n v="0"/>
    <s v="Healthy"/>
    <n v="0"/>
  </r>
  <r>
    <n v="101866"/>
    <d v="2025-12-17T00:00:00"/>
    <n v="1144"/>
    <x v="3"/>
    <x v="14"/>
    <x v="0"/>
    <x v="0"/>
    <x v="0"/>
    <s v="Fleet_Invoice"/>
    <n v="16.77"/>
    <n v="20.09"/>
    <x v="2"/>
    <n v="33.69"/>
    <n v="303.22000000000003"/>
    <n v="121.63"/>
    <n v="4.8600000000000003"/>
    <n v="1.35"/>
    <n v="2.7"/>
    <n v="0"/>
    <n v="0"/>
    <n v="130.54"/>
    <n v="172.68"/>
    <s v="Profit"/>
    <x v="0"/>
    <n v="0"/>
    <n v="13"/>
    <s v="0-15"/>
    <s v="No"/>
    <n v="1"/>
    <s v="Healthy"/>
    <n v="0"/>
  </r>
  <r>
    <n v="101867"/>
    <d v="2025-11-10T00:00:00"/>
    <n v="1045"/>
    <x v="1"/>
    <x v="13"/>
    <x v="4"/>
    <x v="0"/>
    <x v="0"/>
    <s v="UPI"/>
    <n v="23.74"/>
    <n v="19.77"/>
    <x v="2"/>
    <n v="46.93"/>
    <n v="422.41"/>
    <n v="167.44"/>
    <n v="4.29"/>
    <n v="3.29"/>
    <n v="12.09"/>
    <n v="0"/>
    <n v="0"/>
    <n v="187.11"/>
    <n v="235.3"/>
    <s v="Profit"/>
    <x v="0"/>
    <n v="3"/>
    <n v="6"/>
    <s v="0-15"/>
    <s v="No"/>
    <n v="0"/>
    <s v="Healthy"/>
    <n v="0"/>
  </r>
  <r>
    <n v="101868"/>
    <d v="2025-12-25T00:00:00"/>
    <n v="1093"/>
    <x v="2"/>
    <x v="5"/>
    <x v="3"/>
    <x v="3"/>
    <x v="2"/>
    <s v="Fleet_Invoice"/>
    <n v="16.829999999999998"/>
    <n v="12.62"/>
    <x v="1"/>
    <n v="42.48"/>
    <n v="169.91"/>
    <n v="126.67"/>
    <n v="8.64"/>
    <n v="0.85"/>
    <n v="11.28"/>
    <n v="0"/>
    <n v="0"/>
    <n v="147.44"/>
    <n v="22.47"/>
    <s v="Profit"/>
    <x v="0"/>
    <n v="12"/>
    <n v="5"/>
    <s v="0-15"/>
    <s v="No"/>
    <n v="0"/>
    <s v="Healthy"/>
    <n v="0"/>
  </r>
  <r>
    <n v="101869"/>
    <d v="2025-12-23T00:00:00"/>
    <n v="1033"/>
    <x v="3"/>
    <x v="14"/>
    <x v="1"/>
    <x v="3"/>
    <x v="1"/>
    <s v="UPI"/>
    <n v="10.54"/>
    <n v="15.7"/>
    <x v="4"/>
    <n v="8.27"/>
    <n v="157.21"/>
    <n v="96.79"/>
    <n v="13.47"/>
    <n v="1.1599999999999999"/>
    <n v="1.47"/>
    <n v="0"/>
    <n v="0"/>
    <n v="112.89"/>
    <n v="44.32"/>
    <s v="Profit"/>
    <x v="0"/>
    <n v="10"/>
    <n v="10"/>
    <s v="0-15"/>
    <s v="No"/>
    <n v="0"/>
    <s v="Healthy"/>
    <n v="0"/>
  </r>
  <r>
    <n v="101870"/>
    <d v="2025-11-20T00:00:00"/>
    <n v="1113"/>
    <x v="1"/>
    <x v="4"/>
    <x v="1"/>
    <x v="2"/>
    <x v="0"/>
    <s v="UPI"/>
    <n v="35.46"/>
    <n v="18.37"/>
    <x v="2"/>
    <n v="65.14"/>
    <n v="586.26"/>
    <n v="209.92"/>
    <n v="9.4499999999999993"/>
    <n v="4.5599999999999996"/>
    <n v="11.49"/>
    <n v="296.89"/>
    <n v="0"/>
    <n v="532.30999999999995"/>
    <n v="53.95"/>
    <s v="Profit"/>
    <x v="1"/>
    <n v="7"/>
    <n v="17"/>
    <s v="0-15"/>
    <s v="Yes"/>
    <n v="3"/>
    <s v="At Risk"/>
    <n v="1"/>
  </r>
  <r>
    <n v="101871"/>
    <d v="2025-12-07T00:00:00"/>
    <n v="1103"/>
    <x v="1"/>
    <x v="4"/>
    <x v="4"/>
    <x v="2"/>
    <x v="0"/>
    <s v="Card"/>
    <n v="29.37"/>
    <n v="19.05"/>
    <x v="3"/>
    <n v="0"/>
    <n v="559.5"/>
    <n v="235.75"/>
    <n v="8.4"/>
    <n v="8.39"/>
    <n v="4.8899999999999997"/>
    <n v="0"/>
    <n v="0"/>
    <n v="257.43"/>
    <n v="302.07"/>
    <s v="Profit"/>
    <x v="0"/>
    <n v="18"/>
    <n v="9"/>
    <s v="16-30"/>
    <s v="No"/>
    <n v="0"/>
    <s v="Healthy"/>
    <n v="0"/>
  </r>
  <r>
    <n v="101872"/>
    <d v="2025-11-25T00:00:00"/>
    <n v="1015"/>
    <x v="1"/>
    <x v="2"/>
    <x v="1"/>
    <x v="1"/>
    <x v="2"/>
    <s v="UPI"/>
    <n v="29.88"/>
    <n v="15.83"/>
    <x v="0"/>
    <n v="70.95"/>
    <n v="402.05"/>
    <n v="260.33999999999997"/>
    <n v="19.14"/>
    <n v="3.31"/>
    <n v="7.11"/>
    <n v="0"/>
    <n v="0"/>
    <n v="289.89999999999998"/>
    <n v="112.15"/>
    <s v="Profit"/>
    <x v="0"/>
    <n v="29"/>
    <n v="0"/>
    <s v="16-30"/>
    <s v="Yes"/>
    <n v="1"/>
    <s v="At Risk"/>
    <n v="1"/>
  </r>
  <r>
    <n v="101873"/>
    <d v="2025-12-16T00:00:00"/>
    <n v="1041"/>
    <x v="3"/>
    <x v="15"/>
    <x v="1"/>
    <x v="2"/>
    <x v="0"/>
    <s v="Wallet"/>
    <n v="37.299999999999997"/>
    <n v="17.190000000000001"/>
    <x v="3"/>
    <n v="0"/>
    <n v="641.19000000000005"/>
    <n v="299.88"/>
    <n v="12.37"/>
    <n v="7.69"/>
    <n v="5.1100000000000003"/>
    <n v="0"/>
    <n v="0"/>
    <n v="325.05"/>
    <n v="316.14"/>
    <s v="Profit"/>
    <x v="0"/>
    <n v="13"/>
    <n v="0"/>
    <s v="0-15"/>
    <s v="No"/>
    <n v="2"/>
    <s v="Healthy"/>
    <n v="0"/>
  </r>
  <r>
    <n v="101874"/>
    <d v="2025-12-08T00:00:00"/>
    <n v="1093"/>
    <x v="1"/>
    <x v="4"/>
    <x v="3"/>
    <x v="3"/>
    <x v="1"/>
    <s v="UPI"/>
    <n v="25.45"/>
    <n v="11.78"/>
    <x v="3"/>
    <n v="0"/>
    <n v="299.8"/>
    <n v="214.67"/>
    <n v="7.16"/>
    <n v="2.1"/>
    <n v="4.92"/>
    <n v="0"/>
    <n v="0"/>
    <n v="228.85"/>
    <n v="70.95"/>
    <s v="Profit"/>
    <x v="0"/>
    <n v="12"/>
    <n v="5"/>
    <s v="0-15"/>
    <s v="No"/>
    <n v="0"/>
    <s v="Healthy"/>
    <n v="0"/>
  </r>
  <r>
    <n v="101875"/>
    <d v="2025-12-08T00:00:00"/>
    <n v="1082"/>
    <x v="3"/>
    <x v="14"/>
    <x v="0"/>
    <x v="3"/>
    <x v="1"/>
    <s v="Wallet"/>
    <n v="13.33"/>
    <n v="12.42"/>
    <x v="2"/>
    <n v="16.559999999999999"/>
    <n v="149"/>
    <n v="96.1"/>
    <n v="10.64"/>
    <n v="1.99"/>
    <n v="1.04"/>
    <n v="0"/>
    <n v="0"/>
    <n v="109.77"/>
    <n v="39.229999999999997"/>
    <s v="Profit"/>
    <x v="0"/>
    <n v="0"/>
    <n v="12"/>
    <s v="0-15"/>
    <s v="No"/>
    <n v="0"/>
    <s v="Healthy"/>
    <n v="0"/>
  </r>
  <r>
    <n v="101876"/>
    <d v="2025-12-23T00:00:00"/>
    <n v="1057"/>
    <x v="3"/>
    <x v="14"/>
    <x v="2"/>
    <x v="1"/>
    <x v="0"/>
    <s v="UPI"/>
    <n v="28.41"/>
    <n v="15.33"/>
    <x v="3"/>
    <n v="0"/>
    <n v="435.53"/>
    <n v="180.84"/>
    <n v="5.86"/>
    <n v="3.05"/>
    <n v="6.37"/>
    <n v="0"/>
    <n v="0"/>
    <n v="196.12"/>
    <n v="239.41"/>
    <s v="Profit"/>
    <x v="0"/>
    <n v="6"/>
    <n v="23"/>
    <s v="0-15"/>
    <s v="Yes"/>
    <n v="1"/>
    <s v="At Risk"/>
    <n v="1"/>
  </r>
  <r>
    <n v="101877"/>
    <d v="2025-12-15T00:00:00"/>
    <n v="1141"/>
    <x v="2"/>
    <x v="12"/>
    <x v="1"/>
    <x v="2"/>
    <x v="2"/>
    <s v="UPI"/>
    <n v="21.36"/>
    <n v="19.170000000000002"/>
    <x v="2"/>
    <n v="40.950000000000003"/>
    <n v="368.52"/>
    <n v="146.31"/>
    <n v="1"/>
    <n v="2.87"/>
    <n v="11.15"/>
    <n v="0"/>
    <n v="0"/>
    <n v="161.33000000000001"/>
    <n v="207.19"/>
    <s v="Profit"/>
    <x v="0"/>
    <n v="10"/>
    <n v="2"/>
    <s v="0-15"/>
    <s v="No"/>
    <n v="0"/>
    <s v="Healthy"/>
    <n v="0"/>
  </r>
  <r>
    <n v="101878"/>
    <d v="2025-11-11T00:00:00"/>
    <n v="1059"/>
    <x v="1"/>
    <x v="13"/>
    <x v="4"/>
    <x v="3"/>
    <x v="0"/>
    <s v="Wallet"/>
    <n v="19.89"/>
    <n v="12.13"/>
    <x v="4"/>
    <n v="12.06"/>
    <n v="229.21"/>
    <n v="130.80000000000001"/>
    <n v="7.21"/>
    <n v="2.9"/>
    <n v="5.42"/>
    <n v="0"/>
    <n v="0"/>
    <n v="146.33000000000001"/>
    <n v="82.88"/>
    <s v="Profit"/>
    <x v="0"/>
    <n v="16"/>
    <n v="12"/>
    <s v="16-30"/>
    <s v="No"/>
    <n v="0"/>
    <s v="Healthy"/>
    <n v="0"/>
  </r>
  <r>
    <n v="101879"/>
    <d v="2025-12-15T00:00:00"/>
    <n v="1040"/>
    <x v="1"/>
    <x v="2"/>
    <x v="3"/>
    <x v="3"/>
    <x v="0"/>
    <s v="Card"/>
    <n v="14.19"/>
    <n v="11.96"/>
    <x v="3"/>
    <n v="0"/>
    <n v="169.71"/>
    <n v="96.01"/>
    <n v="10.87"/>
    <n v="2.5499999999999998"/>
    <n v="9.67"/>
    <n v="0"/>
    <n v="0"/>
    <n v="119.1"/>
    <n v="50.61"/>
    <s v="Profit"/>
    <x v="0"/>
    <n v="43"/>
    <n v="59"/>
    <s v="30+"/>
    <s v="Yes"/>
    <n v="1"/>
    <s v="At Risk"/>
    <n v="1"/>
  </r>
  <r>
    <n v="101880"/>
    <d v="2025-12-03T00:00:00"/>
    <n v="1121"/>
    <x v="3"/>
    <x v="14"/>
    <x v="1"/>
    <x v="3"/>
    <x v="0"/>
    <s v="UPI"/>
    <n v="12.98"/>
    <n v="12.61"/>
    <x v="3"/>
    <n v="0"/>
    <n v="163.68"/>
    <n v="106.66"/>
    <n v="10.6"/>
    <n v="1.1499999999999999"/>
    <n v="6.12"/>
    <n v="0"/>
    <n v="0"/>
    <n v="124.53"/>
    <n v="39.15"/>
    <s v="Profit"/>
    <x v="0"/>
    <n v="15"/>
    <n v="18"/>
    <s v="0-15"/>
    <s v="Yes"/>
    <n v="4"/>
    <s v="At Risk"/>
    <n v="1"/>
  </r>
  <r>
    <n v="101881"/>
    <d v="2025-10-04T00:00:00"/>
    <n v="1117"/>
    <x v="2"/>
    <x v="5"/>
    <x v="2"/>
    <x v="1"/>
    <x v="0"/>
    <s v="Card"/>
    <n v="32.96"/>
    <n v="15.97"/>
    <x v="3"/>
    <n v="0"/>
    <n v="526.37"/>
    <n v="219.67"/>
    <n v="8.77"/>
    <n v="7.9"/>
    <n v="6.38"/>
    <n v="0"/>
    <n v="0"/>
    <n v="242.72"/>
    <n v="283.64999999999998"/>
    <s v="Profit"/>
    <x v="0"/>
    <n v="47"/>
    <n v="1"/>
    <s v="30+"/>
    <s v="Yes"/>
    <n v="1"/>
    <s v="At Risk"/>
    <n v="1"/>
  </r>
  <r>
    <n v="101882"/>
    <d v="2025-11-14T00:00:00"/>
    <n v="1054"/>
    <x v="2"/>
    <x v="9"/>
    <x v="3"/>
    <x v="3"/>
    <x v="0"/>
    <s v="Card"/>
    <n v="21.25"/>
    <n v="13.11"/>
    <x v="3"/>
    <n v="0"/>
    <n v="278.58999999999997"/>
    <n v="163.1"/>
    <n v="9.43"/>
    <n v="4.18"/>
    <n v="6.08"/>
    <n v="0"/>
    <n v="0"/>
    <n v="182.79"/>
    <n v="95.8"/>
    <s v="Profit"/>
    <x v="0"/>
    <n v="33"/>
    <n v="21"/>
    <s v="30+"/>
    <s v="Yes"/>
    <n v="2"/>
    <s v="At Risk"/>
    <n v="1"/>
  </r>
  <r>
    <n v="101883"/>
    <d v="2025-10-23T00:00:00"/>
    <n v="1071"/>
    <x v="1"/>
    <x v="13"/>
    <x v="0"/>
    <x v="3"/>
    <x v="0"/>
    <s v="Card"/>
    <n v="9.57"/>
    <n v="12.98"/>
    <x v="2"/>
    <n v="12.42"/>
    <n v="111.8"/>
    <n v="65.790000000000006"/>
    <n v="10.68"/>
    <n v="1.86"/>
    <n v="0.66"/>
    <n v="0"/>
    <n v="0"/>
    <n v="78.989999999999995"/>
    <n v="32.81"/>
    <s v="Profit"/>
    <x v="0"/>
    <n v="9"/>
    <n v="3"/>
    <s v="0-15"/>
    <s v="No"/>
    <n v="0"/>
    <s v="Healthy"/>
    <n v="0"/>
  </r>
  <r>
    <n v="101884"/>
    <d v="2025-11-17T00:00:00"/>
    <n v="1142"/>
    <x v="1"/>
    <x v="13"/>
    <x v="1"/>
    <x v="3"/>
    <x v="0"/>
    <s v="Fleet_Invoice"/>
    <n v="20.61"/>
    <n v="12.57"/>
    <x v="0"/>
    <n v="38.86"/>
    <n v="220.21"/>
    <n v="153.68"/>
    <n v="1"/>
    <n v="1.04"/>
    <n v="0"/>
    <n v="222.92"/>
    <n v="0"/>
    <n v="378.64"/>
    <n v="-158.43"/>
    <s v="Loss"/>
    <x v="2"/>
    <n v="6"/>
    <n v="12"/>
    <s v="0-15"/>
    <s v="No"/>
    <n v="2"/>
    <s v="At Risk"/>
    <n v="0"/>
  </r>
  <r>
    <n v="101885"/>
    <d v="2025-12-21T00:00:00"/>
    <n v="1053"/>
    <x v="0"/>
    <x v="0"/>
    <x v="4"/>
    <x v="3"/>
    <x v="0"/>
    <s v="Wallet"/>
    <n v="8.5399999999999991"/>
    <n v="11.57"/>
    <x v="2"/>
    <n v="9.8800000000000008"/>
    <n v="88.93"/>
    <n v="71.02"/>
    <n v="7.36"/>
    <n v="1.19"/>
    <n v="10.99"/>
    <n v="0"/>
    <n v="0"/>
    <n v="90.56"/>
    <n v="-1.63"/>
    <s v="Loss"/>
    <x v="0"/>
    <n v="0"/>
    <n v="10"/>
    <s v="0-15"/>
    <s v="No"/>
    <n v="0"/>
    <s v="Healthy"/>
    <n v="0"/>
  </r>
  <r>
    <n v="101886"/>
    <d v="2025-10-31T00:00:00"/>
    <n v="1083"/>
    <x v="2"/>
    <x v="5"/>
    <x v="2"/>
    <x v="0"/>
    <x v="0"/>
    <s v="UPI"/>
    <n v="37.69"/>
    <n v="19.059999999999999"/>
    <x v="3"/>
    <n v="0"/>
    <n v="718.37"/>
    <n v="306.94"/>
    <n v="14.5"/>
    <n v="5.03"/>
    <n v="15.47"/>
    <n v="0"/>
    <n v="0"/>
    <n v="341.94"/>
    <n v="376.43"/>
    <s v="Profit"/>
    <x v="0"/>
    <n v="3"/>
    <n v="3"/>
    <s v="0-15"/>
    <s v="No"/>
    <n v="0"/>
    <s v="Healthy"/>
    <n v="0"/>
  </r>
  <r>
    <n v="101887"/>
    <d v="2025-12-29T00:00:00"/>
    <n v="1117"/>
    <x v="2"/>
    <x v="10"/>
    <x v="0"/>
    <x v="1"/>
    <x v="0"/>
    <s v="UPI"/>
    <n v="52.81"/>
    <n v="14.26"/>
    <x v="2"/>
    <n v="75.31"/>
    <n v="677.76"/>
    <n v="348.73"/>
    <n v="4.6500000000000004"/>
    <n v="5.27"/>
    <n v="0"/>
    <n v="0"/>
    <n v="0"/>
    <n v="358.65"/>
    <n v="319.11"/>
    <s v="Profit"/>
    <x v="0"/>
    <n v="20"/>
    <n v="3"/>
    <s v="16-30"/>
    <s v="No"/>
    <n v="0"/>
    <s v="Healthy"/>
    <n v="0"/>
  </r>
  <r>
    <n v="101888"/>
    <d v="2025-12-25T00:00:00"/>
    <n v="1072"/>
    <x v="2"/>
    <x v="12"/>
    <x v="2"/>
    <x v="2"/>
    <x v="2"/>
    <s v="Card"/>
    <n v="30.91"/>
    <n v="18.63"/>
    <x v="3"/>
    <n v="0"/>
    <n v="575.85"/>
    <n v="268.82"/>
    <n v="2.77"/>
    <n v="8.64"/>
    <n v="3.19"/>
    <n v="0"/>
    <n v="0"/>
    <n v="283.42"/>
    <n v="292.43"/>
    <s v="Profit"/>
    <x v="0"/>
    <n v="8"/>
    <n v="6"/>
    <s v="0-15"/>
    <s v="No"/>
    <n v="2"/>
    <s v="Healthy"/>
    <n v="0"/>
  </r>
  <r>
    <n v="101889"/>
    <d v="2025-11-19T00:00:00"/>
    <n v="1116"/>
    <x v="3"/>
    <x v="15"/>
    <x v="1"/>
    <x v="0"/>
    <x v="0"/>
    <s v="Fleet_Invoice"/>
    <n v="24.24"/>
    <n v="19.059999999999999"/>
    <x v="0"/>
    <n v="69.3"/>
    <n v="392.71"/>
    <n v="181.48"/>
    <n v="8.31"/>
    <n v="1.85"/>
    <n v="3.6"/>
    <n v="0"/>
    <n v="0"/>
    <n v="195.24"/>
    <n v="197.47"/>
    <s v="Profit"/>
    <x v="0"/>
    <n v="0"/>
    <n v="11"/>
    <s v="0-15"/>
    <s v="No"/>
    <n v="0"/>
    <s v="Healthy"/>
    <n v="0"/>
  </r>
  <r>
    <n v="101890"/>
    <d v="2025-10-17T00:00:00"/>
    <n v="1093"/>
    <x v="0"/>
    <x v="1"/>
    <x v="2"/>
    <x v="3"/>
    <x v="0"/>
    <s v="UPI"/>
    <n v="28.76"/>
    <n v="12.72"/>
    <x v="3"/>
    <n v="0"/>
    <n v="365.83"/>
    <n v="225.21"/>
    <n v="7.01"/>
    <n v="2.56"/>
    <n v="9.7899999999999991"/>
    <n v="0"/>
    <n v="0"/>
    <n v="244.57"/>
    <n v="121.26"/>
    <s v="Profit"/>
    <x v="0"/>
    <n v="59"/>
    <n v="2"/>
    <s v="30+"/>
    <s v="Yes"/>
    <n v="1"/>
    <s v="At Risk"/>
    <n v="1"/>
  </r>
  <r>
    <n v="101891"/>
    <d v="2025-10-07T00:00:00"/>
    <n v="1116"/>
    <x v="0"/>
    <x v="6"/>
    <x v="1"/>
    <x v="1"/>
    <x v="1"/>
    <s v="Fleet_Invoice"/>
    <n v="33.35"/>
    <n v="16.059999999999999"/>
    <x v="0"/>
    <n v="80.34"/>
    <n v="455.26"/>
    <n v="299.20999999999998"/>
    <n v="11.01"/>
    <n v="2.14"/>
    <n v="10.14"/>
    <n v="0"/>
    <n v="0"/>
    <n v="322.5"/>
    <n v="132.76"/>
    <s v="Profit"/>
    <x v="0"/>
    <n v="14"/>
    <n v="4"/>
    <s v="0-15"/>
    <s v="No"/>
    <n v="0"/>
    <s v="Healthy"/>
    <n v="0"/>
  </r>
  <r>
    <n v="101892"/>
    <d v="2025-12-27T00:00:00"/>
    <n v="1006"/>
    <x v="0"/>
    <x v="6"/>
    <x v="1"/>
    <x v="3"/>
    <x v="2"/>
    <s v="Card"/>
    <n v="7.32"/>
    <n v="12.79"/>
    <x v="0"/>
    <n v="14.04"/>
    <n v="79.58"/>
    <n v="43.51"/>
    <n v="5.72"/>
    <n v="1.4"/>
    <n v="6.57"/>
    <n v="0"/>
    <n v="0"/>
    <n v="57.2"/>
    <n v="22.38"/>
    <s v="Profit"/>
    <x v="0"/>
    <n v="4"/>
    <n v="4"/>
    <s v="0-15"/>
    <s v="No"/>
    <n v="0"/>
    <s v="Healthy"/>
    <n v="0"/>
  </r>
  <r>
    <n v="101893"/>
    <d v="2025-10-13T00:00:00"/>
    <n v="1026"/>
    <x v="2"/>
    <x v="9"/>
    <x v="1"/>
    <x v="3"/>
    <x v="0"/>
    <s v="UPI"/>
    <n v="33.54"/>
    <n v="12.64"/>
    <x v="3"/>
    <n v="0"/>
    <n v="423.95"/>
    <n v="302.93"/>
    <n v="7.53"/>
    <n v="2.97"/>
    <n v="8.89"/>
    <n v="0"/>
    <n v="0"/>
    <n v="322.32"/>
    <n v="101.63"/>
    <s v="Profit"/>
    <x v="0"/>
    <n v="16"/>
    <n v="1"/>
    <s v="16-30"/>
    <s v="No"/>
    <n v="0"/>
    <s v="Healthy"/>
    <n v="0"/>
  </r>
  <r>
    <n v="101894"/>
    <d v="2025-12-26T00:00:00"/>
    <n v="1037"/>
    <x v="0"/>
    <x v="0"/>
    <x v="4"/>
    <x v="1"/>
    <x v="0"/>
    <s v="UPI"/>
    <n v="21.94"/>
    <n v="15.27"/>
    <x v="0"/>
    <n v="50.25"/>
    <n v="284.77"/>
    <n v="133.68"/>
    <n v="6.93"/>
    <n v="2.35"/>
    <n v="5.47"/>
    <n v="0"/>
    <n v="0"/>
    <n v="148.43"/>
    <n v="136.34"/>
    <s v="Profit"/>
    <x v="0"/>
    <n v="4"/>
    <n v="1"/>
    <s v="0-15"/>
    <s v="No"/>
    <n v="0"/>
    <s v="Healthy"/>
    <n v="0"/>
  </r>
  <r>
    <n v="101895"/>
    <d v="2025-11-07T00:00:00"/>
    <n v="1101"/>
    <x v="1"/>
    <x v="13"/>
    <x v="4"/>
    <x v="3"/>
    <x v="0"/>
    <s v="UPI"/>
    <n v="21.07"/>
    <n v="12.12"/>
    <x v="3"/>
    <n v="0"/>
    <n v="255.37"/>
    <n v="139.62"/>
    <n v="9.07"/>
    <n v="1.79"/>
    <n v="6.16"/>
    <n v="217.86"/>
    <n v="0"/>
    <n v="374.5"/>
    <n v="-119.13"/>
    <s v="Loss"/>
    <x v="1"/>
    <n v="7"/>
    <n v="19"/>
    <s v="0-15"/>
    <s v="Yes"/>
    <n v="3"/>
    <s v="At Risk"/>
    <n v="1"/>
  </r>
  <r>
    <n v="101896"/>
    <d v="2025-12-01T00:00:00"/>
    <n v="1126"/>
    <x v="2"/>
    <x v="12"/>
    <x v="4"/>
    <x v="1"/>
    <x v="0"/>
    <s v="UPI"/>
    <n v="17.45"/>
    <n v="15.14"/>
    <x v="3"/>
    <n v="0"/>
    <n v="264.19"/>
    <n v="137.86000000000001"/>
    <n v="9.09"/>
    <n v="1.85"/>
    <n v="13.57"/>
    <n v="0"/>
    <n v="0"/>
    <n v="162.37"/>
    <n v="101.82"/>
    <s v="Profit"/>
    <x v="0"/>
    <n v="2"/>
    <n v="6"/>
    <s v="0-15"/>
    <s v="No"/>
    <n v="0"/>
    <s v="Healthy"/>
    <n v="0"/>
  </r>
  <r>
    <n v="101897"/>
    <d v="2025-10-16T00:00:00"/>
    <n v="1132"/>
    <x v="1"/>
    <x v="4"/>
    <x v="0"/>
    <x v="2"/>
    <x v="0"/>
    <s v="Card"/>
    <n v="30.83"/>
    <n v="18.079999999999998"/>
    <x v="0"/>
    <n v="83.61"/>
    <n v="473.8"/>
    <n v="191.61"/>
    <n v="6.39"/>
    <n v="8.36"/>
    <n v="0.8"/>
    <n v="0"/>
    <n v="0"/>
    <n v="207.16"/>
    <n v="266.64"/>
    <s v="Profit"/>
    <x v="0"/>
    <n v="27"/>
    <n v="6"/>
    <s v="16-30"/>
    <s v="Yes"/>
    <n v="1"/>
    <s v="At Risk"/>
    <n v="1"/>
  </r>
  <r>
    <n v="101898"/>
    <d v="2025-11-15T00:00:00"/>
    <n v="1024"/>
    <x v="2"/>
    <x v="12"/>
    <x v="3"/>
    <x v="3"/>
    <x v="0"/>
    <s v="Wallet"/>
    <n v="21.17"/>
    <n v="13.18"/>
    <x v="3"/>
    <n v="0"/>
    <n v="279.02"/>
    <n v="140.15"/>
    <n v="8.73"/>
    <n v="3.35"/>
    <n v="5.99"/>
    <n v="272.56"/>
    <n v="0"/>
    <n v="430.78"/>
    <n v="-151.76"/>
    <s v="Loss"/>
    <x v="2"/>
    <n v="0"/>
    <n v="18"/>
    <s v="0-15"/>
    <s v="Yes"/>
    <n v="2"/>
    <s v="At Risk"/>
    <n v="1"/>
  </r>
  <r>
    <n v="101899"/>
    <d v="2025-11-10T00:00:00"/>
    <n v="1134"/>
    <x v="2"/>
    <x v="12"/>
    <x v="3"/>
    <x v="3"/>
    <x v="0"/>
    <s v="Wallet"/>
    <n v="10.1"/>
    <n v="12.52"/>
    <x v="2"/>
    <n v="12.65"/>
    <n v="113.8"/>
    <n v="62.27"/>
    <n v="8.58"/>
    <n v="1.52"/>
    <n v="9.24"/>
    <n v="0"/>
    <n v="0"/>
    <n v="81.61"/>
    <n v="32.19"/>
    <s v="Profit"/>
    <x v="0"/>
    <n v="2"/>
    <n v="2"/>
    <s v="0-15"/>
    <s v="No"/>
    <n v="0"/>
    <s v="Healthy"/>
    <n v="0"/>
  </r>
  <r>
    <n v="101900"/>
    <d v="2025-12-24T00:00:00"/>
    <n v="1135"/>
    <x v="0"/>
    <x v="11"/>
    <x v="1"/>
    <x v="2"/>
    <x v="2"/>
    <s v="Wallet"/>
    <n v="37.6"/>
    <n v="17.57"/>
    <x v="3"/>
    <n v="0"/>
    <n v="660.63"/>
    <n v="315.94"/>
    <n v="8.0299999999999994"/>
    <n v="7.93"/>
    <n v="6.4"/>
    <n v="0"/>
    <n v="0"/>
    <n v="338.3"/>
    <n v="322.33"/>
    <s v="Profit"/>
    <x v="0"/>
    <n v="7"/>
    <n v="0"/>
    <s v="0-15"/>
    <s v="No"/>
    <n v="0"/>
    <s v="Healthy"/>
    <n v="0"/>
  </r>
  <r>
    <n v="101901"/>
    <d v="2025-10-04T00:00:00"/>
    <n v="1003"/>
    <x v="2"/>
    <x v="5"/>
    <x v="4"/>
    <x v="3"/>
    <x v="2"/>
    <s v="UPI"/>
    <n v="20.399999999999999"/>
    <n v="16.350000000000001"/>
    <x v="3"/>
    <n v="0"/>
    <n v="333.54"/>
    <n v="134.28"/>
    <n v="5.37"/>
    <n v="2.33"/>
    <n v="6.12"/>
    <n v="0"/>
    <n v="0"/>
    <n v="148.1"/>
    <n v="185.44"/>
    <s v="Profit"/>
    <x v="0"/>
    <n v="12"/>
    <n v="0"/>
    <s v="0-15"/>
    <s v="No"/>
    <n v="0"/>
    <s v="Healthy"/>
    <n v="0"/>
  </r>
  <r>
    <n v="101902"/>
    <d v="2025-10-12T00:00:00"/>
    <n v="1077"/>
    <x v="1"/>
    <x v="3"/>
    <x v="1"/>
    <x v="3"/>
    <x v="0"/>
    <s v="UPI"/>
    <n v="5.4"/>
    <n v="12.53"/>
    <x v="4"/>
    <n v="3.38"/>
    <n v="64.28"/>
    <n v="40.159999999999997"/>
    <n v="3.94"/>
    <n v="0.47"/>
    <n v="3.08"/>
    <n v="0"/>
    <n v="0"/>
    <n v="47.65"/>
    <n v="16.63"/>
    <s v="Profit"/>
    <x v="0"/>
    <n v="7"/>
    <n v="4"/>
    <s v="0-15"/>
    <s v="No"/>
    <n v="0"/>
    <s v="Healthy"/>
    <n v="0"/>
  </r>
  <r>
    <n v="101903"/>
    <d v="2025-10-18T00:00:00"/>
    <n v="1090"/>
    <x v="1"/>
    <x v="4"/>
    <x v="4"/>
    <x v="3"/>
    <x v="2"/>
    <s v="UPI"/>
    <n v="20.420000000000002"/>
    <n v="12.46"/>
    <x v="4"/>
    <n v="12.72"/>
    <n v="241.71"/>
    <n v="131.79"/>
    <n v="9.2100000000000009"/>
    <n v="1.78"/>
    <n v="7.53"/>
    <n v="0"/>
    <n v="0"/>
    <n v="150.31"/>
    <n v="91.4"/>
    <s v="Profit"/>
    <x v="0"/>
    <n v="17"/>
    <n v="10"/>
    <s v="16-30"/>
    <s v="No"/>
    <n v="1"/>
    <s v="Healthy"/>
    <n v="0"/>
  </r>
  <r>
    <n v="101904"/>
    <d v="2025-10-14T00:00:00"/>
    <n v="1132"/>
    <x v="1"/>
    <x v="2"/>
    <x v="2"/>
    <x v="1"/>
    <x v="2"/>
    <s v="UPI"/>
    <n v="20.66"/>
    <n v="15.3"/>
    <x v="3"/>
    <n v="0"/>
    <n v="316.10000000000002"/>
    <n v="132.44"/>
    <n v="5.86"/>
    <n v="2.21"/>
    <n v="6.25"/>
    <n v="0"/>
    <n v="0"/>
    <n v="146.76"/>
    <n v="169.34"/>
    <s v="Profit"/>
    <x v="0"/>
    <n v="11"/>
    <n v="6"/>
    <s v="0-15"/>
    <s v="No"/>
    <n v="0"/>
    <s v="Healthy"/>
    <n v="0"/>
  </r>
  <r>
    <n v="101905"/>
    <d v="2025-11-30T00:00:00"/>
    <n v="1023"/>
    <x v="0"/>
    <x v="0"/>
    <x v="2"/>
    <x v="2"/>
    <x v="0"/>
    <s v="Fleet_Invoice"/>
    <n v="29.6"/>
    <n v="19.399999999999999"/>
    <x v="4"/>
    <n v="28.71"/>
    <n v="545.53"/>
    <n v="234.92"/>
    <n v="6.73"/>
    <n v="2.2999999999999998"/>
    <n v="10.95"/>
    <n v="0"/>
    <n v="0"/>
    <n v="254.9"/>
    <n v="290.63"/>
    <s v="Profit"/>
    <x v="0"/>
    <n v="24"/>
    <n v="1"/>
    <s v="16-30"/>
    <s v="Yes"/>
    <n v="4"/>
    <s v="At Risk"/>
    <n v="1"/>
  </r>
  <r>
    <n v="101906"/>
    <d v="2025-12-06T00:00:00"/>
    <n v="1109"/>
    <x v="1"/>
    <x v="13"/>
    <x v="2"/>
    <x v="2"/>
    <x v="0"/>
    <s v="Card"/>
    <n v="28.43"/>
    <n v="16.79"/>
    <x v="4"/>
    <n v="23.87"/>
    <n v="453.47"/>
    <n v="179.51"/>
    <n v="5.9"/>
    <n v="7.16"/>
    <n v="2.79"/>
    <n v="0"/>
    <n v="0"/>
    <n v="195.36"/>
    <n v="258.11"/>
    <s v="Profit"/>
    <x v="0"/>
    <n v="5"/>
    <n v="0"/>
    <s v="0-15"/>
    <s v="No"/>
    <n v="0"/>
    <s v="Healthy"/>
    <n v="0"/>
  </r>
  <r>
    <n v="101907"/>
    <d v="2025-11-04T00:00:00"/>
    <n v="1142"/>
    <x v="2"/>
    <x v="12"/>
    <x v="3"/>
    <x v="1"/>
    <x v="0"/>
    <s v="Card"/>
    <n v="16.12"/>
    <n v="15.82"/>
    <x v="4"/>
    <n v="12.75"/>
    <n v="242.27"/>
    <n v="110.57"/>
    <n v="9.36"/>
    <n v="3.83"/>
    <n v="3.45"/>
    <n v="0"/>
    <n v="0"/>
    <n v="127.21"/>
    <n v="115.06"/>
    <s v="Profit"/>
    <x v="0"/>
    <n v="12"/>
    <n v="1"/>
    <s v="0-15"/>
    <s v="No"/>
    <n v="0"/>
    <s v="Healthy"/>
    <n v="0"/>
  </r>
  <r>
    <n v="101908"/>
    <d v="2025-12-07T00:00:00"/>
    <n v="1017"/>
    <x v="1"/>
    <x v="2"/>
    <x v="3"/>
    <x v="0"/>
    <x v="0"/>
    <s v="UPI"/>
    <n v="28.45"/>
    <n v="19.63"/>
    <x v="3"/>
    <n v="0"/>
    <n v="558.47"/>
    <n v="175.94"/>
    <n v="12.16"/>
    <n v="3.91"/>
    <n v="7.62"/>
    <n v="0"/>
    <n v="0"/>
    <n v="199.63"/>
    <n v="358.84"/>
    <s v="Profit"/>
    <x v="0"/>
    <n v="16"/>
    <n v="7"/>
    <s v="16-30"/>
    <s v="No"/>
    <n v="0"/>
    <s v="Healthy"/>
    <n v="0"/>
  </r>
  <r>
    <n v="101909"/>
    <d v="2025-10-07T00:00:00"/>
    <n v="1076"/>
    <x v="3"/>
    <x v="7"/>
    <x v="4"/>
    <x v="1"/>
    <x v="0"/>
    <s v="Fleet_Invoice"/>
    <n v="13.97"/>
    <n v="15.02"/>
    <x v="3"/>
    <n v="0"/>
    <n v="209.83"/>
    <n v="87.99"/>
    <n v="13.65"/>
    <n v="0.84"/>
    <n v="5.61"/>
    <n v="142.58000000000001"/>
    <n v="0"/>
    <n v="250.67"/>
    <n v="-40.840000000000003"/>
    <s v="Loss"/>
    <x v="1"/>
    <n v="4"/>
    <n v="0"/>
    <s v="0-15"/>
    <s v="Yes"/>
    <n v="2"/>
    <s v="At Risk"/>
    <n v="1"/>
  </r>
  <r>
    <n v="101910"/>
    <d v="2025-10-20T00:00:00"/>
    <n v="1026"/>
    <x v="2"/>
    <x v="12"/>
    <x v="1"/>
    <x v="3"/>
    <x v="2"/>
    <s v="Fleet_Invoice"/>
    <n v="20.46"/>
    <n v="12.88"/>
    <x v="4"/>
    <n v="13.18"/>
    <n v="250.34"/>
    <n v="172.64"/>
    <n v="9.2100000000000009"/>
    <n v="1.05"/>
    <n v="7.12"/>
    <n v="0"/>
    <n v="0"/>
    <n v="190.02"/>
    <n v="60.32"/>
    <s v="Profit"/>
    <x v="0"/>
    <n v="5"/>
    <n v="16"/>
    <s v="0-15"/>
    <s v="Yes"/>
    <n v="1"/>
    <s v="At Risk"/>
    <n v="1"/>
  </r>
  <r>
    <n v="101911"/>
    <d v="2025-10-29T00:00:00"/>
    <n v="1071"/>
    <x v="2"/>
    <x v="10"/>
    <x v="0"/>
    <x v="2"/>
    <x v="0"/>
    <s v="UPI"/>
    <n v="20.87"/>
    <n v="17.43"/>
    <x v="1"/>
    <n v="72.75"/>
    <n v="291.01"/>
    <n v="146.16"/>
    <n v="1"/>
    <n v="2.5499999999999998"/>
    <n v="1.78"/>
    <n v="0"/>
    <n v="0"/>
    <n v="151.49"/>
    <n v="139.52000000000001"/>
    <s v="Profit"/>
    <x v="0"/>
    <n v="7"/>
    <n v="19"/>
    <s v="0-15"/>
    <s v="Yes"/>
    <n v="1"/>
    <s v="At Risk"/>
    <n v="1"/>
  </r>
  <r>
    <n v="101912"/>
    <d v="2025-12-09T00:00:00"/>
    <n v="1009"/>
    <x v="1"/>
    <x v="2"/>
    <x v="1"/>
    <x v="3"/>
    <x v="2"/>
    <s v="Card"/>
    <n v="29.39"/>
    <n v="13"/>
    <x v="3"/>
    <n v="0"/>
    <n v="382.07"/>
    <n v="226.12"/>
    <n v="10.48"/>
    <n v="5.73"/>
    <n v="2.71"/>
    <n v="216.21"/>
    <n v="14.9"/>
    <n v="476.15"/>
    <n v="-94.08"/>
    <s v="Loss"/>
    <x v="2"/>
    <n v="12"/>
    <n v="12"/>
    <s v="0-15"/>
    <s v="No"/>
    <n v="1"/>
    <s v="At Risk"/>
    <n v="0"/>
  </r>
  <r>
    <n v="101913"/>
    <d v="2025-11-06T00:00:00"/>
    <n v="1078"/>
    <x v="2"/>
    <x v="12"/>
    <x v="3"/>
    <x v="2"/>
    <x v="1"/>
    <s v="UPI"/>
    <n v="28.24"/>
    <n v="16.95"/>
    <x v="4"/>
    <n v="23.93"/>
    <n v="454.74"/>
    <n v="218.89"/>
    <n v="10.97"/>
    <n v="3.35"/>
    <n v="2.42"/>
    <n v="0"/>
    <n v="0"/>
    <n v="235.63"/>
    <n v="219.11"/>
    <s v="Profit"/>
    <x v="0"/>
    <n v="9"/>
    <n v="1"/>
    <s v="0-15"/>
    <s v="No"/>
    <n v="0"/>
    <s v="Healthy"/>
    <n v="0"/>
  </r>
  <r>
    <n v="101914"/>
    <d v="2025-11-19T00:00:00"/>
    <n v="1078"/>
    <x v="0"/>
    <x v="6"/>
    <x v="0"/>
    <x v="3"/>
    <x v="0"/>
    <s v="Wallet"/>
    <n v="10.81"/>
    <n v="12.26"/>
    <x v="4"/>
    <n v="6.63"/>
    <n v="125.9"/>
    <n v="81.34"/>
    <n v="10.25"/>
    <n v="1.59"/>
    <n v="5.32"/>
    <n v="0"/>
    <n v="0"/>
    <n v="98.5"/>
    <n v="27.4"/>
    <s v="Profit"/>
    <x v="0"/>
    <n v="39"/>
    <n v="19"/>
    <s v="30+"/>
    <s v="Yes"/>
    <n v="2"/>
    <s v="At Risk"/>
    <n v="1"/>
  </r>
  <r>
    <n v="101915"/>
    <d v="2025-10-22T00:00:00"/>
    <n v="1102"/>
    <x v="0"/>
    <x v="1"/>
    <x v="0"/>
    <x v="0"/>
    <x v="1"/>
    <s v="Wallet"/>
    <n v="31.02"/>
    <n v="19.39"/>
    <x v="2"/>
    <n v="60.15"/>
    <n v="541.33000000000004"/>
    <n v="264.93"/>
    <n v="11.43"/>
    <n v="7.22"/>
    <n v="8.67"/>
    <n v="0"/>
    <n v="0"/>
    <n v="292.25"/>
    <n v="249.08"/>
    <s v="Profit"/>
    <x v="0"/>
    <n v="6"/>
    <n v="1"/>
    <s v="0-15"/>
    <s v="No"/>
    <n v="0"/>
    <s v="Healthy"/>
    <n v="0"/>
  </r>
  <r>
    <n v="101916"/>
    <d v="2025-10-16T00:00:00"/>
    <n v="1096"/>
    <x v="0"/>
    <x v="0"/>
    <x v="1"/>
    <x v="0"/>
    <x v="0"/>
    <s v="UPI"/>
    <n v="22.31"/>
    <n v="21.67"/>
    <x v="1"/>
    <n v="96.69"/>
    <n v="386.77"/>
    <n v="175.92"/>
    <n v="11.8"/>
    <n v="3.38"/>
    <n v="0"/>
    <n v="0"/>
    <n v="0"/>
    <n v="191.1"/>
    <n v="195.67"/>
    <s v="Profit"/>
    <x v="0"/>
    <n v="3"/>
    <n v="7"/>
    <s v="0-15"/>
    <s v="No"/>
    <n v="0"/>
    <s v="Healthy"/>
    <n v="0"/>
  </r>
  <r>
    <n v="101917"/>
    <d v="2025-10-01T00:00:00"/>
    <n v="1085"/>
    <x v="0"/>
    <x v="1"/>
    <x v="1"/>
    <x v="2"/>
    <x v="2"/>
    <s v="Wallet"/>
    <n v="23.56"/>
    <n v="17.71"/>
    <x v="4"/>
    <n v="20.86"/>
    <n v="396.39"/>
    <n v="147.66999999999999"/>
    <n v="8.6199999999999992"/>
    <n v="5.01"/>
    <n v="9.9600000000000009"/>
    <n v="0"/>
    <n v="0"/>
    <n v="171.26"/>
    <n v="225.13"/>
    <s v="Profit"/>
    <x v="0"/>
    <n v="2"/>
    <n v="1"/>
    <s v="0-15"/>
    <s v="No"/>
    <n v="0"/>
    <s v="Healthy"/>
    <n v="0"/>
  </r>
  <r>
    <n v="101918"/>
    <d v="2025-11-15T00:00:00"/>
    <n v="1092"/>
    <x v="0"/>
    <x v="0"/>
    <x v="0"/>
    <x v="1"/>
    <x v="0"/>
    <s v="Wallet"/>
    <n v="26.21"/>
    <n v="15.37"/>
    <x v="4"/>
    <n v="20.14"/>
    <n v="382.71"/>
    <n v="190.24"/>
    <n v="8.18"/>
    <n v="4.83"/>
    <n v="6.14"/>
    <n v="0"/>
    <n v="0"/>
    <n v="209.39"/>
    <n v="173.32"/>
    <s v="Profit"/>
    <x v="0"/>
    <n v="22"/>
    <n v="17"/>
    <s v="16-30"/>
    <s v="Yes"/>
    <n v="2"/>
    <s v="At Risk"/>
    <n v="1"/>
  </r>
  <r>
    <n v="101919"/>
    <d v="2025-10-02T00:00:00"/>
    <n v="1083"/>
    <x v="3"/>
    <x v="7"/>
    <x v="2"/>
    <x v="3"/>
    <x v="2"/>
    <s v="UPI"/>
    <n v="15.56"/>
    <n v="13.58"/>
    <x v="3"/>
    <n v="0"/>
    <n v="211.3"/>
    <n v="125.48"/>
    <n v="7.27"/>
    <n v="1.48"/>
    <n v="7.16"/>
    <n v="0"/>
    <n v="0"/>
    <n v="141.38999999999999"/>
    <n v="69.91"/>
    <s v="Profit"/>
    <x v="0"/>
    <n v="11"/>
    <n v="2"/>
    <s v="0-15"/>
    <s v="No"/>
    <n v="0"/>
    <s v="Healthy"/>
    <n v="0"/>
  </r>
  <r>
    <n v="101920"/>
    <d v="2025-10-03T00:00:00"/>
    <n v="1011"/>
    <x v="0"/>
    <x v="6"/>
    <x v="0"/>
    <x v="3"/>
    <x v="1"/>
    <s v="UPI"/>
    <n v="20.69"/>
    <n v="12.13"/>
    <x v="3"/>
    <n v="0"/>
    <n v="250.97"/>
    <n v="154.15"/>
    <n v="7.46"/>
    <n v="1.76"/>
    <n v="10.73"/>
    <n v="0"/>
    <n v="0"/>
    <n v="174.1"/>
    <n v="76.87"/>
    <s v="Profit"/>
    <x v="0"/>
    <n v="1"/>
    <n v="4"/>
    <s v="0-15"/>
    <s v="No"/>
    <n v="0"/>
    <s v="Healthy"/>
    <n v="0"/>
  </r>
  <r>
    <n v="101921"/>
    <d v="2025-12-17T00:00:00"/>
    <n v="1145"/>
    <x v="1"/>
    <x v="4"/>
    <x v="0"/>
    <x v="1"/>
    <x v="1"/>
    <s v="Fleet_Invoice"/>
    <n v="27.54"/>
    <n v="14.85"/>
    <x v="4"/>
    <n v="20.45"/>
    <n v="388.52"/>
    <n v="165.73"/>
    <n v="7.25"/>
    <n v="1.64"/>
    <n v="0"/>
    <n v="0"/>
    <n v="0"/>
    <n v="174.62"/>
    <n v="213.9"/>
    <s v="Profit"/>
    <x v="0"/>
    <n v="21"/>
    <n v="10"/>
    <s v="16-30"/>
    <s v="Yes"/>
    <n v="2"/>
    <s v="At Risk"/>
    <n v="1"/>
  </r>
  <r>
    <n v="101922"/>
    <d v="2025-10-07T00:00:00"/>
    <n v="1039"/>
    <x v="1"/>
    <x v="13"/>
    <x v="2"/>
    <x v="3"/>
    <x v="0"/>
    <s v="UPI"/>
    <n v="27.87"/>
    <n v="13.76"/>
    <x v="0"/>
    <n v="57.52"/>
    <n v="325.97000000000003"/>
    <n v="237.43"/>
    <n v="4.5599999999999996"/>
    <n v="2.68"/>
    <n v="12.83"/>
    <n v="0"/>
    <n v="0"/>
    <n v="257.5"/>
    <n v="68.47"/>
    <s v="Profit"/>
    <x v="0"/>
    <n v="3"/>
    <n v="2"/>
    <s v="0-15"/>
    <s v="No"/>
    <n v="0"/>
    <s v="Healthy"/>
    <n v="0"/>
  </r>
  <r>
    <n v="101923"/>
    <d v="2025-12-05T00:00:00"/>
    <n v="1087"/>
    <x v="0"/>
    <x v="11"/>
    <x v="3"/>
    <x v="3"/>
    <x v="0"/>
    <s v="Card"/>
    <n v="31.42"/>
    <n v="11.68"/>
    <x v="2"/>
    <n v="36.700000000000003"/>
    <n v="330.29"/>
    <n v="214.71"/>
    <n v="10.02"/>
    <n v="5.5"/>
    <n v="9.27"/>
    <n v="0"/>
    <n v="0"/>
    <n v="239.5"/>
    <n v="90.79"/>
    <s v="Profit"/>
    <x v="0"/>
    <n v="0"/>
    <n v="2"/>
    <s v="0-15"/>
    <s v="No"/>
    <n v="1"/>
    <s v="Healthy"/>
    <n v="0"/>
  </r>
  <r>
    <n v="101924"/>
    <d v="2025-11-07T00:00:00"/>
    <n v="1024"/>
    <x v="3"/>
    <x v="7"/>
    <x v="1"/>
    <x v="0"/>
    <x v="2"/>
    <s v="Card"/>
    <n v="28.49"/>
    <n v="19.12"/>
    <x v="3"/>
    <n v="0"/>
    <n v="544.73"/>
    <n v="212.53"/>
    <n v="8.52"/>
    <n v="8.17"/>
    <n v="1.45"/>
    <n v="0"/>
    <n v="0"/>
    <n v="230.67"/>
    <n v="314.06"/>
    <s v="Profit"/>
    <x v="0"/>
    <n v="5"/>
    <n v="0"/>
    <s v="0-15"/>
    <s v="No"/>
    <n v="0"/>
    <s v="Healthy"/>
    <n v="0"/>
  </r>
  <r>
    <n v="101925"/>
    <d v="2025-11-19T00:00:00"/>
    <n v="1141"/>
    <x v="1"/>
    <x v="3"/>
    <x v="3"/>
    <x v="2"/>
    <x v="0"/>
    <s v="Wallet"/>
    <n v="19.64"/>
    <n v="18.46"/>
    <x v="3"/>
    <n v="0"/>
    <n v="362.55"/>
    <n v="115.07"/>
    <n v="13.18"/>
    <n v="4.3499999999999996"/>
    <n v="15.59"/>
    <n v="0"/>
    <n v="0"/>
    <n v="148.19"/>
    <n v="214.36"/>
    <s v="Profit"/>
    <x v="0"/>
    <n v="5"/>
    <n v="0"/>
    <s v="0-15"/>
    <s v="No"/>
    <n v="0"/>
    <s v="Healthy"/>
    <n v="0"/>
  </r>
  <r>
    <n v="101926"/>
    <d v="2025-12-10T00:00:00"/>
    <n v="1082"/>
    <x v="1"/>
    <x v="2"/>
    <x v="0"/>
    <x v="1"/>
    <x v="0"/>
    <s v="UPI"/>
    <n v="26.18"/>
    <n v="15.45"/>
    <x v="3"/>
    <n v="0"/>
    <n v="404.48"/>
    <n v="220.1"/>
    <n v="10.48"/>
    <n v="2.83"/>
    <n v="5.05"/>
    <n v="0"/>
    <n v="0"/>
    <n v="238.46"/>
    <n v="166.02"/>
    <s v="Profit"/>
    <x v="0"/>
    <n v="9"/>
    <n v="2"/>
    <s v="0-15"/>
    <s v="No"/>
    <n v="1"/>
    <s v="Healthy"/>
    <n v="0"/>
  </r>
  <r>
    <n v="101927"/>
    <d v="2025-12-26T00:00:00"/>
    <n v="1136"/>
    <x v="3"/>
    <x v="15"/>
    <x v="4"/>
    <x v="3"/>
    <x v="0"/>
    <s v="UPI"/>
    <n v="17.579999999999998"/>
    <n v="10.96"/>
    <x v="4"/>
    <n v="9.6300000000000008"/>
    <n v="183.05"/>
    <n v="119.93"/>
    <n v="6.72"/>
    <n v="1.35"/>
    <n v="4.66"/>
    <n v="0"/>
    <n v="0"/>
    <n v="132.66"/>
    <n v="50.39"/>
    <s v="Profit"/>
    <x v="0"/>
    <n v="24"/>
    <n v="6"/>
    <s v="16-30"/>
    <s v="Yes"/>
    <n v="3"/>
    <s v="At Risk"/>
    <n v="1"/>
  </r>
  <r>
    <n v="101928"/>
    <d v="2025-10-12T00:00:00"/>
    <n v="1032"/>
    <x v="2"/>
    <x v="5"/>
    <x v="1"/>
    <x v="3"/>
    <x v="2"/>
    <s v="Fleet_Invoice"/>
    <n v="12.73"/>
    <n v="11.96"/>
    <x v="3"/>
    <n v="0"/>
    <n v="152.25"/>
    <n v="104.79"/>
    <n v="13.25"/>
    <n v="0.61"/>
    <n v="4.99"/>
    <n v="0"/>
    <n v="0"/>
    <n v="123.64"/>
    <n v="28.61"/>
    <s v="Profit"/>
    <x v="0"/>
    <n v="2"/>
    <n v="9"/>
    <s v="0-15"/>
    <s v="No"/>
    <n v="0"/>
    <s v="Healthy"/>
    <n v="0"/>
  </r>
  <r>
    <n v="101929"/>
    <d v="2025-11-13T00:00:00"/>
    <n v="1080"/>
    <x v="3"/>
    <x v="7"/>
    <x v="3"/>
    <x v="3"/>
    <x v="0"/>
    <s v="UPI"/>
    <n v="25.02"/>
    <n v="12.89"/>
    <x v="3"/>
    <n v="0"/>
    <n v="322.51"/>
    <n v="179.91"/>
    <n v="9.92"/>
    <n v="2.2599999999999998"/>
    <n v="10.87"/>
    <n v="0"/>
    <n v="0"/>
    <n v="202.96"/>
    <n v="119.55"/>
    <s v="Profit"/>
    <x v="0"/>
    <n v="21"/>
    <n v="9"/>
    <s v="16-30"/>
    <s v="Yes"/>
    <n v="1"/>
    <s v="At Risk"/>
    <n v="1"/>
  </r>
  <r>
    <n v="101930"/>
    <d v="2025-12-04T00:00:00"/>
    <n v="1111"/>
    <x v="0"/>
    <x v="6"/>
    <x v="1"/>
    <x v="1"/>
    <x v="2"/>
    <s v="UPI"/>
    <n v="26.61"/>
    <n v="17.05"/>
    <x v="4"/>
    <n v="22.68"/>
    <n v="431.02"/>
    <n v="210.51"/>
    <n v="8.5"/>
    <n v="3.18"/>
    <n v="6.19"/>
    <n v="0"/>
    <n v="0"/>
    <n v="228.38"/>
    <n v="202.64"/>
    <s v="Profit"/>
    <x v="0"/>
    <n v="4"/>
    <n v="7"/>
    <s v="0-15"/>
    <s v="No"/>
    <n v="1"/>
    <s v="Healthy"/>
    <n v="0"/>
  </r>
  <r>
    <n v="101931"/>
    <d v="2025-11-25T00:00:00"/>
    <n v="1059"/>
    <x v="1"/>
    <x v="13"/>
    <x v="2"/>
    <x v="1"/>
    <x v="1"/>
    <s v="Card"/>
    <n v="21.17"/>
    <n v="16.22"/>
    <x v="0"/>
    <n v="51.51"/>
    <n v="291.87"/>
    <n v="161.22999999999999"/>
    <n v="13.56"/>
    <n v="5.15"/>
    <n v="4.6500000000000004"/>
    <n v="0"/>
    <n v="0"/>
    <n v="184.59"/>
    <n v="107.28"/>
    <s v="Profit"/>
    <x v="0"/>
    <n v="1"/>
    <n v="4"/>
    <s v="0-15"/>
    <s v="No"/>
    <n v="2"/>
    <s v="Healthy"/>
    <n v="0"/>
  </r>
  <r>
    <n v="101932"/>
    <d v="2025-12-24T00:00:00"/>
    <n v="1146"/>
    <x v="1"/>
    <x v="3"/>
    <x v="4"/>
    <x v="3"/>
    <x v="0"/>
    <s v="UPI"/>
    <n v="23.17"/>
    <n v="12.8"/>
    <x v="0"/>
    <n v="44.49"/>
    <n v="252.09"/>
    <n v="178.23"/>
    <n v="7.11"/>
    <n v="2.08"/>
    <n v="0"/>
    <n v="0"/>
    <n v="0"/>
    <n v="187.42"/>
    <n v="64.67"/>
    <s v="Profit"/>
    <x v="0"/>
    <n v="6"/>
    <n v="2"/>
    <s v="0-15"/>
    <s v="No"/>
    <n v="0"/>
    <s v="Healthy"/>
    <n v="0"/>
  </r>
  <r>
    <n v="101933"/>
    <d v="2025-12-03T00:00:00"/>
    <n v="1125"/>
    <x v="1"/>
    <x v="13"/>
    <x v="4"/>
    <x v="3"/>
    <x v="0"/>
    <s v="UPI"/>
    <n v="13.92"/>
    <n v="12.36"/>
    <x v="3"/>
    <n v="0"/>
    <n v="172.05"/>
    <n v="114.64"/>
    <n v="12.34"/>
    <n v="1.2"/>
    <n v="12.63"/>
    <n v="122.86"/>
    <n v="0"/>
    <n v="263.67"/>
    <n v="-91.62"/>
    <s v="Loss"/>
    <x v="1"/>
    <n v="0"/>
    <n v="1"/>
    <s v="0-15"/>
    <s v="Yes"/>
    <n v="2"/>
    <s v="At Risk"/>
    <n v="1"/>
  </r>
  <r>
    <n v="101934"/>
    <d v="2025-11-05T00:00:00"/>
    <n v="1097"/>
    <x v="1"/>
    <x v="3"/>
    <x v="1"/>
    <x v="3"/>
    <x v="0"/>
    <s v="Wallet"/>
    <n v="30.77"/>
    <n v="11.77"/>
    <x v="3"/>
    <n v="0"/>
    <n v="362.16"/>
    <n v="228.18"/>
    <n v="7.43"/>
    <n v="4.3499999999999996"/>
    <n v="15.26"/>
    <n v="0"/>
    <n v="0"/>
    <n v="255.22"/>
    <n v="106.94"/>
    <s v="Profit"/>
    <x v="0"/>
    <n v="3"/>
    <n v="12"/>
    <s v="0-15"/>
    <s v="No"/>
    <n v="0"/>
    <s v="Healthy"/>
    <n v="0"/>
  </r>
  <r>
    <n v="101935"/>
    <d v="2025-11-13T00:00:00"/>
    <n v="1112"/>
    <x v="2"/>
    <x v="12"/>
    <x v="4"/>
    <x v="3"/>
    <x v="0"/>
    <s v="UPI"/>
    <n v="10.65"/>
    <n v="16.02"/>
    <x v="0"/>
    <n v="25.59"/>
    <n v="145.02000000000001"/>
    <n v="62.54"/>
    <n v="9.48"/>
    <n v="1.19"/>
    <n v="2.57"/>
    <n v="0"/>
    <n v="0"/>
    <n v="75.78"/>
    <n v="69.239999999999995"/>
    <s v="Profit"/>
    <x v="0"/>
    <n v="29"/>
    <n v="15"/>
    <s v="16-30"/>
    <s v="Yes"/>
    <n v="2"/>
    <s v="At Risk"/>
    <n v="1"/>
  </r>
  <r>
    <n v="101936"/>
    <d v="2025-10-31T00:00:00"/>
    <n v="1052"/>
    <x v="0"/>
    <x v="11"/>
    <x v="4"/>
    <x v="0"/>
    <x v="0"/>
    <s v="UPI"/>
    <n v="28.76"/>
    <n v="19.03"/>
    <x v="2"/>
    <n v="54.73"/>
    <n v="492.57"/>
    <n v="200.67"/>
    <n v="11.48"/>
    <n v="3.83"/>
    <n v="4.6900000000000004"/>
    <n v="0"/>
    <n v="0"/>
    <n v="220.67"/>
    <n v="271.89999999999998"/>
    <s v="Profit"/>
    <x v="0"/>
    <n v="3"/>
    <n v="5"/>
    <s v="0-15"/>
    <s v="No"/>
    <n v="0"/>
    <s v="Healthy"/>
    <n v="0"/>
  </r>
  <r>
    <n v="101937"/>
    <d v="2025-11-17T00:00:00"/>
    <n v="1147"/>
    <x v="2"/>
    <x v="5"/>
    <x v="1"/>
    <x v="2"/>
    <x v="2"/>
    <s v="Card"/>
    <n v="24.72"/>
    <n v="18.22"/>
    <x v="3"/>
    <n v="0"/>
    <n v="450.4"/>
    <n v="187.63"/>
    <n v="9.81"/>
    <n v="6.76"/>
    <n v="8.39"/>
    <n v="251.57"/>
    <n v="7.84"/>
    <n v="472"/>
    <n v="-21.6"/>
    <s v="Loss"/>
    <x v="2"/>
    <n v="2"/>
    <n v="6"/>
    <s v="0-15"/>
    <s v="No"/>
    <n v="2"/>
    <s v="At Risk"/>
    <n v="0"/>
  </r>
  <r>
    <n v="101938"/>
    <d v="2025-12-01T00:00:00"/>
    <n v="1039"/>
    <x v="2"/>
    <x v="12"/>
    <x v="0"/>
    <x v="1"/>
    <x v="0"/>
    <s v="UPI"/>
    <n v="28.97"/>
    <n v="16.89"/>
    <x v="2"/>
    <n v="48.93"/>
    <n v="440.37"/>
    <n v="251.28"/>
    <n v="5.17"/>
    <n v="3.43"/>
    <n v="4.41"/>
    <n v="0"/>
    <n v="0"/>
    <n v="264.29000000000002"/>
    <n v="176.08"/>
    <s v="Profit"/>
    <x v="0"/>
    <n v="17"/>
    <n v="3"/>
    <s v="16-30"/>
    <s v="No"/>
    <n v="0"/>
    <s v="Healthy"/>
    <n v="0"/>
  </r>
  <r>
    <n v="101939"/>
    <d v="2025-12-25T00:00:00"/>
    <n v="1069"/>
    <x v="2"/>
    <x v="5"/>
    <x v="1"/>
    <x v="0"/>
    <x v="0"/>
    <s v="Fleet_Invoice"/>
    <n v="33.64"/>
    <n v="19.23"/>
    <x v="4"/>
    <n v="32.340000000000003"/>
    <n v="614.55999999999995"/>
    <n v="229.73"/>
    <n v="7.53"/>
    <n v="2.59"/>
    <n v="2.48"/>
    <n v="0"/>
    <n v="0"/>
    <n v="242.33"/>
    <n v="372.23"/>
    <s v="Profit"/>
    <x v="0"/>
    <n v="1"/>
    <n v="1"/>
    <s v="0-15"/>
    <s v="No"/>
    <n v="0"/>
    <s v="Healthy"/>
    <n v="0"/>
  </r>
  <r>
    <n v="101940"/>
    <d v="2025-11-11T00:00:00"/>
    <n v="1023"/>
    <x v="0"/>
    <x v="1"/>
    <x v="3"/>
    <x v="3"/>
    <x v="0"/>
    <s v="UPI"/>
    <n v="30.1"/>
    <n v="12.02"/>
    <x v="0"/>
    <n v="54.27"/>
    <n v="307.52999999999997"/>
    <n v="256.7"/>
    <n v="4.5"/>
    <n v="2.5299999999999998"/>
    <n v="8.52"/>
    <n v="299.63"/>
    <n v="0"/>
    <n v="571.88"/>
    <n v="-264.35000000000002"/>
    <s v="Loss"/>
    <x v="2"/>
    <n v="1"/>
    <n v="11"/>
    <s v="0-15"/>
    <s v="No"/>
    <n v="3"/>
    <s v="At Risk"/>
    <n v="0"/>
  </r>
  <r>
    <n v="101941"/>
    <d v="2025-10-03T00:00:00"/>
    <n v="1010"/>
    <x v="0"/>
    <x v="11"/>
    <x v="3"/>
    <x v="0"/>
    <x v="2"/>
    <s v="UPI"/>
    <n v="23.77"/>
    <n v="19.079999999999998"/>
    <x v="3"/>
    <n v="0"/>
    <n v="453.53"/>
    <n v="169.07"/>
    <n v="6.59"/>
    <n v="3.17"/>
    <n v="8.24"/>
    <n v="0"/>
    <n v="0"/>
    <n v="187.07"/>
    <n v="266.45999999999998"/>
    <s v="Profit"/>
    <x v="0"/>
    <n v="0"/>
    <n v="10"/>
    <s v="0-15"/>
    <s v="No"/>
    <n v="0"/>
    <s v="Healthy"/>
    <n v="0"/>
  </r>
  <r>
    <n v="101942"/>
    <d v="2025-12-14T00:00:00"/>
    <n v="1034"/>
    <x v="0"/>
    <x v="0"/>
    <x v="1"/>
    <x v="3"/>
    <x v="0"/>
    <s v="Fleet_Invoice"/>
    <n v="10.35"/>
    <n v="13.87"/>
    <x v="3"/>
    <n v="0"/>
    <n v="143.55000000000001"/>
    <n v="76.8"/>
    <n v="8.9"/>
    <n v="0.56999999999999995"/>
    <n v="9.25"/>
    <n v="0"/>
    <n v="0"/>
    <n v="95.52"/>
    <n v="48.03"/>
    <s v="Profit"/>
    <x v="0"/>
    <n v="5"/>
    <n v="3"/>
    <s v="0-15"/>
    <s v="No"/>
    <n v="0"/>
    <s v="Healthy"/>
    <n v="0"/>
  </r>
  <r>
    <n v="101943"/>
    <d v="2025-11-07T00:00:00"/>
    <n v="1039"/>
    <x v="3"/>
    <x v="15"/>
    <x v="3"/>
    <x v="1"/>
    <x v="2"/>
    <s v="Wallet"/>
    <n v="29.27"/>
    <n v="14.78"/>
    <x v="0"/>
    <n v="64.89"/>
    <n v="367.72"/>
    <n v="212.17"/>
    <n v="2.91"/>
    <n v="5.19"/>
    <n v="4.21"/>
    <n v="0"/>
    <n v="0"/>
    <n v="224.48"/>
    <n v="143.24"/>
    <s v="Profit"/>
    <x v="0"/>
    <n v="7"/>
    <n v="22"/>
    <s v="0-15"/>
    <s v="Yes"/>
    <n v="2"/>
    <s v="At Risk"/>
    <n v="1"/>
  </r>
  <r>
    <n v="101944"/>
    <d v="2025-12-22T00:00:00"/>
    <n v="1008"/>
    <x v="1"/>
    <x v="13"/>
    <x v="0"/>
    <x v="3"/>
    <x v="0"/>
    <s v="Fleet_Invoice"/>
    <n v="29.15"/>
    <n v="12.12"/>
    <x v="3"/>
    <n v="0"/>
    <n v="353.3"/>
    <n v="202.23"/>
    <n v="12.29"/>
    <n v="1.41"/>
    <n v="3.42"/>
    <n v="0"/>
    <n v="0"/>
    <n v="219.35"/>
    <n v="133.94999999999999"/>
    <s v="Profit"/>
    <x v="0"/>
    <n v="2"/>
    <n v="12"/>
    <s v="0-15"/>
    <s v="No"/>
    <n v="2"/>
    <s v="Healthy"/>
    <n v="0"/>
  </r>
  <r>
    <n v="101945"/>
    <d v="2025-11-23T00:00:00"/>
    <n v="1020"/>
    <x v="2"/>
    <x v="10"/>
    <x v="4"/>
    <x v="0"/>
    <x v="0"/>
    <s v="UPI"/>
    <n v="25.58"/>
    <n v="19.25"/>
    <x v="0"/>
    <n v="73.86"/>
    <n v="418.56"/>
    <n v="193.25"/>
    <n v="6.17"/>
    <n v="3.45"/>
    <n v="5.39"/>
    <n v="0"/>
    <n v="0"/>
    <n v="208.26"/>
    <n v="210.3"/>
    <s v="Profit"/>
    <x v="0"/>
    <n v="2"/>
    <n v="0"/>
    <s v="0-15"/>
    <s v="No"/>
    <n v="0"/>
    <s v="Healthy"/>
    <n v="0"/>
  </r>
  <r>
    <n v="101946"/>
    <d v="2025-12-24T00:00:00"/>
    <n v="1128"/>
    <x v="3"/>
    <x v="7"/>
    <x v="0"/>
    <x v="1"/>
    <x v="0"/>
    <s v="UPI"/>
    <n v="28.87"/>
    <n v="14.45"/>
    <x v="4"/>
    <n v="20.86"/>
    <n v="396.31"/>
    <n v="193.57"/>
    <n v="7.69"/>
    <n v="2.92"/>
    <n v="7.73"/>
    <n v="0"/>
    <n v="0"/>
    <n v="211.91"/>
    <n v="184.4"/>
    <s v="Profit"/>
    <x v="0"/>
    <n v="24"/>
    <n v="0"/>
    <s v="16-30"/>
    <s v="Yes"/>
    <n v="2"/>
    <s v="At Risk"/>
    <n v="1"/>
  </r>
  <r>
    <n v="101947"/>
    <d v="2025-12-15T00:00:00"/>
    <n v="1148"/>
    <x v="2"/>
    <x v="9"/>
    <x v="4"/>
    <x v="2"/>
    <x v="0"/>
    <s v="UPI"/>
    <n v="30.95"/>
    <n v="16.96"/>
    <x v="0"/>
    <n v="78.739999999999995"/>
    <n v="446.17"/>
    <n v="201.85"/>
    <n v="14.16"/>
    <n v="3.67"/>
    <n v="5.25"/>
    <n v="0"/>
    <n v="0"/>
    <n v="224.93"/>
    <n v="221.24"/>
    <s v="Profit"/>
    <x v="0"/>
    <n v="11"/>
    <n v="17"/>
    <s v="0-15"/>
    <s v="Yes"/>
    <n v="1"/>
    <s v="At Risk"/>
    <n v="1"/>
  </r>
  <r>
    <n v="101948"/>
    <d v="2025-11-28T00:00:00"/>
    <n v="1032"/>
    <x v="1"/>
    <x v="4"/>
    <x v="1"/>
    <x v="3"/>
    <x v="0"/>
    <s v="Card"/>
    <n v="16.600000000000001"/>
    <n v="11.31"/>
    <x v="3"/>
    <n v="0"/>
    <n v="187.75"/>
    <n v="131.47999999999999"/>
    <n v="7.22"/>
    <n v="2.82"/>
    <n v="0.18"/>
    <n v="0"/>
    <n v="0"/>
    <n v="141.69999999999999"/>
    <n v="46.05"/>
    <s v="Profit"/>
    <x v="0"/>
    <n v="64"/>
    <n v="13"/>
    <s v="30+"/>
    <s v="Yes"/>
    <n v="3"/>
    <s v="At Risk"/>
    <n v="1"/>
  </r>
  <r>
    <n v="101949"/>
    <d v="2025-11-27T00:00:00"/>
    <n v="1128"/>
    <x v="1"/>
    <x v="4"/>
    <x v="0"/>
    <x v="3"/>
    <x v="0"/>
    <s v="Card"/>
    <n v="18.510000000000002"/>
    <n v="13.58"/>
    <x v="1"/>
    <n v="50.27"/>
    <n v="201.1"/>
    <n v="128.38999999999999"/>
    <n v="7.2"/>
    <n v="3.77"/>
    <n v="3.86"/>
    <n v="197.61"/>
    <n v="0"/>
    <n v="340.83"/>
    <n v="-139.72999999999999"/>
    <s v="Loss"/>
    <x v="2"/>
    <n v="10"/>
    <n v="11"/>
    <s v="0-15"/>
    <s v="No"/>
    <n v="2"/>
    <s v="At Risk"/>
    <n v="0"/>
  </r>
  <r>
    <n v="101950"/>
    <d v="2025-10-04T00:00:00"/>
    <n v="1075"/>
    <x v="2"/>
    <x v="12"/>
    <x v="2"/>
    <x v="1"/>
    <x v="0"/>
    <s v="UPI"/>
    <n v="35.79"/>
    <n v="17.21"/>
    <x v="3"/>
    <n v="0"/>
    <n v="615.95000000000005"/>
    <n v="270.44"/>
    <n v="6.77"/>
    <n v="4.3099999999999996"/>
    <n v="6.2"/>
    <n v="0"/>
    <n v="0"/>
    <n v="287.72000000000003"/>
    <n v="328.23"/>
    <s v="Profit"/>
    <x v="0"/>
    <n v="38"/>
    <n v="3"/>
    <s v="30+"/>
    <s v="Yes"/>
    <n v="1"/>
    <s v="At Risk"/>
    <n v="1"/>
  </r>
  <r>
    <n v="101951"/>
    <d v="2025-10-14T00:00:00"/>
    <n v="1079"/>
    <x v="3"/>
    <x v="8"/>
    <x v="3"/>
    <x v="1"/>
    <x v="2"/>
    <s v="UPI"/>
    <n v="38.18"/>
    <n v="15.76"/>
    <x v="3"/>
    <n v="0"/>
    <n v="601.72"/>
    <n v="296.13"/>
    <n v="12.34"/>
    <n v="4.21"/>
    <n v="6.74"/>
    <n v="0"/>
    <n v="0"/>
    <n v="319.42"/>
    <n v="282.3"/>
    <s v="Profit"/>
    <x v="0"/>
    <n v="5"/>
    <n v="10"/>
    <s v="0-15"/>
    <s v="No"/>
    <n v="0"/>
    <s v="Healthy"/>
    <n v="0"/>
  </r>
  <r>
    <n v="101952"/>
    <d v="2025-12-16T00:00:00"/>
    <n v="1016"/>
    <x v="2"/>
    <x v="12"/>
    <x v="3"/>
    <x v="1"/>
    <x v="2"/>
    <s v="UPI"/>
    <n v="35.67"/>
    <n v="15.42"/>
    <x v="4"/>
    <n v="27.5"/>
    <n v="522.53"/>
    <n v="243.67"/>
    <n v="10.25"/>
    <n v="3.85"/>
    <n v="3.92"/>
    <n v="0"/>
    <n v="0"/>
    <n v="261.69"/>
    <n v="260.83999999999997"/>
    <s v="Profit"/>
    <x v="0"/>
    <n v="14"/>
    <n v="3"/>
    <s v="0-15"/>
    <s v="No"/>
    <n v="0"/>
    <s v="Healthy"/>
    <n v="0"/>
  </r>
  <r>
    <n v="101953"/>
    <d v="2025-12-15T00:00:00"/>
    <n v="1123"/>
    <x v="1"/>
    <x v="3"/>
    <x v="3"/>
    <x v="3"/>
    <x v="2"/>
    <s v="UPI"/>
    <n v="19.100000000000001"/>
    <n v="12.85"/>
    <x v="3"/>
    <n v="0"/>
    <n v="245.44"/>
    <n v="136.87"/>
    <n v="11.6"/>
    <n v="1.72"/>
    <n v="10.18"/>
    <n v="172.7"/>
    <n v="2.68"/>
    <n v="335.75"/>
    <n v="-90.31"/>
    <s v="Loss"/>
    <x v="1"/>
    <n v="3"/>
    <n v="0"/>
    <s v="0-15"/>
    <s v="Yes"/>
    <n v="4"/>
    <s v="At Risk"/>
    <n v="1"/>
  </r>
  <r>
    <n v="101954"/>
    <d v="2025-10-11T00:00:00"/>
    <n v="1012"/>
    <x v="2"/>
    <x v="10"/>
    <x v="2"/>
    <x v="0"/>
    <x v="0"/>
    <s v="Fleet_Invoice"/>
    <n v="42.51"/>
    <n v="18.579999999999998"/>
    <x v="4"/>
    <n v="39.49"/>
    <n v="750.35"/>
    <n v="327.06"/>
    <n v="13.38"/>
    <n v="3.16"/>
    <n v="13.66"/>
    <n v="0"/>
    <n v="0"/>
    <n v="357.26"/>
    <n v="393.09"/>
    <s v="Profit"/>
    <x v="0"/>
    <n v="5"/>
    <n v="4"/>
    <s v="0-15"/>
    <s v="No"/>
    <n v="0"/>
    <s v="Healthy"/>
    <n v="0"/>
  </r>
  <r>
    <n v="101955"/>
    <d v="2025-10-22T00:00:00"/>
    <n v="1081"/>
    <x v="2"/>
    <x v="5"/>
    <x v="1"/>
    <x v="2"/>
    <x v="0"/>
    <s v="Fleet_Invoice"/>
    <n v="11.71"/>
    <n v="18.25"/>
    <x v="2"/>
    <n v="21.37"/>
    <n v="192.34"/>
    <n v="76.540000000000006"/>
    <n v="9.58"/>
    <n v="0.85"/>
    <n v="8.58"/>
    <n v="0"/>
    <n v="0"/>
    <n v="95.55"/>
    <n v="96.79"/>
    <s v="Profit"/>
    <x v="0"/>
    <n v="1"/>
    <n v="3"/>
    <s v="0-15"/>
    <s v="No"/>
    <n v="0"/>
    <s v="Healthy"/>
    <n v="0"/>
  </r>
  <r>
    <n v="101956"/>
    <d v="2025-10-11T00:00:00"/>
    <n v="1009"/>
    <x v="3"/>
    <x v="8"/>
    <x v="2"/>
    <x v="1"/>
    <x v="2"/>
    <s v="Card"/>
    <n v="31.95"/>
    <n v="14.9"/>
    <x v="0"/>
    <n v="71.41"/>
    <n v="404.65"/>
    <n v="221.55"/>
    <n v="6.03"/>
    <n v="7.14"/>
    <n v="5.56"/>
    <n v="0"/>
    <n v="0"/>
    <n v="240.28"/>
    <n v="164.37"/>
    <s v="Profit"/>
    <x v="0"/>
    <n v="4"/>
    <n v="1"/>
    <s v="0-15"/>
    <s v="No"/>
    <n v="0"/>
    <s v="Healthy"/>
    <n v="0"/>
  </r>
  <r>
    <n v="101957"/>
    <d v="2025-11-17T00:00:00"/>
    <n v="1062"/>
    <x v="0"/>
    <x v="11"/>
    <x v="1"/>
    <x v="1"/>
    <x v="2"/>
    <s v="UPI"/>
    <n v="25.25"/>
    <n v="15.91"/>
    <x v="3"/>
    <n v="0"/>
    <n v="401.73"/>
    <n v="150.63"/>
    <n v="4.5"/>
    <n v="2.81"/>
    <n v="0"/>
    <n v="0"/>
    <n v="0"/>
    <n v="157.94"/>
    <n v="243.79"/>
    <s v="Profit"/>
    <x v="0"/>
    <n v="12"/>
    <n v="3"/>
    <s v="0-15"/>
    <s v="No"/>
    <n v="0"/>
    <s v="Healthy"/>
    <n v="0"/>
  </r>
  <r>
    <n v="101958"/>
    <d v="2025-10-27T00:00:00"/>
    <n v="1137"/>
    <x v="1"/>
    <x v="3"/>
    <x v="1"/>
    <x v="1"/>
    <x v="0"/>
    <s v="UPI"/>
    <n v="35.65"/>
    <n v="16"/>
    <x v="3"/>
    <n v="0"/>
    <n v="570.4"/>
    <n v="253.67"/>
    <n v="7.68"/>
    <n v="3.99"/>
    <n v="4.99"/>
    <n v="0"/>
    <n v="0"/>
    <n v="270.33"/>
    <n v="300.07"/>
    <s v="Profit"/>
    <x v="0"/>
    <n v="15"/>
    <n v="11"/>
    <s v="0-15"/>
    <s v="No"/>
    <n v="0"/>
    <s v="Healthy"/>
    <n v="0"/>
  </r>
  <r>
    <n v="101959"/>
    <d v="2025-11-16T00:00:00"/>
    <n v="1056"/>
    <x v="2"/>
    <x v="10"/>
    <x v="4"/>
    <x v="1"/>
    <x v="2"/>
    <s v="Card"/>
    <n v="29.75"/>
    <n v="15.15"/>
    <x v="3"/>
    <n v="0"/>
    <n v="450.71"/>
    <n v="199"/>
    <n v="11.25"/>
    <n v="6.76"/>
    <n v="0"/>
    <n v="0"/>
    <n v="0"/>
    <n v="217.01"/>
    <n v="233.7"/>
    <s v="Profit"/>
    <x v="0"/>
    <n v="10"/>
    <n v="2"/>
    <s v="0-15"/>
    <s v="No"/>
    <n v="0"/>
    <s v="Healthy"/>
    <n v="0"/>
  </r>
  <r>
    <n v="101960"/>
    <d v="2025-11-01T00:00:00"/>
    <n v="1066"/>
    <x v="1"/>
    <x v="13"/>
    <x v="1"/>
    <x v="3"/>
    <x v="0"/>
    <s v="UPI"/>
    <n v="24.4"/>
    <n v="12.65"/>
    <x v="3"/>
    <n v="0"/>
    <n v="308.66000000000003"/>
    <n v="163.22999999999999"/>
    <n v="10.7"/>
    <n v="2.16"/>
    <n v="11.51"/>
    <n v="0"/>
    <n v="0"/>
    <n v="187.6"/>
    <n v="121.06"/>
    <s v="Profit"/>
    <x v="0"/>
    <n v="15"/>
    <n v="1"/>
    <s v="0-15"/>
    <s v="No"/>
    <n v="0"/>
    <s v="Healthy"/>
    <n v="0"/>
  </r>
  <r>
    <n v="101961"/>
    <d v="2025-12-08T00:00:00"/>
    <n v="1142"/>
    <x v="1"/>
    <x v="13"/>
    <x v="3"/>
    <x v="2"/>
    <x v="0"/>
    <s v="UPI"/>
    <n v="29.55"/>
    <n v="17.82"/>
    <x v="3"/>
    <n v="0"/>
    <n v="526.58000000000004"/>
    <n v="247.81"/>
    <n v="13.46"/>
    <n v="3.69"/>
    <n v="2.62"/>
    <n v="0"/>
    <n v="0"/>
    <n v="267.58"/>
    <n v="259"/>
    <s v="Profit"/>
    <x v="0"/>
    <n v="15"/>
    <n v="1"/>
    <s v="0-15"/>
    <s v="No"/>
    <n v="0"/>
    <s v="Healthy"/>
    <n v="0"/>
  </r>
  <r>
    <n v="101962"/>
    <d v="2025-10-30T00:00:00"/>
    <n v="1064"/>
    <x v="3"/>
    <x v="8"/>
    <x v="4"/>
    <x v="1"/>
    <x v="0"/>
    <s v="Fleet_Invoice"/>
    <n v="19.95"/>
    <n v="15.14"/>
    <x v="4"/>
    <n v="15.1"/>
    <n v="286.94"/>
    <n v="155.86000000000001"/>
    <n v="11.2"/>
    <n v="1.21"/>
    <n v="9.34"/>
    <n v="0"/>
    <n v="0"/>
    <n v="177.61"/>
    <n v="109.33"/>
    <s v="Profit"/>
    <x v="0"/>
    <n v="0"/>
    <n v="3"/>
    <s v="0-15"/>
    <s v="No"/>
    <n v="0"/>
    <s v="Healthy"/>
    <n v="0"/>
  </r>
  <r>
    <n v="101963"/>
    <d v="2025-11-08T00:00:00"/>
    <n v="1002"/>
    <x v="2"/>
    <x v="9"/>
    <x v="3"/>
    <x v="1"/>
    <x v="2"/>
    <s v="UPI"/>
    <n v="24.96"/>
    <n v="15.28"/>
    <x v="3"/>
    <n v="0"/>
    <n v="381.39"/>
    <n v="166.57"/>
    <n v="4.99"/>
    <n v="2.67"/>
    <n v="1.75"/>
    <n v="0"/>
    <n v="0"/>
    <n v="175.98"/>
    <n v="205.41"/>
    <s v="Profit"/>
    <x v="0"/>
    <n v="10"/>
    <n v="6"/>
    <s v="0-15"/>
    <s v="No"/>
    <n v="0"/>
    <s v="Healthy"/>
    <n v="0"/>
  </r>
  <r>
    <n v="101964"/>
    <d v="2025-10-06T00:00:00"/>
    <n v="1139"/>
    <x v="1"/>
    <x v="13"/>
    <x v="1"/>
    <x v="0"/>
    <x v="0"/>
    <s v="Wallet"/>
    <n v="28.17"/>
    <n v="20.149999999999999"/>
    <x v="3"/>
    <n v="0"/>
    <n v="567.63"/>
    <n v="218.22"/>
    <n v="12.03"/>
    <n v="6.81"/>
    <n v="1.03"/>
    <n v="0"/>
    <n v="0"/>
    <n v="238.09"/>
    <n v="329.54"/>
    <s v="Profit"/>
    <x v="0"/>
    <n v="3"/>
    <n v="7"/>
    <s v="0-15"/>
    <s v="No"/>
    <n v="0"/>
    <s v="Healthy"/>
    <n v="0"/>
  </r>
  <r>
    <n v="101965"/>
    <d v="2025-12-19T00:00:00"/>
    <n v="1003"/>
    <x v="2"/>
    <x v="5"/>
    <x v="4"/>
    <x v="1"/>
    <x v="2"/>
    <s v="Card"/>
    <n v="11.7"/>
    <n v="15.6"/>
    <x v="1"/>
    <n v="36.5"/>
    <n v="146.02000000000001"/>
    <n v="76.92"/>
    <n v="12.23"/>
    <n v="2.74"/>
    <n v="9.23"/>
    <n v="0"/>
    <n v="0"/>
    <n v="101.12"/>
    <n v="44.9"/>
    <s v="Profit"/>
    <x v="0"/>
    <n v="5"/>
    <n v="16"/>
    <s v="0-15"/>
    <s v="Yes"/>
    <n v="4"/>
    <s v="At Risk"/>
    <n v="1"/>
  </r>
  <r>
    <n v="101966"/>
    <d v="2025-12-21T00:00:00"/>
    <n v="1051"/>
    <x v="1"/>
    <x v="3"/>
    <x v="4"/>
    <x v="3"/>
    <x v="1"/>
    <s v="UPI"/>
    <n v="24.05"/>
    <n v="12.25"/>
    <x v="3"/>
    <n v="0"/>
    <n v="294.61"/>
    <n v="160.01"/>
    <n v="7.87"/>
    <n v="2.06"/>
    <n v="10.78"/>
    <n v="0"/>
    <n v="0"/>
    <n v="180.72"/>
    <n v="113.89"/>
    <s v="Profit"/>
    <x v="0"/>
    <n v="0"/>
    <n v="6"/>
    <s v="0-15"/>
    <s v="No"/>
    <n v="0"/>
    <s v="Healthy"/>
    <n v="0"/>
  </r>
  <r>
    <n v="101967"/>
    <d v="2025-12-16T00:00:00"/>
    <n v="1129"/>
    <x v="3"/>
    <x v="15"/>
    <x v="1"/>
    <x v="3"/>
    <x v="0"/>
    <s v="UPI"/>
    <n v="20.45"/>
    <n v="11.49"/>
    <x v="3"/>
    <n v="0"/>
    <n v="234.97"/>
    <n v="154.77000000000001"/>
    <n v="14.16"/>
    <n v="1.64"/>
    <n v="0.71"/>
    <n v="178.32"/>
    <n v="0"/>
    <n v="349.6"/>
    <n v="-114.63"/>
    <s v="Loss"/>
    <x v="2"/>
    <n v="17"/>
    <n v="5"/>
    <s v="16-30"/>
    <s v="No"/>
    <n v="3"/>
    <s v="At Risk"/>
    <n v="0"/>
  </r>
  <r>
    <n v="101968"/>
    <d v="2025-12-29T00:00:00"/>
    <n v="1010"/>
    <x v="1"/>
    <x v="3"/>
    <x v="0"/>
    <x v="2"/>
    <x v="0"/>
    <s v="Card"/>
    <n v="27.29"/>
    <n v="18.34"/>
    <x v="0"/>
    <n v="75.08"/>
    <n v="425.42"/>
    <n v="186.27"/>
    <n v="1.24"/>
    <n v="7.51"/>
    <n v="1.1200000000000001"/>
    <n v="0"/>
    <n v="0"/>
    <n v="196.14"/>
    <n v="229.28"/>
    <s v="Profit"/>
    <x v="0"/>
    <n v="6"/>
    <n v="4"/>
    <s v="0-15"/>
    <s v="No"/>
    <n v="0"/>
    <s v="Healthy"/>
    <n v="0"/>
  </r>
  <r>
    <n v="101969"/>
    <d v="2025-12-06T00:00:00"/>
    <n v="1101"/>
    <x v="0"/>
    <x v="11"/>
    <x v="3"/>
    <x v="3"/>
    <x v="1"/>
    <s v="UPI"/>
    <n v="7.87"/>
    <n v="12.2"/>
    <x v="0"/>
    <n v="14.4"/>
    <n v="81.61"/>
    <n v="56.26"/>
    <n v="6.97"/>
    <n v="0.67"/>
    <n v="1.0900000000000001"/>
    <n v="36.619999999999997"/>
    <n v="8.11"/>
    <n v="109.72"/>
    <n v="-28.11"/>
    <s v="Loss"/>
    <x v="2"/>
    <n v="10"/>
    <n v="27"/>
    <s v="0-15"/>
    <s v="Yes"/>
    <n v="2"/>
    <s v="At Risk"/>
    <n v="1"/>
  </r>
  <r>
    <n v="101970"/>
    <d v="2025-12-29T00:00:00"/>
    <n v="1143"/>
    <x v="2"/>
    <x v="10"/>
    <x v="0"/>
    <x v="3"/>
    <x v="0"/>
    <s v="Card"/>
    <n v="11.96"/>
    <n v="12.09"/>
    <x v="3"/>
    <n v="0"/>
    <n v="144.6"/>
    <n v="97.16"/>
    <n v="10.91"/>
    <n v="2.17"/>
    <n v="7.54"/>
    <n v="0"/>
    <n v="0"/>
    <n v="117.78"/>
    <n v="26.82"/>
    <s v="Profit"/>
    <x v="0"/>
    <n v="17"/>
    <n v="3"/>
    <s v="16-30"/>
    <s v="No"/>
    <n v="2"/>
    <s v="Healthy"/>
    <n v="0"/>
  </r>
  <r>
    <n v="101971"/>
    <d v="2025-11-03T00:00:00"/>
    <n v="1054"/>
    <x v="3"/>
    <x v="15"/>
    <x v="4"/>
    <x v="3"/>
    <x v="0"/>
    <s v="Fleet_Invoice"/>
    <n v="27.49"/>
    <n v="13.14"/>
    <x v="0"/>
    <n v="54.18"/>
    <n v="307.04000000000002"/>
    <n v="234.94"/>
    <n v="4.7699999999999996"/>
    <n v="1.44"/>
    <n v="8.5"/>
    <n v="0"/>
    <n v="0"/>
    <n v="249.65"/>
    <n v="57.39"/>
    <s v="Profit"/>
    <x v="0"/>
    <n v="48"/>
    <n v="4"/>
    <s v="30+"/>
    <s v="Yes"/>
    <n v="2"/>
    <s v="At Risk"/>
    <n v="1"/>
  </r>
  <r>
    <n v="101972"/>
    <d v="2025-11-12T00:00:00"/>
    <n v="1036"/>
    <x v="1"/>
    <x v="13"/>
    <x v="3"/>
    <x v="3"/>
    <x v="0"/>
    <s v="UPI"/>
    <n v="19.61"/>
    <n v="12.56"/>
    <x v="1"/>
    <n v="49.26"/>
    <n v="197.04"/>
    <n v="127.96"/>
    <n v="9.6199999999999992"/>
    <n v="1.72"/>
    <n v="6.9"/>
    <n v="0"/>
    <n v="0"/>
    <n v="146.19999999999999"/>
    <n v="50.84"/>
    <s v="Profit"/>
    <x v="0"/>
    <n v="9"/>
    <n v="7"/>
    <s v="0-15"/>
    <s v="No"/>
    <n v="0"/>
    <s v="Healthy"/>
    <n v="0"/>
  </r>
  <r>
    <n v="101973"/>
    <d v="2025-11-10T00:00:00"/>
    <n v="1085"/>
    <x v="0"/>
    <x v="1"/>
    <x v="3"/>
    <x v="3"/>
    <x v="0"/>
    <s v="Card"/>
    <n v="15.71"/>
    <n v="13.33"/>
    <x v="4"/>
    <n v="10.47"/>
    <n v="198.94"/>
    <n v="102.6"/>
    <n v="8.69"/>
    <n v="3.14"/>
    <n v="0"/>
    <n v="0"/>
    <n v="0"/>
    <n v="114.43"/>
    <n v="84.51"/>
    <s v="Profit"/>
    <x v="0"/>
    <n v="25"/>
    <n v="9"/>
    <s v="16-30"/>
    <s v="Yes"/>
    <n v="2"/>
    <s v="At Risk"/>
    <n v="1"/>
  </r>
  <r>
    <n v="101974"/>
    <d v="2025-12-26T00:00:00"/>
    <n v="1149"/>
    <x v="1"/>
    <x v="2"/>
    <x v="0"/>
    <x v="2"/>
    <x v="2"/>
    <s v="Wallet"/>
    <n v="42.56"/>
    <n v="17.489999999999998"/>
    <x v="0"/>
    <n v="111.66"/>
    <n v="632.71"/>
    <n v="318.95"/>
    <n v="12.05"/>
    <n v="8.93"/>
    <n v="1.19"/>
    <n v="0"/>
    <n v="0"/>
    <n v="341.12"/>
    <n v="291.58999999999997"/>
    <s v="Profit"/>
    <x v="0"/>
    <n v="33"/>
    <n v="7"/>
    <s v="30+"/>
    <s v="Yes"/>
    <n v="1"/>
    <s v="At Risk"/>
    <n v="1"/>
  </r>
  <r>
    <n v="101975"/>
    <d v="2025-12-01T00:00:00"/>
    <n v="1050"/>
    <x v="0"/>
    <x v="1"/>
    <x v="3"/>
    <x v="3"/>
    <x v="0"/>
    <s v="Card"/>
    <n v="13.86"/>
    <n v="13.08"/>
    <x v="4"/>
    <n v="9.06"/>
    <n v="172.23"/>
    <n v="97.94"/>
    <n v="8.34"/>
    <n v="2.72"/>
    <n v="9.4499999999999993"/>
    <n v="0"/>
    <n v="0"/>
    <n v="118.45"/>
    <n v="53.78"/>
    <s v="Profit"/>
    <x v="0"/>
    <n v="1"/>
    <n v="3"/>
    <s v="0-15"/>
    <s v="No"/>
    <n v="0"/>
    <s v="Healthy"/>
    <n v="0"/>
  </r>
  <r>
    <n v="101976"/>
    <d v="2025-10-23T00:00:00"/>
    <n v="1122"/>
    <x v="1"/>
    <x v="2"/>
    <x v="0"/>
    <x v="0"/>
    <x v="2"/>
    <s v="Wallet"/>
    <n v="46.05"/>
    <n v="17.829999999999998"/>
    <x v="4"/>
    <n v="41.05"/>
    <n v="780.02"/>
    <n v="291.67"/>
    <n v="10.71"/>
    <n v="9.85"/>
    <n v="16.22"/>
    <n v="0"/>
    <n v="0"/>
    <n v="328.45"/>
    <n v="451.57"/>
    <s v="Profit"/>
    <x v="0"/>
    <n v="4"/>
    <n v="29"/>
    <s v="0-15"/>
    <s v="Yes"/>
    <n v="2"/>
    <s v="At Risk"/>
    <n v="1"/>
  </r>
  <r>
    <n v="101977"/>
    <d v="2025-11-17T00:00:00"/>
    <n v="1032"/>
    <x v="3"/>
    <x v="7"/>
    <x v="4"/>
    <x v="3"/>
    <x v="1"/>
    <s v="Wallet"/>
    <n v="13.81"/>
    <n v="13.35"/>
    <x v="0"/>
    <n v="27.65"/>
    <n v="156.71"/>
    <n v="86.04"/>
    <n v="5.22"/>
    <n v="2.21"/>
    <n v="7.38"/>
    <n v="0"/>
    <n v="0"/>
    <n v="100.85"/>
    <n v="55.86"/>
    <s v="Profit"/>
    <x v="0"/>
    <n v="7"/>
    <n v="6"/>
    <s v="0-15"/>
    <s v="No"/>
    <n v="0"/>
    <s v="Healthy"/>
    <n v="0"/>
  </r>
  <r>
    <n v="101978"/>
    <d v="2025-10-09T00:00:00"/>
    <n v="1126"/>
    <x v="2"/>
    <x v="10"/>
    <x v="1"/>
    <x v="3"/>
    <x v="0"/>
    <s v="Wallet"/>
    <n v="9.57"/>
    <n v="12.29"/>
    <x v="0"/>
    <n v="17.64"/>
    <n v="99.98"/>
    <n v="75.02"/>
    <n v="5.1100000000000003"/>
    <n v="1.41"/>
    <n v="8.0500000000000007"/>
    <n v="0"/>
    <n v="0"/>
    <n v="89.59"/>
    <n v="10.39"/>
    <s v="Profit"/>
    <x v="0"/>
    <n v="13"/>
    <n v="5"/>
    <s v="0-15"/>
    <s v="No"/>
    <n v="0"/>
    <s v="Healthy"/>
    <n v="0"/>
  </r>
  <r>
    <n v="101979"/>
    <d v="2025-11-06T00:00:00"/>
    <n v="1040"/>
    <x v="3"/>
    <x v="7"/>
    <x v="3"/>
    <x v="2"/>
    <x v="1"/>
    <s v="UPI"/>
    <n v="34.54"/>
    <n v="16.88"/>
    <x v="3"/>
    <n v="0"/>
    <n v="583.04"/>
    <n v="235.72"/>
    <n v="5.71"/>
    <n v="4.08"/>
    <n v="4.99"/>
    <n v="505.52"/>
    <n v="2.4900000000000002"/>
    <n v="758.51"/>
    <n v="-175.47"/>
    <s v="Loss"/>
    <x v="1"/>
    <n v="0"/>
    <n v="11"/>
    <s v="0-15"/>
    <s v="Yes"/>
    <n v="3"/>
    <s v="At Risk"/>
    <n v="1"/>
  </r>
  <r>
    <n v="101980"/>
    <d v="2025-11-11T00:00:00"/>
    <n v="1060"/>
    <x v="3"/>
    <x v="7"/>
    <x v="2"/>
    <x v="2"/>
    <x v="0"/>
    <s v="Wallet"/>
    <n v="27.88"/>
    <n v="18.16"/>
    <x v="4"/>
    <n v="25.32"/>
    <n v="480.98"/>
    <n v="209.53"/>
    <n v="6.29"/>
    <n v="6.08"/>
    <n v="12.45"/>
    <n v="396.9"/>
    <n v="0"/>
    <n v="631.25"/>
    <n v="-150.27000000000001"/>
    <s v="Loss"/>
    <x v="1"/>
    <n v="2"/>
    <n v="4"/>
    <s v="0-15"/>
    <s v="Yes"/>
    <n v="1"/>
    <s v="At Risk"/>
    <n v="1"/>
  </r>
  <r>
    <n v="101981"/>
    <d v="2025-10-18T00:00:00"/>
    <n v="1009"/>
    <x v="0"/>
    <x v="0"/>
    <x v="1"/>
    <x v="2"/>
    <x v="1"/>
    <s v="UPI"/>
    <n v="32.58"/>
    <n v="18.21"/>
    <x v="3"/>
    <n v="0"/>
    <n v="593.28"/>
    <n v="286.95999999999998"/>
    <n v="6.53"/>
    <n v="4.1500000000000004"/>
    <n v="11.72"/>
    <n v="0"/>
    <n v="0"/>
    <n v="309.36"/>
    <n v="283.92"/>
    <s v="Profit"/>
    <x v="0"/>
    <n v="2"/>
    <n v="10"/>
    <s v="0-15"/>
    <s v="No"/>
    <n v="1"/>
    <s v="Healthy"/>
    <n v="0"/>
  </r>
  <r>
    <n v="101982"/>
    <d v="2025-10-09T00:00:00"/>
    <n v="1085"/>
    <x v="1"/>
    <x v="2"/>
    <x v="0"/>
    <x v="3"/>
    <x v="0"/>
    <s v="Fleet_Invoice"/>
    <n v="24.98"/>
    <n v="12.19"/>
    <x v="3"/>
    <n v="0"/>
    <n v="304.51"/>
    <n v="167.7"/>
    <n v="7.82"/>
    <n v="1.22"/>
    <n v="5.18"/>
    <n v="0"/>
    <n v="0"/>
    <n v="181.92"/>
    <n v="122.59"/>
    <s v="Profit"/>
    <x v="0"/>
    <n v="19"/>
    <n v="4"/>
    <s v="16-30"/>
    <s v="No"/>
    <n v="0"/>
    <s v="Healthy"/>
    <n v="0"/>
  </r>
  <r>
    <n v="101983"/>
    <d v="2025-10-29T00:00:00"/>
    <n v="1025"/>
    <x v="2"/>
    <x v="12"/>
    <x v="3"/>
    <x v="0"/>
    <x v="1"/>
    <s v="UPI"/>
    <n v="23.29"/>
    <n v="21.26"/>
    <x v="0"/>
    <n v="74.27"/>
    <n v="420.88"/>
    <n v="162.32"/>
    <n v="8.9499999999999993"/>
    <n v="3.47"/>
    <n v="5.75"/>
    <n v="0"/>
    <n v="0"/>
    <n v="180.49"/>
    <n v="240.39"/>
    <s v="Profit"/>
    <x v="0"/>
    <n v="3"/>
    <n v="20"/>
    <s v="0-15"/>
    <s v="Yes"/>
    <n v="1"/>
    <s v="At Risk"/>
    <n v="1"/>
  </r>
  <r>
    <n v="101984"/>
    <d v="2025-12-22T00:00:00"/>
    <n v="1019"/>
    <x v="1"/>
    <x v="2"/>
    <x v="4"/>
    <x v="2"/>
    <x v="0"/>
    <s v="Wallet"/>
    <n v="15.78"/>
    <n v="17.7"/>
    <x v="2"/>
    <n v="27.93"/>
    <n v="251.38"/>
    <n v="102.08"/>
    <n v="9.65"/>
    <n v="3.35"/>
    <n v="10.210000000000001"/>
    <n v="0"/>
    <n v="0"/>
    <n v="125.29"/>
    <n v="126.09"/>
    <s v="Profit"/>
    <x v="0"/>
    <n v="4"/>
    <n v="12"/>
    <s v="0-15"/>
    <s v="No"/>
    <n v="0"/>
    <s v="Healthy"/>
    <n v="0"/>
  </r>
  <r>
    <n v="101985"/>
    <d v="2025-12-26T00:00:00"/>
    <n v="1025"/>
    <x v="1"/>
    <x v="4"/>
    <x v="4"/>
    <x v="0"/>
    <x v="0"/>
    <s v="UPI"/>
    <n v="16.8"/>
    <n v="18.86"/>
    <x v="2"/>
    <n v="31.68"/>
    <n v="285.17"/>
    <n v="112.95"/>
    <n v="11.01"/>
    <n v="2.2200000000000002"/>
    <n v="5.19"/>
    <n v="0"/>
    <n v="0"/>
    <n v="131.37"/>
    <n v="153.80000000000001"/>
    <s v="Profit"/>
    <x v="0"/>
    <n v="28"/>
    <n v="1"/>
    <s v="16-30"/>
    <s v="Yes"/>
    <n v="1"/>
    <s v="At Risk"/>
    <n v="1"/>
  </r>
  <r>
    <n v="101986"/>
    <d v="2025-12-21T00:00:00"/>
    <n v="1048"/>
    <x v="1"/>
    <x v="13"/>
    <x v="3"/>
    <x v="1"/>
    <x v="2"/>
    <s v="Fleet_Invoice"/>
    <n v="29.68"/>
    <n v="14.38"/>
    <x v="1"/>
    <n v="85.36"/>
    <n v="341.44"/>
    <n v="219.14"/>
    <n v="4.3099999999999996"/>
    <n v="1.71"/>
    <n v="1.18"/>
    <n v="0"/>
    <n v="0"/>
    <n v="226.34"/>
    <n v="115.1"/>
    <s v="Profit"/>
    <x v="0"/>
    <n v="16"/>
    <n v="1"/>
    <s v="16-30"/>
    <s v="No"/>
    <n v="0"/>
    <s v="Healthy"/>
    <n v="0"/>
  </r>
  <r>
    <n v="101987"/>
    <d v="2025-10-21T00:00:00"/>
    <n v="1027"/>
    <x v="0"/>
    <x v="0"/>
    <x v="3"/>
    <x v="2"/>
    <x v="0"/>
    <s v="Wallet"/>
    <n v="23.72"/>
    <n v="17.670000000000002"/>
    <x v="4"/>
    <n v="20.96"/>
    <n v="398.17"/>
    <n v="170.54"/>
    <n v="2.81"/>
    <n v="5.03"/>
    <n v="0.02"/>
    <n v="0"/>
    <n v="0"/>
    <n v="178.4"/>
    <n v="219.77"/>
    <s v="Profit"/>
    <x v="0"/>
    <n v="4"/>
    <n v="2"/>
    <s v="0-15"/>
    <s v="No"/>
    <n v="0"/>
    <s v="Healthy"/>
    <n v="0"/>
  </r>
  <r>
    <n v="101988"/>
    <d v="2025-12-27T00:00:00"/>
    <n v="1027"/>
    <x v="2"/>
    <x v="12"/>
    <x v="3"/>
    <x v="0"/>
    <x v="0"/>
    <s v="Card"/>
    <n v="40.89"/>
    <n v="19.38"/>
    <x v="4"/>
    <n v="39.619999999999997"/>
    <n v="752.83"/>
    <n v="249.51"/>
    <n v="8.1999999999999993"/>
    <n v="11.89"/>
    <n v="11.25"/>
    <n v="0"/>
    <n v="0"/>
    <n v="280.85000000000002"/>
    <n v="471.98"/>
    <s v="Profit"/>
    <x v="0"/>
    <n v="38"/>
    <n v="8"/>
    <s v="30+"/>
    <s v="Yes"/>
    <n v="1"/>
    <s v="At Risk"/>
    <n v="1"/>
  </r>
  <r>
    <n v="101989"/>
    <d v="2025-11-30T00:00:00"/>
    <n v="1149"/>
    <x v="1"/>
    <x v="13"/>
    <x v="1"/>
    <x v="3"/>
    <x v="2"/>
    <s v="Fleet_Invoice"/>
    <n v="31.67"/>
    <n v="11.84"/>
    <x v="4"/>
    <n v="18.75"/>
    <n v="356.22"/>
    <n v="243.01"/>
    <n v="8.68"/>
    <n v="1.5"/>
    <n v="0.09"/>
    <n v="0"/>
    <n v="0"/>
    <n v="253.28"/>
    <n v="102.94"/>
    <s v="Profit"/>
    <x v="0"/>
    <n v="7"/>
    <n v="19"/>
    <s v="0-15"/>
    <s v="Yes"/>
    <n v="1"/>
    <s v="At Risk"/>
    <n v="1"/>
  </r>
  <r>
    <n v="101990"/>
    <d v="2025-12-23T00:00:00"/>
    <n v="1112"/>
    <x v="2"/>
    <x v="5"/>
    <x v="1"/>
    <x v="3"/>
    <x v="0"/>
    <s v="UPI"/>
    <n v="3"/>
    <n v="13.18"/>
    <x v="3"/>
    <n v="0"/>
    <n v="39.54"/>
    <n v="23.1"/>
    <n v="5.86"/>
    <n v="0.28000000000000003"/>
    <n v="10.27"/>
    <n v="0"/>
    <n v="0"/>
    <n v="39.51"/>
    <n v="0.03"/>
    <s v="Profit"/>
    <x v="0"/>
    <n v="5"/>
    <n v="15"/>
    <s v="0-15"/>
    <s v="No"/>
    <n v="0"/>
    <s v="Healthy"/>
    <n v="0"/>
  </r>
  <r>
    <n v="101991"/>
    <d v="2025-10-25T00:00:00"/>
    <n v="1076"/>
    <x v="0"/>
    <x v="0"/>
    <x v="4"/>
    <x v="1"/>
    <x v="2"/>
    <s v="Card"/>
    <n v="26.66"/>
    <n v="16.5"/>
    <x v="0"/>
    <n v="65.98"/>
    <n v="373.91"/>
    <n v="201.07"/>
    <n v="10.48"/>
    <n v="6.6"/>
    <n v="6.54"/>
    <n v="0"/>
    <n v="0"/>
    <n v="224.69"/>
    <n v="149.22"/>
    <s v="Profit"/>
    <x v="0"/>
    <n v="13"/>
    <n v="3"/>
    <s v="0-15"/>
    <s v="No"/>
    <n v="0"/>
    <s v="Healthy"/>
    <n v="0"/>
  </r>
  <r>
    <n v="101992"/>
    <d v="2025-11-08T00:00:00"/>
    <n v="1105"/>
    <x v="1"/>
    <x v="2"/>
    <x v="0"/>
    <x v="0"/>
    <x v="0"/>
    <s v="Fleet_Invoice"/>
    <n v="24.04"/>
    <n v="19.079999999999998"/>
    <x v="3"/>
    <n v="0"/>
    <n v="458.68"/>
    <n v="150.4"/>
    <n v="8.25"/>
    <n v="1.83"/>
    <n v="0"/>
    <n v="0"/>
    <n v="0"/>
    <n v="160.47999999999999"/>
    <n v="298.2"/>
    <s v="Profit"/>
    <x v="0"/>
    <n v="2"/>
    <n v="2"/>
    <s v="0-15"/>
    <s v="No"/>
    <n v="0"/>
    <s v="Healthy"/>
    <n v="0"/>
  </r>
  <r>
    <n v="101993"/>
    <d v="2025-11-14T00:00:00"/>
    <n v="1119"/>
    <x v="3"/>
    <x v="8"/>
    <x v="4"/>
    <x v="3"/>
    <x v="1"/>
    <s v="UPI"/>
    <n v="10.26"/>
    <n v="12.47"/>
    <x v="2"/>
    <n v="12.79"/>
    <n v="115.15"/>
    <n v="88.94"/>
    <n v="1"/>
    <n v="0.9"/>
    <n v="11.11"/>
    <n v="0"/>
    <n v="0"/>
    <n v="101.95"/>
    <n v="13.2"/>
    <s v="Profit"/>
    <x v="0"/>
    <n v="5"/>
    <n v="12"/>
    <s v="0-15"/>
    <s v="No"/>
    <n v="0"/>
    <s v="Healthy"/>
    <n v="0"/>
  </r>
  <r>
    <n v="101994"/>
    <d v="2025-12-21T00:00:00"/>
    <n v="1088"/>
    <x v="2"/>
    <x v="5"/>
    <x v="1"/>
    <x v="2"/>
    <x v="0"/>
    <s v="Wallet"/>
    <n v="27.87"/>
    <n v="17.45"/>
    <x v="3"/>
    <n v="0"/>
    <n v="486.33"/>
    <n v="186.86"/>
    <n v="3.06"/>
    <n v="5.84"/>
    <n v="7.13"/>
    <n v="0"/>
    <n v="0"/>
    <n v="202.89"/>
    <n v="283.44"/>
    <s v="Profit"/>
    <x v="0"/>
    <n v="13"/>
    <n v="17"/>
    <s v="0-15"/>
    <s v="Yes"/>
    <n v="2"/>
    <s v="At Risk"/>
    <n v="1"/>
  </r>
  <r>
    <n v="101995"/>
    <d v="2025-10-25T00:00:00"/>
    <n v="1004"/>
    <x v="1"/>
    <x v="3"/>
    <x v="0"/>
    <x v="3"/>
    <x v="0"/>
    <s v="UPI"/>
    <n v="24.28"/>
    <n v="12.43"/>
    <x v="1"/>
    <n v="60.36"/>
    <n v="241.44"/>
    <n v="149.53"/>
    <n v="9.06"/>
    <n v="2.11"/>
    <n v="12.19"/>
    <n v="0"/>
    <n v="0"/>
    <n v="172.89"/>
    <n v="68.55"/>
    <s v="Profit"/>
    <x v="0"/>
    <n v="5"/>
    <n v="15"/>
    <s v="0-15"/>
    <s v="No"/>
    <n v="0"/>
    <s v="Healthy"/>
    <n v="0"/>
  </r>
  <r>
    <n v="101996"/>
    <d v="2025-11-13T00:00:00"/>
    <n v="1143"/>
    <x v="2"/>
    <x v="5"/>
    <x v="3"/>
    <x v="1"/>
    <x v="0"/>
    <s v="UPI"/>
    <n v="34.07"/>
    <n v="15.79"/>
    <x v="0"/>
    <n v="80.7"/>
    <n v="457.27"/>
    <n v="282.27999999999997"/>
    <n v="3.31"/>
    <n v="3.77"/>
    <n v="10.6"/>
    <n v="0"/>
    <n v="0"/>
    <n v="299.95999999999998"/>
    <n v="157.31"/>
    <s v="Profit"/>
    <x v="0"/>
    <n v="8"/>
    <n v="3"/>
    <s v="0-15"/>
    <s v="No"/>
    <n v="0"/>
    <s v="Healthy"/>
    <n v="0"/>
  </r>
  <r>
    <n v="101997"/>
    <d v="2025-11-04T00:00:00"/>
    <n v="1098"/>
    <x v="1"/>
    <x v="13"/>
    <x v="1"/>
    <x v="3"/>
    <x v="2"/>
    <s v="UPI"/>
    <n v="12.56"/>
    <n v="12.9"/>
    <x v="1"/>
    <n v="32.4"/>
    <n v="129.62"/>
    <n v="74.2"/>
    <n v="7.24"/>
    <n v="1.1299999999999999"/>
    <n v="6.03"/>
    <n v="0"/>
    <n v="0"/>
    <n v="88.6"/>
    <n v="41.02"/>
    <s v="Profit"/>
    <x v="0"/>
    <n v="9"/>
    <n v="3"/>
    <s v="0-15"/>
    <s v="No"/>
    <n v="1"/>
    <s v="Healthy"/>
    <n v="0"/>
  </r>
  <r>
    <n v="101998"/>
    <d v="2025-12-03T00:00:00"/>
    <n v="1034"/>
    <x v="0"/>
    <x v="0"/>
    <x v="4"/>
    <x v="3"/>
    <x v="2"/>
    <s v="UPI"/>
    <n v="18.66"/>
    <n v="12.53"/>
    <x v="3"/>
    <n v="0"/>
    <n v="233.81"/>
    <n v="134.04"/>
    <n v="5.5"/>
    <n v="1.64"/>
    <n v="6.54"/>
    <n v="0"/>
    <n v="0"/>
    <n v="147.72"/>
    <n v="86.09"/>
    <s v="Profit"/>
    <x v="0"/>
    <n v="17"/>
    <n v="25"/>
    <s v="16-30"/>
    <s v="Yes"/>
    <n v="2"/>
    <s v="At Risk"/>
    <n v="1"/>
  </r>
  <r>
    <n v="101999"/>
    <d v="2025-11-30T00:00:00"/>
    <n v="1030"/>
    <x v="2"/>
    <x v="5"/>
    <x v="0"/>
    <x v="1"/>
    <x v="2"/>
    <s v="UPI"/>
    <n v="34.15"/>
    <n v="15.21"/>
    <x v="0"/>
    <n v="77.91"/>
    <n v="441.51"/>
    <n v="246.69"/>
    <n v="6.45"/>
    <n v="3.64"/>
    <n v="6.89"/>
    <n v="0"/>
    <n v="0"/>
    <n v="263.67"/>
    <n v="177.84"/>
    <s v="Profit"/>
    <x v="0"/>
    <n v="1"/>
    <n v="1"/>
    <s v="0-15"/>
    <s v="No"/>
    <n v="0"/>
    <s v="Healthy"/>
    <n v="0"/>
  </r>
  <r>
    <n v="102000"/>
    <d v="2025-11-20T00:00:00"/>
    <n v="1020"/>
    <x v="3"/>
    <x v="15"/>
    <x v="0"/>
    <x v="0"/>
    <x v="0"/>
    <s v="Wallet"/>
    <n v="23.58"/>
    <n v="18.8"/>
    <x v="3"/>
    <n v="0"/>
    <n v="443.3"/>
    <n v="195.18"/>
    <n v="3.89"/>
    <n v="5.32"/>
    <n v="2.87"/>
    <n v="0"/>
    <n v="0"/>
    <n v="207.26"/>
    <n v="236.04"/>
    <s v="Profit"/>
    <x v="0"/>
    <n v="8"/>
    <n v="1"/>
    <s v="0-15"/>
    <s v="No"/>
    <n v="0"/>
    <s v="Healthy"/>
    <n v="0"/>
  </r>
  <r>
    <n v="102001"/>
    <d v="2025-10-24T00:00:00"/>
    <n v="1032"/>
    <x v="3"/>
    <x v="14"/>
    <x v="1"/>
    <x v="2"/>
    <x v="0"/>
    <s v="Wallet"/>
    <n v="38.07"/>
    <n v="16.93"/>
    <x v="3"/>
    <n v="0"/>
    <n v="644.53"/>
    <n v="288.10000000000002"/>
    <n v="8.0399999999999991"/>
    <n v="7.73"/>
    <n v="6.59"/>
    <n v="0"/>
    <n v="0"/>
    <n v="310.45999999999998"/>
    <n v="334.07"/>
    <s v="Profit"/>
    <x v="0"/>
    <n v="3"/>
    <n v="3"/>
    <s v="0-15"/>
    <s v="No"/>
    <n v="0"/>
    <s v="Healthy"/>
    <n v="0"/>
  </r>
  <r>
    <n v="102002"/>
    <d v="2025-10-19T00:00:00"/>
    <n v="1041"/>
    <x v="2"/>
    <x v="5"/>
    <x v="4"/>
    <x v="1"/>
    <x v="2"/>
    <s v="UPI"/>
    <n v="20.51"/>
    <n v="17.78"/>
    <x v="3"/>
    <n v="0"/>
    <n v="364.67"/>
    <n v="184.52"/>
    <n v="3.91"/>
    <n v="2.5499999999999998"/>
    <n v="6.46"/>
    <n v="234.83"/>
    <n v="23.84"/>
    <n v="456.11"/>
    <n v="-91.44"/>
    <s v="Loss"/>
    <x v="2"/>
    <n v="16"/>
    <n v="5"/>
    <s v="16-30"/>
    <s v="No"/>
    <n v="2"/>
    <s v="At Risk"/>
    <n v="0"/>
  </r>
  <r>
    <n v="102003"/>
    <d v="2025-12-31T00:00:00"/>
    <n v="1070"/>
    <x v="0"/>
    <x v="11"/>
    <x v="2"/>
    <x v="3"/>
    <x v="2"/>
    <s v="Fleet_Invoice"/>
    <n v="24.99"/>
    <n v="13.37"/>
    <x v="2"/>
    <n v="33.409999999999997"/>
    <n v="300.70999999999998"/>
    <n v="177.26"/>
    <n v="10.93"/>
    <n v="1.34"/>
    <n v="4.83"/>
    <n v="0"/>
    <n v="0"/>
    <n v="194.36"/>
    <n v="106.35"/>
    <s v="Profit"/>
    <x v="0"/>
    <n v="15"/>
    <n v="9"/>
    <s v="0-15"/>
    <s v="No"/>
    <n v="0"/>
    <s v="Healthy"/>
    <n v="0"/>
  </r>
  <r>
    <n v="102004"/>
    <d v="2025-10-18T00:00:00"/>
    <n v="1038"/>
    <x v="0"/>
    <x v="1"/>
    <x v="2"/>
    <x v="1"/>
    <x v="0"/>
    <s v="UPI"/>
    <n v="34.92"/>
    <n v="16.34"/>
    <x v="3"/>
    <n v="0"/>
    <n v="570.59"/>
    <n v="241.95"/>
    <n v="6.77"/>
    <n v="3.99"/>
    <n v="6.38"/>
    <n v="0"/>
    <n v="0"/>
    <n v="259.08999999999997"/>
    <n v="311.5"/>
    <s v="Profit"/>
    <x v="0"/>
    <n v="3"/>
    <n v="0"/>
    <s v="0-15"/>
    <s v="No"/>
    <n v="0"/>
    <s v="Healthy"/>
    <n v="0"/>
  </r>
  <r>
    <n v="102005"/>
    <d v="2025-12-06T00:00:00"/>
    <n v="1021"/>
    <x v="2"/>
    <x v="5"/>
    <x v="0"/>
    <x v="1"/>
    <x v="2"/>
    <s v="Wallet"/>
    <n v="11.49"/>
    <n v="14.23"/>
    <x v="4"/>
    <n v="8.18"/>
    <n v="155.32"/>
    <n v="84.19"/>
    <n v="9.51"/>
    <n v="1.96"/>
    <n v="2.99"/>
    <n v="0"/>
    <n v="0"/>
    <n v="98.65"/>
    <n v="56.67"/>
    <s v="Profit"/>
    <x v="0"/>
    <n v="0"/>
    <n v="5"/>
    <s v="0-15"/>
    <s v="No"/>
    <n v="0"/>
    <s v="Healthy"/>
    <n v="0"/>
  </r>
  <r>
    <n v="102006"/>
    <d v="2025-10-27T00:00:00"/>
    <n v="1035"/>
    <x v="2"/>
    <x v="10"/>
    <x v="2"/>
    <x v="0"/>
    <x v="2"/>
    <s v="UPI"/>
    <n v="29.95"/>
    <n v="18.489999999999998"/>
    <x v="3"/>
    <n v="0"/>
    <n v="553.78"/>
    <n v="246.15"/>
    <n v="12.35"/>
    <n v="3.88"/>
    <n v="12.78"/>
    <n v="0"/>
    <n v="0"/>
    <n v="275.16000000000003"/>
    <n v="278.62"/>
    <s v="Profit"/>
    <x v="0"/>
    <n v="12"/>
    <n v="0"/>
    <s v="0-15"/>
    <s v="No"/>
    <n v="0"/>
    <s v="Healthy"/>
    <n v="0"/>
  </r>
  <r>
    <n v="102007"/>
    <d v="2025-12-19T00:00:00"/>
    <n v="1089"/>
    <x v="2"/>
    <x v="10"/>
    <x v="3"/>
    <x v="3"/>
    <x v="0"/>
    <s v="Card"/>
    <n v="11.18"/>
    <n v="12.13"/>
    <x v="0"/>
    <n v="20.34"/>
    <n v="115.27"/>
    <n v="83.1"/>
    <n v="7.29"/>
    <n v="2.0299999999999998"/>
    <n v="1.86"/>
    <n v="86.34"/>
    <n v="0"/>
    <n v="180.62"/>
    <n v="-65.349999999999994"/>
    <s v="Loss"/>
    <x v="1"/>
    <n v="10"/>
    <n v="14"/>
    <s v="0-15"/>
    <s v="Yes"/>
    <n v="1"/>
    <s v="At Risk"/>
    <n v="1"/>
  </r>
  <r>
    <n v="102008"/>
    <d v="2025-12-21T00:00:00"/>
    <n v="1093"/>
    <x v="1"/>
    <x v="2"/>
    <x v="2"/>
    <x v="0"/>
    <x v="1"/>
    <s v="Fleet_Invoice"/>
    <n v="19.96"/>
    <n v="20.93"/>
    <x v="4"/>
    <n v="20.89"/>
    <n v="396.87"/>
    <n v="126.97"/>
    <n v="6.55"/>
    <n v="1.67"/>
    <n v="4.42"/>
    <n v="0"/>
    <n v="0"/>
    <n v="139.61000000000001"/>
    <n v="257.26"/>
    <s v="Profit"/>
    <x v="0"/>
    <n v="8"/>
    <n v="20"/>
    <s v="0-15"/>
    <s v="Yes"/>
    <n v="1"/>
    <s v="At Risk"/>
    <n v="1"/>
  </r>
  <r>
    <n v="102009"/>
    <d v="2025-11-12T00:00:00"/>
    <n v="1108"/>
    <x v="1"/>
    <x v="2"/>
    <x v="1"/>
    <x v="1"/>
    <x v="0"/>
    <s v="UPI"/>
    <n v="33.18"/>
    <n v="15.03"/>
    <x v="3"/>
    <n v="0"/>
    <n v="498.7"/>
    <n v="244.28"/>
    <n v="6.35"/>
    <n v="3.49"/>
    <n v="1.57"/>
    <n v="0"/>
    <n v="0"/>
    <n v="255.69"/>
    <n v="243.01"/>
    <s v="Profit"/>
    <x v="0"/>
    <n v="1"/>
    <n v="0"/>
    <s v="0-15"/>
    <s v="No"/>
    <n v="0"/>
    <s v="Healthy"/>
    <n v="0"/>
  </r>
  <r>
    <n v="102010"/>
    <d v="2025-10-07T00:00:00"/>
    <n v="1106"/>
    <x v="3"/>
    <x v="14"/>
    <x v="0"/>
    <x v="1"/>
    <x v="0"/>
    <s v="Wallet"/>
    <n v="28.8"/>
    <n v="16.059999999999999"/>
    <x v="3"/>
    <n v="0"/>
    <n v="462.53"/>
    <n v="246.37"/>
    <n v="8.82"/>
    <n v="5.55"/>
    <n v="2.4"/>
    <n v="0"/>
    <n v="0"/>
    <n v="263.14"/>
    <n v="199.39"/>
    <s v="Profit"/>
    <x v="0"/>
    <n v="25"/>
    <n v="2"/>
    <s v="16-30"/>
    <s v="Yes"/>
    <n v="1"/>
    <s v="At Risk"/>
    <n v="1"/>
  </r>
  <r>
    <n v="102011"/>
    <d v="2025-11-11T00:00:00"/>
    <n v="1059"/>
    <x v="3"/>
    <x v="7"/>
    <x v="0"/>
    <x v="3"/>
    <x v="0"/>
    <s v="Card"/>
    <n v="21.69"/>
    <n v="13.4"/>
    <x v="4"/>
    <n v="14.53"/>
    <n v="276.12"/>
    <n v="155.57"/>
    <n v="12.05"/>
    <n v="4.3600000000000003"/>
    <n v="1.76"/>
    <n v="0"/>
    <n v="0"/>
    <n v="173.74"/>
    <n v="102.38"/>
    <s v="Profit"/>
    <x v="0"/>
    <n v="8"/>
    <n v="17"/>
    <s v="0-15"/>
    <s v="Yes"/>
    <n v="3"/>
    <s v="At Risk"/>
    <n v="1"/>
  </r>
  <r>
    <n v="102012"/>
    <d v="2025-10-06T00:00:00"/>
    <n v="1071"/>
    <x v="1"/>
    <x v="4"/>
    <x v="3"/>
    <x v="1"/>
    <x v="2"/>
    <s v="UPI"/>
    <n v="25.8"/>
    <n v="15.97"/>
    <x v="3"/>
    <n v="0"/>
    <n v="412.03"/>
    <n v="198.26"/>
    <n v="10.84"/>
    <n v="2.88"/>
    <n v="1.52"/>
    <n v="249.38"/>
    <n v="16.559999999999999"/>
    <n v="479.44"/>
    <n v="-67.41"/>
    <s v="Loss"/>
    <x v="2"/>
    <n v="19"/>
    <n v="20"/>
    <s v="16-30"/>
    <s v="Yes"/>
    <n v="1"/>
    <s v="At Risk"/>
    <n v="1"/>
  </r>
  <r>
    <n v="102013"/>
    <d v="2025-10-29T00:00:00"/>
    <n v="1045"/>
    <x v="2"/>
    <x v="9"/>
    <x v="4"/>
    <x v="2"/>
    <x v="2"/>
    <s v="Card"/>
    <n v="24.36"/>
    <n v="19.170000000000002"/>
    <x v="3"/>
    <n v="0"/>
    <n v="466.98"/>
    <n v="171.24"/>
    <n v="12.58"/>
    <n v="7"/>
    <n v="3.77"/>
    <n v="0"/>
    <n v="0"/>
    <n v="194.59"/>
    <n v="272.39"/>
    <s v="Profit"/>
    <x v="0"/>
    <n v="3"/>
    <n v="2"/>
    <s v="0-15"/>
    <s v="No"/>
    <n v="0"/>
    <s v="Healthy"/>
    <n v="0"/>
  </r>
  <r>
    <n v="102014"/>
    <d v="2025-11-26T00:00:00"/>
    <n v="1064"/>
    <x v="2"/>
    <x v="5"/>
    <x v="3"/>
    <x v="0"/>
    <x v="2"/>
    <s v="UPI"/>
    <n v="31.85"/>
    <n v="17.920000000000002"/>
    <x v="3"/>
    <n v="0"/>
    <n v="570.75"/>
    <n v="202.75"/>
    <n v="8.6199999999999992"/>
    <n v="4"/>
    <n v="8.52"/>
    <n v="0"/>
    <n v="0"/>
    <n v="223.89"/>
    <n v="346.86"/>
    <s v="Profit"/>
    <x v="0"/>
    <n v="19"/>
    <n v="16"/>
    <s v="16-30"/>
    <s v="Yes"/>
    <n v="1"/>
    <s v="At Risk"/>
    <n v="1"/>
  </r>
  <r>
    <n v="102015"/>
    <d v="2025-10-14T00:00:00"/>
    <n v="1027"/>
    <x v="3"/>
    <x v="15"/>
    <x v="3"/>
    <x v="3"/>
    <x v="0"/>
    <s v="UPI"/>
    <n v="21.25"/>
    <n v="13.17"/>
    <x v="2"/>
    <n v="27.99"/>
    <n v="251.87"/>
    <n v="131.85"/>
    <n v="7.04"/>
    <n v="1.96"/>
    <n v="4.26"/>
    <n v="0"/>
    <n v="0"/>
    <n v="145.11000000000001"/>
    <n v="106.76"/>
    <s v="Profit"/>
    <x v="0"/>
    <n v="12"/>
    <n v="8"/>
    <s v="0-15"/>
    <s v="No"/>
    <n v="0"/>
    <s v="Healthy"/>
    <n v="0"/>
  </r>
  <r>
    <n v="102016"/>
    <d v="2025-12-22T00:00:00"/>
    <n v="1034"/>
    <x v="2"/>
    <x v="5"/>
    <x v="4"/>
    <x v="1"/>
    <x v="0"/>
    <s v="Wallet"/>
    <n v="45.24"/>
    <n v="15.94"/>
    <x v="2"/>
    <n v="72.11"/>
    <n v="649.02"/>
    <n v="284.22000000000003"/>
    <n v="7.87"/>
    <n v="8.65"/>
    <n v="9.3000000000000007"/>
    <n v="359.85"/>
    <n v="0"/>
    <n v="669.89"/>
    <n v="-20.87"/>
    <s v="Loss"/>
    <x v="2"/>
    <n v="7"/>
    <n v="28"/>
    <s v="0-15"/>
    <s v="Yes"/>
    <n v="1"/>
    <s v="At Risk"/>
    <n v="1"/>
  </r>
  <r>
    <n v="102017"/>
    <d v="2025-11-15T00:00:00"/>
    <n v="1063"/>
    <x v="1"/>
    <x v="2"/>
    <x v="4"/>
    <x v="1"/>
    <x v="0"/>
    <s v="UPI"/>
    <n v="32.75"/>
    <n v="17.97"/>
    <x v="4"/>
    <n v="29.43"/>
    <n v="559.09"/>
    <n v="239.19"/>
    <n v="11.75"/>
    <n v="4.12"/>
    <n v="10.5"/>
    <n v="497.25"/>
    <n v="0"/>
    <n v="762.81"/>
    <n v="-203.72"/>
    <s v="Loss"/>
    <x v="1"/>
    <n v="0"/>
    <n v="8"/>
    <s v="0-15"/>
    <s v="Yes"/>
    <n v="1"/>
    <s v="At Risk"/>
    <n v="1"/>
  </r>
  <r>
    <n v="102018"/>
    <d v="2025-11-07T00:00:00"/>
    <n v="1145"/>
    <x v="3"/>
    <x v="15"/>
    <x v="4"/>
    <x v="0"/>
    <x v="0"/>
    <s v="UPI"/>
    <n v="24.8"/>
    <n v="19.57"/>
    <x v="0"/>
    <n v="72.8"/>
    <n v="412.54"/>
    <n v="157.84"/>
    <n v="6.52"/>
    <n v="3.4"/>
    <n v="8.4700000000000006"/>
    <n v="0"/>
    <n v="0"/>
    <n v="176.23"/>
    <n v="236.31"/>
    <s v="Profit"/>
    <x v="0"/>
    <n v="1"/>
    <n v="3"/>
    <s v="0-15"/>
    <s v="No"/>
    <n v="0"/>
    <s v="Healthy"/>
    <n v="0"/>
  </r>
  <r>
    <n v="102019"/>
    <d v="2025-10-15T00:00:00"/>
    <n v="1111"/>
    <x v="1"/>
    <x v="2"/>
    <x v="3"/>
    <x v="3"/>
    <x v="2"/>
    <s v="Wallet"/>
    <n v="15.29"/>
    <n v="11.77"/>
    <x v="0"/>
    <n v="26.99"/>
    <n v="152.97"/>
    <n v="88.24"/>
    <n v="14.23"/>
    <n v="2.16"/>
    <n v="11.54"/>
    <n v="65.94"/>
    <n v="11.83"/>
    <n v="193.94"/>
    <n v="-40.97"/>
    <s v="Loss"/>
    <x v="1"/>
    <n v="4"/>
    <n v="0"/>
    <s v="0-15"/>
    <s v="Yes"/>
    <n v="1"/>
    <s v="At Risk"/>
    <n v="1"/>
  </r>
  <r>
    <n v="102020"/>
    <d v="2025-11-10T00:00:00"/>
    <n v="1003"/>
    <x v="0"/>
    <x v="11"/>
    <x v="0"/>
    <x v="3"/>
    <x v="2"/>
    <s v="Wallet"/>
    <n v="26"/>
    <n v="11.83"/>
    <x v="3"/>
    <n v="0"/>
    <n v="307.58"/>
    <n v="177.98"/>
    <n v="11.53"/>
    <n v="3.69"/>
    <n v="2.9"/>
    <n v="0"/>
    <n v="0"/>
    <n v="196.1"/>
    <n v="111.48"/>
    <s v="Profit"/>
    <x v="0"/>
    <n v="24"/>
    <n v="19"/>
    <s v="16-30"/>
    <s v="Yes"/>
    <n v="3"/>
    <s v="At Risk"/>
    <n v="1"/>
  </r>
  <r>
    <n v="102021"/>
    <d v="2025-10-02T00:00:00"/>
    <n v="1052"/>
    <x v="3"/>
    <x v="8"/>
    <x v="1"/>
    <x v="1"/>
    <x v="2"/>
    <s v="UPI"/>
    <n v="32.49"/>
    <n v="16.66"/>
    <x v="3"/>
    <n v="0"/>
    <n v="541.28"/>
    <n v="229.31"/>
    <n v="9.3800000000000008"/>
    <n v="3.79"/>
    <n v="6.41"/>
    <n v="0"/>
    <n v="0"/>
    <n v="248.89"/>
    <n v="292.39"/>
    <s v="Profit"/>
    <x v="0"/>
    <n v="10"/>
    <n v="6"/>
    <s v="0-15"/>
    <s v="No"/>
    <n v="0"/>
    <s v="Healthy"/>
    <n v="0"/>
  </r>
  <r>
    <n v="102022"/>
    <d v="2025-11-14T00:00:00"/>
    <n v="1037"/>
    <x v="0"/>
    <x v="0"/>
    <x v="3"/>
    <x v="0"/>
    <x v="0"/>
    <s v="Card"/>
    <n v="20.3"/>
    <n v="19.329999999999998"/>
    <x v="2"/>
    <n v="39.24"/>
    <n v="353.16"/>
    <n v="151.99"/>
    <n v="10.87"/>
    <n v="5.89"/>
    <n v="0"/>
    <n v="224.89"/>
    <n v="0"/>
    <n v="393.64"/>
    <n v="-40.479999999999997"/>
    <s v="Loss"/>
    <x v="1"/>
    <n v="4"/>
    <n v="27"/>
    <s v="0-15"/>
    <s v="Yes"/>
    <n v="2"/>
    <s v="At Risk"/>
    <n v="1"/>
  </r>
  <r>
    <n v="102023"/>
    <d v="2025-10-22T00:00:00"/>
    <n v="1121"/>
    <x v="2"/>
    <x v="5"/>
    <x v="4"/>
    <x v="3"/>
    <x v="0"/>
    <s v="Wallet"/>
    <n v="9.27"/>
    <n v="13.23"/>
    <x v="4"/>
    <n v="6.13"/>
    <n v="116.51"/>
    <n v="62.61"/>
    <n v="1"/>
    <n v="1.47"/>
    <n v="14.53"/>
    <n v="0"/>
    <n v="0"/>
    <n v="79.61"/>
    <n v="36.9"/>
    <s v="Profit"/>
    <x v="0"/>
    <n v="7"/>
    <n v="5"/>
    <s v="0-15"/>
    <s v="No"/>
    <n v="0"/>
    <s v="Healthy"/>
    <n v="0"/>
  </r>
  <r>
    <n v="102024"/>
    <d v="2025-10-27T00:00:00"/>
    <n v="1111"/>
    <x v="3"/>
    <x v="8"/>
    <x v="2"/>
    <x v="3"/>
    <x v="2"/>
    <s v="UPI"/>
    <n v="27.95"/>
    <n v="11.94"/>
    <x v="4"/>
    <n v="16.690000000000001"/>
    <n v="317.02999999999997"/>
    <n v="233.5"/>
    <n v="7.83"/>
    <n v="2.34"/>
    <n v="7.63"/>
    <n v="0"/>
    <n v="0"/>
    <n v="251.3"/>
    <n v="65.73"/>
    <s v="Profit"/>
    <x v="0"/>
    <n v="63"/>
    <n v="1"/>
    <s v="30+"/>
    <s v="Yes"/>
    <n v="2"/>
    <s v="At Risk"/>
    <n v="1"/>
  </r>
  <r>
    <n v="102025"/>
    <d v="2025-10-15T00:00:00"/>
    <n v="1029"/>
    <x v="2"/>
    <x v="5"/>
    <x v="4"/>
    <x v="2"/>
    <x v="0"/>
    <s v="Card"/>
    <n v="32.58"/>
    <n v="18.11"/>
    <x v="4"/>
    <n v="29.5"/>
    <n v="560.52"/>
    <n v="230.26"/>
    <n v="8.64"/>
    <n v="8.85"/>
    <n v="7.7"/>
    <n v="0"/>
    <n v="0"/>
    <n v="255.45"/>
    <n v="305.07"/>
    <s v="Profit"/>
    <x v="0"/>
    <n v="8"/>
    <n v="13"/>
    <s v="0-15"/>
    <s v="No"/>
    <n v="0"/>
    <s v="Healthy"/>
    <n v="0"/>
  </r>
  <r>
    <n v="102026"/>
    <d v="2025-12-18T00:00:00"/>
    <n v="1059"/>
    <x v="3"/>
    <x v="8"/>
    <x v="0"/>
    <x v="3"/>
    <x v="1"/>
    <s v="UPI"/>
    <n v="21.81"/>
    <n v="12.6"/>
    <x v="3"/>
    <n v="0"/>
    <n v="274.81"/>
    <n v="133.44"/>
    <n v="5.38"/>
    <n v="1.92"/>
    <n v="10.8"/>
    <n v="0"/>
    <n v="0"/>
    <n v="151.54"/>
    <n v="123.27"/>
    <s v="Profit"/>
    <x v="0"/>
    <n v="8"/>
    <n v="6"/>
    <s v="0-15"/>
    <s v="No"/>
    <n v="0"/>
    <s v="Healthy"/>
    <n v="0"/>
  </r>
  <r>
    <n v="102027"/>
    <d v="2025-11-20T00:00:00"/>
    <n v="1145"/>
    <x v="3"/>
    <x v="8"/>
    <x v="1"/>
    <x v="0"/>
    <x v="0"/>
    <s v="UPI"/>
    <n v="28.31"/>
    <n v="17.8"/>
    <x v="1"/>
    <n v="100.78"/>
    <n v="403.14"/>
    <n v="173.71"/>
    <n v="6.11"/>
    <n v="3.53"/>
    <n v="5.95"/>
    <n v="0"/>
    <n v="0"/>
    <n v="189.3"/>
    <n v="213.84"/>
    <s v="Profit"/>
    <x v="0"/>
    <n v="13"/>
    <n v="1"/>
    <s v="0-15"/>
    <s v="No"/>
    <n v="0"/>
    <s v="Healthy"/>
    <n v="0"/>
  </r>
  <r>
    <n v="102028"/>
    <d v="2025-12-24T00:00:00"/>
    <n v="1059"/>
    <x v="3"/>
    <x v="15"/>
    <x v="4"/>
    <x v="0"/>
    <x v="0"/>
    <s v="Wallet"/>
    <n v="37.93"/>
    <n v="18.66"/>
    <x v="3"/>
    <n v="0"/>
    <n v="707.77"/>
    <n v="275.89999999999998"/>
    <n v="10.45"/>
    <n v="8.49"/>
    <n v="12.84"/>
    <n v="0"/>
    <n v="0"/>
    <n v="307.68"/>
    <n v="400.09"/>
    <s v="Profit"/>
    <x v="0"/>
    <n v="13"/>
    <n v="2"/>
    <s v="0-15"/>
    <s v="No"/>
    <n v="0"/>
    <s v="Healthy"/>
    <n v="0"/>
  </r>
  <r>
    <n v="102029"/>
    <d v="2025-10-11T00:00:00"/>
    <n v="1135"/>
    <x v="2"/>
    <x v="12"/>
    <x v="2"/>
    <x v="3"/>
    <x v="0"/>
    <s v="Card"/>
    <n v="11.14"/>
    <n v="10.74"/>
    <x v="3"/>
    <n v="0"/>
    <n v="119.64"/>
    <n v="76.260000000000005"/>
    <n v="2.81"/>
    <n v="1.79"/>
    <n v="3.93"/>
    <n v="55.57"/>
    <n v="0"/>
    <n v="140.36000000000001"/>
    <n v="-20.72"/>
    <s v="Loss"/>
    <x v="2"/>
    <n v="0"/>
    <n v="12"/>
    <s v="0-15"/>
    <s v="No"/>
    <n v="1"/>
    <s v="At Risk"/>
    <n v="0"/>
  </r>
  <r>
    <n v="102030"/>
    <d v="2025-11-13T00:00:00"/>
    <n v="1079"/>
    <x v="0"/>
    <x v="1"/>
    <x v="4"/>
    <x v="0"/>
    <x v="0"/>
    <s v="UPI"/>
    <n v="28.63"/>
    <n v="18.309999999999999"/>
    <x v="3"/>
    <n v="0"/>
    <n v="524.22"/>
    <n v="202.12"/>
    <n v="11.34"/>
    <n v="3.67"/>
    <n v="7.34"/>
    <n v="0"/>
    <n v="0"/>
    <n v="224.47"/>
    <n v="299.75"/>
    <s v="Profit"/>
    <x v="0"/>
    <n v="24"/>
    <n v="10"/>
    <s v="16-30"/>
    <s v="Yes"/>
    <n v="1"/>
    <s v="At Risk"/>
    <n v="1"/>
  </r>
  <r>
    <n v="102031"/>
    <d v="2025-10-02T00:00:00"/>
    <n v="1073"/>
    <x v="1"/>
    <x v="13"/>
    <x v="1"/>
    <x v="3"/>
    <x v="0"/>
    <s v="UPI"/>
    <n v="18.79"/>
    <n v="12.58"/>
    <x v="3"/>
    <n v="0"/>
    <n v="236.38"/>
    <n v="140.88999999999999"/>
    <n v="1"/>
    <n v="1.65"/>
    <n v="0"/>
    <n v="0"/>
    <n v="0"/>
    <n v="143.54"/>
    <n v="92.84"/>
    <s v="Profit"/>
    <x v="0"/>
    <n v="14"/>
    <n v="9"/>
    <s v="0-15"/>
    <s v="No"/>
    <n v="0"/>
    <s v="Healthy"/>
    <n v="0"/>
  </r>
  <r>
    <n v="102032"/>
    <d v="2025-11-01T00:00:00"/>
    <n v="1007"/>
    <x v="2"/>
    <x v="12"/>
    <x v="2"/>
    <x v="1"/>
    <x v="0"/>
    <s v="Card"/>
    <n v="41.7"/>
    <n v="15.45"/>
    <x v="3"/>
    <n v="0"/>
    <n v="644.26"/>
    <n v="360.83"/>
    <n v="8.9600000000000009"/>
    <n v="9.66"/>
    <n v="7.04"/>
    <n v="0"/>
    <n v="0"/>
    <n v="386.49"/>
    <n v="257.77"/>
    <s v="Profit"/>
    <x v="0"/>
    <n v="2"/>
    <n v="5"/>
    <s v="0-15"/>
    <s v="No"/>
    <n v="0"/>
    <s v="Healthy"/>
    <n v="0"/>
  </r>
  <r>
    <n v="102033"/>
    <d v="2025-10-16T00:00:00"/>
    <n v="1137"/>
    <x v="2"/>
    <x v="9"/>
    <x v="1"/>
    <x v="3"/>
    <x v="2"/>
    <s v="Wallet"/>
    <n v="16.239999999999998"/>
    <n v="12.64"/>
    <x v="1"/>
    <n v="41.05"/>
    <n v="164.22"/>
    <n v="113.79"/>
    <n v="7.64"/>
    <n v="2.46"/>
    <n v="2.34"/>
    <n v="191.55"/>
    <n v="10.41"/>
    <n v="328.19"/>
    <n v="-163.97"/>
    <s v="Loss"/>
    <x v="1"/>
    <n v="46"/>
    <n v="1"/>
    <s v="30+"/>
    <s v="Yes"/>
    <n v="2"/>
    <s v="At Risk"/>
    <n v="1"/>
  </r>
  <r>
    <n v="102034"/>
    <d v="2025-10-04T00:00:00"/>
    <n v="1113"/>
    <x v="1"/>
    <x v="3"/>
    <x v="2"/>
    <x v="0"/>
    <x v="2"/>
    <s v="UPI"/>
    <n v="28.81"/>
    <n v="18.899999999999999"/>
    <x v="0"/>
    <n v="81.680000000000007"/>
    <n v="462.83"/>
    <n v="218.24"/>
    <n v="4.4800000000000004"/>
    <n v="3.81"/>
    <n v="10.54"/>
    <n v="0"/>
    <n v="0"/>
    <n v="237.07"/>
    <n v="225.76"/>
    <s v="Profit"/>
    <x v="0"/>
    <n v="2"/>
    <n v="9"/>
    <s v="0-15"/>
    <s v="No"/>
    <n v="0"/>
    <s v="Healthy"/>
    <n v="0"/>
  </r>
  <r>
    <n v="102035"/>
    <d v="2025-11-12T00:00:00"/>
    <n v="1125"/>
    <x v="0"/>
    <x v="0"/>
    <x v="0"/>
    <x v="2"/>
    <x v="0"/>
    <s v="Card"/>
    <n v="33.270000000000003"/>
    <n v="19.79"/>
    <x v="3"/>
    <n v="0"/>
    <n v="658.41"/>
    <n v="286.2"/>
    <n v="5.87"/>
    <n v="9.8800000000000008"/>
    <n v="6.34"/>
    <n v="0"/>
    <n v="0"/>
    <n v="308.29000000000002"/>
    <n v="350.12"/>
    <s v="Profit"/>
    <x v="0"/>
    <n v="7"/>
    <n v="1"/>
    <s v="0-15"/>
    <s v="No"/>
    <n v="0"/>
    <s v="Healthy"/>
    <n v="0"/>
  </r>
  <r>
    <n v="102036"/>
    <d v="2025-12-01T00:00:00"/>
    <n v="1014"/>
    <x v="2"/>
    <x v="12"/>
    <x v="4"/>
    <x v="2"/>
    <x v="0"/>
    <s v="UPI"/>
    <n v="18.07"/>
    <n v="17.559999999999999"/>
    <x v="3"/>
    <n v="0"/>
    <n v="317.31"/>
    <n v="143.68"/>
    <n v="7.94"/>
    <n v="2.2200000000000002"/>
    <n v="9.8000000000000007"/>
    <n v="241.21"/>
    <n v="0"/>
    <n v="404.85"/>
    <n v="-87.54"/>
    <s v="Loss"/>
    <x v="2"/>
    <n v="4"/>
    <n v="1"/>
    <s v="0-15"/>
    <s v="No"/>
    <n v="1"/>
    <s v="At Risk"/>
    <n v="0"/>
  </r>
  <r>
    <n v="102037"/>
    <d v="2025-11-11T00:00:00"/>
    <n v="1056"/>
    <x v="0"/>
    <x v="6"/>
    <x v="3"/>
    <x v="3"/>
    <x v="1"/>
    <s v="UPI"/>
    <n v="21.55"/>
    <n v="12.7"/>
    <x v="3"/>
    <n v="0"/>
    <n v="273.68"/>
    <n v="146.36000000000001"/>
    <n v="3.87"/>
    <n v="1.92"/>
    <n v="4.8600000000000003"/>
    <n v="210.2"/>
    <n v="15.1"/>
    <n v="382.31"/>
    <n v="-108.63"/>
    <s v="Loss"/>
    <x v="1"/>
    <n v="1"/>
    <n v="4"/>
    <s v="0-15"/>
    <s v="Yes"/>
    <n v="4"/>
    <s v="At Risk"/>
    <n v="1"/>
  </r>
  <r>
    <n v="102038"/>
    <d v="2025-10-12T00:00:00"/>
    <n v="1107"/>
    <x v="2"/>
    <x v="5"/>
    <x v="1"/>
    <x v="0"/>
    <x v="2"/>
    <s v="UPI"/>
    <n v="10.26"/>
    <n v="18.46"/>
    <x v="3"/>
    <n v="0"/>
    <n v="189.4"/>
    <n v="77.680000000000007"/>
    <n v="7.77"/>
    <n v="1.33"/>
    <n v="10.71"/>
    <n v="0"/>
    <n v="0"/>
    <n v="97.49"/>
    <n v="91.91"/>
    <s v="Profit"/>
    <x v="0"/>
    <n v="2"/>
    <n v="10"/>
    <s v="0-15"/>
    <s v="No"/>
    <n v="0"/>
    <s v="Healthy"/>
    <n v="0"/>
  </r>
  <r>
    <n v="102039"/>
    <d v="2025-10-14T00:00:00"/>
    <n v="1006"/>
    <x v="0"/>
    <x v="11"/>
    <x v="3"/>
    <x v="1"/>
    <x v="1"/>
    <s v="UPI"/>
    <n v="41.37"/>
    <n v="14.95"/>
    <x v="0"/>
    <n v="92.77"/>
    <n v="525.71"/>
    <n v="303.49"/>
    <n v="9.6"/>
    <n v="4.33"/>
    <n v="1.87"/>
    <n v="0"/>
    <n v="0"/>
    <n v="319.29000000000002"/>
    <n v="206.42"/>
    <s v="Profit"/>
    <x v="0"/>
    <n v="2"/>
    <n v="6"/>
    <s v="0-15"/>
    <s v="No"/>
    <n v="0"/>
    <s v="Healthy"/>
    <n v="0"/>
  </r>
  <r>
    <n v="102040"/>
    <d v="2025-10-12T00:00:00"/>
    <n v="1138"/>
    <x v="2"/>
    <x v="5"/>
    <x v="1"/>
    <x v="3"/>
    <x v="0"/>
    <s v="UPI"/>
    <n v="21.46"/>
    <n v="12.58"/>
    <x v="3"/>
    <n v="0"/>
    <n v="269.97000000000003"/>
    <n v="153.04"/>
    <n v="6.49"/>
    <n v="1.89"/>
    <n v="5.61"/>
    <n v="114.35"/>
    <n v="0"/>
    <n v="281.38"/>
    <n v="-11.41"/>
    <s v="Loss"/>
    <x v="1"/>
    <n v="16"/>
    <n v="11"/>
    <s v="16-30"/>
    <s v="Yes"/>
    <n v="1"/>
    <s v="At Risk"/>
    <n v="1"/>
  </r>
  <r>
    <n v="102041"/>
    <d v="2025-10-28T00:00:00"/>
    <n v="1095"/>
    <x v="1"/>
    <x v="2"/>
    <x v="2"/>
    <x v="0"/>
    <x v="2"/>
    <s v="UPI"/>
    <n v="26.33"/>
    <n v="17.39"/>
    <x v="4"/>
    <n v="22.89"/>
    <n v="434.99"/>
    <n v="180.49"/>
    <n v="9.5500000000000007"/>
    <n v="3.21"/>
    <n v="7.81"/>
    <n v="0"/>
    <n v="0"/>
    <n v="201.06"/>
    <n v="233.93"/>
    <s v="Profit"/>
    <x v="0"/>
    <n v="19"/>
    <n v="2"/>
    <s v="16-30"/>
    <s v="No"/>
    <n v="0"/>
    <s v="Healthy"/>
    <n v="0"/>
  </r>
  <r>
    <n v="102042"/>
    <d v="2025-11-28T00:00:00"/>
    <n v="1086"/>
    <x v="1"/>
    <x v="4"/>
    <x v="3"/>
    <x v="3"/>
    <x v="0"/>
    <s v="Card"/>
    <n v="8.81"/>
    <n v="11.41"/>
    <x v="4"/>
    <n v="5.03"/>
    <n v="95.49"/>
    <n v="73.569999999999993"/>
    <n v="10.74"/>
    <n v="1.51"/>
    <n v="8.48"/>
    <n v="0"/>
    <n v="0"/>
    <n v="94.3"/>
    <n v="1.19"/>
    <s v="Profit"/>
    <x v="0"/>
    <n v="12"/>
    <n v="9"/>
    <s v="0-15"/>
    <s v="No"/>
    <n v="0"/>
    <s v="Healthy"/>
    <n v="0"/>
  </r>
  <r>
    <n v="102043"/>
    <d v="2025-10-13T00:00:00"/>
    <n v="1071"/>
    <x v="2"/>
    <x v="10"/>
    <x v="2"/>
    <x v="1"/>
    <x v="2"/>
    <s v="Wallet"/>
    <n v="29.64"/>
    <n v="14.27"/>
    <x v="4"/>
    <n v="21.15"/>
    <n v="401.81"/>
    <n v="211.3"/>
    <n v="10.5"/>
    <n v="5.08"/>
    <n v="6.17"/>
    <n v="0"/>
    <n v="0"/>
    <n v="233.05"/>
    <n v="168.76"/>
    <s v="Profit"/>
    <x v="0"/>
    <n v="20"/>
    <n v="0"/>
    <s v="16-30"/>
    <s v="No"/>
    <n v="1"/>
    <s v="Healthy"/>
    <n v="0"/>
  </r>
  <r>
    <n v="102044"/>
    <d v="2025-12-22T00:00:00"/>
    <n v="1059"/>
    <x v="1"/>
    <x v="3"/>
    <x v="4"/>
    <x v="3"/>
    <x v="2"/>
    <s v="UPI"/>
    <n v="24.45"/>
    <n v="12.7"/>
    <x v="2"/>
    <n v="31.05"/>
    <n v="279.47000000000003"/>
    <n v="185.87"/>
    <n v="3.12"/>
    <n v="2.17"/>
    <n v="0"/>
    <n v="0"/>
    <n v="0"/>
    <n v="191.16"/>
    <n v="88.31"/>
    <s v="Profit"/>
    <x v="0"/>
    <n v="10"/>
    <n v="25"/>
    <s v="0-15"/>
    <s v="Yes"/>
    <n v="3"/>
    <s v="At Risk"/>
    <n v="1"/>
  </r>
  <r>
    <n v="102045"/>
    <d v="2025-10-13T00:00:00"/>
    <n v="1074"/>
    <x v="0"/>
    <x v="6"/>
    <x v="3"/>
    <x v="1"/>
    <x v="2"/>
    <s v="Wallet"/>
    <n v="30.48"/>
    <n v="18.55"/>
    <x v="3"/>
    <n v="0"/>
    <n v="565.4"/>
    <n v="193.76"/>
    <n v="9.6999999999999993"/>
    <n v="6.78"/>
    <n v="8.48"/>
    <n v="0"/>
    <n v="0"/>
    <n v="218.72"/>
    <n v="346.68"/>
    <s v="Profit"/>
    <x v="0"/>
    <n v="0"/>
    <n v="0"/>
    <s v="0-15"/>
    <s v="No"/>
    <n v="0"/>
    <s v="Healthy"/>
    <n v="0"/>
  </r>
  <r>
    <n v="102046"/>
    <d v="2025-12-02T00:00:00"/>
    <n v="1032"/>
    <x v="0"/>
    <x v="1"/>
    <x v="0"/>
    <x v="1"/>
    <x v="0"/>
    <s v="UPI"/>
    <n v="39.49"/>
    <n v="15.22"/>
    <x v="4"/>
    <n v="30.05"/>
    <n v="570.99"/>
    <n v="246.52"/>
    <n v="11.34"/>
    <n v="4.21"/>
    <n v="10.99"/>
    <n v="317"/>
    <n v="0"/>
    <n v="590.05999999999995"/>
    <n v="-19.07"/>
    <s v="Loss"/>
    <x v="2"/>
    <n v="20"/>
    <n v="1"/>
    <s v="16-30"/>
    <s v="No"/>
    <n v="2"/>
    <s v="At Risk"/>
    <n v="0"/>
  </r>
  <r>
    <n v="102047"/>
    <d v="2025-11-06T00:00:00"/>
    <n v="1092"/>
    <x v="1"/>
    <x v="13"/>
    <x v="3"/>
    <x v="2"/>
    <x v="1"/>
    <s v="Card"/>
    <n v="40.04"/>
    <n v="17.45"/>
    <x v="3"/>
    <n v="0"/>
    <n v="698.7"/>
    <n v="254.6"/>
    <n v="6.47"/>
    <n v="10.48"/>
    <n v="0"/>
    <n v="0"/>
    <n v="0"/>
    <n v="271.55"/>
    <n v="427.15"/>
    <s v="Profit"/>
    <x v="0"/>
    <n v="43"/>
    <n v="14"/>
    <s v="30+"/>
    <s v="Yes"/>
    <n v="2"/>
    <s v="At Risk"/>
    <n v="1"/>
  </r>
  <r>
    <n v="102048"/>
    <d v="2025-12-21T00:00:00"/>
    <n v="1037"/>
    <x v="1"/>
    <x v="2"/>
    <x v="4"/>
    <x v="2"/>
    <x v="0"/>
    <s v="Fleet_Invoice"/>
    <n v="32.81"/>
    <n v="17.13"/>
    <x v="3"/>
    <n v="0"/>
    <n v="562.04"/>
    <n v="229.01"/>
    <n v="4.47"/>
    <n v="2.25"/>
    <n v="9.73"/>
    <n v="0"/>
    <n v="0"/>
    <n v="245.46"/>
    <n v="316.58"/>
    <s v="Profit"/>
    <x v="0"/>
    <n v="12"/>
    <n v="1"/>
    <s v="0-15"/>
    <s v="No"/>
    <n v="0"/>
    <s v="Healthy"/>
    <n v="0"/>
  </r>
  <r>
    <n v="102049"/>
    <d v="2025-10-27T00:00:00"/>
    <n v="1048"/>
    <x v="2"/>
    <x v="9"/>
    <x v="0"/>
    <x v="1"/>
    <x v="2"/>
    <s v="Card"/>
    <n v="45.01"/>
    <n v="15.31"/>
    <x v="3"/>
    <n v="0"/>
    <n v="689.1"/>
    <n v="300.3"/>
    <n v="11.12"/>
    <n v="10.34"/>
    <n v="9.26"/>
    <n v="0"/>
    <n v="0"/>
    <n v="331.02"/>
    <n v="358.08"/>
    <s v="Profit"/>
    <x v="0"/>
    <n v="14"/>
    <n v="8"/>
    <s v="0-15"/>
    <s v="No"/>
    <n v="0"/>
    <s v="Healthy"/>
    <n v="0"/>
  </r>
  <r>
    <n v="102050"/>
    <d v="2025-10-21T00:00:00"/>
    <n v="1108"/>
    <x v="2"/>
    <x v="10"/>
    <x v="1"/>
    <x v="2"/>
    <x v="0"/>
    <s v="UPI"/>
    <n v="17.239999999999998"/>
    <n v="17.86"/>
    <x v="2"/>
    <n v="30.79"/>
    <n v="277.12"/>
    <n v="102.67"/>
    <n v="3.74"/>
    <n v="2.16"/>
    <n v="7.84"/>
    <n v="0"/>
    <n v="0"/>
    <n v="116.41"/>
    <n v="160.71"/>
    <s v="Profit"/>
    <x v="0"/>
    <n v="34"/>
    <n v="7"/>
    <s v="30+"/>
    <s v="Yes"/>
    <n v="2"/>
    <s v="At Risk"/>
    <n v="1"/>
  </r>
  <r>
    <n v="102051"/>
    <d v="2025-12-25T00:00:00"/>
    <n v="1118"/>
    <x v="1"/>
    <x v="2"/>
    <x v="3"/>
    <x v="1"/>
    <x v="2"/>
    <s v="UPI"/>
    <n v="39.36"/>
    <n v="14.82"/>
    <x v="2"/>
    <n v="58.33"/>
    <n v="524.99"/>
    <n v="351.31"/>
    <n v="6.04"/>
    <n v="4.08"/>
    <n v="3.72"/>
    <n v="0"/>
    <n v="0"/>
    <n v="365.15"/>
    <n v="159.84"/>
    <s v="Profit"/>
    <x v="0"/>
    <n v="17"/>
    <n v="15"/>
    <s v="16-30"/>
    <s v="No"/>
    <n v="1"/>
    <s v="Healthy"/>
    <n v="0"/>
  </r>
  <r>
    <n v="102052"/>
    <d v="2025-12-17T00:00:00"/>
    <n v="1114"/>
    <x v="2"/>
    <x v="10"/>
    <x v="0"/>
    <x v="0"/>
    <x v="0"/>
    <s v="Card"/>
    <n v="24.86"/>
    <n v="18.559999999999999"/>
    <x v="3"/>
    <n v="0"/>
    <n v="461.4"/>
    <n v="144.85"/>
    <n v="3.94"/>
    <n v="6.92"/>
    <n v="4.46"/>
    <n v="0"/>
    <n v="0"/>
    <n v="160.16999999999999"/>
    <n v="301.23"/>
    <s v="Profit"/>
    <x v="0"/>
    <n v="2"/>
    <n v="7"/>
    <s v="0-15"/>
    <s v="No"/>
    <n v="0"/>
    <s v="Healthy"/>
    <n v="0"/>
  </r>
  <r>
    <n v="102053"/>
    <d v="2025-10-25T00:00:00"/>
    <n v="1112"/>
    <x v="2"/>
    <x v="12"/>
    <x v="3"/>
    <x v="2"/>
    <x v="0"/>
    <s v="UPI"/>
    <n v="39.25"/>
    <n v="17.93"/>
    <x v="3"/>
    <n v="0"/>
    <n v="703.75"/>
    <n v="300.31"/>
    <n v="10.89"/>
    <n v="4.93"/>
    <n v="7.95"/>
    <n v="0"/>
    <n v="0"/>
    <n v="324.08"/>
    <n v="379.67"/>
    <s v="Profit"/>
    <x v="0"/>
    <n v="9"/>
    <n v="2"/>
    <s v="0-15"/>
    <s v="No"/>
    <n v="0"/>
    <s v="Healthy"/>
    <n v="0"/>
  </r>
  <r>
    <n v="102054"/>
    <d v="2025-12-16T00:00:00"/>
    <n v="1038"/>
    <x v="0"/>
    <x v="1"/>
    <x v="0"/>
    <x v="2"/>
    <x v="0"/>
    <s v="UPI"/>
    <n v="39.61"/>
    <n v="17.579999999999998"/>
    <x v="0"/>
    <n v="104.45"/>
    <n v="591.89"/>
    <n v="286.19"/>
    <n v="4.96"/>
    <n v="4.87"/>
    <n v="0"/>
    <n v="587.45000000000005"/>
    <n v="0"/>
    <n v="883.47"/>
    <n v="-291.58"/>
    <s v="Loss"/>
    <x v="2"/>
    <n v="19"/>
    <n v="2"/>
    <s v="16-30"/>
    <s v="No"/>
    <n v="2"/>
    <s v="At Risk"/>
    <n v="0"/>
  </r>
  <r>
    <n v="102055"/>
    <d v="2025-12-01T00:00:00"/>
    <n v="1049"/>
    <x v="0"/>
    <x v="6"/>
    <x v="2"/>
    <x v="2"/>
    <x v="0"/>
    <s v="Card"/>
    <n v="31"/>
    <n v="18.190000000000001"/>
    <x v="0"/>
    <n v="84.58"/>
    <n v="479.31"/>
    <n v="223.99"/>
    <n v="7.53"/>
    <n v="8.4600000000000009"/>
    <n v="8.83"/>
    <n v="0"/>
    <n v="0"/>
    <n v="248.81"/>
    <n v="230.5"/>
    <s v="Profit"/>
    <x v="0"/>
    <n v="0"/>
    <n v="13"/>
    <s v="0-15"/>
    <s v="No"/>
    <n v="1"/>
    <s v="Healthy"/>
    <n v="0"/>
  </r>
  <r>
    <n v="102056"/>
    <d v="2025-10-31T00:00:00"/>
    <n v="1066"/>
    <x v="2"/>
    <x v="5"/>
    <x v="1"/>
    <x v="0"/>
    <x v="2"/>
    <s v="UPI"/>
    <n v="26.37"/>
    <n v="18.7"/>
    <x v="3"/>
    <n v="0"/>
    <n v="493.12"/>
    <n v="158.02000000000001"/>
    <n v="9.43"/>
    <n v="3.45"/>
    <n v="1.1100000000000001"/>
    <n v="0"/>
    <n v="0"/>
    <n v="172.01"/>
    <n v="321.11"/>
    <s v="Profit"/>
    <x v="0"/>
    <n v="1"/>
    <n v="8"/>
    <s v="0-15"/>
    <s v="No"/>
    <n v="0"/>
    <s v="Healthy"/>
    <n v="0"/>
  </r>
  <r>
    <n v="102057"/>
    <d v="2025-10-05T00:00:00"/>
    <n v="1078"/>
    <x v="3"/>
    <x v="14"/>
    <x v="0"/>
    <x v="3"/>
    <x v="0"/>
    <s v="Wallet"/>
    <n v="9.0299999999999994"/>
    <n v="13.92"/>
    <x v="3"/>
    <n v="0"/>
    <n v="125.7"/>
    <n v="61.55"/>
    <n v="5.89"/>
    <n v="1.51"/>
    <n v="10.69"/>
    <n v="0"/>
    <n v="0"/>
    <n v="79.64"/>
    <n v="46.06"/>
    <s v="Profit"/>
    <x v="0"/>
    <n v="15"/>
    <n v="11"/>
    <s v="0-15"/>
    <s v="No"/>
    <n v="0"/>
    <s v="Healthy"/>
    <n v="0"/>
  </r>
  <r>
    <n v="102058"/>
    <d v="2025-10-29T00:00:00"/>
    <n v="1005"/>
    <x v="3"/>
    <x v="15"/>
    <x v="4"/>
    <x v="3"/>
    <x v="0"/>
    <s v="UPI"/>
    <n v="14.56"/>
    <n v="12.97"/>
    <x v="4"/>
    <n v="9.44"/>
    <n v="179.4"/>
    <n v="99.33"/>
    <n v="6.85"/>
    <n v="1.32"/>
    <n v="0.77"/>
    <n v="0"/>
    <n v="0"/>
    <n v="108.27"/>
    <n v="71.13"/>
    <s v="Profit"/>
    <x v="0"/>
    <n v="11"/>
    <n v="2"/>
    <s v="0-15"/>
    <s v="No"/>
    <n v="0"/>
    <s v="Healthy"/>
    <n v="0"/>
  </r>
  <r>
    <n v="102059"/>
    <d v="2025-12-23T00:00:00"/>
    <n v="1079"/>
    <x v="2"/>
    <x v="9"/>
    <x v="1"/>
    <x v="1"/>
    <x v="0"/>
    <s v="UPI"/>
    <n v="26.05"/>
    <n v="15.62"/>
    <x v="4"/>
    <n v="20.34"/>
    <n v="386.56"/>
    <n v="177.67"/>
    <n v="9.7899999999999991"/>
    <n v="2.85"/>
    <n v="5.34"/>
    <n v="144.81"/>
    <n v="0"/>
    <n v="340.46"/>
    <n v="46.1"/>
    <s v="Profit"/>
    <x v="2"/>
    <n v="12"/>
    <n v="0"/>
    <s v="0-15"/>
    <s v="No"/>
    <n v="3"/>
    <s v="At Risk"/>
    <n v="0"/>
  </r>
  <r>
    <n v="102060"/>
    <d v="2025-12-30T00:00:00"/>
    <n v="1133"/>
    <x v="0"/>
    <x v="6"/>
    <x v="0"/>
    <x v="3"/>
    <x v="0"/>
    <s v="Fleet_Invoice"/>
    <n v="13.97"/>
    <n v="13.6"/>
    <x v="4"/>
    <n v="9.5"/>
    <n v="180.49"/>
    <n v="90.48"/>
    <n v="11.5"/>
    <n v="0.76"/>
    <n v="10.9"/>
    <n v="98"/>
    <n v="0"/>
    <n v="211.64"/>
    <n v="-31.15"/>
    <s v="Loss"/>
    <x v="1"/>
    <n v="0"/>
    <n v="1"/>
    <s v="0-15"/>
    <s v="Yes"/>
    <n v="1"/>
    <s v="At Risk"/>
    <n v="1"/>
  </r>
  <r>
    <n v="102061"/>
    <d v="2025-10-24T00:00:00"/>
    <n v="1036"/>
    <x v="2"/>
    <x v="5"/>
    <x v="3"/>
    <x v="1"/>
    <x v="0"/>
    <s v="UPI"/>
    <n v="29.76"/>
    <n v="16.34"/>
    <x v="4"/>
    <n v="24.31"/>
    <n v="461.97"/>
    <n v="235.44"/>
    <n v="8.6"/>
    <n v="3.4"/>
    <n v="4.8499999999999996"/>
    <n v="0"/>
    <n v="0"/>
    <n v="252.29"/>
    <n v="209.68"/>
    <s v="Profit"/>
    <x v="0"/>
    <n v="2"/>
    <n v="15"/>
    <s v="0-15"/>
    <s v="No"/>
    <n v="1"/>
    <s v="Healthy"/>
    <n v="0"/>
  </r>
  <r>
    <n v="102062"/>
    <d v="2025-10-13T00:00:00"/>
    <n v="1121"/>
    <x v="0"/>
    <x v="1"/>
    <x v="1"/>
    <x v="2"/>
    <x v="0"/>
    <s v="UPI"/>
    <n v="33.71"/>
    <n v="17.52"/>
    <x v="3"/>
    <n v="0"/>
    <n v="590.6"/>
    <n v="209.58"/>
    <n v="8.17"/>
    <n v="4.13"/>
    <n v="3.13"/>
    <n v="0"/>
    <n v="0"/>
    <n v="225.01"/>
    <n v="365.59"/>
    <s v="Profit"/>
    <x v="0"/>
    <n v="31"/>
    <n v="3"/>
    <s v="30+"/>
    <s v="Yes"/>
    <n v="1"/>
    <s v="At Risk"/>
    <n v="1"/>
  </r>
  <r>
    <n v="102063"/>
    <d v="2025-10-29T00:00:00"/>
    <n v="1045"/>
    <x v="0"/>
    <x v="11"/>
    <x v="2"/>
    <x v="3"/>
    <x v="0"/>
    <s v="Card"/>
    <n v="30.42"/>
    <n v="13.43"/>
    <x v="2"/>
    <n v="40.85"/>
    <n v="367.69"/>
    <n v="194.9"/>
    <n v="7.31"/>
    <n v="6.13"/>
    <n v="5.78"/>
    <n v="0"/>
    <n v="0"/>
    <n v="214.12"/>
    <n v="153.57"/>
    <s v="Profit"/>
    <x v="0"/>
    <n v="2"/>
    <n v="13"/>
    <s v="0-15"/>
    <s v="No"/>
    <n v="0"/>
    <s v="Healthy"/>
    <n v="0"/>
  </r>
  <r>
    <n v="102064"/>
    <d v="2025-11-14T00:00:00"/>
    <n v="1044"/>
    <x v="2"/>
    <x v="9"/>
    <x v="2"/>
    <x v="3"/>
    <x v="0"/>
    <s v="Card"/>
    <n v="9.18"/>
    <n v="13.32"/>
    <x v="1"/>
    <n v="24.46"/>
    <n v="97.82"/>
    <n v="69.98"/>
    <n v="5.67"/>
    <n v="1.83"/>
    <n v="4.46"/>
    <n v="0"/>
    <n v="0"/>
    <n v="81.94"/>
    <n v="15.88"/>
    <s v="Profit"/>
    <x v="0"/>
    <n v="28"/>
    <n v="5"/>
    <s v="16-30"/>
    <s v="Yes"/>
    <n v="2"/>
    <s v="At Risk"/>
    <n v="1"/>
  </r>
  <r>
    <n v="102065"/>
    <d v="2025-10-14T00:00:00"/>
    <n v="1036"/>
    <x v="2"/>
    <x v="10"/>
    <x v="1"/>
    <x v="3"/>
    <x v="2"/>
    <s v="Wallet"/>
    <n v="31.47"/>
    <n v="14.46"/>
    <x v="3"/>
    <n v="0"/>
    <n v="455.06"/>
    <n v="244.4"/>
    <n v="8.3800000000000008"/>
    <n v="5.46"/>
    <n v="3.82"/>
    <n v="0"/>
    <n v="0"/>
    <n v="262.06"/>
    <n v="193"/>
    <s v="Profit"/>
    <x v="0"/>
    <n v="33"/>
    <n v="5"/>
    <s v="30+"/>
    <s v="Yes"/>
    <n v="4"/>
    <s v="At Risk"/>
    <n v="1"/>
  </r>
  <r>
    <n v="102066"/>
    <d v="2025-10-27T00:00:00"/>
    <n v="1053"/>
    <x v="0"/>
    <x v="1"/>
    <x v="1"/>
    <x v="3"/>
    <x v="2"/>
    <s v="UPI"/>
    <n v="19.37"/>
    <n v="12.24"/>
    <x v="2"/>
    <n v="23.71"/>
    <n v="213.38"/>
    <n v="138.99"/>
    <n v="11.24"/>
    <n v="1.66"/>
    <n v="9.85"/>
    <n v="0"/>
    <n v="0"/>
    <n v="161.74"/>
    <n v="51.64"/>
    <s v="Profit"/>
    <x v="0"/>
    <n v="1"/>
    <n v="5"/>
    <s v="0-15"/>
    <s v="No"/>
    <n v="0"/>
    <s v="Healthy"/>
    <n v="0"/>
  </r>
  <r>
    <n v="102067"/>
    <d v="2025-10-21T00:00:00"/>
    <n v="1063"/>
    <x v="2"/>
    <x v="10"/>
    <x v="0"/>
    <x v="1"/>
    <x v="0"/>
    <s v="UPI"/>
    <n v="21.15"/>
    <n v="15.19"/>
    <x v="0"/>
    <n v="48.19"/>
    <n v="273.08"/>
    <n v="138.59"/>
    <n v="11.91"/>
    <n v="2.25"/>
    <n v="2.14"/>
    <n v="310.87"/>
    <n v="0"/>
    <n v="465.76"/>
    <n v="-192.68"/>
    <s v="Loss"/>
    <x v="1"/>
    <n v="27"/>
    <n v="18"/>
    <s v="16-30"/>
    <s v="Yes"/>
    <n v="1"/>
    <s v="At Risk"/>
    <n v="1"/>
  </r>
  <r>
    <n v="102068"/>
    <d v="2025-11-12T00:00:00"/>
    <n v="1120"/>
    <x v="0"/>
    <x v="6"/>
    <x v="4"/>
    <x v="0"/>
    <x v="0"/>
    <s v="Fleet_Invoice"/>
    <n v="20.56"/>
    <n v="18.100000000000001"/>
    <x v="4"/>
    <n v="18.61"/>
    <n v="353.53"/>
    <n v="151.09"/>
    <n v="8.36"/>
    <n v="1.49"/>
    <n v="1.1499999999999999"/>
    <n v="0"/>
    <n v="0"/>
    <n v="162.09"/>
    <n v="191.44"/>
    <s v="Profit"/>
    <x v="0"/>
    <n v="15"/>
    <n v="2"/>
    <s v="0-15"/>
    <s v="No"/>
    <n v="0"/>
    <s v="Healthy"/>
    <n v="0"/>
  </r>
  <r>
    <n v="102069"/>
    <d v="2025-10-02T00:00:00"/>
    <n v="1111"/>
    <x v="2"/>
    <x v="9"/>
    <x v="3"/>
    <x v="3"/>
    <x v="2"/>
    <s v="UPI"/>
    <n v="32.35"/>
    <n v="12.16"/>
    <x v="3"/>
    <n v="0"/>
    <n v="393.38"/>
    <n v="244.5"/>
    <n v="1.58"/>
    <n v="2.75"/>
    <n v="3.63"/>
    <n v="0"/>
    <n v="0"/>
    <n v="252.46"/>
    <n v="140.91999999999999"/>
    <s v="Profit"/>
    <x v="0"/>
    <n v="9"/>
    <n v="8"/>
    <s v="0-15"/>
    <s v="No"/>
    <n v="1"/>
    <s v="Healthy"/>
    <n v="0"/>
  </r>
  <r>
    <n v="102070"/>
    <d v="2025-12-30T00:00:00"/>
    <n v="1017"/>
    <x v="0"/>
    <x v="0"/>
    <x v="3"/>
    <x v="3"/>
    <x v="1"/>
    <s v="Fleet_Invoice"/>
    <n v="32.590000000000003"/>
    <n v="12.46"/>
    <x v="3"/>
    <n v="0"/>
    <n v="406.07"/>
    <n v="244.55"/>
    <n v="5.62"/>
    <n v="1.62"/>
    <n v="7.26"/>
    <n v="0"/>
    <n v="0"/>
    <n v="259.05"/>
    <n v="147.02000000000001"/>
    <s v="Profit"/>
    <x v="0"/>
    <n v="1"/>
    <n v="11"/>
    <s v="0-15"/>
    <s v="No"/>
    <n v="0"/>
    <s v="Healthy"/>
    <n v="0"/>
  </r>
  <r>
    <n v="102071"/>
    <d v="2025-12-09T00:00:00"/>
    <n v="1074"/>
    <x v="1"/>
    <x v="2"/>
    <x v="3"/>
    <x v="0"/>
    <x v="1"/>
    <s v="UPI"/>
    <n v="33.479999999999997"/>
    <n v="19.38"/>
    <x v="1"/>
    <n v="129.77000000000001"/>
    <n v="519.07000000000005"/>
    <n v="247.74"/>
    <n v="4.59"/>
    <n v="4.54"/>
    <n v="3.48"/>
    <n v="0"/>
    <n v="0"/>
    <n v="260.35000000000002"/>
    <n v="258.72000000000003"/>
    <s v="Profit"/>
    <x v="0"/>
    <n v="13"/>
    <n v="21"/>
    <s v="0-15"/>
    <s v="Yes"/>
    <n v="1"/>
    <s v="At Risk"/>
    <n v="1"/>
  </r>
  <r>
    <n v="102072"/>
    <d v="2025-11-28T00:00:00"/>
    <n v="1036"/>
    <x v="1"/>
    <x v="4"/>
    <x v="4"/>
    <x v="3"/>
    <x v="2"/>
    <s v="Card"/>
    <n v="18.32"/>
    <n v="11.82"/>
    <x v="3"/>
    <n v="0"/>
    <n v="216.54"/>
    <n v="135.29"/>
    <n v="9.15"/>
    <n v="3.25"/>
    <n v="12.51"/>
    <n v="0"/>
    <n v="0"/>
    <n v="160.19999999999999"/>
    <n v="56.34"/>
    <s v="Profit"/>
    <x v="0"/>
    <n v="13"/>
    <n v="11"/>
    <s v="0-15"/>
    <s v="No"/>
    <n v="0"/>
    <s v="Healthy"/>
    <n v="0"/>
  </r>
  <r>
    <n v="102073"/>
    <d v="2025-12-15T00:00:00"/>
    <n v="1138"/>
    <x v="2"/>
    <x v="10"/>
    <x v="2"/>
    <x v="2"/>
    <x v="0"/>
    <s v="Fleet_Invoice"/>
    <n v="24.45"/>
    <n v="17.45"/>
    <x v="3"/>
    <n v="0"/>
    <n v="426.65"/>
    <n v="196.57"/>
    <n v="7.35"/>
    <n v="1.71"/>
    <n v="0.51"/>
    <n v="0"/>
    <n v="0"/>
    <n v="206.14"/>
    <n v="220.51"/>
    <s v="Profit"/>
    <x v="0"/>
    <n v="1"/>
    <n v="1"/>
    <s v="0-15"/>
    <s v="No"/>
    <n v="1"/>
    <s v="Healthy"/>
    <n v="0"/>
  </r>
  <r>
    <n v="102074"/>
    <d v="2025-10-22T00:00:00"/>
    <n v="1139"/>
    <x v="3"/>
    <x v="7"/>
    <x v="0"/>
    <x v="2"/>
    <x v="0"/>
    <s v="UPI"/>
    <n v="24.55"/>
    <n v="18.59"/>
    <x v="4"/>
    <n v="22.82"/>
    <n v="433.56"/>
    <n v="193.29"/>
    <n v="3.78"/>
    <n v="3.19"/>
    <n v="4.6900000000000004"/>
    <n v="0"/>
    <n v="0"/>
    <n v="204.95"/>
    <n v="228.61"/>
    <s v="Profit"/>
    <x v="0"/>
    <n v="9"/>
    <n v="4"/>
    <s v="0-15"/>
    <s v="No"/>
    <n v="0"/>
    <s v="Healthy"/>
    <n v="0"/>
  </r>
  <r>
    <n v="102075"/>
    <d v="2025-11-21T00:00:00"/>
    <n v="1083"/>
    <x v="3"/>
    <x v="14"/>
    <x v="0"/>
    <x v="0"/>
    <x v="0"/>
    <s v="Wallet"/>
    <n v="17.510000000000002"/>
    <n v="19.84"/>
    <x v="3"/>
    <n v="0"/>
    <n v="347.4"/>
    <n v="124.36"/>
    <n v="6.77"/>
    <n v="4.17"/>
    <n v="4.32"/>
    <n v="167.06"/>
    <n v="0"/>
    <n v="306.68"/>
    <n v="40.72"/>
    <s v="Profit"/>
    <x v="1"/>
    <n v="37"/>
    <n v="15"/>
    <s v="30+"/>
    <s v="Yes"/>
    <n v="2"/>
    <s v="At Risk"/>
    <n v="1"/>
  </r>
  <r>
    <n v="102076"/>
    <d v="2025-11-09T00:00:00"/>
    <n v="1039"/>
    <x v="1"/>
    <x v="3"/>
    <x v="2"/>
    <x v="1"/>
    <x v="0"/>
    <s v="Wallet"/>
    <n v="19.68"/>
    <n v="16.68"/>
    <x v="3"/>
    <n v="0"/>
    <n v="328.26"/>
    <n v="157.38999999999999"/>
    <n v="2.79"/>
    <n v="3.94"/>
    <n v="3.3"/>
    <n v="0"/>
    <n v="0"/>
    <n v="167.42"/>
    <n v="160.84"/>
    <s v="Profit"/>
    <x v="0"/>
    <n v="3"/>
    <n v="34"/>
    <s v="0-15"/>
    <s v="Yes"/>
    <n v="3"/>
    <s v="At Risk"/>
    <n v="1"/>
  </r>
  <r>
    <n v="102077"/>
    <d v="2025-11-04T00:00:00"/>
    <n v="1028"/>
    <x v="0"/>
    <x v="11"/>
    <x v="0"/>
    <x v="0"/>
    <x v="0"/>
    <s v="Card"/>
    <n v="27.63"/>
    <n v="18.2"/>
    <x v="0"/>
    <n v="75.430000000000007"/>
    <n v="427.44"/>
    <n v="206.37"/>
    <n v="3.19"/>
    <n v="7.54"/>
    <n v="11.52"/>
    <n v="0"/>
    <n v="0"/>
    <n v="228.62"/>
    <n v="198.82"/>
    <s v="Profit"/>
    <x v="0"/>
    <n v="37"/>
    <n v="2"/>
    <s v="30+"/>
    <s v="Yes"/>
    <n v="3"/>
    <s v="At Risk"/>
    <n v="1"/>
  </r>
  <r>
    <n v="102078"/>
    <d v="2025-10-08T00:00:00"/>
    <n v="1037"/>
    <x v="0"/>
    <x v="11"/>
    <x v="4"/>
    <x v="1"/>
    <x v="2"/>
    <s v="Fleet_Invoice"/>
    <n v="22.66"/>
    <n v="15.21"/>
    <x v="0"/>
    <n v="51.7"/>
    <n v="292.95999999999998"/>
    <n v="161.76"/>
    <n v="10.68"/>
    <n v="1.38"/>
    <n v="1.8"/>
    <n v="0"/>
    <n v="0"/>
    <n v="175.62"/>
    <n v="117.34"/>
    <s v="Profit"/>
    <x v="0"/>
    <n v="0"/>
    <n v="3"/>
    <s v="0-15"/>
    <s v="No"/>
    <n v="0"/>
    <s v="Healthy"/>
    <n v="0"/>
  </r>
  <r>
    <n v="102079"/>
    <d v="2025-12-23T00:00:00"/>
    <n v="1091"/>
    <x v="3"/>
    <x v="15"/>
    <x v="3"/>
    <x v="2"/>
    <x v="2"/>
    <s v="UPI"/>
    <n v="29.82"/>
    <n v="18.170000000000002"/>
    <x v="3"/>
    <n v="0"/>
    <n v="541.83000000000004"/>
    <n v="223.84"/>
    <n v="9.75"/>
    <n v="3.79"/>
    <n v="6.56"/>
    <n v="0"/>
    <n v="0"/>
    <n v="243.94"/>
    <n v="297.89"/>
    <s v="Profit"/>
    <x v="0"/>
    <n v="3"/>
    <n v="23"/>
    <s v="0-15"/>
    <s v="Yes"/>
    <n v="1"/>
    <s v="At Risk"/>
    <n v="1"/>
  </r>
  <r>
    <n v="102080"/>
    <d v="2025-12-27T00:00:00"/>
    <n v="1126"/>
    <x v="1"/>
    <x v="2"/>
    <x v="3"/>
    <x v="2"/>
    <x v="2"/>
    <s v="UPI"/>
    <n v="30.02"/>
    <n v="18.420000000000002"/>
    <x v="0"/>
    <n v="82.95"/>
    <n v="470.02"/>
    <n v="193.42"/>
    <n v="9.94"/>
    <n v="3.87"/>
    <n v="4.3"/>
    <n v="0"/>
    <n v="0"/>
    <n v="211.53"/>
    <n v="258.49"/>
    <s v="Profit"/>
    <x v="0"/>
    <n v="11"/>
    <n v="4"/>
    <s v="0-15"/>
    <s v="No"/>
    <n v="0"/>
    <s v="Healthy"/>
    <n v="0"/>
  </r>
  <r>
    <n v="102081"/>
    <d v="2025-11-21T00:00:00"/>
    <n v="1091"/>
    <x v="3"/>
    <x v="14"/>
    <x v="1"/>
    <x v="1"/>
    <x v="0"/>
    <s v="UPI"/>
    <n v="27.97"/>
    <n v="16.29"/>
    <x v="3"/>
    <n v="0"/>
    <n v="455.63"/>
    <n v="176.57"/>
    <n v="9.99"/>
    <n v="3.19"/>
    <n v="2.91"/>
    <n v="0"/>
    <n v="0"/>
    <n v="192.66"/>
    <n v="262.97000000000003"/>
    <s v="Profit"/>
    <x v="0"/>
    <n v="3"/>
    <n v="3"/>
    <s v="0-15"/>
    <s v="No"/>
    <n v="0"/>
    <s v="Healthy"/>
    <n v="0"/>
  </r>
  <r>
    <n v="102082"/>
    <d v="2025-10-02T00:00:00"/>
    <n v="1137"/>
    <x v="0"/>
    <x v="11"/>
    <x v="4"/>
    <x v="1"/>
    <x v="2"/>
    <s v="UPI"/>
    <n v="27.93"/>
    <n v="14.76"/>
    <x v="3"/>
    <n v="0"/>
    <n v="412.25"/>
    <n v="183"/>
    <n v="4.09"/>
    <n v="2.89"/>
    <n v="4.67"/>
    <n v="0"/>
    <n v="0"/>
    <n v="194.65"/>
    <n v="217.6"/>
    <s v="Profit"/>
    <x v="0"/>
    <n v="24"/>
    <n v="15"/>
    <s v="16-30"/>
    <s v="Yes"/>
    <n v="2"/>
    <s v="At Risk"/>
    <n v="1"/>
  </r>
  <r>
    <n v="102083"/>
    <d v="2025-12-20T00:00:00"/>
    <n v="1018"/>
    <x v="0"/>
    <x v="11"/>
    <x v="2"/>
    <x v="0"/>
    <x v="2"/>
    <s v="UPI"/>
    <n v="27.59"/>
    <n v="19.29"/>
    <x v="3"/>
    <n v="0"/>
    <n v="532.21"/>
    <n v="157.41999999999999"/>
    <n v="8.89"/>
    <n v="3.73"/>
    <n v="5.86"/>
    <n v="0"/>
    <n v="0"/>
    <n v="175.9"/>
    <n v="356.31"/>
    <s v="Profit"/>
    <x v="0"/>
    <n v="42"/>
    <n v="5"/>
    <s v="30+"/>
    <s v="Yes"/>
    <n v="1"/>
    <s v="At Risk"/>
    <n v="1"/>
  </r>
  <r>
    <n v="102084"/>
    <d v="2025-10-04T00:00:00"/>
    <n v="1039"/>
    <x v="0"/>
    <x v="0"/>
    <x v="2"/>
    <x v="2"/>
    <x v="1"/>
    <s v="UPI"/>
    <n v="36.950000000000003"/>
    <n v="17.47"/>
    <x v="2"/>
    <n v="64.55"/>
    <n v="580.97"/>
    <n v="252.5"/>
    <n v="13.04"/>
    <n v="4.5199999999999996"/>
    <n v="9.0399999999999991"/>
    <n v="0"/>
    <n v="0"/>
    <n v="279.10000000000002"/>
    <n v="301.87"/>
    <s v="Profit"/>
    <x v="0"/>
    <n v="27"/>
    <n v="26"/>
    <s v="16-30"/>
    <s v="Yes"/>
    <n v="1"/>
    <s v="At Risk"/>
    <n v="1"/>
  </r>
  <r>
    <n v="102085"/>
    <d v="2025-12-25T00:00:00"/>
    <n v="1077"/>
    <x v="2"/>
    <x v="10"/>
    <x v="3"/>
    <x v="1"/>
    <x v="0"/>
    <s v="UPI"/>
    <n v="40.47"/>
    <n v="15.85"/>
    <x v="3"/>
    <n v="0"/>
    <n v="641.45000000000005"/>
    <n v="274.19"/>
    <n v="7.57"/>
    <n v="4.49"/>
    <n v="0"/>
    <n v="0"/>
    <n v="0"/>
    <n v="286.25"/>
    <n v="355.2"/>
    <s v="Profit"/>
    <x v="0"/>
    <n v="7"/>
    <n v="16"/>
    <s v="0-15"/>
    <s v="Yes"/>
    <n v="2"/>
    <s v="At Risk"/>
    <n v="1"/>
  </r>
  <r>
    <n v="102086"/>
    <d v="2025-12-06T00:00:00"/>
    <n v="1146"/>
    <x v="0"/>
    <x v="11"/>
    <x v="3"/>
    <x v="2"/>
    <x v="0"/>
    <s v="Fleet_Invoice"/>
    <n v="36.049999999999997"/>
    <n v="17.690000000000001"/>
    <x v="4"/>
    <n v="31.89"/>
    <n v="605.83000000000004"/>
    <n v="259.02999999999997"/>
    <n v="7.88"/>
    <n v="2.5499999999999998"/>
    <n v="1.0900000000000001"/>
    <n v="0"/>
    <n v="0"/>
    <n v="270.55"/>
    <n v="335.28"/>
    <s v="Profit"/>
    <x v="0"/>
    <n v="4"/>
    <n v="3"/>
    <s v="0-15"/>
    <s v="No"/>
    <n v="0"/>
    <s v="Healthy"/>
    <n v="0"/>
  </r>
  <r>
    <n v="102087"/>
    <d v="2025-11-15T00:00:00"/>
    <n v="1016"/>
    <x v="1"/>
    <x v="3"/>
    <x v="4"/>
    <x v="0"/>
    <x v="0"/>
    <s v="UPI"/>
    <n v="29.46"/>
    <n v="18.649999999999999"/>
    <x v="4"/>
    <n v="27.47"/>
    <n v="521.96"/>
    <n v="219.6"/>
    <n v="5.91"/>
    <n v="3.85"/>
    <n v="9.74"/>
    <n v="0"/>
    <n v="0"/>
    <n v="239.1"/>
    <n v="282.86"/>
    <s v="Profit"/>
    <x v="0"/>
    <n v="2"/>
    <n v="1"/>
    <s v="0-15"/>
    <s v="No"/>
    <n v="0"/>
    <s v="Healthy"/>
    <n v="0"/>
  </r>
  <r>
    <n v="102088"/>
    <d v="2025-10-25T00:00:00"/>
    <n v="1092"/>
    <x v="0"/>
    <x v="1"/>
    <x v="0"/>
    <x v="0"/>
    <x v="2"/>
    <s v="Card"/>
    <n v="29.97"/>
    <n v="19.760000000000002"/>
    <x v="3"/>
    <n v="0"/>
    <n v="592.21"/>
    <n v="177.16"/>
    <n v="9.01"/>
    <n v="8.8800000000000008"/>
    <n v="5.24"/>
    <n v="0"/>
    <n v="0"/>
    <n v="200.29"/>
    <n v="391.92"/>
    <s v="Profit"/>
    <x v="0"/>
    <n v="12"/>
    <n v="8"/>
    <s v="0-15"/>
    <s v="No"/>
    <n v="0"/>
    <s v="Healthy"/>
    <n v="0"/>
  </r>
  <r>
    <n v="102089"/>
    <d v="2025-12-31T00:00:00"/>
    <n v="1072"/>
    <x v="0"/>
    <x v="0"/>
    <x v="4"/>
    <x v="3"/>
    <x v="2"/>
    <s v="UPI"/>
    <n v="17.329999999999998"/>
    <n v="12.01"/>
    <x v="2"/>
    <n v="20.81"/>
    <n v="187.32"/>
    <n v="117.49"/>
    <n v="6.62"/>
    <n v="1.46"/>
    <n v="4.6399999999999997"/>
    <n v="0"/>
    <n v="0"/>
    <n v="130.21"/>
    <n v="57.11"/>
    <s v="Profit"/>
    <x v="0"/>
    <n v="12"/>
    <n v="36"/>
    <s v="0-15"/>
    <s v="Yes"/>
    <n v="2"/>
    <s v="At Risk"/>
    <n v="1"/>
  </r>
  <r>
    <n v="102090"/>
    <d v="2025-10-24T00:00:00"/>
    <n v="1110"/>
    <x v="1"/>
    <x v="4"/>
    <x v="1"/>
    <x v="1"/>
    <x v="0"/>
    <s v="UPI"/>
    <n v="16.53"/>
    <n v="16.62"/>
    <x v="3"/>
    <n v="0"/>
    <n v="274.73"/>
    <n v="117.02"/>
    <n v="13.49"/>
    <n v="1.92"/>
    <n v="8.51"/>
    <n v="0"/>
    <n v="0"/>
    <n v="140.94"/>
    <n v="133.79"/>
    <s v="Profit"/>
    <x v="0"/>
    <n v="27"/>
    <n v="0"/>
    <s v="16-30"/>
    <s v="Yes"/>
    <n v="2"/>
    <s v="At Risk"/>
    <n v="1"/>
  </r>
  <r>
    <n v="102091"/>
    <d v="2025-11-19T00:00:00"/>
    <n v="1097"/>
    <x v="2"/>
    <x v="5"/>
    <x v="3"/>
    <x v="0"/>
    <x v="0"/>
    <s v="Fleet_Invoice"/>
    <n v="24.54"/>
    <n v="19.23"/>
    <x v="3"/>
    <n v="0"/>
    <n v="471.9"/>
    <n v="162.03"/>
    <n v="9.32"/>
    <n v="1.89"/>
    <n v="8.73"/>
    <n v="0"/>
    <n v="0"/>
    <n v="181.97"/>
    <n v="289.93"/>
    <s v="Profit"/>
    <x v="0"/>
    <n v="18"/>
    <n v="2"/>
    <s v="16-30"/>
    <s v="No"/>
    <n v="0"/>
    <s v="Healthy"/>
    <n v="0"/>
  </r>
  <r>
    <n v="102092"/>
    <d v="2025-12-20T00:00:00"/>
    <n v="1037"/>
    <x v="1"/>
    <x v="4"/>
    <x v="1"/>
    <x v="3"/>
    <x v="0"/>
    <s v="UPI"/>
    <n v="28.63"/>
    <n v="14.55"/>
    <x v="2"/>
    <n v="41.66"/>
    <n v="374.91"/>
    <n v="176.96"/>
    <n v="9.4700000000000006"/>
    <n v="2.92"/>
    <n v="3.18"/>
    <n v="0"/>
    <n v="0"/>
    <n v="192.53"/>
    <n v="182.38"/>
    <s v="Profit"/>
    <x v="0"/>
    <n v="1"/>
    <n v="3"/>
    <s v="0-15"/>
    <s v="No"/>
    <n v="0"/>
    <s v="Healthy"/>
    <n v="0"/>
  </r>
  <r>
    <n v="102093"/>
    <d v="2025-10-10T00:00:00"/>
    <n v="1061"/>
    <x v="2"/>
    <x v="9"/>
    <x v="0"/>
    <x v="3"/>
    <x v="0"/>
    <s v="Card"/>
    <n v="14.57"/>
    <n v="12.75"/>
    <x v="4"/>
    <n v="9.2899999999999991"/>
    <n v="176.48"/>
    <n v="95.45"/>
    <n v="8.2100000000000009"/>
    <n v="2.79"/>
    <n v="1.57"/>
    <n v="105.4"/>
    <n v="0"/>
    <n v="213.42"/>
    <n v="-36.94"/>
    <s v="Loss"/>
    <x v="2"/>
    <n v="1"/>
    <n v="4"/>
    <s v="0-15"/>
    <s v="No"/>
    <n v="2"/>
    <s v="At Risk"/>
    <n v="0"/>
  </r>
  <r>
    <n v="102094"/>
    <d v="2025-10-13T00:00:00"/>
    <n v="1037"/>
    <x v="2"/>
    <x v="12"/>
    <x v="3"/>
    <x v="0"/>
    <x v="1"/>
    <s v="UPI"/>
    <n v="31.7"/>
    <n v="19.27"/>
    <x v="4"/>
    <n v="30.54"/>
    <n v="580.32000000000005"/>
    <n v="230.56"/>
    <n v="6.48"/>
    <n v="4.28"/>
    <n v="7.59"/>
    <n v="301.45999999999998"/>
    <n v="10.58"/>
    <n v="560.95000000000005"/>
    <n v="19.37"/>
    <s v="Profit"/>
    <x v="1"/>
    <n v="21"/>
    <n v="39"/>
    <s v="16-30"/>
    <s v="Yes"/>
    <n v="2"/>
    <s v="At Risk"/>
    <n v="1"/>
  </r>
  <r>
    <n v="102095"/>
    <d v="2025-12-07T00:00:00"/>
    <n v="1123"/>
    <x v="3"/>
    <x v="8"/>
    <x v="0"/>
    <x v="1"/>
    <x v="0"/>
    <s v="UPI"/>
    <n v="22.52"/>
    <n v="15.17"/>
    <x v="4"/>
    <n v="17.079999999999998"/>
    <n v="324.55"/>
    <n v="171.13"/>
    <n v="5.97"/>
    <n v="2.39"/>
    <n v="12.08"/>
    <n v="316.33999999999997"/>
    <n v="0"/>
    <n v="507.91"/>
    <n v="-183.36"/>
    <s v="Loss"/>
    <x v="1"/>
    <n v="6"/>
    <n v="7"/>
    <s v="0-15"/>
    <s v="Yes"/>
    <n v="2"/>
    <s v="At Risk"/>
    <n v="1"/>
  </r>
  <r>
    <n v="102096"/>
    <d v="2025-12-30T00:00:00"/>
    <n v="1017"/>
    <x v="2"/>
    <x v="9"/>
    <x v="4"/>
    <x v="0"/>
    <x v="0"/>
    <s v="Fleet_Invoice"/>
    <n v="38.33"/>
    <n v="17.84"/>
    <x v="4"/>
    <n v="34.19"/>
    <n v="649.62"/>
    <n v="256.31"/>
    <n v="9.86"/>
    <n v="2.74"/>
    <n v="5.14"/>
    <n v="0"/>
    <n v="0"/>
    <n v="274.05"/>
    <n v="375.57"/>
    <s v="Profit"/>
    <x v="0"/>
    <n v="8"/>
    <n v="10"/>
    <s v="0-15"/>
    <s v="No"/>
    <n v="0"/>
    <s v="Healthy"/>
    <n v="0"/>
  </r>
  <r>
    <n v="102097"/>
    <d v="2025-12-04T00:00:00"/>
    <n v="1120"/>
    <x v="0"/>
    <x v="6"/>
    <x v="0"/>
    <x v="2"/>
    <x v="0"/>
    <s v="UPI"/>
    <n v="31.11"/>
    <n v="18.11"/>
    <x v="2"/>
    <n v="56.34"/>
    <n v="507.06"/>
    <n v="208.32"/>
    <n v="8.17"/>
    <n v="3.94"/>
    <n v="9.09"/>
    <n v="0"/>
    <n v="0"/>
    <n v="229.52"/>
    <n v="277.54000000000002"/>
    <s v="Profit"/>
    <x v="0"/>
    <n v="3"/>
    <n v="9"/>
    <s v="0-15"/>
    <s v="No"/>
    <n v="0"/>
    <s v="Healthy"/>
    <n v="0"/>
  </r>
  <r>
    <n v="102098"/>
    <d v="2025-10-21T00:00:00"/>
    <n v="1139"/>
    <x v="2"/>
    <x v="10"/>
    <x v="2"/>
    <x v="3"/>
    <x v="0"/>
    <s v="UPI"/>
    <n v="21.38"/>
    <n v="12.76"/>
    <x v="1"/>
    <n v="54.56"/>
    <n v="218.25"/>
    <n v="154.04"/>
    <n v="1.9"/>
    <n v="1.91"/>
    <n v="0"/>
    <n v="0"/>
    <n v="0"/>
    <n v="157.85"/>
    <n v="60.4"/>
    <s v="Profit"/>
    <x v="0"/>
    <n v="9"/>
    <n v="0"/>
    <s v="0-15"/>
    <s v="No"/>
    <n v="0"/>
    <s v="Healthy"/>
    <n v="0"/>
  </r>
  <r>
    <n v="102099"/>
    <d v="2025-10-09T00:00:00"/>
    <n v="1005"/>
    <x v="0"/>
    <x v="0"/>
    <x v="3"/>
    <x v="3"/>
    <x v="1"/>
    <s v="Card"/>
    <n v="28.71"/>
    <n v="11.91"/>
    <x v="4"/>
    <n v="17.100000000000001"/>
    <n v="324.83999999999997"/>
    <n v="167.68"/>
    <n v="9.49"/>
    <n v="5.13"/>
    <n v="6.99"/>
    <n v="0"/>
    <n v="0"/>
    <n v="189.29"/>
    <n v="135.55000000000001"/>
    <s v="Profit"/>
    <x v="0"/>
    <n v="29"/>
    <n v="4"/>
    <s v="16-30"/>
    <s v="Yes"/>
    <n v="1"/>
    <s v="At Risk"/>
    <n v="1"/>
  </r>
  <r>
    <n v="102100"/>
    <d v="2025-11-11T00:00:00"/>
    <n v="1003"/>
    <x v="1"/>
    <x v="4"/>
    <x v="0"/>
    <x v="1"/>
    <x v="0"/>
    <s v="Wallet"/>
    <n v="26.06"/>
    <n v="15.64"/>
    <x v="2"/>
    <n v="40.76"/>
    <n v="366.82"/>
    <n v="160.81"/>
    <n v="10.78"/>
    <n v="4.8899999999999997"/>
    <n v="0"/>
    <n v="209.8"/>
    <n v="0"/>
    <n v="386.28"/>
    <n v="-19.46"/>
    <s v="Loss"/>
    <x v="2"/>
    <n v="37"/>
    <n v="4"/>
    <s v="30+"/>
    <s v="Yes"/>
    <n v="4"/>
    <s v="At Risk"/>
    <n v="1"/>
  </r>
  <r>
    <n v="102101"/>
    <d v="2025-12-22T00:00:00"/>
    <n v="1093"/>
    <x v="2"/>
    <x v="9"/>
    <x v="3"/>
    <x v="2"/>
    <x v="0"/>
    <s v="UPI"/>
    <n v="30.4"/>
    <n v="17.62"/>
    <x v="3"/>
    <n v="0"/>
    <n v="535.65"/>
    <n v="208.09"/>
    <n v="10.039999999999999"/>
    <n v="3.75"/>
    <n v="5.44"/>
    <n v="314"/>
    <n v="0"/>
    <n v="541.32000000000005"/>
    <n v="-5.67"/>
    <s v="Loss"/>
    <x v="1"/>
    <n v="6"/>
    <n v="11"/>
    <s v="0-15"/>
    <s v="Yes"/>
    <n v="2"/>
    <s v="At Risk"/>
    <n v="1"/>
  </r>
  <r>
    <n v="102102"/>
    <d v="2025-11-03T00:00:00"/>
    <n v="1088"/>
    <x v="1"/>
    <x v="2"/>
    <x v="1"/>
    <x v="1"/>
    <x v="0"/>
    <s v="Wallet"/>
    <n v="32.46"/>
    <n v="15.74"/>
    <x v="3"/>
    <n v="0"/>
    <n v="510.92"/>
    <n v="304.7"/>
    <n v="9.1199999999999992"/>
    <n v="6.13"/>
    <n v="5.23"/>
    <n v="205.22"/>
    <n v="0"/>
    <n v="530.4"/>
    <n v="-19.48"/>
    <s v="Loss"/>
    <x v="1"/>
    <n v="7"/>
    <n v="3"/>
    <s v="0-15"/>
    <s v="Yes"/>
    <n v="2"/>
    <s v="At Risk"/>
    <n v="1"/>
  </r>
  <r>
    <n v="102103"/>
    <d v="2025-10-20T00:00:00"/>
    <n v="1002"/>
    <x v="2"/>
    <x v="10"/>
    <x v="0"/>
    <x v="3"/>
    <x v="0"/>
    <s v="UPI"/>
    <n v="16.77"/>
    <n v="12.19"/>
    <x v="4"/>
    <n v="10.220000000000001"/>
    <n v="194.21"/>
    <n v="115.44"/>
    <n v="7.92"/>
    <n v="1.43"/>
    <n v="11.63"/>
    <n v="0"/>
    <n v="0"/>
    <n v="136.41999999999999"/>
    <n v="57.79"/>
    <s v="Profit"/>
    <x v="0"/>
    <n v="4"/>
    <n v="4"/>
    <s v="0-15"/>
    <s v="No"/>
    <n v="0"/>
    <s v="Healthy"/>
    <n v="0"/>
  </r>
  <r>
    <n v="102104"/>
    <d v="2025-10-24T00:00:00"/>
    <n v="1084"/>
    <x v="0"/>
    <x v="6"/>
    <x v="4"/>
    <x v="1"/>
    <x v="1"/>
    <s v="Card"/>
    <n v="23.6"/>
    <n v="14.98"/>
    <x v="4"/>
    <n v="17.68"/>
    <n v="335.85"/>
    <n v="167.36"/>
    <n v="13.76"/>
    <n v="5.3"/>
    <n v="12.85"/>
    <n v="0"/>
    <n v="0"/>
    <n v="199.27"/>
    <n v="136.58000000000001"/>
    <s v="Profit"/>
    <x v="0"/>
    <n v="5"/>
    <n v="9"/>
    <s v="0-15"/>
    <s v="No"/>
    <n v="2"/>
    <s v="Healthy"/>
    <n v="0"/>
  </r>
  <r>
    <n v="102105"/>
    <d v="2025-12-04T00:00:00"/>
    <n v="1137"/>
    <x v="0"/>
    <x v="11"/>
    <x v="3"/>
    <x v="2"/>
    <x v="0"/>
    <s v="UPI"/>
    <n v="41.14"/>
    <n v="18.18"/>
    <x v="3"/>
    <n v="0"/>
    <n v="747.93"/>
    <n v="307.66000000000003"/>
    <n v="18.100000000000001"/>
    <n v="5.24"/>
    <n v="6.42"/>
    <n v="0"/>
    <n v="0"/>
    <n v="337.42"/>
    <n v="410.51"/>
    <s v="Profit"/>
    <x v="0"/>
    <n v="7"/>
    <n v="24"/>
    <s v="0-15"/>
    <s v="Yes"/>
    <n v="1"/>
    <s v="At Risk"/>
    <n v="1"/>
  </r>
  <r>
    <n v="102106"/>
    <d v="2025-10-24T00:00:00"/>
    <n v="1020"/>
    <x v="3"/>
    <x v="15"/>
    <x v="0"/>
    <x v="3"/>
    <x v="2"/>
    <s v="Card"/>
    <n v="21.61"/>
    <n v="12.84"/>
    <x v="3"/>
    <n v="0"/>
    <n v="277.47000000000003"/>
    <n v="174.83"/>
    <n v="8.42"/>
    <n v="4.16"/>
    <n v="4.83"/>
    <n v="211.79"/>
    <n v="20.190000000000001"/>
    <n v="424.22"/>
    <n v="-146.75"/>
    <s v="Loss"/>
    <x v="1"/>
    <n v="9"/>
    <n v="0"/>
    <s v="0-15"/>
    <s v="Yes"/>
    <n v="1"/>
    <s v="At Risk"/>
    <n v="1"/>
  </r>
  <r>
    <n v="102107"/>
    <d v="2025-11-18T00:00:00"/>
    <n v="1121"/>
    <x v="1"/>
    <x v="13"/>
    <x v="1"/>
    <x v="2"/>
    <x v="0"/>
    <s v="Fleet_Invoice"/>
    <n v="24.09"/>
    <n v="16.21"/>
    <x v="0"/>
    <n v="58.58"/>
    <n v="331.92"/>
    <n v="176.06"/>
    <n v="8.86"/>
    <n v="1.56"/>
    <n v="6"/>
    <n v="0"/>
    <n v="0"/>
    <n v="192.48"/>
    <n v="139.44"/>
    <s v="Profit"/>
    <x v="0"/>
    <n v="12"/>
    <n v="12"/>
    <s v="0-15"/>
    <s v="No"/>
    <n v="0"/>
    <s v="Healthy"/>
    <n v="0"/>
  </r>
  <r>
    <n v="102108"/>
    <d v="2025-11-20T00:00:00"/>
    <n v="1051"/>
    <x v="2"/>
    <x v="12"/>
    <x v="1"/>
    <x v="1"/>
    <x v="1"/>
    <s v="Card"/>
    <n v="42.64"/>
    <n v="15.45"/>
    <x v="0"/>
    <n v="98.82"/>
    <n v="559.97"/>
    <n v="331.87"/>
    <n v="7.72"/>
    <n v="9.8800000000000008"/>
    <n v="13.95"/>
    <n v="0"/>
    <n v="0"/>
    <n v="363.42"/>
    <n v="196.55"/>
    <s v="Profit"/>
    <x v="0"/>
    <n v="42"/>
    <n v="10"/>
    <s v="30+"/>
    <s v="Yes"/>
    <n v="1"/>
    <s v="At Risk"/>
    <n v="1"/>
  </r>
  <r>
    <n v="102109"/>
    <d v="2025-10-12T00:00:00"/>
    <n v="1002"/>
    <x v="0"/>
    <x v="1"/>
    <x v="2"/>
    <x v="3"/>
    <x v="1"/>
    <s v="Wallet"/>
    <n v="11.42"/>
    <n v="12.87"/>
    <x v="4"/>
    <n v="7.35"/>
    <n v="139.63"/>
    <n v="89.91"/>
    <n v="6.82"/>
    <n v="1.76"/>
    <n v="1.99"/>
    <n v="0"/>
    <n v="0"/>
    <n v="100.48"/>
    <n v="39.15"/>
    <s v="Profit"/>
    <x v="0"/>
    <n v="0"/>
    <n v="31"/>
    <s v="0-15"/>
    <s v="Yes"/>
    <n v="1"/>
    <s v="At Risk"/>
    <n v="1"/>
  </r>
  <r>
    <n v="102110"/>
    <d v="2025-12-09T00:00:00"/>
    <n v="1133"/>
    <x v="3"/>
    <x v="7"/>
    <x v="1"/>
    <x v="2"/>
    <x v="1"/>
    <s v="Wallet"/>
    <n v="22.26"/>
    <n v="18"/>
    <x v="3"/>
    <n v="0"/>
    <n v="400.68"/>
    <n v="187.88"/>
    <n v="12.14"/>
    <n v="4.8099999999999996"/>
    <n v="10.93"/>
    <n v="0"/>
    <n v="0"/>
    <n v="215.76"/>
    <n v="184.92"/>
    <s v="Profit"/>
    <x v="0"/>
    <n v="38"/>
    <n v="4"/>
    <s v="30+"/>
    <s v="Yes"/>
    <n v="1"/>
    <s v="At Risk"/>
    <n v="1"/>
  </r>
  <r>
    <n v="102111"/>
    <d v="2025-10-03T00:00:00"/>
    <n v="1067"/>
    <x v="3"/>
    <x v="7"/>
    <x v="4"/>
    <x v="3"/>
    <x v="0"/>
    <s v="Fleet_Invoice"/>
    <n v="32.049999999999997"/>
    <n v="13.05"/>
    <x v="2"/>
    <n v="41.82"/>
    <n v="376.43"/>
    <n v="239.53"/>
    <n v="7.52"/>
    <n v="1.67"/>
    <n v="10.23"/>
    <n v="0"/>
    <n v="0"/>
    <n v="258.95"/>
    <n v="117.48"/>
    <s v="Profit"/>
    <x v="0"/>
    <n v="20"/>
    <n v="3"/>
    <s v="16-30"/>
    <s v="No"/>
    <n v="0"/>
    <s v="Healthy"/>
    <n v="0"/>
  </r>
  <r>
    <n v="102112"/>
    <d v="2025-10-24T00:00:00"/>
    <n v="1125"/>
    <x v="2"/>
    <x v="12"/>
    <x v="0"/>
    <x v="0"/>
    <x v="0"/>
    <s v="Card"/>
    <n v="19.100000000000001"/>
    <n v="17.55"/>
    <x v="2"/>
    <n v="33.520000000000003"/>
    <n v="301.69"/>
    <n v="139.80000000000001"/>
    <n v="9.34"/>
    <n v="5.03"/>
    <n v="0.42"/>
    <n v="304.77999999999997"/>
    <n v="0"/>
    <n v="459.37"/>
    <n v="-157.68"/>
    <s v="Loss"/>
    <x v="1"/>
    <n v="8"/>
    <n v="8"/>
    <s v="0-15"/>
    <s v="Yes"/>
    <n v="1"/>
    <s v="At Risk"/>
    <n v="1"/>
  </r>
  <r>
    <n v="102113"/>
    <d v="2025-11-24T00:00:00"/>
    <n v="1139"/>
    <x v="0"/>
    <x v="6"/>
    <x v="3"/>
    <x v="3"/>
    <x v="1"/>
    <s v="UPI"/>
    <n v="24.8"/>
    <n v="12.32"/>
    <x v="2"/>
    <n v="30.55"/>
    <n v="274.99"/>
    <n v="182.23"/>
    <n v="6.14"/>
    <n v="2.14"/>
    <n v="11.16"/>
    <n v="0"/>
    <n v="0"/>
    <n v="201.67"/>
    <n v="73.319999999999993"/>
    <s v="Profit"/>
    <x v="0"/>
    <n v="23"/>
    <n v="6"/>
    <s v="16-30"/>
    <s v="Yes"/>
    <n v="1"/>
    <s v="At Risk"/>
    <n v="1"/>
  </r>
  <r>
    <n v="102114"/>
    <d v="2025-11-16T00:00:00"/>
    <n v="1086"/>
    <x v="3"/>
    <x v="7"/>
    <x v="0"/>
    <x v="3"/>
    <x v="1"/>
    <s v="UPI"/>
    <n v="11.74"/>
    <n v="12.48"/>
    <x v="0"/>
    <n v="21.98"/>
    <n v="124.54"/>
    <n v="88.29"/>
    <n v="6.43"/>
    <n v="1.03"/>
    <n v="0"/>
    <n v="0"/>
    <n v="0"/>
    <n v="95.75"/>
    <n v="28.79"/>
    <s v="Profit"/>
    <x v="0"/>
    <n v="2"/>
    <n v="3"/>
    <s v="0-15"/>
    <s v="No"/>
    <n v="0"/>
    <s v="Healthy"/>
    <n v="0"/>
  </r>
  <r>
    <n v="102115"/>
    <d v="2025-12-07T00:00:00"/>
    <n v="1126"/>
    <x v="0"/>
    <x v="6"/>
    <x v="2"/>
    <x v="1"/>
    <x v="1"/>
    <s v="Fleet_Invoice"/>
    <n v="22.93"/>
    <n v="15.41"/>
    <x v="3"/>
    <n v="0"/>
    <n v="353.35"/>
    <n v="136.84"/>
    <n v="4.91"/>
    <n v="1.41"/>
    <n v="10.18"/>
    <n v="347.99"/>
    <n v="7.11"/>
    <n v="508.44"/>
    <n v="-155.09"/>
    <s v="Loss"/>
    <x v="2"/>
    <n v="0"/>
    <n v="12"/>
    <s v="0-15"/>
    <s v="No"/>
    <n v="1"/>
    <s v="At Risk"/>
    <n v="0"/>
  </r>
  <r>
    <n v="102116"/>
    <d v="2025-10-22T00:00:00"/>
    <n v="1063"/>
    <x v="1"/>
    <x v="3"/>
    <x v="4"/>
    <x v="3"/>
    <x v="1"/>
    <s v="Fleet_Invoice"/>
    <n v="11.5"/>
    <n v="12.89"/>
    <x v="2"/>
    <n v="14.82"/>
    <n v="133.41999999999999"/>
    <n v="94.77"/>
    <n v="6.36"/>
    <n v="0.59"/>
    <n v="4.95"/>
    <n v="110.05"/>
    <n v="10.35"/>
    <n v="227.07"/>
    <n v="-93.65"/>
    <s v="Loss"/>
    <x v="1"/>
    <n v="7"/>
    <n v="7"/>
    <s v="0-15"/>
    <s v="Yes"/>
    <n v="3"/>
    <s v="At Risk"/>
    <n v="1"/>
  </r>
  <r>
    <n v="102117"/>
    <d v="2025-11-08T00:00:00"/>
    <n v="1137"/>
    <x v="0"/>
    <x v="6"/>
    <x v="2"/>
    <x v="3"/>
    <x v="1"/>
    <s v="Fleet_Invoice"/>
    <n v="17.89"/>
    <n v="13.98"/>
    <x v="0"/>
    <n v="37.520000000000003"/>
    <n v="212.58"/>
    <n v="137.54"/>
    <n v="6.37"/>
    <n v="1"/>
    <n v="3.8"/>
    <n v="0"/>
    <n v="0"/>
    <n v="148.71"/>
    <n v="63.87"/>
    <s v="Profit"/>
    <x v="0"/>
    <n v="0"/>
    <n v="7"/>
    <s v="0-15"/>
    <s v="No"/>
    <n v="0"/>
    <s v="Healthy"/>
    <n v="0"/>
  </r>
  <r>
    <n v="102118"/>
    <d v="2025-11-22T00:00:00"/>
    <n v="1080"/>
    <x v="2"/>
    <x v="12"/>
    <x v="3"/>
    <x v="3"/>
    <x v="2"/>
    <s v="UPI"/>
    <n v="21.72"/>
    <n v="12.73"/>
    <x v="0"/>
    <n v="41.48"/>
    <n v="235.02"/>
    <n v="138.93"/>
    <n v="7.03"/>
    <n v="1.94"/>
    <n v="3.59"/>
    <n v="0"/>
    <n v="0"/>
    <n v="151.49"/>
    <n v="83.53"/>
    <s v="Profit"/>
    <x v="0"/>
    <n v="7"/>
    <n v="4"/>
    <s v="0-15"/>
    <s v="No"/>
    <n v="0"/>
    <s v="Healthy"/>
    <n v="0"/>
  </r>
  <r>
    <n v="102119"/>
    <d v="2025-12-22T00:00:00"/>
    <n v="1075"/>
    <x v="1"/>
    <x v="3"/>
    <x v="2"/>
    <x v="3"/>
    <x v="0"/>
    <s v="Card"/>
    <n v="17.3"/>
    <n v="12.98"/>
    <x v="3"/>
    <n v="0"/>
    <n v="224.55"/>
    <n v="131.9"/>
    <n v="11.26"/>
    <n v="3.37"/>
    <n v="1.45"/>
    <n v="0"/>
    <n v="0"/>
    <n v="147.97999999999999"/>
    <n v="76.569999999999993"/>
    <s v="Profit"/>
    <x v="0"/>
    <n v="2"/>
    <n v="18"/>
    <s v="0-15"/>
    <s v="Yes"/>
    <n v="2"/>
    <s v="At Risk"/>
    <n v="1"/>
  </r>
  <r>
    <n v="102120"/>
    <d v="2025-11-07T00:00:00"/>
    <n v="1062"/>
    <x v="1"/>
    <x v="3"/>
    <x v="4"/>
    <x v="2"/>
    <x v="0"/>
    <s v="UPI"/>
    <n v="32.81"/>
    <n v="17.420000000000002"/>
    <x v="0"/>
    <n v="85.73"/>
    <n v="485.82"/>
    <n v="226.22"/>
    <n v="6.91"/>
    <n v="4"/>
    <n v="2.84"/>
    <n v="0"/>
    <n v="0"/>
    <n v="239.97"/>
    <n v="245.85"/>
    <s v="Profit"/>
    <x v="0"/>
    <n v="2"/>
    <n v="0"/>
    <s v="0-15"/>
    <s v="No"/>
    <n v="0"/>
    <s v="Healthy"/>
    <n v="0"/>
  </r>
  <r>
    <n v="102121"/>
    <d v="2025-12-20T00:00:00"/>
    <n v="1002"/>
    <x v="0"/>
    <x v="0"/>
    <x v="0"/>
    <x v="1"/>
    <x v="0"/>
    <s v="UPI"/>
    <n v="30.89"/>
    <n v="15.37"/>
    <x v="4"/>
    <n v="23.74"/>
    <n v="451.04"/>
    <n v="287.24"/>
    <n v="7.22"/>
    <n v="3.32"/>
    <n v="2.54"/>
    <n v="0"/>
    <n v="0"/>
    <n v="300.32"/>
    <n v="150.72"/>
    <s v="Profit"/>
    <x v="0"/>
    <n v="4"/>
    <n v="8"/>
    <s v="0-15"/>
    <s v="No"/>
    <n v="2"/>
    <s v="Healthy"/>
    <n v="0"/>
  </r>
  <r>
    <n v="102122"/>
    <d v="2025-12-18T00:00:00"/>
    <n v="1105"/>
    <x v="0"/>
    <x v="11"/>
    <x v="3"/>
    <x v="2"/>
    <x v="0"/>
    <s v="UPI"/>
    <n v="30.98"/>
    <n v="17.63"/>
    <x v="3"/>
    <n v="0"/>
    <n v="546.17999999999995"/>
    <n v="237.92"/>
    <n v="12.63"/>
    <n v="3.82"/>
    <n v="2.91"/>
    <n v="0"/>
    <n v="0"/>
    <n v="257.27999999999997"/>
    <n v="288.89999999999998"/>
    <s v="Profit"/>
    <x v="0"/>
    <n v="2"/>
    <n v="8"/>
    <s v="0-15"/>
    <s v="No"/>
    <n v="0"/>
    <s v="Healthy"/>
    <n v="0"/>
  </r>
  <r>
    <n v="102123"/>
    <d v="2025-12-06T00:00:00"/>
    <n v="1093"/>
    <x v="3"/>
    <x v="7"/>
    <x v="1"/>
    <x v="2"/>
    <x v="2"/>
    <s v="UPI"/>
    <n v="30.66"/>
    <n v="17.46"/>
    <x v="4"/>
    <n v="26.77"/>
    <n v="508.55"/>
    <n v="225.49"/>
    <n v="8.8699999999999992"/>
    <n v="3.75"/>
    <n v="4.5999999999999996"/>
    <n v="0"/>
    <n v="0"/>
    <n v="242.71"/>
    <n v="265.83999999999997"/>
    <s v="Profit"/>
    <x v="0"/>
    <n v="5"/>
    <n v="19"/>
    <s v="0-15"/>
    <s v="Yes"/>
    <n v="1"/>
    <s v="At Risk"/>
    <n v="1"/>
  </r>
  <r>
    <n v="102124"/>
    <d v="2025-10-03T00:00:00"/>
    <n v="1026"/>
    <x v="0"/>
    <x v="11"/>
    <x v="2"/>
    <x v="3"/>
    <x v="2"/>
    <s v="Fleet_Invoice"/>
    <n v="5.13"/>
    <n v="13.84"/>
    <x v="4"/>
    <n v="3.55"/>
    <n v="67.45"/>
    <n v="37.86"/>
    <n v="8.4"/>
    <n v="0.28000000000000003"/>
    <n v="10.71"/>
    <n v="0"/>
    <n v="0"/>
    <n v="57.25"/>
    <n v="10.199999999999999"/>
    <s v="Profit"/>
    <x v="0"/>
    <n v="5"/>
    <n v="3"/>
    <s v="0-15"/>
    <s v="No"/>
    <n v="2"/>
    <s v="Healthy"/>
    <n v="0"/>
  </r>
  <r>
    <n v="102125"/>
    <d v="2025-11-08T00:00:00"/>
    <n v="1109"/>
    <x v="0"/>
    <x v="11"/>
    <x v="0"/>
    <x v="0"/>
    <x v="0"/>
    <s v="UPI"/>
    <n v="30.71"/>
    <n v="18.329999999999998"/>
    <x v="0"/>
    <n v="84.44"/>
    <n v="478.47"/>
    <n v="258.44"/>
    <n v="8.65"/>
    <n v="3.94"/>
    <n v="0.31"/>
    <n v="0"/>
    <n v="0"/>
    <n v="271.33999999999997"/>
    <n v="207.13"/>
    <s v="Profit"/>
    <x v="0"/>
    <n v="8"/>
    <n v="3"/>
    <s v="0-15"/>
    <s v="No"/>
    <n v="0"/>
    <s v="Healthy"/>
    <n v="0"/>
  </r>
  <r>
    <n v="102126"/>
    <d v="2025-11-01T00:00:00"/>
    <n v="1098"/>
    <x v="1"/>
    <x v="13"/>
    <x v="4"/>
    <x v="3"/>
    <x v="2"/>
    <s v="UPI"/>
    <n v="9.3800000000000008"/>
    <n v="12.66"/>
    <x v="4"/>
    <n v="5.94"/>
    <n v="112.81"/>
    <n v="60.93"/>
    <n v="4.92"/>
    <n v="0.83"/>
    <n v="7.02"/>
    <n v="0"/>
    <n v="0"/>
    <n v="73.7"/>
    <n v="39.11"/>
    <s v="Profit"/>
    <x v="0"/>
    <n v="18"/>
    <n v="6"/>
    <s v="16-30"/>
    <s v="No"/>
    <n v="0"/>
    <s v="Healthy"/>
    <n v="0"/>
  </r>
  <r>
    <n v="102127"/>
    <d v="2025-12-23T00:00:00"/>
    <n v="1063"/>
    <x v="2"/>
    <x v="10"/>
    <x v="2"/>
    <x v="0"/>
    <x v="0"/>
    <s v="UPI"/>
    <n v="36.090000000000003"/>
    <n v="19.55"/>
    <x v="2"/>
    <n v="70.56"/>
    <n v="635"/>
    <n v="202.8"/>
    <n v="8.66"/>
    <n v="4.9400000000000004"/>
    <n v="6.49"/>
    <n v="0"/>
    <n v="0"/>
    <n v="222.89"/>
    <n v="412.11"/>
    <s v="Profit"/>
    <x v="0"/>
    <n v="17"/>
    <n v="12"/>
    <s v="16-30"/>
    <s v="No"/>
    <n v="0"/>
    <s v="Healthy"/>
    <n v="0"/>
  </r>
  <r>
    <n v="102128"/>
    <d v="2025-11-17T00:00:00"/>
    <n v="1048"/>
    <x v="2"/>
    <x v="9"/>
    <x v="1"/>
    <x v="3"/>
    <x v="1"/>
    <s v="Wallet"/>
    <n v="21.29"/>
    <n v="13.62"/>
    <x v="2"/>
    <n v="29"/>
    <n v="260.97000000000003"/>
    <n v="166"/>
    <n v="7.9"/>
    <n v="3.48"/>
    <n v="1.1499999999999999"/>
    <n v="0"/>
    <n v="0"/>
    <n v="178.53"/>
    <n v="82.44"/>
    <s v="Profit"/>
    <x v="0"/>
    <n v="2"/>
    <n v="20"/>
    <s v="0-15"/>
    <s v="Yes"/>
    <n v="1"/>
    <s v="At Risk"/>
    <n v="1"/>
  </r>
  <r>
    <n v="102129"/>
    <d v="2025-11-24T00:00:00"/>
    <n v="1027"/>
    <x v="1"/>
    <x v="2"/>
    <x v="1"/>
    <x v="2"/>
    <x v="0"/>
    <s v="UPI"/>
    <n v="31.63"/>
    <n v="19.36"/>
    <x v="4"/>
    <n v="30.62"/>
    <n v="581.74"/>
    <n v="197.32"/>
    <n v="6.3"/>
    <n v="4.29"/>
    <n v="0.02"/>
    <n v="0"/>
    <n v="0"/>
    <n v="207.93"/>
    <n v="373.81"/>
    <s v="Profit"/>
    <x v="0"/>
    <n v="5"/>
    <n v="24"/>
    <s v="0-15"/>
    <s v="Yes"/>
    <n v="2"/>
    <s v="At Risk"/>
    <n v="1"/>
  </r>
  <r>
    <n v="102130"/>
    <d v="2025-12-25T00:00:00"/>
    <n v="1077"/>
    <x v="1"/>
    <x v="2"/>
    <x v="2"/>
    <x v="1"/>
    <x v="1"/>
    <s v="UPI"/>
    <n v="31.19"/>
    <n v="15.93"/>
    <x v="3"/>
    <n v="0"/>
    <n v="496.86"/>
    <n v="241.1"/>
    <n v="7.94"/>
    <n v="3.48"/>
    <n v="5.94"/>
    <n v="0"/>
    <n v="0"/>
    <n v="258.45999999999998"/>
    <n v="238.4"/>
    <s v="Profit"/>
    <x v="0"/>
    <n v="21"/>
    <n v="26"/>
    <s v="16-30"/>
    <s v="Yes"/>
    <n v="2"/>
    <s v="At Risk"/>
    <n v="1"/>
  </r>
  <r>
    <n v="102131"/>
    <d v="2025-11-26T00:00:00"/>
    <n v="1081"/>
    <x v="2"/>
    <x v="5"/>
    <x v="1"/>
    <x v="3"/>
    <x v="2"/>
    <s v="Wallet"/>
    <n v="19.239999999999998"/>
    <n v="11.66"/>
    <x v="0"/>
    <n v="33.65"/>
    <n v="190.69"/>
    <n v="123.83"/>
    <n v="4.5"/>
    <n v="2.69"/>
    <n v="3.85"/>
    <n v="0"/>
    <n v="0"/>
    <n v="134.87"/>
    <n v="55.82"/>
    <s v="Profit"/>
    <x v="0"/>
    <n v="8"/>
    <n v="2"/>
    <s v="0-15"/>
    <s v="No"/>
    <n v="0"/>
    <s v="Healthy"/>
    <n v="0"/>
  </r>
  <r>
    <n v="102132"/>
    <d v="2025-10-22T00:00:00"/>
    <n v="1069"/>
    <x v="3"/>
    <x v="15"/>
    <x v="3"/>
    <x v="1"/>
    <x v="0"/>
    <s v="UPI"/>
    <n v="30.22"/>
    <n v="14.9"/>
    <x v="3"/>
    <n v="0"/>
    <n v="450.28"/>
    <n v="197.82"/>
    <n v="4.4800000000000004"/>
    <n v="3.15"/>
    <n v="6.84"/>
    <n v="0"/>
    <n v="0"/>
    <n v="212.29"/>
    <n v="237.99"/>
    <s v="Profit"/>
    <x v="0"/>
    <n v="1"/>
    <n v="20"/>
    <s v="0-15"/>
    <s v="Yes"/>
    <n v="4"/>
    <s v="At Risk"/>
    <n v="1"/>
  </r>
  <r>
    <n v="102133"/>
    <d v="2025-11-04T00:00:00"/>
    <n v="1077"/>
    <x v="0"/>
    <x v="6"/>
    <x v="2"/>
    <x v="2"/>
    <x v="2"/>
    <s v="Card"/>
    <n v="23.71"/>
    <n v="17.579999999999998"/>
    <x v="3"/>
    <n v="0"/>
    <n v="416.82"/>
    <n v="151.07"/>
    <n v="10.36"/>
    <n v="6.25"/>
    <n v="4.97"/>
    <n v="0"/>
    <n v="0"/>
    <n v="172.65"/>
    <n v="244.17"/>
    <s v="Profit"/>
    <x v="0"/>
    <n v="43"/>
    <n v="25"/>
    <s v="30+"/>
    <s v="Yes"/>
    <n v="1"/>
    <s v="At Risk"/>
    <n v="1"/>
  </r>
  <r>
    <n v="102134"/>
    <d v="2025-11-22T00:00:00"/>
    <n v="1007"/>
    <x v="0"/>
    <x v="1"/>
    <x v="2"/>
    <x v="3"/>
    <x v="2"/>
    <s v="Wallet"/>
    <n v="24.34"/>
    <n v="13.56"/>
    <x v="4"/>
    <n v="16.5"/>
    <n v="313.55"/>
    <n v="165.41"/>
    <n v="3.69"/>
    <n v="3.96"/>
    <n v="5.03"/>
    <n v="221.8"/>
    <n v="11.75"/>
    <n v="411.64"/>
    <n v="-98.09"/>
    <s v="Loss"/>
    <x v="2"/>
    <n v="20"/>
    <n v="7"/>
    <s v="16-30"/>
    <s v="No"/>
    <n v="1"/>
    <s v="At Risk"/>
    <n v="0"/>
  </r>
  <r>
    <n v="102135"/>
    <d v="2025-12-31T00:00:00"/>
    <n v="1057"/>
    <x v="1"/>
    <x v="2"/>
    <x v="4"/>
    <x v="0"/>
    <x v="0"/>
    <s v="UPI"/>
    <n v="27.35"/>
    <n v="19.82"/>
    <x v="0"/>
    <n v="81.31"/>
    <n v="460.77"/>
    <n v="222.99"/>
    <n v="12.34"/>
    <n v="3.79"/>
    <n v="6.83"/>
    <n v="0"/>
    <n v="0"/>
    <n v="245.95"/>
    <n v="214.82"/>
    <s v="Profit"/>
    <x v="0"/>
    <n v="3"/>
    <n v="3"/>
    <s v="0-15"/>
    <s v="No"/>
    <n v="0"/>
    <s v="Healthy"/>
    <n v="0"/>
  </r>
  <r>
    <n v="102136"/>
    <d v="2025-10-31T00:00:00"/>
    <n v="1020"/>
    <x v="3"/>
    <x v="7"/>
    <x v="1"/>
    <x v="3"/>
    <x v="0"/>
    <s v="Wallet"/>
    <n v="16.66"/>
    <n v="15.02"/>
    <x v="3"/>
    <n v="0"/>
    <n v="250.23"/>
    <n v="145.46"/>
    <n v="3.18"/>
    <n v="3"/>
    <n v="11.73"/>
    <n v="0"/>
    <n v="0"/>
    <n v="163.37"/>
    <n v="86.86"/>
    <s v="Profit"/>
    <x v="0"/>
    <n v="24"/>
    <n v="19"/>
    <s v="16-30"/>
    <s v="Yes"/>
    <n v="4"/>
    <s v="At Risk"/>
    <n v="1"/>
  </r>
  <r>
    <n v="102137"/>
    <d v="2025-10-31T00:00:00"/>
    <n v="1030"/>
    <x v="0"/>
    <x v="0"/>
    <x v="2"/>
    <x v="3"/>
    <x v="0"/>
    <s v="Card"/>
    <n v="20.440000000000001"/>
    <n v="12.58"/>
    <x v="3"/>
    <n v="0"/>
    <n v="257.14"/>
    <n v="124.11"/>
    <n v="11.37"/>
    <n v="3.86"/>
    <n v="5.61"/>
    <n v="0"/>
    <n v="0"/>
    <n v="144.94999999999999"/>
    <n v="112.19"/>
    <s v="Profit"/>
    <x v="0"/>
    <n v="3"/>
    <n v="1"/>
    <s v="0-15"/>
    <s v="No"/>
    <n v="0"/>
    <s v="Healthy"/>
    <n v="0"/>
  </r>
  <r>
    <n v="102138"/>
    <d v="2025-12-06T00:00:00"/>
    <n v="1094"/>
    <x v="3"/>
    <x v="14"/>
    <x v="4"/>
    <x v="3"/>
    <x v="2"/>
    <s v="Fleet_Invoice"/>
    <n v="10.9"/>
    <n v="11.85"/>
    <x v="2"/>
    <n v="12.92"/>
    <n v="116.24"/>
    <n v="85.1"/>
    <n v="7.58"/>
    <n v="0.52"/>
    <n v="0.52"/>
    <n v="0"/>
    <n v="0"/>
    <n v="93.72"/>
    <n v="22.52"/>
    <s v="Profit"/>
    <x v="0"/>
    <n v="1"/>
    <n v="1"/>
    <s v="0-15"/>
    <s v="No"/>
    <n v="0"/>
    <s v="Healthy"/>
    <n v="0"/>
  </r>
  <r>
    <n v="102139"/>
    <d v="2025-10-15T00:00:00"/>
    <n v="1077"/>
    <x v="0"/>
    <x v="6"/>
    <x v="4"/>
    <x v="3"/>
    <x v="2"/>
    <s v="Fleet_Invoice"/>
    <n v="20.260000000000002"/>
    <n v="12.61"/>
    <x v="4"/>
    <n v="12.77"/>
    <n v="242.71"/>
    <n v="169.31"/>
    <n v="9.43"/>
    <n v="1.02"/>
    <n v="2.0299999999999998"/>
    <n v="0"/>
    <n v="0"/>
    <n v="181.79"/>
    <n v="60.92"/>
    <s v="Profit"/>
    <x v="0"/>
    <n v="14"/>
    <n v="8"/>
    <s v="0-15"/>
    <s v="No"/>
    <n v="0"/>
    <s v="Healthy"/>
    <n v="0"/>
  </r>
  <r>
    <n v="102140"/>
    <d v="2025-10-18T00:00:00"/>
    <n v="1071"/>
    <x v="2"/>
    <x v="5"/>
    <x v="0"/>
    <x v="3"/>
    <x v="2"/>
    <s v="UPI"/>
    <n v="7.82"/>
    <n v="13.03"/>
    <x v="3"/>
    <n v="0"/>
    <n v="101.89"/>
    <n v="62.04"/>
    <n v="10.73"/>
    <n v="0.71"/>
    <n v="11.17"/>
    <n v="0"/>
    <n v="0"/>
    <n v="84.65"/>
    <n v="17.239999999999998"/>
    <s v="Profit"/>
    <x v="0"/>
    <n v="8"/>
    <n v="7"/>
    <s v="0-15"/>
    <s v="No"/>
    <n v="0"/>
    <s v="Healthy"/>
    <n v="0"/>
  </r>
  <r>
    <n v="102141"/>
    <d v="2025-12-24T00:00:00"/>
    <n v="1146"/>
    <x v="3"/>
    <x v="7"/>
    <x v="3"/>
    <x v="3"/>
    <x v="0"/>
    <s v="UPI"/>
    <n v="19.100000000000001"/>
    <n v="12.7"/>
    <x v="4"/>
    <n v="12.13"/>
    <n v="230.44"/>
    <n v="152.63"/>
    <n v="6.77"/>
    <n v="1.7"/>
    <n v="6.83"/>
    <n v="0"/>
    <n v="0"/>
    <n v="167.93"/>
    <n v="62.51"/>
    <s v="Profit"/>
    <x v="0"/>
    <n v="3"/>
    <n v="3"/>
    <s v="0-15"/>
    <s v="No"/>
    <n v="0"/>
    <s v="Healthy"/>
    <n v="0"/>
  </r>
  <r>
    <n v="102142"/>
    <d v="2025-10-18T00:00:00"/>
    <n v="1126"/>
    <x v="2"/>
    <x v="9"/>
    <x v="1"/>
    <x v="2"/>
    <x v="0"/>
    <s v="UPI"/>
    <n v="25.19"/>
    <n v="17.489999999999998"/>
    <x v="3"/>
    <n v="0"/>
    <n v="440.57"/>
    <n v="160.08000000000001"/>
    <n v="13.17"/>
    <n v="3.08"/>
    <n v="7.12"/>
    <n v="0"/>
    <n v="0"/>
    <n v="183.45"/>
    <n v="257.12"/>
    <s v="Profit"/>
    <x v="0"/>
    <n v="8"/>
    <n v="3"/>
    <s v="0-15"/>
    <s v="No"/>
    <n v="0"/>
    <s v="Healthy"/>
    <n v="0"/>
  </r>
  <r>
    <n v="102143"/>
    <d v="2025-11-14T00:00:00"/>
    <n v="1055"/>
    <x v="0"/>
    <x v="1"/>
    <x v="3"/>
    <x v="2"/>
    <x v="0"/>
    <s v="Wallet"/>
    <n v="34.71"/>
    <n v="17.59"/>
    <x v="1"/>
    <n v="122.11"/>
    <n v="488.44"/>
    <n v="266.64"/>
    <n v="1.64"/>
    <n v="7.33"/>
    <n v="0"/>
    <n v="0"/>
    <n v="0"/>
    <n v="275.61"/>
    <n v="212.83"/>
    <s v="Profit"/>
    <x v="0"/>
    <n v="13"/>
    <n v="7"/>
    <s v="0-15"/>
    <s v="No"/>
    <n v="0"/>
    <s v="Healthy"/>
    <n v="0"/>
  </r>
  <r>
    <n v="102144"/>
    <d v="2025-12-12T00:00:00"/>
    <n v="1026"/>
    <x v="1"/>
    <x v="3"/>
    <x v="0"/>
    <x v="3"/>
    <x v="2"/>
    <s v="UPI"/>
    <n v="20.16"/>
    <n v="13.21"/>
    <x v="2"/>
    <n v="26.63"/>
    <n v="239.68"/>
    <n v="150.91"/>
    <n v="8.56"/>
    <n v="1.86"/>
    <n v="3.97"/>
    <n v="0"/>
    <n v="0"/>
    <n v="165.3"/>
    <n v="74.38"/>
    <s v="Profit"/>
    <x v="0"/>
    <n v="13"/>
    <n v="0"/>
    <s v="0-15"/>
    <s v="No"/>
    <n v="0"/>
    <s v="Healthy"/>
    <n v="0"/>
  </r>
  <r>
    <n v="102145"/>
    <d v="2025-11-05T00:00:00"/>
    <n v="1120"/>
    <x v="1"/>
    <x v="2"/>
    <x v="2"/>
    <x v="1"/>
    <x v="0"/>
    <s v="UPI"/>
    <n v="33.71"/>
    <n v="15.29"/>
    <x v="2"/>
    <n v="51.54"/>
    <n v="463.89"/>
    <n v="175.91"/>
    <n v="7.22"/>
    <n v="3.61"/>
    <n v="4.6399999999999997"/>
    <n v="412.14"/>
    <n v="0"/>
    <n v="603.52"/>
    <n v="-139.63"/>
    <s v="Loss"/>
    <x v="2"/>
    <n v="10"/>
    <n v="6"/>
    <s v="0-15"/>
    <s v="No"/>
    <n v="1"/>
    <s v="At Risk"/>
    <n v="0"/>
  </r>
  <r>
    <n v="102146"/>
    <d v="2025-11-27T00:00:00"/>
    <n v="1131"/>
    <x v="1"/>
    <x v="13"/>
    <x v="0"/>
    <x v="3"/>
    <x v="0"/>
    <s v="UPI"/>
    <n v="30.23"/>
    <n v="12.13"/>
    <x v="0"/>
    <n v="55"/>
    <n v="311.69"/>
    <n v="236.83"/>
    <n v="10.1"/>
    <n v="2.57"/>
    <n v="6.69"/>
    <n v="0"/>
    <n v="0"/>
    <n v="256.19"/>
    <n v="55.5"/>
    <s v="Profit"/>
    <x v="0"/>
    <n v="7"/>
    <n v="5"/>
    <s v="0-15"/>
    <s v="No"/>
    <n v="0"/>
    <s v="Healthy"/>
    <n v="0"/>
  </r>
  <r>
    <n v="102147"/>
    <d v="2025-10-11T00:00:00"/>
    <n v="1124"/>
    <x v="1"/>
    <x v="13"/>
    <x v="2"/>
    <x v="2"/>
    <x v="0"/>
    <s v="Wallet"/>
    <n v="30.74"/>
    <n v="18.059999999999999"/>
    <x v="3"/>
    <n v="0"/>
    <n v="555.16"/>
    <n v="187.56"/>
    <n v="10.98"/>
    <n v="6.66"/>
    <n v="4.79"/>
    <n v="0"/>
    <n v="0"/>
    <n v="209.99"/>
    <n v="345.17"/>
    <s v="Profit"/>
    <x v="0"/>
    <n v="16"/>
    <n v="18"/>
    <s v="16-30"/>
    <s v="Yes"/>
    <n v="2"/>
    <s v="At Risk"/>
    <n v="1"/>
  </r>
  <r>
    <n v="102148"/>
    <d v="2025-12-10T00:00:00"/>
    <n v="1036"/>
    <x v="1"/>
    <x v="4"/>
    <x v="1"/>
    <x v="3"/>
    <x v="0"/>
    <s v="Fleet_Invoice"/>
    <n v="31.86"/>
    <n v="14.39"/>
    <x v="1"/>
    <n v="91.69"/>
    <n v="366.78"/>
    <n v="215.04"/>
    <n v="6.04"/>
    <n v="1.83"/>
    <n v="7.34"/>
    <n v="0"/>
    <n v="0"/>
    <n v="230.25"/>
    <n v="136.53"/>
    <s v="Profit"/>
    <x v="0"/>
    <n v="6"/>
    <n v="5"/>
    <s v="0-15"/>
    <s v="No"/>
    <n v="2"/>
    <s v="Healthy"/>
    <n v="0"/>
  </r>
  <r>
    <n v="102149"/>
    <d v="2025-11-18T00:00:00"/>
    <n v="1145"/>
    <x v="0"/>
    <x v="11"/>
    <x v="3"/>
    <x v="0"/>
    <x v="2"/>
    <s v="UPI"/>
    <n v="17.809999999999999"/>
    <n v="19.95"/>
    <x v="3"/>
    <n v="0"/>
    <n v="355.31"/>
    <n v="127.66"/>
    <n v="14.51"/>
    <n v="2.4900000000000002"/>
    <n v="9.14"/>
    <n v="0"/>
    <n v="0"/>
    <n v="153.80000000000001"/>
    <n v="201.51"/>
    <s v="Profit"/>
    <x v="0"/>
    <n v="3"/>
    <n v="2"/>
    <s v="0-15"/>
    <s v="No"/>
    <n v="0"/>
    <s v="Healthy"/>
    <n v="0"/>
  </r>
  <r>
    <n v="102150"/>
    <d v="2025-10-30T00:00:00"/>
    <n v="1062"/>
    <x v="2"/>
    <x v="9"/>
    <x v="1"/>
    <x v="2"/>
    <x v="0"/>
    <s v="UPI"/>
    <n v="34.58"/>
    <n v="18.350000000000001"/>
    <x v="1"/>
    <n v="126.91"/>
    <n v="507.63"/>
    <n v="213.66"/>
    <n v="6.87"/>
    <n v="4.4400000000000004"/>
    <n v="11.19"/>
    <n v="0"/>
    <n v="0"/>
    <n v="236.16"/>
    <n v="271.47000000000003"/>
    <s v="Profit"/>
    <x v="0"/>
    <n v="40"/>
    <n v="3"/>
    <s v="30+"/>
    <s v="Yes"/>
    <n v="2"/>
    <s v="At Risk"/>
    <n v="1"/>
  </r>
  <r>
    <n v="102151"/>
    <d v="2025-12-28T00:00:00"/>
    <n v="1052"/>
    <x v="1"/>
    <x v="3"/>
    <x v="4"/>
    <x v="3"/>
    <x v="0"/>
    <s v="Fleet_Invoice"/>
    <n v="21.71"/>
    <n v="12.68"/>
    <x v="4"/>
    <n v="13.76"/>
    <n v="261.52"/>
    <n v="141.76"/>
    <n v="3.44"/>
    <n v="1.1000000000000001"/>
    <n v="6.84"/>
    <n v="0"/>
    <n v="0"/>
    <n v="153.13999999999999"/>
    <n v="108.38"/>
    <s v="Profit"/>
    <x v="0"/>
    <n v="9"/>
    <n v="3"/>
    <s v="0-15"/>
    <s v="No"/>
    <n v="0"/>
    <s v="Healthy"/>
    <n v="0"/>
  </r>
  <r>
    <n v="102152"/>
    <d v="2025-10-04T00:00:00"/>
    <n v="1038"/>
    <x v="1"/>
    <x v="3"/>
    <x v="4"/>
    <x v="3"/>
    <x v="0"/>
    <s v="Wallet"/>
    <n v="12.35"/>
    <n v="11.23"/>
    <x v="2"/>
    <n v="13.87"/>
    <n v="124.82"/>
    <n v="91.58"/>
    <n v="6.92"/>
    <n v="1.66"/>
    <n v="0"/>
    <n v="0"/>
    <n v="0"/>
    <n v="100.16"/>
    <n v="24.66"/>
    <s v="Profit"/>
    <x v="0"/>
    <n v="13"/>
    <n v="6"/>
    <s v="0-15"/>
    <s v="No"/>
    <n v="0"/>
    <s v="Healthy"/>
    <n v="0"/>
  </r>
  <r>
    <n v="102153"/>
    <d v="2025-11-28T00:00:00"/>
    <n v="1067"/>
    <x v="0"/>
    <x v="1"/>
    <x v="2"/>
    <x v="0"/>
    <x v="0"/>
    <s v="Wallet"/>
    <n v="33.67"/>
    <n v="19.5"/>
    <x v="2"/>
    <n v="65.66"/>
    <n v="590.9"/>
    <n v="240.7"/>
    <n v="13.74"/>
    <n v="7.88"/>
    <n v="8.33"/>
    <n v="0"/>
    <n v="0"/>
    <n v="270.64999999999998"/>
    <n v="320.25"/>
    <s v="Profit"/>
    <x v="0"/>
    <n v="21"/>
    <n v="8"/>
    <s v="16-30"/>
    <s v="Yes"/>
    <n v="2"/>
    <s v="At Risk"/>
    <n v="1"/>
  </r>
  <r>
    <n v="102154"/>
    <d v="2025-10-29T00:00:00"/>
    <n v="1091"/>
    <x v="2"/>
    <x v="12"/>
    <x v="4"/>
    <x v="0"/>
    <x v="0"/>
    <s v="Card"/>
    <n v="21.44"/>
    <n v="17.61"/>
    <x v="1"/>
    <n v="75.510000000000005"/>
    <n v="302.05"/>
    <n v="147.85"/>
    <n v="8.65"/>
    <n v="5.66"/>
    <n v="12.13"/>
    <n v="0"/>
    <n v="0"/>
    <n v="174.29"/>
    <n v="127.76"/>
    <s v="Profit"/>
    <x v="0"/>
    <n v="3"/>
    <n v="5"/>
    <s v="0-15"/>
    <s v="No"/>
    <n v="0"/>
    <s v="Healthy"/>
    <n v="0"/>
  </r>
  <r>
    <n v="102155"/>
    <d v="2025-11-27T00:00:00"/>
    <n v="1065"/>
    <x v="1"/>
    <x v="3"/>
    <x v="1"/>
    <x v="3"/>
    <x v="1"/>
    <s v="UPI"/>
    <n v="27.27"/>
    <n v="13.36"/>
    <x v="2"/>
    <n v="36.43"/>
    <n v="327.9"/>
    <n v="224.36"/>
    <n v="6.57"/>
    <n v="2.5499999999999998"/>
    <n v="9.7899999999999991"/>
    <n v="347.72"/>
    <n v="11.84"/>
    <n v="602.83000000000004"/>
    <n v="-274.93"/>
    <s v="Loss"/>
    <x v="2"/>
    <n v="4"/>
    <n v="7"/>
    <s v="0-15"/>
    <s v="No"/>
    <n v="1"/>
    <s v="At Risk"/>
    <n v="0"/>
  </r>
  <r>
    <n v="102156"/>
    <d v="2025-11-03T00:00:00"/>
    <n v="1052"/>
    <x v="2"/>
    <x v="10"/>
    <x v="4"/>
    <x v="2"/>
    <x v="0"/>
    <s v="UPI"/>
    <n v="34.28"/>
    <n v="17.46"/>
    <x v="0"/>
    <n v="89.78"/>
    <n v="508.75"/>
    <n v="260.08"/>
    <n v="8.34"/>
    <n v="4.1900000000000004"/>
    <n v="10.65"/>
    <n v="0"/>
    <n v="0"/>
    <n v="283.26"/>
    <n v="225.49"/>
    <s v="Profit"/>
    <x v="0"/>
    <n v="4"/>
    <n v="8"/>
    <s v="0-15"/>
    <s v="No"/>
    <n v="0"/>
    <s v="Healthy"/>
    <n v="0"/>
  </r>
  <r>
    <n v="102157"/>
    <d v="2025-10-22T00:00:00"/>
    <n v="1003"/>
    <x v="1"/>
    <x v="2"/>
    <x v="1"/>
    <x v="2"/>
    <x v="0"/>
    <s v="UPI"/>
    <n v="37.119999999999997"/>
    <n v="16.600000000000001"/>
    <x v="0"/>
    <n v="92.43"/>
    <n v="523.76"/>
    <n v="258.82"/>
    <n v="8.8800000000000008"/>
    <n v="4.3099999999999996"/>
    <n v="8.2100000000000009"/>
    <n v="0"/>
    <n v="0"/>
    <n v="280.22000000000003"/>
    <n v="243.54"/>
    <s v="Profit"/>
    <x v="0"/>
    <n v="3"/>
    <n v="7"/>
    <s v="0-15"/>
    <s v="No"/>
    <n v="0"/>
    <s v="Healthy"/>
    <n v="0"/>
  </r>
  <r>
    <n v="102158"/>
    <d v="2025-11-18T00:00:00"/>
    <n v="1048"/>
    <x v="0"/>
    <x v="1"/>
    <x v="1"/>
    <x v="2"/>
    <x v="2"/>
    <s v="Fleet_Invoice"/>
    <n v="30.4"/>
    <n v="16.2"/>
    <x v="3"/>
    <n v="0"/>
    <n v="492.48"/>
    <n v="267.05"/>
    <n v="12.16"/>
    <n v="1.97"/>
    <n v="10.039999999999999"/>
    <n v="261.3"/>
    <n v="3.61"/>
    <n v="556.13"/>
    <n v="-63.65"/>
    <s v="Loss"/>
    <x v="1"/>
    <n v="26"/>
    <n v="31"/>
    <s v="16-30"/>
    <s v="Yes"/>
    <n v="1"/>
    <s v="At Risk"/>
    <n v="1"/>
  </r>
  <r>
    <n v="102159"/>
    <d v="2025-11-22T00:00:00"/>
    <n v="1036"/>
    <x v="2"/>
    <x v="9"/>
    <x v="0"/>
    <x v="3"/>
    <x v="0"/>
    <s v="Card"/>
    <n v="20.84"/>
    <n v="12.78"/>
    <x v="4"/>
    <n v="13.32"/>
    <n v="253.02"/>
    <n v="174.08"/>
    <n v="15.03"/>
    <n v="4"/>
    <n v="5.86"/>
    <n v="0"/>
    <n v="0"/>
    <n v="198.97"/>
    <n v="54.05"/>
    <s v="Profit"/>
    <x v="0"/>
    <n v="11"/>
    <n v="6"/>
    <s v="0-15"/>
    <s v="No"/>
    <n v="0"/>
    <s v="Healthy"/>
    <n v="0"/>
  </r>
  <r>
    <n v="102160"/>
    <d v="2025-10-22T00:00:00"/>
    <n v="1075"/>
    <x v="2"/>
    <x v="10"/>
    <x v="3"/>
    <x v="3"/>
    <x v="0"/>
    <s v="Fleet_Invoice"/>
    <n v="23.91"/>
    <n v="11.87"/>
    <x v="4"/>
    <n v="14.19"/>
    <n v="269.62"/>
    <n v="170.11"/>
    <n v="5.38"/>
    <n v="1.1399999999999999"/>
    <n v="0"/>
    <n v="0"/>
    <n v="0"/>
    <n v="176.63"/>
    <n v="92.99"/>
    <s v="Profit"/>
    <x v="0"/>
    <n v="17"/>
    <n v="6"/>
    <s v="16-30"/>
    <s v="No"/>
    <n v="0"/>
    <s v="Healthy"/>
    <n v="0"/>
  </r>
  <r>
    <n v="102161"/>
    <d v="2025-11-14T00:00:00"/>
    <n v="1049"/>
    <x v="0"/>
    <x v="6"/>
    <x v="4"/>
    <x v="2"/>
    <x v="1"/>
    <s v="UPI"/>
    <n v="40.4"/>
    <n v="16.670000000000002"/>
    <x v="4"/>
    <n v="33.67"/>
    <n v="639.79999999999995"/>
    <n v="296.58"/>
    <n v="6.76"/>
    <n v="4.71"/>
    <n v="6.33"/>
    <n v="294.97000000000003"/>
    <n v="2.14"/>
    <n v="611.49"/>
    <n v="28.31"/>
    <s v="Profit"/>
    <x v="1"/>
    <n v="0"/>
    <n v="6"/>
    <s v="0-15"/>
    <s v="Yes"/>
    <n v="1"/>
    <s v="At Risk"/>
    <n v="1"/>
  </r>
  <r>
    <n v="102162"/>
    <d v="2025-10-21T00:00:00"/>
    <n v="1010"/>
    <x v="1"/>
    <x v="2"/>
    <x v="1"/>
    <x v="1"/>
    <x v="0"/>
    <s v="Card"/>
    <n v="32.79"/>
    <n v="14.37"/>
    <x v="0"/>
    <n v="70.680000000000007"/>
    <n v="400.51"/>
    <n v="238.42"/>
    <n v="9.0399999999999991"/>
    <n v="7.07"/>
    <n v="5.04"/>
    <n v="0"/>
    <n v="0"/>
    <n v="259.57"/>
    <n v="140.94"/>
    <s v="Profit"/>
    <x v="0"/>
    <n v="14"/>
    <n v="1"/>
    <s v="0-15"/>
    <s v="No"/>
    <n v="0"/>
    <s v="Healthy"/>
    <n v="0"/>
  </r>
  <r>
    <n v="102163"/>
    <d v="2025-11-08T00:00:00"/>
    <n v="1139"/>
    <x v="3"/>
    <x v="15"/>
    <x v="3"/>
    <x v="2"/>
    <x v="2"/>
    <s v="UPI"/>
    <n v="26.11"/>
    <n v="18.260000000000002"/>
    <x v="2"/>
    <n v="47.68"/>
    <n v="429.09"/>
    <n v="186.19"/>
    <n v="7.46"/>
    <n v="3.34"/>
    <n v="3.21"/>
    <n v="0"/>
    <n v="0"/>
    <n v="200.2"/>
    <n v="228.89"/>
    <s v="Profit"/>
    <x v="0"/>
    <n v="6"/>
    <n v="3"/>
    <s v="0-15"/>
    <s v="No"/>
    <n v="0"/>
    <s v="Healthy"/>
    <n v="0"/>
  </r>
  <r>
    <n v="102164"/>
    <d v="2025-12-06T00:00:00"/>
    <n v="1108"/>
    <x v="1"/>
    <x v="2"/>
    <x v="0"/>
    <x v="1"/>
    <x v="0"/>
    <s v="UPI"/>
    <n v="12.29"/>
    <n v="15.38"/>
    <x v="3"/>
    <n v="0"/>
    <n v="189.02"/>
    <n v="92.29"/>
    <n v="7.63"/>
    <n v="1.32"/>
    <n v="9.4600000000000009"/>
    <n v="0"/>
    <n v="0"/>
    <n v="110.7"/>
    <n v="78.319999999999993"/>
    <s v="Profit"/>
    <x v="0"/>
    <n v="39"/>
    <n v="0"/>
    <s v="30+"/>
    <s v="Yes"/>
    <n v="3"/>
    <s v="At Risk"/>
    <n v="1"/>
  </r>
  <r>
    <n v="102165"/>
    <d v="2025-11-22T00:00:00"/>
    <n v="1021"/>
    <x v="1"/>
    <x v="2"/>
    <x v="4"/>
    <x v="3"/>
    <x v="2"/>
    <s v="Card"/>
    <n v="14.93"/>
    <n v="13.09"/>
    <x v="3"/>
    <n v="0"/>
    <n v="195.43"/>
    <n v="87.97"/>
    <n v="11.06"/>
    <n v="2.93"/>
    <n v="8.77"/>
    <n v="0"/>
    <n v="0"/>
    <n v="110.73"/>
    <n v="84.7"/>
    <s v="Profit"/>
    <x v="0"/>
    <n v="7"/>
    <n v="4"/>
    <s v="0-15"/>
    <s v="No"/>
    <n v="0"/>
    <s v="Healthy"/>
    <n v="0"/>
  </r>
  <r>
    <n v="102166"/>
    <d v="2025-11-24T00:00:00"/>
    <n v="1094"/>
    <x v="0"/>
    <x v="11"/>
    <x v="3"/>
    <x v="1"/>
    <x v="0"/>
    <s v="Card"/>
    <n v="31.96"/>
    <n v="14.84"/>
    <x v="3"/>
    <n v="0"/>
    <n v="474.29"/>
    <n v="250.42"/>
    <n v="11.66"/>
    <n v="7.11"/>
    <n v="3.48"/>
    <n v="0"/>
    <n v="0"/>
    <n v="272.67"/>
    <n v="201.62"/>
    <s v="Profit"/>
    <x v="0"/>
    <n v="4"/>
    <n v="1"/>
    <s v="0-15"/>
    <s v="No"/>
    <n v="0"/>
    <s v="Healthy"/>
    <n v="0"/>
  </r>
  <r>
    <n v="102167"/>
    <d v="2025-10-15T00:00:00"/>
    <n v="1089"/>
    <x v="3"/>
    <x v="14"/>
    <x v="0"/>
    <x v="2"/>
    <x v="0"/>
    <s v="Wallet"/>
    <n v="18.71"/>
    <n v="17.8"/>
    <x v="1"/>
    <n v="66.61"/>
    <n v="266.43"/>
    <n v="129.16"/>
    <n v="10.91"/>
    <n v="4"/>
    <n v="0.63"/>
    <n v="0"/>
    <n v="0"/>
    <n v="144.69999999999999"/>
    <n v="121.73"/>
    <s v="Profit"/>
    <x v="0"/>
    <n v="6"/>
    <n v="0"/>
    <s v="0-15"/>
    <s v="No"/>
    <n v="0"/>
    <s v="Healthy"/>
    <n v="0"/>
  </r>
  <r>
    <n v="102168"/>
    <d v="2025-11-23T00:00:00"/>
    <n v="1008"/>
    <x v="0"/>
    <x v="11"/>
    <x v="4"/>
    <x v="3"/>
    <x v="1"/>
    <s v="UPI"/>
    <n v="28.14"/>
    <n v="12.71"/>
    <x v="3"/>
    <n v="0"/>
    <n v="357.66"/>
    <n v="192.37"/>
    <n v="3.02"/>
    <n v="2.5"/>
    <n v="4.57"/>
    <n v="0"/>
    <n v="0"/>
    <n v="202.46"/>
    <n v="155.19999999999999"/>
    <s v="Profit"/>
    <x v="0"/>
    <n v="19"/>
    <n v="4"/>
    <s v="16-30"/>
    <s v="No"/>
    <n v="0"/>
    <s v="Healthy"/>
    <n v="0"/>
  </r>
  <r>
    <n v="102169"/>
    <d v="2025-12-27T00:00:00"/>
    <n v="1028"/>
    <x v="3"/>
    <x v="8"/>
    <x v="3"/>
    <x v="3"/>
    <x v="0"/>
    <s v="UPI"/>
    <n v="16.68"/>
    <n v="11.41"/>
    <x v="4"/>
    <n v="9.52"/>
    <n v="180.8"/>
    <n v="132.26"/>
    <n v="7.29"/>
    <n v="1.33"/>
    <n v="6.64"/>
    <n v="0"/>
    <n v="0"/>
    <n v="147.52000000000001"/>
    <n v="33.28"/>
    <s v="Profit"/>
    <x v="0"/>
    <n v="3"/>
    <n v="10"/>
    <s v="0-15"/>
    <s v="No"/>
    <n v="0"/>
    <s v="Healthy"/>
    <n v="0"/>
  </r>
  <r>
    <n v="102170"/>
    <d v="2025-11-30T00:00:00"/>
    <n v="1084"/>
    <x v="0"/>
    <x v="6"/>
    <x v="3"/>
    <x v="3"/>
    <x v="0"/>
    <s v="Fleet_Invoice"/>
    <n v="15.23"/>
    <n v="14.49"/>
    <x v="3"/>
    <n v="0"/>
    <n v="220.68"/>
    <n v="110.33"/>
    <n v="13.04"/>
    <n v="0.88"/>
    <n v="3.34"/>
    <n v="0"/>
    <n v="0"/>
    <n v="127.59"/>
    <n v="93.09"/>
    <s v="Profit"/>
    <x v="0"/>
    <n v="1"/>
    <n v="6"/>
    <s v="0-15"/>
    <s v="No"/>
    <n v="0"/>
    <s v="Healthy"/>
    <n v="0"/>
  </r>
  <r>
    <n v="102171"/>
    <d v="2025-12-14T00:00:00"/>
    <n v="1016"/>
    <x v="2"/>
    <x v="9"/>
    <x v="3"/>
    <x v="0"/>
    <x v="1"/>
    <s v="Wallet"/>
    <n v="21.29"/>
    <n v="19.649999999999999"/>
    <x v="1"/>
    <n v="83.67"/>
    <n v="334.68"/>
    <n v="150.9"/>
    <n v="13.91"/>
    <n v="5.0199999999999996"/>
    <n v="8.56"/>
    <n v="0"/>
    <n v="0"/>
    <n v="178.39"/>
    <n v="156.29"/>
    <s v="Profit"/>
    <x v="0"/>
    <n v="2"/>
    <n v="0"/>
    <s v="0-15"/>
    <s v="No"/>
    <n v="2"/>
    <s v="Healthy"/>
    <n v="0"/>
  </r>
  <r>
    <n v="102172"/>
    <d v="2025-10-15T00:00:00"/>
    <n v="1012"/>
    <x v="2"/>
    <x v="9"/>
    <x v="2"/>
    <x v="1"/>
    <x v="2"/>
    <s v="UPI"/>
    <n v="20.149999999999999"/>
    <n v="14.96"/>
    <x v="1"/>
    <n v="60.29"/>
    <n v="241.15"/>
    <n v="139.80000000000001"/>
    <n v="7.02"/>
    <n v="2.11"/>
    <n v="0"/>
    <n v="0"/>
    <n v="0"/>
    <n v="148.93"/>
    <n v="92.22"/>
    <s v="Profit"/>
    <x v="0"/>
    <n v="17"/>
    <n v="1"/>
    <s v="16-30"/>
    <s v="No"/>
    <n v="2"/>
    <s v="Healthy"/>
    <n v="0"/>
  </r>
  <r>
    <n v="102173"/>
    <d v="2025-10-24T00:00:00"/>
    <n v="1055"/>
    <x v="3"/>
    <x v="14"/>
    <x v="1"/>
    <x v="3"/>
    <x v="0"/>
    <s v="Fleet_Invoice"/>
    <n v="26.67"/>
    <n v="11.33"/>
    <x v="3"/>
    <n v="0"/>
    <n v="302.17"/>
    <n v="162.83000000000001"/>
    <n v="4.78"/>
    <n v="1.21"/>
    <n v="4.55"/>
    <n v="0"/>
    <n v="0"/>
    <n v="173.37"/>
    <n v="128.80000000000001"/>
    <s v="Profit"/>
    <x v="0"/>
    <n v="8"/>
    <n v="7"/>
    <s v="0-15"/>
    <s v="No"/>
    <n v="0"/>
    <s v="Healthy"/>
    <n v="0"/>
  </r>
  <r>
    <n v="102174"/>
    <d v="2025-12-19T00:00:00"/>
    <n v="1044"/>
    <x v="1"/>
    <x v="13"/>
    <x v="3"/>
    <x v="0"/>
    <x v="0"/>
    <s v="Card"/>
    <n v="17.53"/>
    <n v="18.03"/>
    <x v="0"/>
    <n v="47.41"/>
    <n v="268.66000000000003"/>
    <n v="148.65"/>
    <n v="9.44"/>
    <n v="4.74"/>
    <n v="0.15"/>
    <n v="0"/>
    <n v="0"/>
    <n v="162.97999999999999"/>
    <n v="105.68"/>
    <s v="Profit"/>
    <x v="0"/>
    <n v="7"/>
    <n v="1"/>
    <s v="0-15"/>
    <s v="No"/>
    <n v="0"/>
    <s v="Healthy"/>
    <n v="0"/>
  </r>
  <r>
    <n v="102175"/>
    <d v="2025-11-11T00:00:00"/>
    <n v="1036"/>
    <x v="0"/>
    <x v="11"/>
    <x v="2"/>
    <x v="3"/>
    <x v="1"/>
    <s v="Card"/>
    <n v="30.82"/>
    <n v="13.18"/>
    <x v="1"/>
    <n v="81.239999999999995"/>
    <n v="324.97000000000003"/>
    <n v="206.95"/>
    <n v="7.13"/>
    <n v="6.09"/>
    <n v="3.61"/>
    <n v="0"/>
    <n v="0"/>
    <n v="223.78"/>
    <n v="101.19"/>
    <s v="Profit"/>
    <x v="0"/>
    <n v="3"/>
    <n v="36"/>
    <s v="0-15"/>
    <s v="Yes"/>
    <n v="3"/>
    <s v="At Risk"/>
    <n v="1"/>
  </r>
  <r>
    <n v="102176"/>
    <d v="2025-11-20T00:00:00"/>
    <n v="1121"/>
    <x v="0"/>
    <x v="6"/>
    <x v="3"/>
    <x v="0"/>
    <x v="2"/>
    <s v="UPI"/>
    <n v="29.45"/>
    <n v="19.170000000000002"/>
    <x v="2"/>
    <n v="56.46"/>
    <n v="508.1"/>
    <n v="189.42"/>
    <n v="6.39"/>
    <n v="3.95"/>
    <n v="13.13"/>
    <n v="0"/>
    <n v="0"/>
    <n v="212.89"/>
    <n v="295.20999999999998"/>
    <s v="Profit"/>
    <x v="0"/>
    <n v="14"/>
    <n v="11"/>
    <s v="0-15"/>
    <s v="No"/>
    <n v="0"/>
    <s v="Healthy"/>
    <n v="0"/>
  </r>
  <r>
    <n v="102177"/>
    <d v="2025-10-18T00:00:00"/>
    <n v="1080"/>
    <x v="2"/>
    <x v="5"/>
    <x v="0"/>
    <x v="2"/>
    <x v="0"/>
    <s v="Wallet"/>
    <n v="30.57"/>
    <n v="17.48"/>
    <x v="3"/>
    <n v="0"/>
    <n v="534.36"/>
    <n v="212.63"/>
    <n v="7.01"/>
    <n v="6.41"/>
    <n v="12.2"/>
    <n v="0"/>
    <n v="0"/>
    <n v="238.25"/>
    <n v="296.11"/>
    <s v="Profit"/>
    <x v="0"/>
    <n v="12"/>
    <n v="17"/>
    <s v="0-15"/>
    <s v="Yes"/>
    <n v="1"/>
    <s v="At Risk"/>
    <n v="1"/>
  </r>
  <r>
    <n v="102178"/>
    <d v="2025-12-22T00:00:00"/>
    <n v="1051"/>
    <x v="3"/>
    <x v="8"/>
    <x v="3"/>
    <x v="3"/>
    <x v="0"/>
    <s v="UPI"/>
    <n v="15.38"/>
    <n v="12.5"/>
    <x v="3"/>
    <n v="0"/>
    <n v="192.25"/>
    <n v="102.3"/>
    <n v="6.15"/>
    <n v="1.35"/>
    <n v="9.64"/>
    <n v="0"/>
    <n v="0"/>
    <n v="119.44"/>
    <n v="72.81"/>
    <s v="Profit"/>
    <x v="0"/>
    <n v="21"/>
    <n v="13"/>
    <s v="16-30"/>
    <s v="Yes"/>
    <n v="3"/>
    <s v="At Risk"/>
    <n v="1"/>
  </r>
  <r>
    <n v="102179"/>
    <d v="2025-10-20T00:00:00"/>
    <n v="1090"/>
    <x v="0"/>
    <x v="1"/>
    <x v="1"/>
    <x v="3"/>
    <x v="1"/>
    <s v="Card"/>
    <n v="20.2"/>
    <n v="11.64"/>
    <x v="3"/>
    <n v="0"/>
    <n v="235.13"/>
    <n v="151.63999999999999"/>
    <n v="5.68"/>
    <n v="3.53"/>
    <n v="7.77"/>
    <n v="0"/>
    <n v="0"/>
    <n v="168.62"/>
    <n v="66.510000000000005"/>
    <s v="Profit"/>
    <x v="0"/>
    <n v="5"/>
    <n v="4"/>
    <s v="0-15"/>
    <s v="No"/>
    <n v="0"/>
    <s v="Healthy"/>
    <n v="0"/>
  </r>
  <r>
    <n v="102180"/>
    <d v="2025-12-02T00:00:00"/>
    <n v="1093"/>
    <x v="2"/>
    <x v="10"/>
    <x v="4"/>
    <x v="2"/>
    <x v="2"/>
    <s v="Fleet_Invoice"/>
    <n v="23.42"/>
    <n v="18.649999999999999"/>
    <x v="4"/>
    <n v="21.84"/>
    <n v="414.94"/>
    <n v="192.91"/>
    <n v="9.1300000000000008"/>
    <n v="1.75"/>
    <n v="14.04"/>
    <n v="0"/>
    <n v="0"/>
    <n v="217.83"/>
    <n v="197.11"/>
    <s v="Profit"/>
    <x v="0"/>
    <n v="2"/>
    <n v="12"/>
    <s v="0-15"/>
    <s v="No"/>
    <n v="0"/>
    <s v="Healthy"/>
    <n v="0"/>
  </r>
  <r>
    <n v="102181"/>
    <d v="2025-10-20T00:00:00"/>
    <n v="1135"/>
    <x v="2"/>
    <x v="5"/>
    <x v="4"/>
    <x v="3"/>
    <x v="0"/>
    <s v="UPI"/>
    <n v="30.05"/>
    <n v="13.2"/>
    <x v="3"/>
    <n v="0"/>
    <n v="396.66"/>
    <n v="189.08"/>
    <n v="6.15"/>
    <n v="2.78"/>
    <n v="2.13"/>
    <n v="0"/>
    <n v="0"/>
    <n v="200.14"/>
    <n v="196.52"/>
    <s v="Profit"/>
    <x v="0"/>
    <n v="6"/>
    <n v="1"/>
    <s v="0-15"/>
    <s v="No"/>
    <n v="0"/>
    <s v="Healthy"/>
    <n v="0"/>
  </r>
  <r>
    <n v="102182"/>
    <d v="2025-10-06T00:00:00"/>
    <n v="1009"/>
    <x v="0"/>
    <x v="11"/>
    <x v="1"/>
    <x v="0"/>
    <x v="0"/>
    <s v="Fleet_Invoice"/>
    <n v="30.82"/>
    <n v="18.829999999999998"/>
    <x v="1"/>
    <n v="116.07"/>
    <n v="464.27"/>
    <n v="233.3"/>
    <n v="1.71"/>
    <n v="2.3199999999999998"/>
    <n v="2.2000000000000002"/>
    <n v="0"/>
    <n v="0"/>
    <n v="239.53"/>
    <n v="224.74"/>
    <s v="Profit"/>
    <x v="0"/>
    <n v="23"/>
    <n v="12"/>
    <s v="16-30"/>
    <s v="Yes"/>
    <n v="1"/>
    <s v="At Risk"/>
    <n v="1"/>
  </r>
  <r>
    <n v="102183"/>
    <d v="2025-11-18T00:00:00"/>
    <n v="1062"/>
    <x v="0"/>
    <x v="11"/>
    <x v="4"/>
    <x v="1"/>
    <x v="0"/>
    <s v="Card"/>
    <n v="40.590000000000003"/>
    <n v="15.93"/>
    <x v="1"/>
    <n v="129.32"/>
    <n v="517.28"/>
    <n v="264.18"/>
    <n v="9.5399999999999991"/>
    <n v="9.6999999999999993"/>
    <n v="8.3800000000000008"/>
    <n v="0"/>
    <n v="0"/>
    <n v="291.8"/>
    <n v="225.48"/>
    <s v="Profit"/>
    <x v="0"/>
    <n v="12"/>
    <n v="2"/>
    <s v="0-15"/>
    <s v="No"/>
    <n v="0"/>
    <s v="Healthy"/>
    <n v="0"/>
  </r>
  <r>
    <n v="102184"/>
    <d v="2025-10-19T00:00:00"/>
    <n v="1134"/>
    <x v="0"/>
    <x v="11"/>
    <x v="4"/>
    <x v="3"/>
    <x v="0"/>
    <s v="Wallet"/>
    <n v="18.61"/>
    <n v="13.03"/>
    <x v="4"/>
    <n v="12.12"/>
    <n v="230.37"/>
    <n v="120.44"/>
    <n v="7.81"/>
    <n v="2.91"/>
    <n v="0"/>
    <n v="0"/>
    <n v="0"/>
    <n v="131.16"/>
    <n v="99.21"/>
    <s v="Profit"/>
    <x v="0"/>
    <n v="3"/>
    <n v="14"/>
    <s v="0-15"/>
    <s v="No"/>
    <n v="0"/>
    <s v="Healthy"/>
    <n v="0"/>
  </r>
  <r>
    <n v="102185"/>
    <d v="2025-12-29T00:00:00"/>
    <n v="1103"/>
    <x v="0"/>
    <x v="1"/>
    <x v="1"/>
    <x v="3"/>
    <x v="0"/>
    <s v="Wallet"/>
    <n v="27.1"/>
    <n v="13.11"/>
    <x v="4"/>
    <n v="17.760000000000002"/>
    <n v="337.52"/>
    <n v="160.68"/>
    <n v="7.7"/>
    <n v="4.26"/>
    <n v="7.42"/>
    <n v="0"/>
    <n v="0"/>
    <n v="180.06"/>
    <n v="157.46"/>
    <s v="Profit"/>
    <x v="0"/>
    <n v="2"/>
    <n v="14"/>
    <s v="0-15"/>
    <s v="No"/>
    <n v="0"/>
    <s v="Healthy"/>
    <n v="0"/>
  </r>
  <r>
    <n v="102186"/>
    <d v="2025-12-06T00:00:00"/>
    <n v="1125"/>
    <x v="3"/>
    <x v="8"/>
    <x v="1"/>
    <x v="3"/>
    <x v="0"/>
    <s v="UPI"/>
    <n v="14.09"/>
    <n v="12.93"/>
    <x v="0"/>
    <n v="27.33"/>
    <n v="154.85"/>
    <n v="119.27"/>
    <n v="9.5399999999999991"/>
    <n v="1.28"/>
    <n v="3.45"/>
    <n v="0"/>
    <n v="0"/>
    <n v="133.54"/>
    <n v="21.31"/>
    <s v="Profit"/>
    <x v="0"/>
    <n v="5"/>
    <n v="7"/>
    <s v="0-15"/>
    <s v="No"/>
    <n v="0"/>
    <s v="Healthy"/>
    <n v="0"/>
  </r>
  <r>
    <n v="102187"/>
    <d v="2025-11-09T00:00:00"/>
    <n v="1102"/>
    <x v="2"/>
    <x v="5"/>
    <x v="1"/>
    <x v="0"/>
    <x v="2"/>
    <s v="Fleet_Invoice"/>
    <n v="25.92"/>
    <n v="19.23"/>
    <x v="3"/>
    <n v="0"/>
    <n v="498.44"/>
    <n v="192.61"/>
    <n v="9.1999999999999993"/>
    <n v="1.99"/>
    <n v="5.88"/>
    <n v="0"/>
    <n v="0"/>
    <n v="209.68"/>
    <n v="288.76"/>
    <s v="Profit"/>
    <x v="0"/>
    <n v="2"/>
    <n v="6"/>
    <s v="0-15"/>
    <s v="No"/>
    <n v="1"/>
    <s v="Healthy"/>
    <n v="0"/>
  </r>
  <r>
    <n v="102188"/>
    <d v="2025-11-26T00:00:00"/>
    <n v="1122"/>
    <x v="1"/>
    <x v="13"/>
    <x v="4"/>
    <x v="3"/>
    <x v="0"/>
    <s v="UPI"/>
    <n v="25.38"/>
    <n v="13.14"/>
    <x v="2"/>
    <n v="33.35"/>
    <n v="300.14"/>
    <n v="155.32"/>
    <n v="6.77"/>
    <n v="2.33"/>
    <n v="9.85"/>
    <n v="0"/>
    <n v="0"/>
    <n v="174.27"/>
    <n v="125.87"/>
    <s v="Profit"/>
    <x v="0"/>
    <n v="8"/>
    <n v="22"/>
    <s v="0-15"/>
    <s v="Yes"/>
    <n v="2"/>
    <s v="At Risk"/>
    <n v="1"/>
  </r>
  <r>
    <n v="102189"/>
    <d v="2025-11-06T00:00:00"/>
    <n v="1096"/>
    <x v="1"/>
    <x v="2"/>
    <x v="3"/>
    <x v="0"/>
    <x v="0"/>
    <s v="Card"/>
    <n v="16.850000000000001"/>
    <n v="20.7"/>
    <x v="4"/>
    <n v="17.440000000000001"/>
    <n v="331.36"/>
    <n v="117.38"/>
    <n v="11.84"/>
    <n v="5.23"/>
    <n v="2.6"/>
    <n v="0"/>
    <n v="0"/>
    <n v="137.05000000000001"/>
    <n v="194.31"/>
    <s v="Profit"/>
    <x v="0"/>
    <n v="3"/>
    <n v="8"/>
    <s v="0-15"/>
    <s v="No"/>
    <n v="0"/>
    <s v="Healthy"/>
    <n v="0"/>
  </r>
  <r>
    <n v="102190"/>
    <d v="2025-12-20T00:00:00"/>
    <n v="1082"/>
    <x v="2"/>
    <x v="5"/>
    <x v="1"/>
    <x v="3"/>
    <x v="0"/>
    <s v="Card"/>
    <n v="22.71"/>
    <n v="12.62"/>
    <x v="3"/>
    <n v="0"/>
    <n v="286.60000000000002"/>
    <n v="156.31"/>
    <n v="9.17"/>
    <n v="4.3"/>
    <n v="0"/>
    <n v="0"/>
    <n v="0"/>
    <n v="169.78"/>
    <n v="116.82"/>
    <s v="Profit"/>
    <x v="0"/>
    <n v="1"/>
    <n v="2"/>
    <s v="0-15"/>
    <s v="No"/>
    <n v="0"/>
    <s v="Healthy"/>
    <n v="0"/>
  </r>
  <r>
    <n v="102191"/>
    <d v="2025-11-10T00:00:00"/>
    <n v="1013"/>
    <x v="3"/>
    <x v="15"/>
    <x v="3"/>
    <x v="1"/>
    <x v="0"/>
    <s v="Wallet"/>
    <n v="29.78"/>
    <n v="15.88"/>
    <x v="4"/>
    <n v="23.65"/>
    <n v="449.26"/>
    <n v="219.83"/>
    <n v="7.76"/>
    <n v="5.67"/>
    <n v="9.68"/>
    <n v="0"/>
    <n v="0"/>
    <n v="242.94"/>
    <n v="206.32"/>
    <s v="Profit"/>
    <x v="0"/>
    <n v="11"/>
    <n v="18"/>
    <s v="0-15"/>
    <s v="Yes"/>
    <n v="2"/>
    <s v="At Risk"/>
    <n v="1"/>
  </r>
  <r>
    <n v="102192"/>
    <d v="2025-10-16T00:00:00"/>
    <n v="1073"/>
    <x v="2"/>
    <x v="9"/>
    <x v="4"/>
    <x v="3"/>
    <x v="0"/>
    <s v="Card"/>
    <n v="26.53"/>
    <n v="13.06"/>
    <x v="2"/>
    <n v="34.65"/>
    <n v="311.83"/>
    <n v="194.4"/>
    <n v="6.77"/>
    <n v="5.2"/>
    <n v="9.2200000000000006"/>
    <n v="0"/>
    <n v="0"/>
    <n v="215.59"/>
    <n v="96.24"/>
    <s v="Profit"/>
    <x v="0"/>
    <n v="1"/>
    <n v="21"/>
    <s v="0-15"/>
    <s v="Yes"/>
    <n v="4"/>
    <s v="At Risk"/>
    <n v="1"/>
  </r>
  <r>
    <n v="102193"/>
    <d v="2025-11-26T00:00:00"/>
    <n v="1108"/>
    <x v="2"/>
    <x v="5"/>
    <x v="1"/>
    <x v="1"/>
    <x v="0"/>
    <s v="UPI"/>
    <n v="21.52"/>
    <n v="17.14"/>
    <x v="3"/>
    <n v="0"/>
    <n v="368.85"/>
    <n v="162.55000000000001"/>
    <n v="6.82"/>
    <n v="2.58"/>
    <n v="11.07"/>
    <n v="0"/>
    <n v="0"/>
    <n v="183.02"/>
    <n v="185.83"/>
    <s v="Profit"/>
    <x v="0"/>
    <n v="28"/>
    <n v="0"/>
    <s v="16-30"/>
    <s v="Yes"/>
    <n v="2"/>
    <s v="At Risk"/>
    <n v="1"/>
  </r>
  <r>
    <n v="102194"/>
    <d v="2025-10-30T00:00:00"/>
    <n v="1011"/>
    <x v="1"/>
    <x v="3"/>
    <x v="0"/>
    <x v="3"/>
    <x v="2"/>
    <s v="UPI"/>
    <n v="16.329999999999998"/>
    <n v="12.94"/>
    <x v="3"/>
    <n v="0"/>
    <n v="211.31"/>
    <n v="118.37"/>
    <n v="9.59"/>
    <n v="1.48"/>
    <n v="6.99"/>
    <n v="140.79"/>
    <n v="15.13"/>
    <n v="292.35000000000002"/>
    <n v="-81.040000000000006"/>
    <s v="Loss"/>
    <x v="2"/>
    <n v="8"/>
    <n v="9"/>
    <s v="0-15"/>
    <s v="No"/>
    <n v="1"/>
    <s v="At Risk"/>
    <n v="0"/>
  </r>
  <r>
    <n v="102195"/>
    <d v="2025-10-19T00:00:00"/>
    <n v="1059"/>
    <x v="1"/>
    <x v="3"/>
    <x v="0"/>
    <x v="1"/>
    <x v="0"/>
    <s v="Fleet_Invoice"/>
    <n v="29.61"/>
    <n v="15.88"/>
    <x v="3"/>
    <n v="0"/>
    <n v="470.21"/>
    <n v="164.44"/>
    <n v="8.3000000000000007"/>
    <n v="1.88"/>
    <n v="0"/>
    <n v="0"/>
    <n v="0"/>
    <n v="174.62"/>
    <n v="295.58999999999997"/>
    <s v="Profit"/>
    <x v="0"/>
    <n v="0"/>
    <n v="6"/>
    <s v="0-15"/>
    <s v="No"/>
    <n v="0"/>
    <s v="Healthy"/>
    <n v="0"/>
  </r>
  <r>
    <n v="102196"/>
    <d v="2025-11-16T00:00:00"/>
    <n v="1095"/>
    <x v="1"/>
    <x v="13"/>
    <x v="4"/>
    <x v="2"/>
    <x v="0"/>
    <s v="Card"/>
    <n v="38.880000000000003"/>
    <n v="19.37"/>
    <x v="4"/>
    <n v="37.659999999999997"/>
    <n v="715.45"/>
    <n v="259.99"/>
    <n v="10.59"/>
    <n v="11.3"/>
    <n v="3.12"/>
    <n v="0"/>
    <n v="0"/>
    <n v="285"/>
    <n v="430.45"/>
    <s v="Profit"/>
    <x v="0"/>
    <n v="34"/>
    <n v="23"/>
    <s v="30+"/>
    <s v="Yes"/>
    <n v="3"/>
    <s v="At Risk"/>
    <n v="1"/>
  </r>
  <r>
    <n v="102197"/>
    <d v="2025-10-10T00:00:00"/>
    <n v="1067"/>
    <x v="2"/>
    <x v="9"/>
    <x v="2"/>
    <x v="3"/>
    <x v="0"/>
    <s v="UPI"/>
    <n v="17.8"/>
    <n v="13.28"/>
    <x v="3"/>
    <n v="0"/>
    <n v="236.38"/>
    <n v="127.5"/>
    <n v="9.3800000000000008"/>
    <n v="1.65"/>
    <n v="4.5999999999999996"/>
    <n v="156.84"/>
    <n v="0"/>
    <n v="299.97000000000003"/>
    <n v="-63.59"/>
    <s v="Loss"/>
    <x v="2"/>
    <n v="5"/>
    <n v="2"/>
    <s v="0-15"/>
    <s v="No"/>
    <n v="2"/>
    <s v="At Risk"/>
    <n v="0"/>
  </r>
  <r>
    <n v="102198"/>
    <d v="2025-10-26T00:00:00"/>
    <n v="1037"/>
    <x v="0"/>
    <x v="0"/>
    <x v="1"/>
    <x v="1"/>
    <x v="0"/>
    <s v="Card"/>
    <n v="28.6"/>
    <n v="15.41"/>
    <x v="3"/>
    <n v="0"/>
    <n v="440.73"/>
    <n v="200.5"/>
    <n v="11.01"/>
    <n v="6.61"/>
    <n v="8.1"/>
    <n v="259.85000000000002"/>
    <n v="0"/>
    <n v="486.07"/>
    <n v="-45.34"/>
    <s v="Loss"/>
    <x v="1"/>
    <n v="2"/>
    <n v="3"/>
    <s v="0-15"/>
    <s v="Yes"/>
    <n v="1"/>
    <s v="At Risk"/>
    <n v="1"/>
  </r>
  <r>
    <n v="102199"/>
    <d v="2025-12-17T00:00:00"/>
    <n v="1032"/>
    <x v="3"/>
    <x v="7"/>
    <x v="0"/>
    <x v="1"/>
    <x v="0"/>
    <s v="UPI"/>
    <n v="28.94"/>
    <n v="15.18"/>
    <x v="4"/>
    <n v="21.97"/>
    <n v="417.34"/>
    <n v="230.09"/>
    <n v="4.72"/>
    <n v="3.08"/>
    <n v="8.32"/>
    <n v="0"/>
    <n v="0"/>
    <n v="246.21"/>
    <n v="171.13"/>
    <s v="Profit"/>
    <x v="0"/>
    <n v="22"/>
    <n v="17"/>
    <s v="16-30"/>
    <s v="Yes"/>
    <n v="1"/>
    <s v="At Risk"/>
    <n v="1"/>
  </r>
  <r>
    <n v="102200"/>
    <d v="2025-11-02T00:00:00"/>
    <n v="1086"/>
    <x v="3"/>
    <x v="14"/>
    <x v="1"/>
    <x v="3"/>
    <x v="0"/>
    <s v="UPI"/>
    <n v="18.66"/>
    <n v="12.49"/>
    <x v="3"/>
    <n v="0"/>
    <n v="233.06"/>
    <n v="131.44"/>
    <n v="10.1"/>
    <n v="1.63"/>
    <n v="4.5999999999999996"/>
    <n v="0"/>
    <n v="0"/>
    <n v="147.77000000000001"/>
    <n v="85.29"/>
    <s v="Profit"/>
    <x v="0"/>
    <n v="20"/>
    <n v="21"/>
    <s v="16-30"/>
    <s v="Yes"/>
    <n v="3"/>
    <s v="At Risk"/>
    <n v="1"/>
  </r>
  <r>
    <n v="102201"/>
    <d v="2025-11-12T00:00:00"/>
    <n v="1077"/>
    <x v="1"/>
    <x v="13"/>
    <x v="1"/>
    <x v="2"/>
    <x v="0"/>
    <s v="UPI"/>
    <n v="24.41"/>
    <n v="17.149999999999999"/>
    <x v="2"/>
    <n v="41.86"/>
    <n v="376.77"/>
    <n v="174.39"/>
    <n v="9.89"/>
    <n v="2.93"/>
    <n v="5.39"/>
    <n v="0"/>
    <n v="0"/>
    <n v="192.6"/>
    <n v="184.17"/>
    <s v="Profit"/>
    <x v="0"/>
    <n v="45"/>
    <n v="13"/>
    <s v="30+"/>
    <s v="Yes"/>
    <n v="2"/>
    <s v="At Risk"/>
    <n v="1"/>
  </r>
  <r>
    <n v="102202"/>
    <d v="2025-12-04T00:00:00"/>
    <n v="1022"/>
    <x v="0"/>
    <x v="11"/>
    <x v="3"/>
    <x v="3"/>
    <x v="0"/>
    <s v="Fleet_Invoice"/>
    <n v="4.4400000000000004"/>
    <n v="13.51"/>
    <x v="4"/>
    <n v="3"/>
    <n v="56.98"/>
    <n v="26.01"/>
    <n v="2.2200000000000002"/>
    <n v="0.24"/>
    <n v="6.73"/>
    <n v="0"/>
    <n v="0"/>
    <n v="35.200000000000003"/>
    <n v="21.78"/>
    <s v="Profit"/>
    <x v="0"/>
    <n v="2"/>
    <n v="6"/>
    <s v="0-15"/>
    <s v="No"/>
    <n v="0"/>
    <s v="Healthy"/>
    <n v="0"/>
  </r>
  <r>
    <n v="102203"/>
    <d v="2025-10-29T00:00:00"/>
    <n v="1061"/>
    <x v="3"/>
    <x v="15"/>
    <x v="2"/>
    <x v="1"/>
    <x v="0"/>
    <s v="Wallet"/>
    <n v="19.98"/>
    <n v="16.170000000000002"/>
    <x v="2"/>
    <n v="32.31"/>
    <n v="290.77"/>
    <n v="109.08"/>
    <n v="1.52"/>
    <n v="3.88"/>
    <n v="5.22"/>
    <n v="0"/>
    <n v="0"/>
    <n v="119.7"/>
    <n v="171.07"/>
    <s v="Profit"/>
    <x v="0"/>
    <n v="2"/>
    <n v="29"/>
    <s v="0-15"/>
    <s v="Yes"/>
    <n v="1"/>
    <s v="At Risk"/>
    <n v="1"/>
  </r>
  <r>
    <n v="102204"/>
    <d v="2025-10-11T00:00:00"/>
    <n v="1092"/>
    <x v="3"/>
    <x v="8"/>
    <x v="1"/>
    <x v="0"/>
    <x v="0"/>
    <s v="UPI"/>
    <n v="49.56"/>
    <n v="18.43"/>
    <x v="2"/>
    <n v="91.34"/>
    <n v="822.05"/>
    <n v="325.67"/>
    <n v="9.26"/>
    <n v="6.39"/>
    <n v="8.49"/>
    <n v="0"/>
    <n v="0"/>
    <n v="349.81"/>
    <n v="472.24"/>
    <s v="Profit"/>
    <x v="0"/>
    <n v="44"/>
    <n v="2"/>
    <s v="30+"/>
    <s v="Yes"/>
    <n v="2"/>
    <s v="At Risk"/>
    <n v="1"/>
  </r>
  <r>
    <n v="102205"/>
    <d v="2025-10-04T00:00:00"/>
    <n v="1047"/>
    <x v="2"/>
    <x v="9"/>
    <x v="0"/>
    <x v="3"/>
    <x v="2"/>
    <s v="UPI"/>
    <n v="4.0999999999999996"/>
    <n v="13.32"/>
    <x v="4"/>
    <n v="2.73"/>
    <n v="51.88"/>
    <n v="32.119999999999997"/>
    <n v="13.55"/>
    <n v="0.38"/>
    <n v="8.94"/>
    <n v="0"/>
    <n v="0"/>
    <n v="54.99"/>
    <n v="-3.11"/>
    <s v="Loss"/>
    <x v="0"/>
    <n v="85"/>
    <n v="27"/>
    <s v="30+"/>
    <s v="Yes"/>
    <n v="2"/>
    <s v="At Risk"/>
    <n v="1"/>
  </r>
  <r>
    <n v="102206"/>
    <d v="2025-11-20T00:00:00"/>
    <n v="1070"/>
    <x v="1"/>
    <x v="3"/>
    <x v="0"/>
    <x v="3"/>
    <x v="0"/>
    <s v="UPI"/>
    <n v="27.9"/>
    <n v="11.5"/>
    <x v="3"/>
    <n v="0"/>
    <n v="320.85000000000002"/>
    <n v="184.54"/>
    <n v="8.8000000000000007"/>
    <n v="2.25"/>
    <n v="3.47"/>
    <n v="288.10000000000002"/>
    <n v="0"/>
    <n v="487.16"/>
    <n v="-166.31"/>
    <s v="Loss"/>
    <x v="2"/>
    <n v="2"/>
    <n v="12"/>
    <s v="0-15"/>
    <s v="No"/>
    <n v="1"/>
    <s v="At Risk"/>
    <n v="0"/>
  </r>
  <r>
    <n v="102207"/>
    <d v="2025-11-14T00:00:00"/>
    <n v="1046"/>
    <x v="1"/>
    <x v="4"/>
    <x v="2"/>
    <x v="1"/>
    <x v="0"/>
    <s v="Fleet_Invoice"/>
    <n v="32.79"/>
    <n v="14.87"/>
    <x v="2"/>
    <n v="48.76"/>
    <n v="438.83"/>
    <n v="211.92"/>
    <n v="5.94"/>
    <n v="1.95"/>
    <n v="12.27"/>
    <n v="0"/>
    <n v="0"/>
    <n v="232.08"/>
    <n v="206.75"/>
    <s v="Profit"/>
    <x v="0"/>
    <n v="12"/>
    <n v="1"/>
    <s v="0-15"/>
    <s v="No"/>
    <n v="0"/>
    <s v="Healthy"/>
    <n v="0"/>
  </r>
  <r>
    <n v="102208"/>
    <d v="2025-10-03T00:00:00"/>
    <n v="1011"/>
    <x v="2"/>
    <x v="12"/>
    <x v="4"/>
    <x v="2"/>
    <x v="0"/>
    <s v="UPI"/>
    <n v="28.91"/>
    <n v="17.21"/>
    <x v="3"/>
    <n v="0"/>
    <n v="497.54"/>
    <n v="218.04"/>
    <n v="9.23"/>
    <n v="3.48"/>
    <n v="7.4"/>
    <n v="0"/>
    <n v="0"/>
    <n v="238.15"/>
    <n v="259.39"/>
    <s v="Profit"/>
    <x v="0"/>
    <n v="2"/>
    <n v="4"/>
    <s v="0-15"/>
    <s v="No"/>
    <n v="0"/>
    <s v="Healthy"/>
    <n v="0"/>
  </r>
  <r>
    <n v="102209"/>
    <d v="2025-10-06T00:00:00"/>
    <n v="1107"/>
    <x v="1"/>
    <x v="13"/>
    <x v="1"/>
    <x v="3"/>
    <x v="0"/>
    <s v="Wallet"/>
    <n v="16.329999999999998"/>
    <n v="13.22"/>
    <x v="3"/>
    <n v="0"/>
    <n v="215.88"/>
    <n v="140.71"/>
    <n v="8.1"/>
    <n v="2.59"/>
    <n v="0"/>
    <n v="173.61"/>
    <n v="0"/>
    <n v="325.01"/>
    <n v="-109.13"/>
    <s v="Loss"/>
    <x v="2"/>
    <n v="7"/>
    <n v="2"/>
    <s v="0-15"/>
    <s v="No"/>
    <n v="2"/>
    <s v="At Risk"/>
    <n v="0"/>
  </r>
  <r>
    <n v="102210"/>
    <d v="2025-11-21T00:00:00"/>
    <n v="1083"/>
    <x v="0"/>
    <x v="1"/>
    <x v="3"/>
    <x v="2"/>
    <x v="2"/>
    <s v="Fleet_Invoice"/>
    <n v="39.64"/>
    <n v="17.39"/>
    <x v="0"/>
    <n v="103.4"/>
    <n v="585.94000000000005"/>
    <n v="285.69"/>
    <n v="8.57"/>
    <n v="2.76"/>
    <n v="1.3"/>
    <n v="0"/>
    <n v="0"/>
    <n v="298.32"/>
    <n v="287.62"/>
    <s v="Profit"/>
    <x v="0"/>
    <n v="7"/>
    <n v="8"/>
    <s v="0-15"/>
    <s v="No"/>
    <n v="0"/>
    <s v="Healthy"/>
    <n v="0"/>
  </r>
  <r>
    <n v="102211"/>
    <d v="2025-11-12T00:00:00"/>
    <n v="1149"/>
    <x v="2"/>
    <x v="10"/>
    <x v="3"/>
    <x v="1"/>
    <x v="2"/>
    <s v="UPI"/>
    <n v="35.630000000000003"/>
    <n v="15.75"/>
    <x v="3"/>
    <n v="0"/>
    <n v="561.16999999999996"/>
    <n v="269.13"/>
    <n v="7.71"/>
    <n v="3.93"/>
    <n v="2.29"/>
    <n v="0"/>
    <n v="0"/>
    <n v="283.06"/>
    <n v="278.11"/>
    <s v="Profit"/>
    <x v="0"/>
    <n v="14"/>
    <n v="10"/>
    <s v="0-15"/>
    <s v="No"/>
    <n v="2"/>
    <s v="Healthy"/>
    <n v="0"/>
  </r>
  <r>
    <n v="102212"/>
    <d v="2025-12-06T00:00:00"/>
    <n v="1041"/>
    <x v="1"/>
    <x v="2"/>
    <x v="2"/>
    <x v="3"/>
    <x v="0"/>
    <s v="Fleet_Invoice"/>
    <n v="28.29"/>
    <n v="12.97"/>
    <x v="2"/>
    <n v="36.69"/>
    <n v="330.23"/>
    <n v="202.5"/>
    <n v="7.28"/>
    <n v="1.47"/>
    <n v="6.96"/>
    <n v="0"/>
    <n v="0"/>
    <n v="218.21"/>
    <n v="112.02"/>
    <s v="Profit"/>
    <x v="0"/>
    <n v="15"/>
    <n v="0"/>
    <s v="0-15"/>
    <s v="No"/>
    <n v="0"/>
    <s v="Healthy"/>
    <n v="0"/>
  </r>
  <r>
    <n v="102213"/>
    <d v="2025-11-05T00:00:00"/>
    <n v="1101"/>
    <x v="1"/>
    <x v="4"/>
    <x v="0"/>
    <x v="3"/>
    <x v="0"/>
    <s v="UPI"/>
    <n v="19.75"/>
    <n v="13.94"/>
    <x v="4"/>
    <n v="13.77"/>
    <n v="261.55"/>
    <n v="155.30000000000001"/>
    <n v="6.38"/>
    <n v="1.93"/>
    <n v="5.43"/>
    <n v="0"/>
    <n v="0"/>
    <n v="169.04"/>
    <n v="92.51"/>
    <s v="Profit"/>
    <x v="0"/>
    <n v="0"/>
    <n v="11"/>
    <s v="0-15"/>
    <s v="No"/>
    <n v="0"/>
    <s v="Healthy"/>
    <n v="0"/>
  </r>
  <r>
    <n v="102214"/>
    <d v="2025-10-21T00:00:00"/>
    <n v="1102"/>
    <x v="1"/>
    <x v="4"/>
    <x v="3"/>
    <x v="0"/>
    <x v="1"/>
    <s v="UPI"/>
    <n v="17"/>
    <n v="19"/>
    <x v="0"/>
    <n v="48.45"/>
    <n v="274.55"/>
    <n v="125.38"/>
    <n v="12.25"/>
    <n v="2.2599999999999998"/>
    <n v="8.3800000000000008"/>
    <n v="211.97"/>
    <n v="17.649999999999999"/>
    <n v="377.89"/>
    <n v="-103.34"/>
    <s v="Loss"/>
    <x v="1"/>
    <n v="2"/>
    <n v="23"/>
    <s v="0-15"/>
    <s v="Yes"/>
    <n v="1"/>
    <s v="At Risk"/>
    <n v="1"/>
  </r>
  <r>
    <n v="102215"/>
    <d v="2025-10-10T00:00:00"/>
    <n v="1135"/>
    <x v="3"/>
    <x v="14"/>
    <x v="3"/>
    <x v="1"/>
    <x v="0"/>
    <s v="UPI"/>
    <n v="23.73"/>
    <n v="16.25"/>
    <x v="4"/>
    <n v="19.28"/>
    <n v="366.33"/>
    <n v="128.44"/>
    <n v="14.88"/>
    <n v="2.7"/>
    <n v="8.44"/>
    <n v="160.18"/>
    <n v="0"/>
    <n v="314.64"/>
    <n v="51.69"/>
    <s v="Profit"/>
    <x v="1"/>
    <n v="22"/>
    <n v="5"/>
    <s v="16-30"/>
    <s v="Yes"/>
    <n v="1"/>
    <s v="At Risk"/>
    <n v="1"/>
  </r>
  <r>
    <n v="102216"/>
    <d v="2025-12-04T00:00:00"/>
    <n v="1044"/>
    <x v="2"/>
    <x v="10"/>
    <x v="2"/>
    <x v="2"/>
    <x v="2"/>
    <s v="Wallet"/>
    <n v="35.86"/>
    <n v="18.68"/>
    <x v="3"/>
    <n v="0"/>
    <n v="669.86"/>
    <n v="225.43"/>
    <n v="4.07"/>
    <n v="8.0399999999999991"/>
    <n v="10.85"/>
    <n v="0"/>
    <n v="0"/>
    <n v="248.39"/>
    <n v="421.47"/>
    <s v="Profit"/>
    <x v="0"/>
    <n v="19"/>
    <n v="0"/>
    <s v="16-30"/>
    <s v="No"/>
    <n v="0"/>
    <s v="Healthy"/>
    <n v="0"/>
  </r>
  <r>
    <n v="102217"/>
    <d v="2025-10-16T00:00:00"/>
    <n v="1009"/>
    <x v="0"/>
    <x v="11"/>
    <x v="4"/>
    <x v="2"/>
    <x v="0"/>
    <s v="UPI"/>
    <n v="36.44"/>
    <n v="17.170000000000002"/>
    <x v="3"/>
    <n v="0"/>
    <n v="625.66999999999996"/>
    <n v="270.35000000000002"/>
    <n v="6.57"/>
    <n v="4.38"/>
    <n v="4"/>
    <n v="0"/>
    <n v="0"/>
    <n v="285.3"/>
    <n v="340.37"/>
    <s v="Profit"/>
    <x v="0"/>
    <n v="28"/>
    <n v="37"/>
    <s v="16-30"/>
    <s v="Yes"/>
    <n v="2"/>
    <s v="At Risk"/>
    <n v="1"/>
  </r>
  <r>
    <n v="102218"/>
    <d v="2025-10-31T00:00:00"/>
    <n v="1015"/>
    <x v="2"/>
    <x v="9"/>
    <x v="0"/>
    <x v="1"/>
    <x v="0"/>
    <s v="UPI"/>
    <n v="23.66"/>
    <n v="16.43"/>
    <x v="2"/>
    <n v="38.869999999999997"/>
    <n v="349.86"/>
    <n v="163.19999999999999"/>
    <n v="4.09"/>
    <n v="2.72"/>
    <n v="6.31"/>
    <n v="0"/>
    <n v="0"/>
    <n v="176.32"/>
    <n v="173.54"/>
    <s v="Profit"/>
    <x v="0"/>
    <n v="1"/>
    <n v="4"/>
    <s v="0-15"/>
    <s v="No"/>
    <n v="0"/>
    <s v="Healthy"/>
    <n v="0"/>
  </r>
  <r>
    <n v="102219"/>
    <d v="2025-10-13T00:00:00"/>
    <n v="1101"/>
    <x v="3"/>
    <x v="7"/>
    <x v="4"/>
    <x v="0"/>
    <x v="1"/>
    <s v="Wallet"/>
    <n v="25.2"/>
    <n v="19.77"/>
    <x v="2"/>
    <n v="49.82"/>
    <n v="448.38"/>
    <n v="200.11"/>
    <n v="11.86"/>
    <n v="5.98"/>
    <n v="7.3"/>
    <n v="0"/>
    <n v="0"/>
    <n v="225.25"/>
    <n v="223.13"/>
    <s v="Profit"/>
    <x v="0"/>
    <n v="17"/>
    <n v="9"/>
    <s v="16-30"/>
    <s v="No"/>
    <n v="0"/>
    <s v="Healthy"/>
    <n v="0"/>
  </r>
  <r>
    <n v="102220"/>
    <d v="2025-12-05T00:00:00"/>
    <n v="1069"/>
    <x v="2"/>
    <x v="12"/>
    <x v="4"/>
    <x v="1"/>
    <x v="2"/>
    <s v="UPI"/>
    <n v="30.11"/>
    <n v="14.6"/>
    <x v="0"/>
    <n v="65.94"/>
    <n v="373.67"/>
    <n v="228.81"/>
    <n v="8.6"/>
    <n v="3.08"/>
    <n v="10.24"/>
    <n v="198.36"/>
    <n v="18.489999999999998"/>
    <n v="467.58"/>
    <n v="-93.91"/>
    <s v="Loss"/>
    <x v="2"/>
    <n v="12"/>
    <n v="43"/>
    <s v="0-15"/>
    <s v="Yes"/>
    <n v="1"/>
    <s v="At Risk"/>
    <n v="1"/>
  </r>
  <r>
    <n v="102221"/>
    <d v="2025-10-02T00:00:00"/>
    <n v="1032"/>
    <x v="0"/>
    <x v="0"/>
    <x v="2"/>
    <x v="2"/>
    <x v="0"/>
    <s v="UPI"/>
    <n v="23.79"/>
    <n v="17.350000000000001"/>
    <x v="0"/>
    <n v="61.91"/>
    <n v="350.85"/>
    <n v="195.87"/>
    <n v="6.86"/>
    <n v="2.89"/>
    <n v="11.12"/>
    <n v="0"/>
    <n v="0"/>
    <n v="216.74"/>
    <n v="134.11000000000001"/>
    <s v="Profit"/>
    <x v="0"/>
    <n v="15"/>
    <n v="4"/>
    <s v="0-15"/>
    <s v="No"/>
    <n v="0"/>
    <s v="Healthy"/>
    <n v="0"/>
  </r>
  <r>
    <n v="102222"/>
    <d v="2025-10-23T00:00:00"/>
    <n v="1053"/>
    <x v="2"/>
    <x v="9"/>
    <x v="0"/>
    <x v="3"/>
    <x v="0"/>
    <s v="Card"/>
    <n v="17.89"/>
    <n v="11.93"/>
    <x v="4"/>
    <n v="10.67"/>
    <n v="202.76"/>
    <n v="133.69999999999999"/>
    <n v="8.3000000000000007"/>
    <n v="3.2"/>
    <n v="12.91"/>
    <n v="0"/>
    <n v="0"/>
    <n v="158.11000000000001"/>
    <n v="44.65"/>
    <s v="Profit"/>
    <x v="0"/>
    <n v="16"/>
    <n v="34"/>
    <s v="16-30"/>
    <s v="Yes"/>
    <n v="3"/>
    <s v="At Risk"/>
    <n v="1"/>
  </r>
  <r>
    <n v="102223"/>
    <d v="2025-11-08T00:00:00"/>
    <n v="1071"/>
    <x v="3"/>
    <x v="15"/>
    <x v="2"/>
    <x v="2"/>
    <x v="0"/>
    <s v="Wallet"/>
    <n v="27.55"/>
    <n v="17.940000000000001"/>
    <x v="0"/>
    <n v="74.14"/>
    <n v="420.11"/>
    <n v="208.86"/>
    <n v="11.34"/>
    <n v="5.93"/>
    <n v="14.38"/>
    <n v="0"/>
    <n v="0"/>
    <n v="240.51"/>
    <n v="179.6"/>
    <s v="Profit"/>
    <x v="0"/>
    <n v="2"/>
    <n v="1"/>
    <s v="0-15"/>
    <s v="No"/>
    <n v="0"/>
    <s v="Healthy"/>
    <n v="0"/>
  </r>
  <r>
    <n v="102224"/>
    <d v="2025-10-08T00:00:00"/>
    <n v="1141"/>
    <x v="0"/>
    <x v="1"/>
    <x v="3"/>
    <x v="0"/>
    <x v="0"/>
    <s v="Wallet"/>
    <n v="37.99"/>
    <n v="19.32"/>
    <x v="3"/>
    <n v="0"/>
    <n v="733.97"/>
    <n v="257.27"/>
    <n v="3.54"/>
    <n v="8.81"/>
    <n v="0.61"/>
    <n v="0"/>
    <n v="0"/>
    <n v="270.23"/>
    <n v="463.74"/>
    <s v="Profit"/>
    <x v="0"/>
    <n v="13"/>
    <n v="0"/>
    <s v="0-15"/>
    <s v="No"/>
    <n v="0"/>
    <s v="Healthy"/>
    <n v="0"/>
  </r>
  <r>
    <n v="102225"/>
    <d v="2025-12-26T00:00:00"/>
    <n v="1145"/>
    <x v="2"/>
    <x v="12"/>
    <x v="1"/>
    <x v="2"/>
    <x v="0"/>
    <s v="UPI"/>
    <n v="26.9"/>
    <n v="17.350000000000001"/>
    <x v="1"/>
    <n v="93.34"/>
    <n v="373.38"/>
    <n v="177.62"/>
    <n v="5.76"/>
    <n v="3.27"/>
    <n v="4.05"/>
    <n v="0"/>
    <n v="0"/>
    <n v="190.7"/>
    <n v="182.68"/>
    <s v="Profit"/>
    <x v="0"/>
    <n v="42"/>
    <n v="9"/>
    <s v="30+"/>
    <s v="Yes"/>
    <n v="3"/>
    <s v="At Risk"/>
    <n v="1"/>
  </r>
  <r>
    <n v="102226"/>
    <d v="2025-12-02T00:00:00"/>
    <n v="1061"/>
    <x v="3"/>
    <x v="15"/>
    <x v="2"/>
    <x v="1"/>
    <x v="2"/>
    <s v="Wallet"/>
    <n v="23.85"/>
    <n v="15.04"/>
    <x v="3"/>
    <n v="0"/>
    <n v="358.7"/>
    <n v="171.17"/>
    <n v="9.75"/>
    <n v="4.3"/>
    <n v="8.5299999999999994"/>
    <n v="0"/>
    <n v="0"/>
    <n v="193.75"/>
    <n v="164.95"/>
    <s v="Profit"/>
    <x v="0"/>
    <n v="31"/>
    <n v="15"/>
    <s v="30+"/>
    <s v="Yes"/>
    <n v="1"/>
    <s v="At Risk"/>
    <n v="1"/>
  </r>
  <r>
    <n v="102227"/>
    <d v="2025-11-05T00:00:00"/>
    <n v="1029"/>
    <x v="3"/>
    <x v="14"/>
    <x v="4"/>
    <x v="2"/>
    <x v="0"/>
    <s v="UPI"/>
    <n v="32.159999999999997"/>
    <n v="18.829999999999998"/>
    <x v="0"/>
    <n v="90.84"/>
    <n v="514.73"/>
    <n v="236.57"/>
    <n v="7.14"/>
    <n v="4.24"/>
    <n v="4.67"/>
    <n v="0"/>
    <n v="0"/>
    <n v="252.62"/>
    <n v="262.11"/>
    <s v="Profit"/>
    <x v="0"/>
    <n v="13"/>
    <n v="24"/>
    <s v="0-15"/>
    <s v="Yes"/>
    <n v="2"/>
    <s v="At Risk"/>
    <n v="1"/>
  </r>
  <r>
    <n v="102228"/>
    <d v="2025-12-26T00:00:00"/>
    <n v="1025"/>
    <x v="2"/>
    <x v="12"/>
    <x v="0"/>
    <x v="2"/>
    <x v="0"/>
    <s v="Card"/>
    <n v="19.45"/>
    <n v="16.170000000000002"/>
    <x v="3"/>
    <n v="0"/>
    <n v="314.51"/>
    <n v="121.53"/>
    <n v="8.7200000000000006"/>
    <n v="4.72"/>
    <n v="7.6"/>
    <n v="171.58"/>
    <n v="0"/>
    <n v="314.14999999999998"/>
    <n v="0.36"/>
    <s v="Profit"/>
    <x v="2"/>
    <n v="2"/>
    <n v="4"/>
    <s v="0-15"/>
    <s v="No"/>
    <n v="2"/>
    <s v="At Risk"/>
    <n v="0"/>
  </r>
  <r>
    <n v="102229"/>
    <d v="2025-11-11T00:00:00"/>
    <n v="1067"/>
    <x v="1"/>
    <x v="3"/>
    <x v="0"/>
    <x v="1"/>
    <x v="0"/>
    <s v="Wallet"/>
    <n v="21.73"/>
    <n v="16.59"/>
    <x v="2"/>
    <n v="36.049999999999997"/>
    <n v="324.45"/>
    <n v="215.96"/>
    <n v="5.12"/>
    <n v="4.33"/>
    <n v="3.32"/>
    <n v="0"/>
    <n v="0"/>
    <n v="228.73"/>
    <n v="95.72"/>
    <s v="Profit"/>
    <x v="0"/>
    <n v="5"/>
    <n v="8"/>
    <s v="0-15"/>
    <s v="No"/>
    <n v="0"/>
    <s v="Healthy"/>
    <n v="0"/>
  </r>
  <r>
    <n v="102230"/>
    <d v="2025-12-02T00:00:00"/>
    <n v="1141"/>
    <x v="1"/>
    <x v="3"/>
    <x v="0"/>
    <x v="2"/>
    <x v="1"/>
    <s v="Wallet"/>
    <n v="36.82"/>
    <n v="17.77"/>
    <x v="2"/>
    <n v="65.430000000000007"/>
    <n v="588.86"/>
    <n v="236.81"/>
    <n v="6.54"/>
    <n v="7.85"/>
    <n v="1.53"/>
    <n v="0"/>
    <n v="0"/>
    <n v="252.73"/>
    <n v="336.13"/>
    <s v="Profit"/>
    <x v="0"/>
    <n v="22"/>
    <n v="2"/>
    <s v="16-30"/>
    <s v="Yes"/>
    <n v="2"/>
    <s v="At Risk"/>
    <n v="1"/>
  </r>
  <r>
    <n v="102231"/>
    <d v="2025-12-15T00:00:00"/>
    <n v="1068"/>
    <x v="3"/>
    <x v="8"/>
    <x v="3"/>
    <x v="1"/>
    <x v="2"/>
    <s v="UPI"/>
    <n v="27.92"/>
    <n v="16.72"/>
    <x v="4"/>
    <n v="23.34"/>
    <n v="443.48"/>
    <n v="199.18"/>
    <n v="6"/>
    <n v="3.27"/>
    <n v="10.86"/>
    <n v="0"/>
    <n v="0"/>
    <n v="219.31"/>
    <n v="224.17"/>
    <s v="Profit"/>
    <x v="0"/>
    <n v="13"/>
    <n v="2"/>
    <s v="0-15"/>
    <s v="No"/>
    <n v="0"/>
    <s v="Healthy"/>
    <n v="0"/>
  </r>
  <r>
    <n v="102232"/>
    <d v="2025-12-06T00:00:00"/>
    <n v="1077"/>
    <x v="0"/>
    <x v="11"/>
    <x v="4"/>
    <x v="3"/>
    <x v="0"/>
    <s v="Wallet"/>
    <n v="20.73"/>
    <n v="13.8"/>
    <x v="4"/>
    <n v="14.3"/>
    <n v="271.77"/>
    <n v="133.5"/>
    <n v="7.57"/>
    <n v="3.43"/>
    <n v="1.05"/>
    <n v="0"/>
    <n v="0"/>
    <n v="145.55000000000001"/>
    <n v="126.22"/>
    <s v="Profit"/>
    <x v="0"/>
    <n v="1"/>
    <n v="1"/>
    <s v="0-15"/>
    <s v="No"/>
    <n v="0"/>
    <s v="Healthy"/>
    <n v="0"/>
  </r>
  <r>
    <n v="102233"/>
    <d v="2025-11-24T00:00:00"/>
    <n v="1148"/>
    <x v="3"/>
    <x v="14"/>
    <x v="4"/>
    <x v="1"/>
    <x v="2"/>
    <s v="Fleet_Invoice"/>
    <n v="24.65"/>
    <n v="14.97"/>
    <x v="3"/>
    <n v="0"/>
    <n v="369.01"/>
    <n v="200.19"/>
    <n v="6.52"/>
    <n v="1.48"/>
    <n v="5.64"/>
    <n v="0"/>
    <n v="0"/>
    <n v="213.83"/>
    <n v="155.18"/>
    <s v="Profit"/>
    <x v="0"/>
    <n v="15"/>
    <n v="10"/>
    <s v="0-15"/>
    <s v="No"/>
    <n v="0"/>
    <s v="Healthy"/>
    <n v="0"/>
  </r>
  <r>
    <n v="102234"/>
    <d v="2025-12-29T00:00:00"/>
    <n v="1053"/>
    <x v="2"/>
    <x v="12"/>
    <x v="4"/>
    <x v="1"/>
    <x v="0"/>
    <s v="Wallet"/>
    <n v="20.49"/>
    <n v="16.77"/>
    <x v="2"/>
    <n v="34.36"/>
    <n v="309.26"/>
    <n v="155.66"/>
    <n v="2.8"/>
    <n v="4.12"/>
    <n v="1.53"/>
    <n v="0"/>
    <n v="0"/>
    <n v="164.11"/>
    <n v="145.15"/>
    <s v="Profit"/>
    <x v="0"/>
    <n v="39"/>
    <n v="0"/>
    <s v="30+"/>
    <s v="Yes"/>
    <n v="1"/>
    <s v="At Risk"/>
    <n v="1"/>
  </r>
  <r>
    <n v="102235"/>
    <d v="2025-12-08T00:00:00"/>
    <n v="1015"/>
    <x v="2"/>
    <x v="9"/>
    <x v="0"/>
    <x v="0"/>
    <x v="1"/>
    <s v="UPI"/>
    <n v="13.5"/>
    <n v="20.13"/>
    <x v="1"/>
    <n v="54.35"/>
    <n v="217.41"/>
    <n v="118.23"/>
    <n v="7.91"/>
    <n v="1.9"/>
    <n v="2.5299999999999998"/>
    <n v="0"/>
    <n v="0"/>
    <n v="130.57"/>
    <n v="86.84"/>
    <s v="Profit"/>
    <x v="0"/>
    <n v="14"/>
    <n v="2"/>
    <s v="0-15"/>
    <s v="No"/>
    <n v="0"/>
    <s v="Healthy"/>
    <n v="0"/>
  </r>
  <r>
    <n v="102236"/>
    <d v="2025-12-09T00:00:00"/>
    <n v="1026"/>
    <x v="1"/>
    <x v="2"/>
    <x v="2"/>
    <x v="2"/>
    <x v="0"/>
    <s v="Card"/>
    <n v="37.04"/>
    <n v="16.88"/>
    <x v="4"/>
    <n v="31.26"/>
    <n v="593.98"/>
    <n v="268.25"/>
    <n v="6.8"/>
    <n v="9.3800000000000008"/>
    <n v="7.95"/>
    <n v="0"/>
    <n v="0"/>
    <n v="292.38"/>
    <n v="301.60000000000002"/>
    <s v="Profit"/>
    <x v="0"/>
    <n v="18"/>
    <n v="0"/>
    <s v="16-30"/>
    <s v="No"/>
    <n v="0"/>
    <s v="Healthy"/>
    <n v="0"/>
  </r>
  <r>
    <n v="102237"/>
    <d v="2025-12-06T00:00:00"/>
    <n v="1098"/>
    <x v="0"/>
    <x v="11"/>
    <x v="3"/>
    <x v="0"/>
    <x v="0"/>
    <s v="Fleet_Invoice"/>
    <n v="24.16"/>
    <n v="18.91"/>
    <x v="0"/>
    <n v="68.53"/>
    <n v="388.34"/>
    <n v="183.23"/>
    <n v="5.88"/>
    <n v="1.83"/>
    <n v="5.16"/>
    <n v="422.19"/>
    <n v="0"/>
    <n v="618.29"/>
    <n v="-229.95"/>
    <s v="Loss"/>
    <x v="1"/>
    <n v="0"/>
    <n v="4"/>
    <s v="0-15"/>
    <s v="Yes"/>
    <n v="3"/>
    <s v="At Risk"/>
    <n v="1"/>
  </r>
  <r>
    <n v="102238"/>
    <d v="2025-12-27T00:00:00"/>
    <n v="1069"/>
    <x v="0"/>
    <x v="6"/>
    <x v="0"/>
    <x v="0"/>
    <x v="0"/>
    <s v="UPI"/>
    <n v="27.76"/>
    <n v="19.420000000000002"/>
    <x v="4"/>
    <n v="26.96"/>
    <n v="512.14"/>
    <n v="198.65"/>
    <n v="9.8699999999999992"/>
    <n v="3.77"/>
    <n v="3.96"/>
    <n v="0"/>
    <n v="0"/>
    <n v="216.25"/>
    <n v="295.89"/>
    <s v="Profit"/>
    <x v="0"/>
    <n v="9"/>
    <n v="1"/>
    <s v="0-15"/>
    <s v="No"/>
    <n v="1"/>
    <s v="Healthy"/>
    <n v="0"/>
  </r>
  <r>
    <n v="102239"/>
    <d v="2025-12-09T00:00:00"/>
    <n v="1077"/>
    <x v="1"/>
    <x v="13"/>
    <x v="2"/>
    <x v="2"/>
    <x v="0"/>
    <s v="UPI"/>
    <n v="19.649999999999999"/>
    <n v="18.98"/>
    <x v="3"/>
    <n v="0"/>
    <n v="372.96"/>
    <n v="154.41"/>
    <n v="7.8"/>
    <n v="2.61"/>
    <n v="11.63"/>
    <n v="0"/>
    <n v="0"/>
    <n v="176.45"/>
    <n v="196.51"/>
    <s v="Profit"/>
    <x v="0"/>
    <n v="9"/>
    <n v="9"/>
    <s v="0-15"/>
    <s v="No"/>
    <n v="0"/>
    <s v="Healthy"/>
    <n v="0"/>
  </r>
  <r>
    <n v="102240"/>
    <d v="2025-10-25T00:00:00"/>
    <n v="1145"/>
    <x v="0"/>
    <x v="6"/>
    <x v="3"/>
    <x v="0"/>
    <x v="0"/>
    <s v="Fleet_Invoice"/>
    <n v="19.23"/>
    <n v="18.760000000000002"/>
    <x v="0"/>
    <n v="54.11"/>
    <n v="306.64"/>
    <n v="132.05000000000001"/>
    <n v="6.35"/>
    <n v="1.44"/>
    <n v="2.37"/>
    <n v="0"/>
    <n v="0"/>
    <n v="142.21"/>
    <n v="164.43"/>
    <s v="Profit"/>
    <x v="0"/>
    <n v="25"/>
    <n v="9"/>
    <s v="16-30"/>
    <s v="Yes"/>
    <n v="3"/>
    <s v="At Risk"/>
    <n v="1"/>
  </r>
  <r>
    <n v="102241"/>
    <d v="2025-12-28T00:00:00"/>
    <n v="1054"/>
    <x v="1"/>
    <x v="3"/>
    <x v="4"/>
    <x v="3"/>
    <x v="0"/>
    <s v="Card"/>
    <n v="15.61"/>
    <n v="12.21"/>
    <x v="2"/>
    <n v="19.059999999999999"/>
    <n v="171.54"/>
    <n v="102.72"/>
    <n v="8.1199999999999992"/>
    <n v="2.86"/>
    <n v="0"/>
    <n v="0"/>
    <n v="0"/>
    <n v="113.7"/>
    <n v="57.84"/>
    <s v="Profit"/>
    <x v="0"/>
    <n v="41"/>
    <n v="32"/>
    <s v="30+"/>
    <s v="Yes"/>
    <n v="2"/>
    <s v="At Risk"/>
    <n v="1"/>
  </r>
  <r>
    <n v="102242"/>
    <d v="2025-11-01T00:00:00"/>
    <n v="1098"/>
    <x v="1"/>
    <x v="13"/>
    <x v="2"/>
    <x v="3"/>
    <x v="1"/>
    <s v="UPI"/>
    <n v="17.510000000000002"/>
    <n v="12.2"/>
    <x v="4"/>
    <n v="10.68"/>
    <n v="202.94"/>
    <n v="118.14"/>
    <n v="12.26"/>
    <n v="1.5"/>
    <n v="10.24"/>
    <n v="0"/>
    <n v="0"/>
    <n v="142.13999999999999"/>
    <n v="60.8"/>
    <s v="Profit"/>
    <x v="0"/>
    <n v="22"/>
    <n v="5"/>
    <s v="16-30"/>
    <s v="Yes"/>
    <n v="3"/>
    <s v="At Risk"/>
    <n v="1"/>
  </r>
  <r>
    <n v="102243"/>
    <d v="2025-11-14T00:00:00"/>
    <n v="1054"/>
    <x v="0"/>
    <x v="11"/>
    <x v="3"/>
    <x v="3"/>
    <x v="1"/>
    <s v="UPI"/>
    <n v="30.01"/>
    <n v="12.13"/>
    <x v="3"/>
    <n v="0"/>
    <n v="364.02"/>
    <n v="208.95"/>
    <n v="12.31"/>
    <n v="2.5499999999999998"/>
    <n v="12.7"/>
    <n v="0"/>
    <n v="0"/>
    <n v="236.51"/>
    <n v="127.51"/>
    <s v="Profit"/>
    <x v="0"/>
    <n v="0"/>
    <n v="0"/>
    <s v="0-15"/>
    <s v="No"/>
    <n v="0"/>
    <s v="Healthy"/>
    <n v="0"/>
  </r>
  <r>
    <n v="102244"/>
    <d v="2025-12-14T00:00:00"/>
    <n v="1006"/>
    <x v="2"/>
    <x v="12"/>
    <x v="1"/>
    <x v="3"/>
    <x v="0"/>
    <s v="UPI"/>
    <n v="11.78"/>
    <n v="11.8"/>
    <x v="2"/>
    <n v="13.9"/>
    <n v="125.1"/>
    <n v="99.46"/>
    <n v="5.17"/>
    <n v="0.97"/>
    <n v="0"/>
    <n v="0"/>
    <n v="0"/>
    <n v="105.6"/>
    <n v="19.5"/>
    <s v="Profit"/>
    <x v="0"/>
    <n v="8"/>
    <n v="2"/>
    <s v="0-15"/>
    <s v="No"/>
    <n v="0"/>
    <s v="Healthy"/>
    <n v="0"/>
  </r>
  <r>
    <n v="102245"/>
    <d v="2025-10-02T00:00:00"/>
    <n v="1096"/>
    <x v="1"/>
    <x v="3"/>
    <x v="3"/>
    <x v="1"/>
    <x v="0"/>
    <s v="UPI"/>
    <n v="23.96"/>
    <n v="16.48"/>
    <x v="1"/>
    <n v="78.97"/>
    <n v="315.89"/>
    <n v="200.79"/>
    <n v="14.75"/>
    <n v="2.76"/>
    <n v="4.4400000000000004"/>
    <n v="0"/>
    <n v="0"/>
    <n v="222.74"/>
    <n v="93.15"/>
    <s v="Profit"/>
    <x v="0"/>
    <n v="0"/>
    <n v="3"/>
    <s v="0-15"/>
    <s v="No"/>
    <n v="0"/>
    <s v="Healthy"/>
    <n v="0"/>
  </r>
  <r>
    <n v="102246"/>
    <d v="2025-10-20T00:00:00"/>
    <n v="1107"/>
    <x v="1"/>
    <x v="13"/>
    <x v="3"/>
    <x v="0"/>
    <x v="0"/>
    <s v="Wallet"/>
    <n v="25.99"/>
    <n v="21.01"/>
    <x v="3"/>
    <n v="0"/>
    <n v="546.04999999999995"/>
    <n v="161.96"/>
    <n v="1.65"/>
    <n v="6.55"/>
    <n v="6.26"/>
    <n v="0"/>
    <n v="0"/>
    <n v="176.42"/>
    <n v="369.63"/>
    <s v="Profit"/>
    <x v="0"/>
    <n v="14"/>
    <n v="0"/>
    <s v="0-15"/>
    <s v="No"/>
    <n v="0"/>
    <s v="Healthy"/>
    <n v="0"/>
  </r>
  <r>
    <n v="102247"/>
    <d v="2025-10-07T00:00:00"/>
    <n v="1047"/>
    <x v="3"/>
    <x v="8"/>
    <x v="4"/>
    <x v="3"/>
    <x v="1"/>
    <s v="Wallet"/>
    <n v="27.68"/>
    <n v="12.26"/>
    <x v="3"/>
    <n v="0"/>
    <n v="339.36"/>
    <n v="148.44"/>
    <n v="7.24"/>
    <n v="4.07"/>
    <n v="11.72"/>
    <n v="0"/>
    <n v="0"/>
    <n v="171.47"/>
    <n v="167.89"/>
    <s v="Profit"/>
    <x v="0"/>
    <n v="6"/>
    <n v="1"/>
    <s v="0-15"/>
    <s v="No"/>
    <n v="0"/>
    <s v="Healthy"/>
    <n v="0"/>
  </r>
  <r>
    <n v="102248"/>
    <d v="2025-12-25T00:00:00"/>
    <n v="1004"/>
    <x v="3"/>
    <x v="7"/>
    <x v="2"/>
    <x v="1"/>
    <x v="0"/>
    <s v="UPI"/>
    <n v="32.090000000000003"/>
    <n v="16.98"/>
    <x v="3"/>
    <n v="0"/>
    <n v="544.89"/>
    <n v="247.76"/>
    <n v="3.03"/>
    <n v="3.81"/>
    <n v="4.66"/>
    <n v="0"/>
    <n v="0"/>
    <n v="259.26"/>
    <n v="285.63"/>
    <s v="Profit"/>
    <x v="0"/>
    <n v="46"/>
    <n v="1"/>
    <s v="30+"/>
    <s v="Yes"/>
    <n v="3"/>
    <s v="At Risk"/>
    <n v="1"/>
  </r>
  <r>
    <n v="102249"/>
    <d v="2025-10-10T00:00:00"/>
    <n v="1036"/>
    <x v="3"/>
    <x v="15"/>
    <x v="2"/>
    <x v="1"/>
    <x v="0"/>
    <s v="UPI"/>
    <n v="34.6"/>
    <n v="16.45"/>
    <x v="2"/>
    <n v="56.92"/>
    <n v="512.25"/>
    <n v="182.1"/>
    <n v="5.28"/>
    <n v="3.98"/>
    <n v="5.57"/>
    <n v="366.15"/>
    <n v="0"/>
    <n v="563.08000000000004"/>
    <n v="-50.83"/>
    <s v="Loss"/>
    <x v="1"/>
    <n v="10"/>
    <n v="4"/>
    <s v="0-15"/>
    <s v="Yes"/>
    <n v="2"/>
    <s v="At Risk"/>
    <n v="1"/>
  </r>
  <r>
    <n v="102250"/>
    <d v="2025-10-14T00:00:00"/>
    <n v="1132"/>
    <x v="0"/>
    <x v="11"/>
    <x v="0"/>
    <x v="3"/>
    <x v="0"/>
    <s v="Card"/>
    <n v="39.869999999999997"/>
    <n v="12.81"/>
    <x v="2"/>
    <n v="51.07"/>
    <n v="459.66"/>
    <n v="263.58999999999997"/>
    <n v="10.49"/>
    <n v="7.66"/>
    <n v="7.89"/>
    <n v="0"/>
    <n v="0"/>
    <n v="289.63"/>
    <n v="170.03"/>
    <s v="Profit"/>
    <x v="0"/>
    <n v="1"/>
    <n v="5"/>
    <s v="0-15"/>
    <s v="No"/>
    <n v="0"/>
    <s v="Healthy"/>
    <n v="0"/>
  </r>
  <r>
    <n v="102251"/>
    <d v="2025-10-27T00:00:00"/>
    <n v="1091"/>
    <x v="3"/>
    <x v="8"/>
    <x v="1"/>
    <x v="3"/>
    <x v="0"/>
    <s v="UPI"/>
    <n v="14.93"/>
    <n v="14.03"/>
    <x v="4"/>
    <n v="10.47"/>
    <n v="199"/>
    <n v="84.77"/>
    <n v="6.17"/>
    <n v="1.47"/>
    <n v="7.18"/>
    <n v="0"/>
    <n v="0"/>
    <n v="99.59"/>
    <n v="99.41"/>
    <s v="Profit"/>
    <x v="0"/>
    <n v="3"/>
    <n v="19"/>
    <s v="0-15"/>
    <s v="Yes"/>
    <n v="1"/>
    <s v="At Risk"/>
    <n v="1"/>
  </r>
  <r>
    <n v="102252"/>
    <d v="2025-12-28T00:00:00"/>
    <n v="1110"/>
    <x v="1"/>
    <x v="13"/>
    <x v="4"/>
    <x v="2"/>
    <x v="0"/>
    <s v="Card"/>
    <n v="19.77"/>
    <n v="16.43"/>
    <x v="4"/>
    <n v="16.239999999999998"/>
    <n v="308.58"/>
    <n v="127.09"/>
    <n v="10.32"/>
    <n v="4.87"/>
    <n v="5.71"/>
    <n v="0"/>
    <n v="0"/>
    <n v="147.99"/>
    <n v="160.59"/>
    <s v="Profit"/>
    <x v="0"/>
    <n v="44"/>
    <n v="25"/>
    <s v="30+"/>
    <s v="Yes"/>
    <n v="4"/>
    <s v="At Risk"/>
    <n v="1"/>
  </r>
  <r>
    <n v="102253"/>
    <d v="2025-11-02T00:00:00"/>
    <n v="1090"/>
    <x v="3"/>
    <x v="7"/>
    <x v="3"/>
    <x v="3"/>
    <x v="0"/>
    <s v="Wallet"/>
    <n v="14.42"/>
    <n v="13.06"/>
    <x v="2"/>
    <n v="18.829999999999998"/>
    <n v="169.5"/>
    <n v="94.86"/>
    <n v="4.07"/>
    <n v="2.2599999999999998"/>
    <n v="11.15"/>
    <n v="0"/>
    <n v="0"/>
    <n v="112.34"/>
    <n v="57.16"/>
    <s v="Profit"/>
    <x v="0"/>
    <n v="11"/>
    <n v="1"/>
    <s v="0-15"/>
    <s v="No"/>
    <n v="0"/>
    <s v="Healthy"/>
    <n v="0"/>
  </r>
  <r>
    <n v="102254"/>
    <d v="2025-10-30T00:00:00"/>
    <n v="1032"/>
    <x v="3"/>
    <x v="14"/>
    <x v="2"/>
    <x v="3"/>
    <x v="2"/>
    <s v="Fleet_Invoice"/>
    <n v="13.53"/>
    <n v="12.09"/>
    <x v="3"/>
    <n v="0"/>
    <n v="163.58000000000001"/>
    <n v="87.23"/>
    <n v="6.81"/>
    <n v="0.65"/>
    <n v="7.74"/>
    <n v="0"/>
    <n v="0"/>
    <n v="102.43"/>
    <n v="61.15"/>
    <s v="Profit"/>
    <x v="0"/>
    <n v="2"/>
    <n v="8"/>
    <s v="0-15"/>
    <s v="No"/>
    <n v="0"/>
    <s v="Healthy"/>
    <n v="0"/>
  </r>
  <r>
    <n v="102255"/>
    <d v="2025-10-27T00:00:00"/>
    <n v="1129"/>
    <x v="2"/>
    <x v="10"/>
    <x v="2"/>
    <x v="3"/>
    <x v="0"/>
    <s v="UPI"/>
    <n v="27.87"/>
    <n v="12.27"/>
    <x v="3"/>
    <n v="0"/>
    <n v="341.96"/>
    <n v="220.11"/>
    <n v="11.19"/>
    <n v="2.39"/>
    <n v="4.1399999999999997"/>
    <n v="262.73"/>
    <n v="0"/>
    <n v="500.56"/>
    <n v="-158.6"/>
    <s v="Loss"/>
    <x v="1"/>
    <n v="7"/>
    <n v="2"/>
    <s v="0-15"/>
    <s v="Yes"/>
    <n v="2"/>
    <s v="At Risk"/>
    <n v="1"/>
  </r>
  <r>
    <n v="102256"/>
    <d v="2025-12-15T00:00:00"/>
    <n v="1082"/>
    <x v="3"/>
    <x v="7"/>
    <x v="0"/>
    <x v="3"/>
    <x v="0"/>
    <s v="Card"/>
    <n v="10.19"/>
    <n v="12.4"/>
    <x v="3"/>
    <n v="0"/>
    <n v="126.36"/>
    <n v="60.53"/>
    <n v="17.28"/>
    <n v="1.9"/>
    <n v="4.47"/>
    <n v="0"/>
    <n v="0"/>
    <n v="84.18"/>
    <n v="42.18"/>
    <s v="Profit"/>
    <x v="0"/>
    <n v="20"/>
    <n v="6"/>
    <s v="16-30"/>
    <s v="No"/>
    <n v="0"/>
    <s v="Healthy"/>
    <n v="0"/>
  </r>
  <r>
    <n v="102257"/>
    <d v="2025-10-30T00:00:00"/>
    <n v="1142"/>
    <x v="0"/>
    <x v="6"/>
    <x v="3"/>
    <x v="3"/>
    <x v="2"/>
    <s v="UPI"/>
    <n v="24.5"/>
    <n v="12.51"/>
    <x v="0"/>
    <n v="45.98"/>
    <n v="260.52"/>
    <n v="199.76"/>
    <n v="8.7899999999999991"/>
    <n v="2.15"/>
    <n v="5.55"/>
    <n v="0"/>
    <n v="0"/>
    <n v="216.25"/>
    <n v="44.27"/>
    <s v="Profit"/>
    <x v="0"/>
    <n v="11"/>
    <n v="1"/>
    <s v="0-15"/>
    <s v="No"/>
    <n v="0"/>
    <s v="Healthy"/>
    <n v="0"/>
  </r>
  <r>
    <n v="102258"/>
    <d v="2025-12-30T00:00:00"/>
    <n v="1109"/>
    <x v="2"/>
    <x v="9"/>
    <x v="0"/>
    <x v="1"/>
    <x v="0"/>
    <s v="Wallet"/>
    <n v="18.670000000000002"/>
    <n v="15.75"/>
    <x v="3"/>
    <n v="0"/>
    <n v="294.05"/>
    <n v="137.84"/>
    <n v="10.31"/>
    <n v="3.53"/>
    <n v="8.3800000000000008"/>
    <n v="0"/>
    <n v="0"/>
    <n v="160.06"/>
    <n v="133.99"/>
    <s v="Profit"/>
    <x v="0"/>
    <n v="13"/>
    <n v="13"/>
    <s v="0-15"/>
    <s v="No"/>
    <n v="0"/>
    <s v="Healthy"/>
    <n v="0"/>
  </r>
  <r>
    <n v="102259"/>
    <d v="2025-11-18T00:00:00"/>
    <n v="1004"/>
    <x v="1"/>
    <x v="3"/>
    <x v="2"/>
    <x v="1"/>
    <x v="0"/>
    <s v="UPI"/>
    <n v="20.78"/>
    <n v="15.25"/>
    <x v="1"/>
    <n v="63.38"/>
    <n v="253.52"/>
    <n v="162.22999999999999"/>
    <n v="5.52"/>
    <n v="2.2200000000000002"/>
    <n v="9.3800000000000008"/>
    <n v="0"/>
    <n v="0"/>
    <n v="179.35"/>
    <n v="74.17"/>
    <s v="Profit"/>
    <x v="0"/>
    <n v="2"/>
    <n v="0"/>
    <s v="0-15"/>
    <s v="No"/>
    <n v="0"/>
    <s v="Healthy"/>
    <n v="0"/>
  </r>
  <r>
    <n v="102260"/>
    <d v="2025-12-23T00:00:00"/>
    <n v="1002"/>
    <x v="2"/>
    <x v="10"/>
    <x v="3"/>
    <x v="3"/>
    <x v="1"/>
    <s v="UPI"/>
    <n v="13.55"/>
    <n v="12.58"/>
    <x v="3"/>
    <n v="0"/>
    <n v="170.46"/>
    <n v="97.59"/>
    <n v="5.73"/>
    <n v="1.19"/>
    <n v="8.32"/>
    <n v="123.83"/>
    <n v="0.65"/>
    <n v="237.31"/>
    <n v="-66.849999999999994"/>
    <s v="Loss"/>
    <x v="1"/>
    <n v="10"/>
    <n v="4"/>
    <s v="0-15"/>
    <s v="Yes"/>
    <n v="1"/>
    <s v="At Risk"/>
    <n v="1"/>
  </r>
  <r>
    <n v="102261"/>
    <d v="2025-12-01T00:00:00"/>
    <n v="1006"/>
    <x v="3"/>
    <x v="8"/>
    <x v="4"/>
    <x v="2"/>
    <x v="0"/>
    <s v="UPI"/>
    <n v="29.82"/>
    <n v="17.14"/>
    <x v="3"/>
    <n v="0"/>
    <n v="511.11"/>
    <n v="257.04000000000002"/>
    <n v="7.27"/>
    <n v="3.58"/>
    <n v="8.82"/>
    <n v="0"/>
    <n v="0"/>
    <n v="276.70999999999998"/>
    <n v="234.4"/>
    <s v="Profit"/>
    <x v="0"/>
    <n v="12"/>
    <n v="3"/>
    <s v="0-15"/>
    <s v="No"/>
    <n v="0"/>
    <s v="Healthy"/>
    <n v="0"/>
  </r>
  <r>
    <n v="102262"/>
    <d v="2025-11-09T00:00:00"/>
    <n v="1057"/>
    <x v="2"/>
    <x v="9"/>
    <x v="2"/>
    <x v="0"/>
    <x v="0"/>
    <s v="Wallet"/>
    <n v="27.01"/>
    <n v="19.5"/>
    <x v="3"/>
    <n v="0"/>
    <n v="526.70000000000005"/>
    <n v="176.23"/>
    <n v="6.21"/>
    <n v="6.32"/>
    <n v="10.66"/>
    <n v="0"/>
    <n v="0"/>
    <n v="199.42"/>
    <n v="327.27999999999997"/>
    <s v="Profit"/>
    <x v="0"/>
    <n v="10"/>
    <n v="0"/>
    <s v="0-15"/>
    <s v="No"/>
    <n v="0"/>
    <s v="Healthy"/>
    <n v="0"/>
  </r>
  <r>
    <n v="102263"/>
    <d v="2025-10-10T00:00:00"/>
    <n v="1070"/>
    <x v="3"/>
    <x v="14"/>
    <x v="3"/>
    <x v="0"/>
    <x v="0"/>
    <s v="Fleet_Invoice"/>
    <n v="26.25"/>
    <n v="19.420000000000002"/>
    <x v="1"/>
    <n v="101.96"/>
    <n v="407.82"/>
    <n v="209.08"/>
    <n v="12.35"/>
    <n v="2.04"/>
    <n v="8.8699999999999992"/>
    <n v="0"/>
    <n v="0"/>
    <n v="232.34"/>
    <n v="175.48"/>
    <s v="Profit"/>
    <x v="0"/>
    <n v="16"/>
    <n v="1"/>
    <s v="16-30"/>
    <s v="No"/>
    <n v="0"/>
    <s v="Healthy"/>
    <n v="0"/>
  </r>
  <r>
    <n v="102264"/>
    <d v="2025-10-21T00:00:00"/>
    <n v="1052"/>
    <x v="1"/>
    <x v="2"/>
    <x v="4"/>
    <x v="0"/>
    <x v="1"/>
    <s v="Wallet"/>
    <n v="27.03"/>
    <n v="18.309999999999999"/>
    <x v="3"/>
    <n v="0"/>
    <n v="494.92"/>
    <n v="185.29"/>
    <n v="6.21"/>
    <n v="5.94"/>
    <n v="3.24"/>
    <n v="0"/>
    <n v="0"/>
    <n v="200.68"/>
    <n v="294.24"/>
    <s v="Profit"/>
    <x v="0"/>
    <n v="12"/>
    <n v="22"/>
    <s v="0-15"/>
    <s v="Yes"/>
    <n v="3"/>
    <s v="At Risk"/>
    <n v="1"/>
  </r>
  <r>
    <n v="102265"/>
    <d v="2025-11-18T00:00:00"/>
    <n v="1141"/>
    <x v="1"/>
    <x v="2"/>
    <x v="2"/>
    <x v="2"/>
    <x v="2"/>
    <s v="UPI"/>
    <n v="29.82"/>
    <n v="18.96"/>
    <x v="3"/>
    <n v="0"/>
    <n v="565.39"/>
    <n v="230.99"/>
    <n v="7.79"/>
    <n v="3.96"/>
    <n v="5.24"/>
    <n v="0"/>
    <n v="0"/>
    <n v="247.98"/>
    <n v="317.41000000000003"/>
    <s v="Profit"/>
    <x v="0"/>
    <n v="3"/>
    <n v="6"/>
    <s v="0-15"/>
    <s v="No"/>
    <n v="0"/>
    <s v="Healthy"/>
    <n v="0"/>
  </r>
  <r>
    <n v="102266"/>
    <d v="2025-10-23T00:00:00"/>
    <n v="1006"/>
    <x v="2"/>
    <x v="10"/>
    <x v="4"/>
    <x v="1"/>
    <x v="2"/>
    <s v="Card"/>
    <n v="16.87"/>
    <n v="15.06"/>
    <x v="3"/>
    <n v="0"/>
    <n v="254.06"/>
    <n v="126.88"/>
    <n v="8.3800000000000008"/>
    <n v="3.81"/>
    <n v="1.36"/>
    <n v="0"/>
    <n v="0"/>
    <n v="140.43"/>
    <n v="113.63"/>
    <s v="Profit"/>
    <x v="0"/>
    <n v="25"/>
    <n v="3"/>
    <s v="16-30"/>
    <s v="Yes"/>
    <n v="1"/>
    <s v="At Risk"/>
    <n v="1"/>
  </r>
  <r>
    <n v="102267"/>
    <d v="2025-11-16T00:00:00"/>
    <n v="1075"/>
    <x v="2"/>
    <x v="9"/>
    <x v="2"/>
    <x v="2"/>
    <x v="0"/>
    <s v="Fleet_Invoice"/>
    <n v="33.67"/>
    <n v="20.170000000000002"/>
    <x v="4"/>
    <n v="33.96"/>
    <n v="645.16"/>
    <n v="211.08"/>
    <n v="6"/>
    <n v="2.72"/>
    <n v="0.02"/>
    <n v="627.57000000000005"/>
    <n v="0"/>
    <n v="847.39"/>
    <n v="-202.23"/>
    <s v="Loss"/>
    <x v="2"/>
    <n v="0"/>
    <n v="21"/>
    <s v="0-15"/>
    <s v="Yes"/>
    <n v="2"/>
    <s v="At Risk"/>
    <n v="1"/>
  </r>
  <r>
    <n v="102268"/>
    <d v="2025-12-25T00:00:00"/>
    <n v="1057"/>
    <x v="3"/>
    <x v="15"/>
    <x v="3"/>
    <x v="3"/>
    <x v="2"/>
    <s v="Fleet_Invoice"/>
    <n v="24.25"/>
    <n v="11.96"/>
    <x v="3"/>
    <n v="0"/>
    <n v="290.02999999999997"/>
    <n v="152.78"/>
    <n v="10.119999999999999"/>
    <n v="1.1599999999999999"/>
    <n v="5.78"/>
    <n v="0"/>
    <n v="0"/>
    <n v="169.84"/>
    <n v="120.19"/>
    <s v="Profit"/>
    <x v="0"/>
    <n v="0"/>
    <n v="0"/>
    <s v="0-15"/>
    <s v="No"/>
    <n v="1"/>
    <s v="Healthy"/>
    <n v="0"/>
  </r>
  <r>
    <n v="102269"/>
    <d v="2025-11-03T00:00:00"/>
    <n v="1116"/>
    <x v="1"/>
    <x v="2"/>
    <x v="4"/>
    <x v="2"/>
    <x v="0"/>
    <s v="Card"/>
    <n v="36.549999999999997"/>
    <n v="17.489999999999998"/>
    <x v="3"/>
    <n v="0"/>
    <n v="639.26"/>
    <n v="271.52"/>
    <n v="6.29"/>
    <n v="9.59"/>
    <n v="10"/>
    <n v="0"/>
    <n v="0"/>
    <n v="297.39999999999998"/>
    <n v="341.86"/>
    <s v="Profit"/>
    <x v="0"/>
    <n v="0"/>
    <n v="6"/>
    <s v="0-15"/>
    <s v="No"/>
    <n v="0"/>
    <s v="Healthy"/>
    <n v="0"/>
  </r>
  <r>
    <n v="102270"/>
    <d v="2025-10-17T00:00:00"/>
    <n v="1141"/>
    <x v="2"/>
    <x v="10"/>
    <x v="2"/>
    <x v="1"/>
    <x v="0"/>
    <s v="Fleet_Invoice"/>
    <n v="22.77"/>
    <n v="15.6"/>
    <x v="3"/>
    <n v="0"/>
    <n v="355.21"/>
    <n v="154.77000000000001"/>
    <n v="7.1"/>
    <n v="1.42"/>
    <n v="4.67"/>
    <n v="0"/>
    <n v="0"/>
    <n v="167.96"/>
    <n v="187.25"/>
    <s v="Profit"/>
    <x v="0"/>
    <n v="15"/>
    <n v="11"/>
    <s v="0-15"/>
    <s v="No"/>
    <n v="0"/>
    <s v="Healthy"/>
    <n v="0"/>
  </r>
  <r>
    <n v="102271"/>
    <d v="2025-10-30T00:00:00"/>
    <n v="1072"/>
    <x v="3"/>
    <x v="14"/>
    <x v="3"/>
    <x v="2"/>
    <x v="0"/>
    <s v="UPI"/>
    <n v="33.83"/>
    <n v="16.29"/>
    <x v="4"/>
    <n v="27.55"/>
    <n v="523.54"/>
    <n v="248"/>
    <n v="9.33"/>
    <n v="3.86"/>
    <n v="0.33"/>
    <n v="0"/>
    <n v="0"/>
    <n v="261.52"/>
    <n v="262.02"/>
    <s v="Profit"/>
    <x v="0"/>
    <n v="2"/>
    <n v="4"/>
    <s v="0-15"/>
    <s v="No"/>
    <n v="0"/>
    <s v="Healthy"/>
    <n v="0"/>
  </r>
  <r>
    <n v="102272"/>
    <d v="2025-12-01T00:00:00"/>
    <n v="1007"/>
    <x v="1"/>
    <x v="4"/>
    <x v="4"/>
    <x v="3"/>
    <x v="1"/>
    <s v="Card"/>
    <n v="29.74"/>
    <n v="13.28"/>
    <x v="3"/>
    <n v="0"/>
    <n v="394.95"/>
    <n v="186.78"/>
    <n v="11.88"/>
    <n v="5.92"/>
    <n v="1.92"/>
    <n v="0"/>
    <n v="0"/>
    <n v="206.5"/>
    <n v="188.45"/>
    <s v="Profit"/>
    <x v="0"/>
    <n v="0"/>
    <n v="7"/>
    <s v="0-15"/>
    <s v="No"/>
    <n v="0"/>
    <s v="Healthy"/>
    <n v="0"/>
  </r>
  <r>
    <n v="102273"/>
    <d v="2025-11-30T00:00:00"/>
    <n v="1010"/>
    <x v="1"/>
    <x v="4"/>
    <x v="0"/>
    <x v="1"/>
    <x v="1"/>
    <s v="Card"/>
    <n v="24"/>
    <n v="15.38"/>
    <x v="3"/>
    <n v="0"/>
    <n v="369.12"/>
    <n v="187.42"/>
    <n v="6.89"/>
    <n v="5.54"/>
    <n v="5.37"/>
    <n v="0"/>
    <n v="0"/>
    <n v="205.22"/>
    <n v="163.9"/>
    <s v="Profit"/>
    <x v="0"/>
    <n v="19"/>
    <n v="1"/>
    <s v="16-30"/>
    <s v="No"/>
    <n v="0"/>
    <s v="Healthy"/>
    <n v="0"/>
  </r>
  <r>
    <n v="102274"/>
    <d v="2025-12-09T00:00:00"/>
    <n v="1136"/>
    <x v="3"/>
    <x v="14"/>
    <x v="1"/>
    <x v="2"/>
    <x v="0"/>
    <s v="UPI"/>
    <n v="42.11"/>
    <n v="17.95"/>
    <x v="3"/>
    <n v="0"/>
    <n v="755.87"/>
    <n v="307.63"/>
    <n v="7.26"/>
    <n v="5.29"/>
    <n v="9.25"/>
    <n v="0"/>
    <n v="0"/>
    <n v="329.43"/>
    <n v="426.44"/>
    <s v="Profit"/>
    <x v="0"/>
    <n v="4"/>
    <n v="2"/>
    <s v="0-15"/>
    <s v="No"/>
    <n v="0"/>
    <s v="Healthy"/>
    <n v="0"/>
  </r>
  <r>
    <n v="102275"/>
    <d v="2025-12-15T00:00:00"/>
    <n v="1132"/>
    <x v="2"/>
    <x v="5"/>
    <x v="1"/>
    <x v="0"/>
    <x v="0"/>
    <s v="UPI"/>
    <n v="26.21"/>
    <n v="20.100000000000001"/>
    <x v="3"/>
    <n v="0"/>
    <n v="526.82000000000005"/>
    <n v="204.19"/>
    <n v="14.16"/>
    <n v="3.69"/>
    <n v="3.59"/>
    <n v="0"/>
    <n v="0"/>
    <n v="225.63"/>
    <n v="301.19"/>
    <s v="Profit"/>
    <x v="0"/>
    <n v="5"/>
    <n v="10"/>
    <s v="0-15"/>
    <s v="No"/>
    <n v="2"/>
    <s v="Healthy"/>
    <n v="0"/>
  </r>
  <r>
    <n v="102276"/>
    <d v="2025-11-14T00:00:00"/>
    <n v="1036"/>
    <x v="3"/>
    <x v="7"/>
    <x v="0"/>
    <x v="0"/>
    <x v="0"/>
    <s v="Fleet_Invoice"/>
    <n v="10.77"/>
    <n v="18.87"/>
    <x v="2"/>
    <n v="20.32"/>
    <n v="182.91"/>
    <n v="93.59"/>
    <n v="7.49"/>
    <n v="0.81"/>
    <n v="4.6100000000000003"/>
    <n v="0"/>
    <n v="0"/>
    <n v="106.5"/>
    <n v="76.41"/>
    <s v="Profit"/>
    <x v="0"/>
    <n v="30"/>
    <n v="0"/>
    <s v="16-30"/>
    <s v="Yes"/>
    <n v="2"/>
    <s v="At Risk"/>
    <n v="1"/>
  </r>
  <r>
    <n v="102277"/>
    <d v="2025-12-14T00:00:00"/>
    <n v="1101"/>
    <x v="2"/>
    <x v="12"/>
    <x v="0"/>
    <x v="1"/>
    <x v="0"/>
    <s v="Card"/>
    <n v="27.02"/>
    <n v="16.739999999999998"/>
    <x v="4"/>
    <n v="22.62"/>
    <n v="429.69"/>
    <n v="201.97"/>
    <n v="6.01"/>
    <n v="6.78"/>
    <n v="3.47"/>
    <n v="0"/>
    <n v="0"/>
    <n v="218.23"/>
    <n v="211.46"/>
    <s v="Profit"/>
    <x v="0"/>
    <n v="5"/>
    <n v="19"/>
    <s v="0-15"/>
    <s v="Yes"/>
    <n v="1"/>
    <s v="At Risk"/>
    <n v="1"/>
  </r>
  <r>
    <n v="102278"/>
    <d v="2025-11-30T00:00:00"/>
    <n v="1011"/>
    <x v="1"/>
    <x v="3"/>
    <x v="4"/>
    <x v="3"/>
    <x v="1"/>
    <s v="Wallet"/>
    <n v="11.53"/>
    <n v="11.79"/>
    <x v="2"/>
    <n v="13.59"/>
    <n v="122.35"/>
    <n v="94.83"/>
    <n v="7.12"/>
    <n v="1.63"/>
    <n v="9.51"/>
    <n v="93.87"/>
    <n v="9.09"/>
    <n v="216.05"/>
    <n v="-93.7"/>
    <s v="Loss"/>
    <x v="2"/>
    <n v="5"/>
    <n v="0"/>
    <s v="0-15"/>
    <s v="No"/>
    <n v="2"/>
    <s v="At Risk"/>
    <n v="0"/>
  </r>
  <r>
    <n v="102279"/>
    <d v="2025-11-09T00:00:00"/>
    <n v="1022"/>
    <x v="3"/>
    <x v="15"/>
    <x v="3"/>
    <x v="2"/>
    <x v="2"/>
    <s v="Fleet_Invoice"/>
    <n v="32.840000000000003"/>
    <n v="18.88"/>
    <x v="3"/>
    <n v="0"/>
    <n v="620.02"/>
    <n v="207.71"/>
    <n v="12.1"/>
    <n v="2.48"/>
    <n v="3.13"/>
    <n v="0"/>
    <n v="0"/>
    <n v="225.42"/>
    <n v="394.6"/>
    <s v="Profit"/>
    <x v="0"/>
    <n v="4"/>
    <n v="23"/>
    <s v="0-15"/>
    <s v="Yes"/>
    <n v="2"/>
    <s v="At Risk"/>
    <n v="1"/>
  </r>
  <r>
    <n v="102280"/>
    <d v="2025-10-26T00:00:00"/>
    <n v="1147"/>
    <x v="0"/>
    <x v="11"/>
    <x v="1"/>
    <x v="1"/>
    <x v="0"/>
    <s v="UPI"/>
    <n v="30.66"/>
    <n v="15.82"/>
    <x v="3"/>
    <n v="0"/>
    <n v="485.04"/>
    <n v="242.06"/>
    <n v="4.5"/>
    <n v="3.4"/>
    <n v="6.16"/>
    <n v="0"/>
    <n v="0"/>
    <n v="256.12"/>
    <n v="228.92"/>
    <s v="Profit"/>
    <x v="0"/>
    <n v="0"/>
    <n v="25"/>
    <s v="0-15"/>
    <s v="Yes"/>
    <n v="2"/>
    <s v="At Risk"/>
    <n v="1"/>
  </r>
  <r>
    <n v="102281"/>
    <d v="2025-11-22T00:00:00"/>
    <n v="1003"/>
    <x v="1"/>
    <x v="13"/>
    <x v="3"/>
    <x v="3"/>
    <x v="0"/>
    <s v="Card"/>
    <n v="34.6"/>
    <n v="12.64"/>
    <x v="0"/>
    <n v="65.599999999999994"/>
    <n v="371.74"/>
    <n v="202.44"/>
    <n v="12.03"/>
    <n v="6.56"/>
    <n v="0.97"/>
    <n v="0"/>
    <n v="0"/>
    <n v="222"/>
    <n v="149.74"/>
    <s v="Profit"/>
    <x v="0"/>
    <n v="2"/>
    <n v="10"/>
    <s v="0-15"/>
    <s v="No"/>
    <n v="0"/>
    <s v="Healthy"/>
    <n v="0"/>
  </r>
  <r>
    <n v="102282"/>
    <d v="2025-10-11T00:00:00"/>
    <n v="1081"/>
    <x v="2"/>
    <x v="9"/>
    <x v="3"/>
    <x v="3"/>
    <x v="0"/>
    <s v="Card"/>
    <n v="31.67"/>
    <n v="14.09"/>
    <x v="3"/>
    <n v="0"/>
    <n v="446.23"/>
    <n v="204.44"/>
    <n v="3.75"/>
    <n v="6.69"/>
    <n v="12.31"/>
    <n v="0"/>
    <n v="0"/>
    <n v="227.19"/>
    <n v="219.04"/>
    <s v="Profit"/>
    <x v="0"/>
    <n v="9"/>
    <n v="10"/>
    <s v="0-15"/>
    <s v="No"/>
    <n v="0"/>
    <s v="Healthy"/>
    <n v="0"/>
  </r>
  <r>
    <n v="102283"/>
    <d v="2025-12-22T00:00:00"/>
    <n v="1108"/>
    <x v="2"/>
    <x v="12"/>
    <x v="2"/>
    <x v="2"/>
    <x v="0"/>
    <s v="Card"/>
    <n v="26.14"/>
    <n v="19.86"/>
    <x v="3"/>
    <n v="0"/>
    <n v="519.14"/>
    <n v="152.07"/>
    <n v="10.82"/>
    <n v="7.79"/>
    <n v="10.07"/>
    <n v="0"/>
    <n v="0"/>
    <n v="180.75"/>
    <n v="338.39"/>
    <s v="Profit"/>
    <x v="0"/>
    <n v="3"/>
    <n v="8"/>
    <s v="0-15"/>
    <s v="No"/>
    <n v="0"/>
    <s v="Healthy"/>
    <n v="0"/>
  </r>
  <r>
    <n v="102284"/>
    <d v="2025-10-27T00:00:00"/>
    <n v="1123"/>
    <x v="2"/>
    <x v="12"/>
    <x v="2"/>
    <x v="3"/>
    <x v="0"/>
    <s v="Wallet"/>
    <n v="29.69"/>
    <n v="13.73"/>
    <x v="4"/>
    <n v="20.38"/>
    <n v="387.26"/>
    <n v="225.51"/>
    <n v="8.91"/>
    <n v="4.8899999999999997"/>
    <n v="5.44"/>
    <n v="0"/>
    <n v="0"/>
    <n v="244.75"/>
    <n v="142.51"/>
    <s v="Profit"/>
    <x v="0"/>
    <n v="16"/>
    <n v="3"/>
    <s v="16-30"/>
    <s v="No"/>
    <n v="0"/>
    <s v="Healthy"/>
    <n v="0"/>
  </r>
  <r>
    <n v="102285"/>
    <d v="2025-11-23T00:00:00"/>
    <n v="1092"/>
    <x v="1"/>
    <x v="13"/>
    <x v="1"/>
    <x v="3"/>
    <x v="0"/>
    <s v="UPI"/>
    <n v="3"/>
    <n v="12.39"/>
    <x v="2"/>
    <n v="3.72"/>
    <n v="33.450000000000003"/>
    <n v="23.23"/>
    <n v="8.85"/>
    <n v="0.26"/>
    <n v="2.25"/>
    <n v="0"/>
    <n v="0"/>
    <n v="34.590000000000003"/>
    <n v="-1.1399999999999999"/>
    <s v="Loss"/>
    <x v="0"/>
    <n v="10"/>
    <n v="5"/>
    <s v="0-15"/>
    <s v="No"/>
    <n v="0"/>
    <s v="Healthy"/>
    <n v="0"/>
  </r>
  <r>
    <n v="102286"/>
    <d v="2025-10-19T00:00:00"/>
    <n v="1148"/>
    <x v="1"/>
    <x v="13"/>
    <x v="4"/>
    <x v="3"/>
    <x v="0"/>
    <s v="Card"/>
    <n v="16.100000000000001"/>
    <n v="14.79"/>
    <x v="3"/>
    <n v="0"/>
    <n v="238.12"/>
    <n v="104.88"/>
    <n v="8.49"/>
    <n v="3.57"/>
    <n v="0"/>
    <n v="0"/>
    <n v="0"/>
    <n v="116.94"/>
    <n v="121.18"/>
    <s v="Profit"/>
    <x v="0"/>
    <n v="17"/>
    <n v="7"/>
    <s v="16-30"/>
    <s v="No"/>
    <n v="0"/>
    <s v="Healthy"/>
    <n v="0"/>
  </r>
  <r>
    <n v="102287"/>
    <d v="2025-11-15T00:00:00"/>
    <n v="1053"/>
    <x v="1"/>
    <x v="13"/>
    <x v="2"/>
    <x v="0"/>
    <x v="2"/>
    <s v="Card"/>
    <n v="24.46"/>
    <n v="18.309999999999999"/>
    <x v="3"/>
    <n v="0"/>
    <n v="447.86"/>
    <n v="202.82"/>
    <n v="9.27"/>
    <n v="6.72"/>
    <n v="3.31"/>
    <n v="0"/>
    <n v="0"/>
    <n v="222.12"/>
    <n v="225.74"/>
    <s v="Profit"/>
    <x v="0"/>
    <n v="21"/>
    <n v="15"/>
    <s v="16-30"/>
    <s v="Yes"/>
    <n v="1"/>
    <s v="At Risk"/>
    <n v="1"/>
  </r>
  <r>
    <n v="102288"/>
    <d v="2025-11-20T00:00:00"/>
    <n v="1014"/>
    <x v="1"/>
    <x v="13"/>
    <x v="0"/>
    <x v="3"/>
    <x v="0"/>
    <s v="Card"/>
    <n v="13.44"/>
    <n v="13.1"/>
    <x v="2"/>
    <n v="17.61"/>
    <n v="158.44999999999999"/>
    <n v="83.72"/>
    <n v="10.07"/>
    <n v="2.64"/>
    <n v="4.37"/>
    <n v="0"/>
    <n v="0"/>
    <n v="100.8"/>
    <n v="57.65"/>
    <s v="Profit"/>
    <x v="0"/>
    <n v="25"/>
    <n v="7"/>
    <s v="16-30"/>
    <s v="Yes"/>
    <n v="2"/>
    <s v="At Risk"/>
    <n v="1"/>
  </r>
  <r>
    <n v="102289"/>
    <d v="2025-10-10T00:00:00"/>
    <n v="1054"/>
    <x v="1"/>
    <x v="4"/>
    <x v="3"/>
    <x v="2"/>
    <x v="0"/>
    <s v="Card"/>
    <n v="28.36"/>
    <n v="17.25"/>
    <x v="4"/>
    <n v="24.46"/>
    <n v="464.75"/>
    <n v="181.64"/>
    <n v="10.27"/>
    <n v="7.34"/>
    <n v="5.61"/>
    <n v="0"/>
    <n v="0"/>
    <n v="204.86"/>
    <n v="259.89"/>
    <s v="Profit"/>
    <x v="0"/>
    <n v="0"/>
    <n v="0"/>
    <s v="0-15"/>
    <s v="No"/>
    <n v="0"/>
    <s v="Healthy"/>
    <n v="0"/>
  </r>
  <r>
    <n v="102290"/>
    <d v="2025-11-05T00:00:00"/>
    <n v="1129"/>
    <x v="0"/>
    <x v="11"/>
    <x v="0"/>
    <x v="1"/>
    <x v="2"/>
    <s v="UPI"/>
    <n v="15.04"/>
    <n v="15.21"/>
    <x v="3"/>
    <n v="0"/>
    <n v="228.76"/>
    <n v="77.64"/>
    <n v="9.11"/>
    <n v="1.6"/>
    <n v="2.63"/>
    <n v="0"/>
    <n v="0"/>
    <n v="90.98"/>
    <n v="137.78"/>
    <s v="Profit"/>
    <x v="0"/>
    <n v="9"/>
    <n v="11"/>
    <s v="0-15"/>
    <s v="No"/>
    <n v="0"/>
    <s v="Healthy"/>
    <n v="0"/>
  </r>
  <r>
    <n v="102291"/>
    <d v="2025-11-11T00:00:00"/>
    <n v="1140"/>
    <x v="1"/>
    <x v="2"/>
    <x v="1"/>
    <x v="3"/>
    <x v="1"/>
    <s v="UPI"/>
    <n v="11.78"/>
    <n v="12.06"/>
    <x v="3"/>
    <n v="0"/>
    <n v="142.07"/>
    <n v="79.8"/>
    <n v="12.35"/>
    <n v="0.99"/>
    <n v="9.3000000000000007"/>
    <n v="57.17"/>
    <n v="18.850000000000001"/>
    <n v="178.46"/>
    <n v="-36.39"/>
    <s v="Loss"/>
    <x v="2"/>
    <n v="12"/>
    <n v="4"/>
    <s v="0-15"/>
    <s v="No"/>
    <n v="1"/>
    <s v="At Risk"/>
    <n v="0"/>
  </r>
  <r>
    <n v="102292"/>
    <d v="2025-10-19T00:00:00"/>
    <n v="1142"/>
    <x v="2"/>
    <x v="10"/>
    <x v="2"/>
    <x v="3"/>
    <x v="0"/>
    <s v="UPI"/>
    <n v="21.74"/>
    <n v="12.73"/>
    <x v="3"/>
    <n v="0"/>
    <n v="276.75"/>
    <n v="133.94"/>
    <n v="7.24"/>
    <n v="1.94"/>
    <n v="3.67"/>
    <n v="0"/>
    <n v="0"/>
    <n v="146.79"/>
    <n v="129.96"/>
    <s v="Profit"/>
    <x v="0"/>
    <n v="23"/>
    <n v="0"/>
    <s v="16-30"/>
    <s v="Yes"/>
    <n v="2"/>
    <s v="At Risk"/>
    <n v="1"/>
  </r>
  <r>
    <n v="102293"/>
    <d v="2025-11-17T00:00:00"/>
    <n v="1066"/>
    <x v="1"/>
    <x v="4"/>
    <x v="3"/>
    <x v="1"/>
    <x v="0"/>
    <s v="UPI"/>
    <n v="28.58"/>
    <n v="16.260000000000002"/>
    <x v="3"/>
    <n v="0"/>
    <n v="464.71"/>
    <n v="204.82"/>
    <n v="4.75"/>
    <n v="3.25"/>
    <n v="2.95"/>
    <n v="0"/>
    <n v="0"/>
    <n v="215.77"/>
    <n v="248.94"/>
    <s v="Profit"/>
    <x v="0"/>
    <n v="25"/>
    <n v="20"/>
    <s v="16-30"/>
    <s v="Yes"/>
    <n v="2"/>
    <s v="At Risk"/>
    <n v="1"/>
  </r>
  <r>
    <n v="102294"/>
    <d v="2025-12-15T00:00:00"/>
    <n v="1113"/>
    <x v="2"/>
    <x v="12"/>
    <x v="3"/>
    <x v="3"/>
    <x v="2"/>
    <s v="UPI"/>
    <n v="12.05"/>
    <n v="11.89"/>
    <x v="1"/>
    <n v="28.65"/>
    <n v="114.62"/>
    <n v="88.69"/>
    <n v="7.67"/>
    <n v="1"/>
    <n v="3.21"/>
    <n v="0"/>
    <n v="0"/>
    <n v="100.57"/>
    <n v="14.05"/>
    <s v="Profit"/>
    <x v="0"/>
    <n v="2"/>
    <n v="16"/>
    <s v="0-15"/>
    <s v="Yes"/>
    <n v="3"/>
    <s v="At Risk"/>
    <n v="1"/>
  </r>
  <r>
    <n v="102295"/>
    <d v="2025-10-17T00:00:00"/>
    <n v="1011"/>
    <x v="3"/>
    <x v="15"/>
    <x v="4"/>
    <x v="0"/>
    <x v="2"/>
    <s v="Fleet_Invoice"/>
    <n v="27.64"/>
    <n v="17.75"/>
    <x v="3"/>
    <n v="0"/>
    <n v="490.61"/>
    <n v="181.59"/>
    <n v="9.27"/>
    <n v="1.96"/>
    <n v="9.0399999999999991"/>
    <n v="0"/>
    <n v="0"/>
    <n v="201.86"/>
    <n v="288.75"/>
    <s v="Profit"/>
    <x v="0"/>
    <n v="8"/>
    <n v="23"/>
    <s v="0-15"/>
    <s v="Yes"/>
    <n v="3"/>
    <s v="At Risk"/>
    <n v="1"/>
  </r>
  <r>
    <n v="102296"/>
    <d v="2025-10-08T00:00:00"/>
    <n v="1068"/>
    <x v="1"/>
    <x v="13"/>
    <x v="2"/>
    <x v="0"/>
    <x v="0"/>
    <s v="Wallet"/>
    <n v="38.18"/>
    <n v="18.440000000000001"/>
    <x v="2"/>
    <n v="70.400000000000006"/>
    <n v="633.64"/>
    <n v="261.56"/>
    <n v="6.26"/>
    <n v="8.4499999999999993"/>
    <n v="11.64"/>
    <n v="0"/>
    <n v="0"/>
    <n v="287.91000000000003"/>
    <n v="345.73"/>
    <s v="Profit"/>
    <x v="0"/>
    <n v="13"/>
    <n v="1"/>
    <s v="0-15"/>
    <s v="No"/>
    <n v="0"/>
    <s v="Healthy"/>
    <n v="0"/>
  </r>
  <r>
    <n v="102297"/>
    <d v="2025-10-06T00:00:00"/>
    <n v="1003"/>
    <x v="1"/>
    <x v="2"/>
    <x v="3"/>
    <x v="2"/>
    <x v="2"/>
    <s v="UPI"/>
    <n v="25.55"/>
    <n v="18.489999999999998"/>
    <x v="4"/>
    <n v="23.62"/>
    <n v="448.8"/>
    <n v="183.38"/>
    <n v="2.82"/>
    <n v="3.31"/>
    <n v="12.58"/>
    <n v="0"/>
    <n v="0"/>
    <n v="202.09"/>
    <n v="246.71"/>
    <s v="Profit"/>
    <x v="0"/>
    <n v="39"/>
    <n v="1"/>
    <s v="30+"/>
    <s v="Yes"/>
    <n v="3"/>
    <s v="At Risk"/>
    <n v="1"/>
  </r>
  <r>
    <n v="102298"/>
    <d v="2025-12-07T00:00:00"/>
    <n v="1009"/>
    <x v="1"/>
    <x v="13"/>
    <x v="2"/>
    <x v="0"/>
    <x v="0"/>
    <s v="Wallet"/>
    <n v="33.67"/>
    <n v="18.989999999999998"/>
    <x v="2"/>
    <n v="63.94"/>
    <n v="575.45000000000005"/>
    <n v="270.2"/>
    <n v="10.84"/>
    <n v="7.67"/>
    <n v="6.25"/>
    <n v="0"/>
    <n v="0"/>
    <n v="294.95999999999998"/>
    <n v="280.49"/>
    <s v="Profit"/>
    <x v="0"/>
    <n v="3"/>
    <n v="15"/>
    <s v="0-15"/>
    <s v="No"/>
    <n v="0"/>
    <s v="Healthy"/>
    <n v="0"/>
  </r>
  <r>
    <n v="102299"/>
    <d v="2025-10-08T00:00:00"/>
    <n v="1106"/>
    <x v="0"/>
    <x v="0"/>
    <x v="1"/>
    <x v="2"/>
    <x v="0"/>
    <s v="Fleet_Invoice"/>
    <n v="35.75"/>
    <n v="18.25"/>
    <x v="2"/>
    <n v="65.239999999999995"/>
    <n v="587.20000000000005"/>
    <n v="294.97000000000003"/>
    <n v="6.45"/>
    <n v="2.61"/>
    <n v="0.8"/>
    <n v="0"/>
    <n v="0"/>
    <n v="304.83"/>
    <n v="282.37"/>
    <s v="Profit"/>
    <x v="0"/>
    <n v="9"/>
    <n v="0"/>
    <s v="0-15"/>
    <s v="No"/>
    <n v="0"/>
    <s v="Healthy"/>
    <n v="0"/>
  </r>
  <r>
    <n v="102300"/>
    <d v="2025-10-15T00:00:00"/>
    <n v="1144"/>
    <x v="2"/>
    <x v="10"/>
    <x v="2"/>
    <x v="0"/>
    <x v="0"/>
    <s v="Card"/>
    <n v="37.74"/>
    <n v="18.29"/>
    <x v="4"/>
    <n v="34.51"/>
    <n v="655.75"/>
    <n v="310.42"/>
    <n v="9.93"/>
    <n v="10.35"/>
    <n v="4.1900000000000004"/>
    <n v="0"/>
    <n v="0"/>
    <n v="334.89"/>
    <n v="320.86"/>
    <s v="Profit"/>
    <x v="0"/>
    <n v="1"/>
    <n v="25"/>
    <s v="0-15"/>
    <s v="Yes"/>
    <n v="1"/>
    <s v="At Risk"/>
    <n v="1"/>
  </r>
  <r>
    <n v="102301"/>
    <d v="2025-10-16T00:00:00"/>
    <n v="1100"/>
    <x v="2"/>
    <x v="9"/>
    <x v="2"/>
    <x v="3"/>
    <x v="2"/>
    <s v="UPI"/>
    <n v="24.3"/>
    <n v="12.92"/>
    <x v="4"/>
    <n v="15.7"/>
    <n v="298.26"/>
    <n v="190.63"/>
    <n v="5.65"/>
    <n v="2.2000000000000002"/>
    <n v="3.64"/>
    <n v="0"/>
    <n v="0"/>
    <n v="202.12"/>
    <n v="96.14"/>
    <s v="Profit"/>
    <x v="0"/>
    <n v="13"/>
    <n v="3"/>
    <s v="0-15"/>
    <s v="No"/>
    <n v="1"/>
    <s v="Healthy"/>
    <n v="0"/>
  </r>
  <r>
    <n v="102302"/>
    <d v="2025-10-01T00:00:00"/>
    <n v="1002"/>
    <x v="1"/>
    <x v="2"/>
    <x v="3"/>
    <x v="3"/>
    <x v="1"/>
    <s v="Wallet"/>
    <n v="30.86"/>
    <n v="12.55"/>
    <x v="4"/>
    <n v="19.36"/>
    <n v="367.93"/>
    <n v="211.81"/>
    <n v="1"/>
    <n v="4.6500000000000004"/>
    <n v="7.1"/>
    <n v="0"/>
    <n v="0"/>
    <n v="224.56"/>
    <n v="143.37"/>
    <s v="Profit"/>
    <x v="0"/>
    <n v="1"/>
    <n v="12"/>
    <s v="0-15"/>
    <s v="No"/>
    <n v="0"/>
    <s v="Healthy"/>
    <n v="0"/>
  </r>
  <r>
    <n v="102303"/>
    <d v="2025-10-06T00:00:00"/>
    <n v="1003"/>
    <x v="1"/>
    <x v="3"/>
    <x v="0"/>
    <x v="0"/>
    <x v="0"/>
    <s v="UPI"/>
    <n v="27.92"/>
    <n v="18.829999999999998"/>
    <x v="0"/>
    <n v="78.86"/>
    <n v="446.87"/>
    <n v="200.91"/>
    <n v="10.78"/>
    <n v="3.68"/>
    <n v="12.47"/>
    <n v="445.22"/>
    <n v="0"/>
    <n v="673.06"/>
    <n v="-226.19"/>
    <s v="Loss"/>
    <x v="2"/>
    <n v="1"/>
    <n v="22"/>
    <s v="0-15"/>
    <s v="Yes"/>
    <n v="3"/>
    <s v="At Risk"/>
    <n v="1"/>
  </r>
  <r>
    <n v="102304"/>
    <d v="2025-10-09T00:00:00"/>
    <n v="1089"/>
    <x v="1"/>
    <x v="13"/>
    <x v="2"/>
    <x v="2"/>
    <x v="1"/>
    <s v="UPI"/>
    <n v="24.57"/>
    <n v="17.28"/>
    <x v="3"/>
    <n v="0"/>
    <n v="424.57"/>
    <n v="208.94"/>
    <n v="8.19"/>
    <n v="2.97"/>
    <n v="2.2799999999999998"/>
    <n v="0"/>
    <n v="0"/>
    <n v="222.38"/>
    <n v="202.19"/>
    <s v="Profit"/>
    <x v="0"/>
    <n v="5"/>
    <n v="25"/>
    <s v="0-15"/>
    <s v="Yes"/>
    <n v="1"/>
    <s v="At Risk"/>
    <n v="1"/>
  </r>
  <r>
    <n v="102305"/>
    <d v="2025-12-12T00:00:00"/>
    <n v="1137"/>
    <x v="2"/>
    <x v="10"/>
    <x v="1"/>
    <x v="3"/>
    <x v="2"/>
    <s v="UPI"/>
    <n v="17.62"/>
    <n v="12.68"/>
    <x v="2"/>
    <n v="22.34"/>
    <n v="201.08"/>
    <n v="144.1"/>
    <n v="11.67"/>
    <n v="1.56"/>
    <n v="4.99"/>
    <n v="0"/>
    <n v="0"/>
    <n v="162.32"/>
    <n v="38.76"/>
    <s v="Profit"/>
    <x v="0"/>
    <n v="6"/>
    <n v="1"/>
    <s v="0-15"/>
    <s v="No"/>
    <n v="0"/>
    <s v="Healthy"/>
    <n v="0"/>
  </r>
  <r>
    <n v="102306"/>
    <d v="2025-11-28T00:00:00"/>
    <n v="1148"/>
    <x v="3"/>
    <x v="15"/>
    <x v="3"/>
    <x v="1"/>
    <x v="1"/>
    <s v="UPI"/>
    <n v="37.770000000000003"/>
    <n v="15.5"/>
    <x v="2"/>
    <n v="58.54"/>
    <n v="526.9"/>
    <n v="286.63"/>
    <n v="7.57"/>
    <n v="4.0999999999999996"/>
    <n v="5.88"/>
    <n v="0"/>
    <n v="0"/>
    <n v="304.18"/>
    <n v="222.72"/>
    <s v="Profit"/>
    <x v="0"/>
    <n v="22"/>
    <n v="1"/>
    <s v="16-30"/>
    <s v="Yes"/>
    <n v="2"/>
    <s v="At Risk"/>
    <n v="1"/>
  </r>
  <r>
    <n v="102307"/>
    <d v="2025-10-01T00:00:00"/>
    <n v="1021"/>
    <x v="3"/>
    <x v="7"/>
    <x v="1"/>
    <x v="3"/>
    <x v="0"/>
    <s v="UPI"/>
    <n v="7.99"/>
    <n v="13.38"/>
    <x v="0"/>
    <n v="16.04"/>
    <n v="90.87"/>
    <n v="52.63"/>
    <n v="10.33"/>
    <n v="0.75"/>
    <n v="8.6300000000000008"/>
    <n v="0"/>
    <n v="0"/>
    <n v="72.34"/>
    <n v="18.53"/>
    <s v="Profit"/>
    <x v="0"/>
    <n v="5"/>
    <n v="2"/>
    <s v="0-15"/>
    <s v="No"/>
    <n v="1"/>
    <s v="Healthy"/>
    <n v="0"/>
  </r>
  <r>
    <n v="102308"/>
    <d v="2025-10-12T00:00:00"/>
    <n v="1117"/>
    <x v="2"/>
    <x v="12"/>
    <x v="3"/>
    <x v="0"/>
    <x v="1"/>
    <s v="UPI"/>
    <n v="37.01"/>
    <n v="19.04"/>
    <x v="4"/>
    <n v="35.229999999999997"/>
    <n v="669.44"/>
    <n v="317"/>
    <n v="10.24"/>
    <n v="4.93"/>
    <n v="6.97"/>
    <n v="0"/>
    <n v="0"/>
    <n v="339.14"/>
    <n v="330.3"/>
    <s v="Profit"/>
    <x v="0"/>
    <n v="5"/>
    <n v="5"/>
    <s v="0-15"/>
    <s v="No"/>
    <n v="1"/>
    <s v="Healthy"/>
    <n v="0"/>
  </r>
  <r>
    <n v="102309"/>
    <d v="2025-12-06T00:00:00"/>
    <n v="1084"/>
    <x v="0"/>
    <x v="6"/>
    <x v="2"/>
    <x v="3"/>
    <x v="0"/>
    <s v="UPI"/>
    <n v="20.49"/>
    <n v="13.17"/>
    <x v="1"/>
    <n v="53.97"/>
    <n v="215.88"/>
    <n v="158.12"/>
    <n v="8.36"/>
    <n v="1.89"/>
    <n v="1.07"/>
    <n v="0"/>
    <n v="0"/>
    <n v="169.44"/>
    <n v="46.44"/>
    <s v="Profit"/>
    <x v="0"/>
    <n v="0"/>
    <n v="18"/>
    <s v="0-15"/>
    <s v="Yes"/>
    <n v="3"/>
    <s v="At Risk"/>
    <n v="1"/>
  </r>
  <r>
    <n v="102310"/>
    <d v="2025-12-17T00:00:00"/>
    <n v="1144"/>
    <x v="0"/>
    <x v="6"/>
    <x v="3"/>
    <x v="2"/>
    <x v="0"/>
    <s v="Wallet"/>
    <n v="18.78"/>
    <n v="16.84"/>
    <x v="0"/>
    <n v="47.44"/>
    <n v="268.82"/>
    <n v="165.05"/>
    <n v="8.44"/>
    <n v="3.8"/>
    <n v="1.45"/>
    <n v="224.95"/>
    <n v="0"/>
    <n v="403.69"/>
    <n v="-134.87"/>
    <s v="Loss"/>
    <x v="1"/>
    <n v="3"/>
    <n v="20"/>
    <s v="0-15"/>
    <s v="Yes"/>
    <n v="1"/>
    <s v="At Risk"/>
    <n v="1"/>
  </r>
  <r>
    <n v="102311"/>
    <d v="2025-12-26T00:00:00"/>
    <n v="1089"/>
    <x v="3"/>
    <x v="14"/>
    <x v="4"/>
    <x v="1"/>
    <x v="2"/>
    <s v="Card"/>
    <n v="21.79"/>
    <n v="17.22"/>
    <x v="2"/>
    <n v="37.520000000000003"/>
    <n v="337.7"/>
    <n v="152.32"/>
    <n v="14.7"/>
    <n v="5.63"/>
    <n v="1.57"/>
    <n v="369.2"/>
    <n v="21.09"/>
    <n v="564.51"/>
    <n v="-226.81"/>
    <s v="Loss"/>
    <x v="1"/>
    <n v="0"/>
    <n v="13"/>
    <s v="0-15"/>
    <s v="Yes"/>
    <n v="1"/>
    <s v="At Risk"/>
    <n v="1"/>
  </r>
  <r>
    <n v="102312"/>
    <d v="2025-11-12T00:00:00"/>
    <n v="1138"/>
    <x v="1"/>
    <x v="3"/>
    <x v="2"/>
    <x v="3"/>
    <x v="0"/>
    <s v="Card"/>
    <n v="24.63"/>
    <n v="13.04"/>
    <x v="0"/>
    <n v="48.18"/>
    <n v="273"/>
    <n v="203.51"/>
    <n v="10.55"/>
    <n v="4.82"/>
    <n v="8.48"/>
    <n v="0"/>
    <n v="0"/>
    <n v="227.36"/>
    <n v="45.64"/>
    <s v="Profit"/>
    <x v="0"/>
    <n v="3"/>
    <n v="21"/>
    <s v="0-15"/>
    <s v="Yes"/>
    <n v="4"/>
    <s v="At Risk"/>
    <n v="1"/>
  </r>
  <r>
    <n v="102313"/>
    <d v="2025-11-19T00:00:00"/>
    <n v="1022"/>
    <x v="2"/>
    <x v="5"/>
    <x v="1"/>
    <x v="1"/>
    <x v="2"/>
    <s v="UPI"/>
    <n v="33.880000000000003"/>
    <n v="15.4"/>
    <x v="4"/>
    <n v="26.09"/>
    <n v="495.66"/>
    <n v="265.72000000000003"/>
    <n v="5.19"/>
    <n v="3.65"/>
    <n v="4.4000000000000004"/>
    <n v="0"/>
    <n v="0"/>
    <n v="278.95999999999998"/>
    <n v="216.7"/>
    <s v="Profit"/>
    <x v="0"/>
    <n v="7"/>
    <n v="8"/>
    <s v="0-15"/>
    <s v="No"/>
    <n v="0"/>
    <s v="Healthy"/>
    <n v="0"/>
  </r>
  <r>
    <n v="102314"/>
    <d v="2025-12-26T00:00:00"/>
    <n v="1049"/>
    <x v="1"/>
    <x v="3"/>
    <x v="2"/>
    <x v="1"/>
    <x v="2"/>
    <s v="UPI"/>
    <n v="31.89"/>
    <n v="15.26"/>
    <x v="4"/>
    <n v="24.33"/>
    <n v="462.31"/>
    <n v="207.71"/>
    <n v="6.19"/>
    <n v="3.41"/>
    <n v="2.85"/>
    <n v="0"/>
    <n v="0"/>
    <n v="220.16"/>
    <n v="242.15"/>
    <s v="Profit"/>
    <x v="0"/>
    <n v="1"/>
    <n v="6"/>
    <s v="0-15"/>
    <s v="No"/>
    <n v="0"/>
    <s v="Healthy"/>
    <n v="0"/>
  </r>
  <r>
    <n v="102315"/>
    <d v="2025-10-22T00:00:00"/>
    <n v="1069"/>
    <x v="1"/>
    <x v="4"/>
    <x v="3"/>
    <x v="3"/>
    <x v="2"/>
    <s v="Card"/>
    <n v="26.5"/>
    <n v="11.97"/>
    <x v="0"/>
    <n v="47.58"/>
    <n v="269.63"/>
    <n v="228.23"/>
    <n v="7.99"/>
    <n v="4.76"/>
    <n v="3.74"/>
    <n v="0"/>
    <n v="0"/>
    <n v="244.72"/>
    <n v="24.91"/>
    <s v="Profit"/>
    <x v="0"/>
    <n v="33"/>
    <n v="17"/>
    <s v="30+"/>
    <s v="Yes"/>
    <n v="3"/>
    <s v="At Risk"/>
    <n v="1"/>
  </r>
  <r>
    <n v="102316"/>
    <d v="2025-10-22T00:00:00"/>
    <n v="1073"/>
    <x v="1"/>
    <x v="3"/>
    <x v="4"/>
    <x v="1"/>
    <x v="2"/>
    <s v="Card"/>
    <n v="29.95"/>
    <n v="15.4"/>
    <x v="3"/>
    <n v="0"/>
    <n v="461.23"/>
    <n v="273.18"/>
    <n v="5.24"/>
    <n v="6.92"/>
    <n v="4.4000000000000004"/>
    <n v="0"/>
    <n v="0"/>
    <n v="289.74"/>
    <n v="171.49"/>
    <s v="Profit"/>
    <x v="0"/>
    <n v="5"/>
    <n v="13"/>
    <s v="0-15"/>
    <s v="No"/>
    <n v="2"/>
    <s v="Healthy"/>
    <n v="0"/>
  </r>
  <r>
    <n v="102317"/>
    <d v="2025-10-03T00:00:00"/>
    <n v="1124"/>
    <x v="3"/>
    <x v="8"/>
    <x v="1"/>
    <x v="2"/>
    <x v="0"/>
    <s v="UPI"/>
    <n v="28.15"/>
    <n v="17.670000000000002"/>
    <x v="1"/>
    <n v="99.48"/>
    <n v="397.93"/>
    <n v="197.4"/>
    <n v="7.18"/>
    <n v="3.48"/>
    <n v="4.5"/>
    <n v="0"/>
    <n v="0"/>
    <n v="212.56"/>
    <n v="185.37"/>
    <s v="Profit"/>
    <x v="0"/>
    <n v="4"/>
    <n v="37"/>
    <s v="0-15"/>
    <s v="Yes"/>
    <n v="2"/>
    <s v="At Risk"/>
    <n v="1"/>
  </r>
  <r>
    <n v="102318"/>
    <d v="2025-11-18T00:00:00"/>
    <n v="1083"/>
    <x v="1"/>
    <x v="13"/>
    <x v="1"/>
    <x v="3"/>
    <x v="2"/>
    <s v="UPI"/>
    <n v="15.35"/>
    <n v="11.66"/>
    <x v="2"/>
    <n v="17.899999999999999"/>
    <n v="161.08000000000001"/>
    <n v="137.38"/>
    <n v="6.49"/>
    <n v="1.25"/>
    <n v="6.15"/>
    <n v="0"/>
    <n v="0"/>
    <n v="151.27000000000001"/>
    <n v="9.81"/>
    <s v="Profit"/>
    <x v="0"/>
    <n v="3"/>
    <n v="6"/>
    <s v="0-15"/>
    <s v="No"/>
    <n v="0"/>
    <s v="Healthy"/>
    <n v="0"/>
  </r>
  <r>
    <n v="102319"/>
    <d v="2025-12-22T00:00:00"/>
    <n v="1096"/>
    <x v="2"/>
    <x v="9"/>
    <x v="0"/>
    <x v="1"/>
    <x v="0"/>
    <s v="UPI"/>
    <n v="32.79"/>
    <n v="14.82"/>
    <x v="3"/>
    <n v="0"/>
    <n v="485.95"/>
    <n v="225.94"/>
    <n v="7.27"/>
    <n v="3.4"/>
    <n v="7.05"/>
    <n v="0"/>
    <n v="0"/>
    <n v="243.66"/>
    <n v="242.29"/>
    <s v="Profit"/>
    <x v="0"/>
    <n v="6"/>
    <n v="2"/>
    <s v="0-15"/>
    <s v="No"/>
    <n v="0"/>
    <s v="Healthy"/>
    <n v="0"/>
  </r>
  <r>
    <n v="102320"/>
    <d v="2025-11-11T00:00:00"/>
    <n v="1015"/>
    <x v="0"/>
    <x v="11"/>
    <x v="2"/>
    <x v="1"/>
    <x v="0"/>
    <s v="UPI"/>
    <n v="26.58"/>
    <n v="15.54"/>
    <x v="3"/>
    <n v="0"/>
    <n v="413.05"/>
    <n v="250.83"/>
    <n v="13.03"/>
    <n v="2.89"/>
    <n v="2.57"/>
    <n v="0"/>
    <n v="0"/>
    <n v="269.32"/>
    <n v="143.72999999999999"/>
    <s v="Profit"/>
    <x v="0"/>
    <n v="3"/>
    <n v="11"/>
    <s v="0-15"/>
    <s v="No"/>
    <n v="0"/>
    <s v="Healthy"/>
    <n v="0"/>
  </r>
  <r>
    <n v="102321"/>
    <d v="2025-10-03T00:00:00"/>
    <n v="1078"/>
    <x v="3"/>
    <x v="8"/>
    <x v="0"/>
    <x v="2"/>
    <x v="1"/>
    <s v="UPI"/>
    <n v="18.61"/>
    <n v="16.45"/>
    <x v="2"/>
    <n v="30.61"/>
    <n v="275.52"/>
    <n v="132.4"/>
    <n v="13.8"/>
    <n v="2.14"/>
    <n v="3.76"/>
    <n v="0"/>
    <n v="0"/>
    <n v="152.1"/>
    <n v="123.42"/>
    <s v="Profit"/>
    <x v="0"/>
    <n v="7"/>
    <n v="31"/>
    <s v="0-15"/>
    <s v="Yes"/>
    <n v="1"/>
    <s v="At Risk"/>
    <n v="1"/>
  </r>
  <r>
    <n v="102322"/>
    <d v="2025-10-12T00:00:00"/>
    <n v="1025"/>
    <x v="2"/>
    <x v="12"/>
    <x v="0"/>
    <x v="1"/>
    <x v="0"/>
    <s v="UPI"/>
    <n v="34.590000000000003"/>
    <n v="15.29"/>
    <x v="3"/>
    <n v="0"/>
    <n v="528.88"/>
    <n v="201.85"/>
    <n v="7.91"/>
    <n v="3.7"/>
    <n v="7.34"/>
    <n v="0"/>
    <n v="0"/>
    <n v="220.8"/>
    <n v="308.08"/>
    <s v="Profit"/>
    <x v="0"/>
    <n v="6"/>
    <n v="7"/>
    <s v="0-15"/>
    <s v="No"/>
    <n v="2"/>
    <s v="Healthy"/>
    <n v="0"/>
  </r>
  <r>
    <n v="102323"/>
    <d v="2025-11-18T00:00:00"/>
    <n v="1150"/>
    <x v="2"/>
    <x v="12"/>
    <x v="1"/>
    <x v="3"/>
    <x v="1"/>
    <s v="Wallet"/>
    <n v="9.15"/>
    <n v="12.83"/>
    <x v="4"/>
    <n v="5.87"/>
    <n v="111.52"/>
    <n v="67.37"/>
    <n v="8.02"/>
    <n v="1.41"/>
    <n v="0.53"/>
    <n v="0"/>
    <n v="0"/>
    <n v="77.33"/>
    <n v="34.19"/>
    <s v="Profit"/>
    <x v="0"/>
    <n v="2"/>
    <n v="8"/>
    <s v="0-15"/>
    <s v="No"/>
    <n v="0"/>
    <s v="Healthy"/>
    <n v="0"/>
  </r>
  <r>
    <n v="102324"/>
    <d v="2025-12-23T00:00:00"/>
    <n v="1071"/>
    <x v="1"/>
    <x v="4"/>
    <x v="2"/>
    <x v="3"/>
    <x v="0"/>
    <s v="Fleet_Invoice"/>
    <n v="3"/>
    <n v="11.84"/>
    <x v="1"/>
    <n v="7.1"/>
    <n v="28.42"/>
    <n v="21.39"/>
    <n v="6.87"/>
    <n v="0.14000000000000001"/>
    <n v="2.1"/>
    <n v="0"/>
    <n v="0"/>
    <n v="30.5"/>
    <n v="-2.08"/>
    <s v="Loss"/>
    <x v="0"/>
    <n v="4"/>
    <n v="3"/>
    <s v="0-15"/>
    <s v="No"/>
    <n v="0"/>
    <s v="Healthy"/>
    <n v="0"/>
  </r>
  <r>
    <n v="102325"/>
    <d v="2025-10-03T00:00:00"/>
    <n v="1011"/>
    <x v="0"/>
    <x v="1"/>
    <x v="0"/>
    <x v="3"/>
    <x v="0"/>
    <s v="UPI"/>
    <n v="21.54"/>
    <n v="12.32"/>
    <x v="3"/>
    <n v="0"/>
    <n v="265.37"/>
    <n v="146.66"/>
    <n v="6.25"/>
    <n v="1.86"/>
    <n v="10.66"/>
    <n v="0"/>
    <n v="0"/>
    <n v="165.43"/>
    <n v="99.94"/>
    <s v="Profit"/>
    <x v="0"/>
    <n v="4"/>
    <n v="5"/>
    <s v="0-15"/>
    <s v="No"/>
    <n v="0"/>
    <s v="Healthy"/>
    <n v="0"/>
  </r>
  <r>
    <n v="102326"/>
    <d v="2025-11-27T00:00:00"/>
    <n v="1113"/>
    <x v="2"/>
    <x v="10"/>
    <x v="4"/>
    <x v="3"/>
    <x v="0"/>
    <s v="Wallet"/>
    <n v="8.18"/>
    <n v="13.75"/>
    <x v="3"/>
    <n v="0"/>
    <n v="112.48"/>
    <n v="58.29"/>
    <n v="7.05"/>
    <n v="1.35"/>
    <n v="7.93"/>
    <n v="0"/>
    <n v="0"/>
    <n v="74.62"/>
    <n v="37.86"/>
    <s v="Profit"/>
    <x v="0"/>
    <n v="21"/>
    <n v="3"/>
    <s v="16-30"/>
    <s v="Yes"/>
    <n v="1"/>
    <s v="At Risk"/>
    <n v="1"/>
  </r>
  <r>
    <n v="102327"/>
    <d v="2025-11-26T00:00:00"/>
    <n v="1105"/>
    <x v="1"/>
    <x v="13"/>
    <x v="3"/>
    <x v="3"/>
    <x v="2"/>
    <s v="UPI"/>
    <n v="19.22"/>
    <n v="12.01"/>
    <x v="4"/>
    <n v="11.54"/>
    <n v="219.29"/>
    <n v="165.85"/>
    <n v="13.54"/>
    <n v="1.62"/>
    <n v="2.12"/>
    <n v="127.12"/>
    <n v="5.58"/>
    <n v="315.83"/>
    <n v="-96.54"/>
    <s v="Loss"/>
    <x v="2"/>
    <n v="15"/>
    <n v="7"/>
    <s v="0-15"/>
    <s v="No"/>
    <n v="1"/>
    <s v="At Risk"/>
    <n v="0"/>
  </r>
  <r>
    <n v="102328"/>
    <d v="2025-11-02T00:00:00"/>
    <n v="1127"/>
    <x v="2"/>
    <x v="10"/>
    <x v="4"/>
    <x v="3"/>
    <x v="2"/>
    <s v="UPI"/>
    <n v="5.77"/>
    <n v="11.62"/>
    <x v="3"/>
    <n v="0"/>
    <n v="67.05"/>
    <n v="42.8"/>
    <n v="10.77"/>
    <n v="0.47"/>
    <n v="8.92"/>
    <n v="0"/>
    <n v="0"/>
    <n v="62.96"/>
    <n v="4.09"/>
    <s v="Profit"/>
    <x v="0"/>
    <n v="1"/>
    <n v="1"/>
    <s v="0-15"/>
    <s v="No"/>
    <n v="0"/>
    <s v="Healthy"/>
    <n v="0"/>
  </r>
  <r>
    <n v="102329"/>
    <d v="2025-10-16T00:00:00"/>
    <n v="1012"/>
    <x v="0"/>
    <x v="11"/>
    <x v="1"/>
    <x v="0"/>
    <x v="0"/>
    <s v="Wallet"/>
    <n v="29.18"/>
    <n v="19.41"/>
    <x v="2"/>
    <n v="56.64"/>
    <n v="509.74"/>
    <n v="235.99"/>
    <n v="4.1500000000000004"/>
    <n v="6.8"/>
    <n v="5.5"/>
    <n v="0"/>
    <n v="0"/>
    <n v="252.44"/>
    <n v="257.3"/>
    <s v="Profit"/>
    <x v="0"/>
    <n v="32"/>
    <n v="0"/>
    <s v="30+"/>
    <s v="Yes"/>
    <n v="1"/>
    <s v="At Risk"/>
    <n v="1"/>
  </r>
  <r>
    <n v="102330"/>
    <d v="2025-12-15T00:00:00"/>
    <n v="1114"/>
    <x v="3"/>
    <x v="8"/>
    <x v="4"/>
    <x v="3"/>
    <x v="0"/>
    <s v="UPI"/>
    <n v="11.6"/>
    <n v="11.52"/>
    <x v="3"/>
    <n v="0"/>
    <n v="133.63"/>
    <n v="79.709999999999994"/>
    <n v="9.7100000000000009"/>
    <n v="0.94"/>
    <n v="11.91"/>
    <n v="0"/>
    <n v="0"/>
    <n v="102.27"/>
    <n v="31.36"/>
    <s v="Profit"/>
    <x v="0"/>
    <n v="22"/>
    <n v="17"/>
    <s v="16-30"/>
    <s v="Yes"/>
    <n v="1"/>
    <s v="At Risk"/>
    <n v="1"/>
  </r>
  <r>
    <n v="102331"/>
    <d v="2025-10-22T00:00:00"/>
    <n v="1119"/>
    <x v="0"/>
    <x v="0"/>
    <x v="3"/>
    <x v="1"/>
    <x v="0"/>
    <s v="Fleet_Invoice"/>
    <n v="19.61"/>
    <n v="15.6"/>
    <x v="3"/>
    <n v="0"/>
    <n v="305.92"/>
    <n v="146.91"/>
    <n v="13.49"/>
    <n v="1.22"/>
    <n v="2.08"/>
    <n v="0"/>
    <n v="0"/>
    <n v="163.69999999999999"/>
    <n v="142.22"/>
    <s v="Profit"/>
    <x v="0"/>
    <n v="3"/>
    <n v="4"/>
    <s v="0-15"/>
    <s v="No"/>
    <n v="0"/>
    <s v="Healthy"/>
    <n v="0"/>
  </r>
  <r>
    <n v="102332"/>
    <d v="2025-12-21T00:00:00"/>
    <n v="1144"/>
    <x v="0"/>
    <x v="11"/>
    <x v="3"/>
    <x v="3"/>
    <x v="0"/>
    <s v="Wallet"/>
    <n v="18.850000000000001"/>
    <n v="12.31"/>
    <x v="0"/>
    <n v="34.81"/>
    <n v="197.23"/>
    <n v="138.36000000000001"/>
    <n v="8.0299999999999994"/>
    <n v="2.78"/>
    <n v="5.74"/>
    <n v="0"/>
    <n v="0"/>
    <n v="154.91"/>
    <n v="42.32"/>
    <s v="Profit"/>
    <x v="0"/>
    <n v="18"/>
    <n v="19"/>
    <s v="16-30"/>
    <s v="Yes"/>
    <n v="2"/>
    <s v="At Risk"/>
    <n v="1"/>
  </r>
  <r>
    <n v="102333"/>
    <d v="2025-10-25T00:00:00"/>
    <n v="1095"/>
    <x v="2"/>
    <x v="9"/>
    <x v="0"/>
    <x v="2"/>
    <x v="1"/>
    <s v="UPI"/>
    <n v="36.74"/>
    <n v="17.149999999999999"/>
    <x v="1"/>
    <n v="126.02"/>
    <n v="504.07"/>
    <n v="287.23"/>
    <n v="8.1199999999999992"/>
    <n v="4.41"/>
    <n v="12.58"/>
    <n v="0"/>
    <n v="0"/>
    <n v="312.33999999999997"/>
    <n v="191.73"/>
    <s v="Profit"/>
    <x v="0"/>
    <n v="27"/>
    <n v="9"/>
    <s v="16-30"/>
    <s v="Yes"/>
    <n v="1"/>
    <s v="At Risk"/>
    <n v="1"/>
  </r>
  <r>
    <n v="102334"/>
    <d v="2025-11-20T00:00:00"/>
    <n v="1079"/>
    <x v="3"/>
    <x v="7"/>
    <x v="1"/>
    <x v="0"/>
    <x v="0"/>
    <s v="UPI"/>
    <n v="22.7"/>
    <n v="18.53"/>
    <x v="2"/>
    <n v="42.06"/>
    <n v="378.57"/>
    <n v="213.45"/>
    <n v="6.46"/>
    <n v="2.94"/>
    <n v="1.57"/>
    <n v="0"/>
    <n v="0"/>
    <n v="224.42"/>
    <n v="154.15"/>
    <s v="Profit"/>
    <x v="0"/>
    <n v="9"/>
    <n v="6"/>
    <s v="0-15"/>
    <s v="No"/>
    <n v="0"/>
    <s v="Healthy"/>
    <n v="0"/>
  </r>
  <r>
    <n v="102335"/>
    <d v="2025-11-19T00:00:00"/>
    <n v="1116"/>
    <x v="2"/>
    <x v="9"/>
    <x v="2"/>
    <x v="3"/>
    <x v="0"/>
    <s v="UPI"/>
    <n v="22.95"/>
    <n v="11.95"/>
    <x v="2"/>
    <n v="27.42"/>
    <n v="246.83"/>
    <n v="149.88"/>
    <n v="10.35"/>
    <n v="1.92"/>
    <n v="9.3800000000000008"/>
    <n v="0"/>
    <n v="0"/>
    <n v="171.53"/>
    <n v="75.3"/>
    <s v="Profit"/>
    <x v="0"/>
    <n v="2"/>
    <n v="51"/>
    <s v="0-15"/>
    <s v="Yes"/>
    <n v="1"/>
    <s v="At Risk"/>
    <n v="1"/>
  </r>
  <r>
    <n v="102336"/>
    <d v="2025-10-08T00:00:00"/>
    <n v="1019"/>
    <x v="0"/>
    <x v="6"/>
    <x v="4"/>
    <x v="1"/>
    <x v="0"/>
    <s v="Card"/>
    <n v="36.51"/>
    <n v="15.39"/>
    <x v="4"/>
    <n v="28.09"/>
    <n v="533.79999999999995"/>
    <n v="214.16"/>
    <n v="6.26"/>
    <n v="8.43"/>
    <n v="7.05"/>
    <n v="453.34"/>
    <n v="0"/>
    <n v="689.24"/>
    <n v="-155.44"/>
    <s v="Loss"/>
    <x v="2"/>
    <n v="4"/>
    <n v="2"/>
    <s v="0-15"/>
    <s v="No"/>
    <n v="3"/>
    <s v="At Risk"/>
    <n v="0"/>
  </r>
  <r>
    <n v="102337"/>
    <d v="2025-12-08T00:00:00"/>
    <n v="1065"/>
    <x v="0"/>
    <x v="6"/>
    <x v="4"/>
    <x v="0"/>
    <x v="1"/>
    <s v="UPI"/>
    <n v="35.61"/>
    <n v="21.54"/>
    <x v="3"/>
    <n v="0"/>
    <n v="767.04"/>
    <n v="214.54"/>
    <n v="8.73"/>
    <n v="5.37"/>
    <n v="10.86"/>
    <n v="0"/>
    <n v="0"/>
    <n v="239.5"/>
    <n v="527.54"/>
    <s v="Profit"/>
    <x v="0"/>
    <n v="1"/>
    <n v="9"/>
    <s v="0-15"/>
    <s v="No"/>
    <n v="0"/>
    <s v="Healthy"/>
    <n v="0"/>
  </r>
  <r>
    <n v="102338"/>
    <d v="2025-11-15T00:00:00"/>
    <n v="1014"/>
    <x v="3"/>
    <x v="15"/>
    <x v="4"/>
    <x v="2"/>
    <x v="2"/>
    <s v="Wallet"/>
    <n v="36.590000000000003"/>
    <n v="18"/>
    <x v="2"/>
    <n v="65.86"/>
    <n v="592.76"/>
    <n v="249.9"/>
    <n v="11.48"/>
    <n v="7.9"/>
    <n v="7.67"/>
    <n v="0"/>
    <n v="0"/>
    <n v="276.95"/>
    <n v="315.81"/>
    <s v="Profit"/>
    <x v="0"/>
    <n v="0"/>
    <n v="20"/>
    <s v="0-15"/>
    <s v="Yes"/>
    <n v="2"/>
    <s v="At Risk"/>
    <n v="1"/>
  </r>
  <r>
    <n v="102339"/>
    <d v="2025-11-28T00:00:00"/>
    <n v="1094"/>
    <x v="3"/>
    <x v="7"/>
    <x v="0"/>
    <x v="3"/>
    <x v="0"/>
    <s v="Wallet"/>
    <n v="15.84"/>
    <n v="12.54"/>
    <x v="3"/>
    <n v="0"/>
    <n v="198.63"/>
    <n v="103.56"/>
    <n v="2.2799999999999998"/>
    <n v="2.38"/>
    <n v="0.61"/>
    <n v="0"/>
    <n v="0"/>
    <n v="108.83"/>
    <n v="89.8"/>
    <s v="Profit"/>
    <x v="0"/>
    <n v="5"/>
    <n v="17"/>
    <s v="0-15"/>
    <s v="Yes"/>
    <n v="1"/>
    <s v="At Risk"/>
    <n v="1"/>
  </r>
  <r>
    <n v="102340"/>
    <d v="2025-10-20T00:00:00"/>
    <n v="1146"/>
    <x v="2"/>
    <x v="10"/>
    <x v="4"/>
    <x v="3"/>
    <x v="0"/>
    <s v="Wallet"/>
    <n v="20.11"/>
    <n v="13.09"/>
    <x v="2"/>
    <n v="26.32"/>
    <n v="236.92"/>
    <n v="145.94"/>
    <n v="9.5299999999999994"/>
    <n v="3.16"/>
    <n v="8.0500000000000007"/>
    <n v="0"/>
    <n v="0"/>
    <n v="166.68"/>
    <n v="70.239999999999995"/>
    <s v="Profit"/>
    <x v="0"/>
    <n v="4"/>
    <n v="7"/>
    <s v="0-15"/>
    <s v="No"/>
    <n v="1"/>
    <s v="Healthy"/>
    <n v="0"/>
  </r>
  <r>
    <n v="102341"/>
    <d v="2025-11-05T00:00:00"/>
    <n v="1049"/>
    <x v="0"/>
    <x v="1"/>
    <x v="1"/>
    <x v="3"/>
    <x v="2"/>
    <s v="UPI"/>
    <n v="10.85"/>
    <n v="12.81"/>
    <x v="2"/>
    <n v="13.9"/>
    <n v="125.09"/>
    <n v="77.739999999999995"/>
    <n v="9.73"/>
    <n v="0.97"/>
    <n v="2.0699999999999998"/>
    <n v="0"/>
    <n v="0"/>
    <n v="90.51"/>
    <n v="34.58"/>
    <s v="Profit"/>
    <x v="0"/>
    <n v="10"/>
    <n v="6"/>
    <s v="0-15"/>
    <s v="No"/>
    <n v="0"/>
    <s v="Healthy"/>
    <n v="0"/>
  </r>
  <r>
    <n v="102342"/>
    <d v="2025-11-19T00:00:00"/>
    <n v="1079"/>
    <x v="0"/>
    <x v="1"/>
    <x v="0"/>
    <x v="3"/>
    <x v="1"/>
    <s v="Fleet_Invoice"/>
    <n v="7.16"/>
    <n v="12.55"/>
    <x v="4"/>
    <n v="4.49"/>
    <n v="85.37"/>
    <n v="51.16"/>
    <n v="7.3"/>
    <n v="0.36"/>
    <n v="0"/>
    <n v="0"/>
    <n v="0"/>
    <n v="58.82"/>
    <n v="26.55"/>
    <s v="Profit"/>
    <x v="0"/>
    <n v="10"/>
    <n v="3"/>
    <s v="0-15"/>
    <s v="No"/>
    <n v="0"/>
    <s v="Healthy"/>
    <n v="0"/>
  </r>
  <r>
    <n v="102343"/>
    <d v="2025-12-16T00:00:00"/>
    <n v="1054"/>
    <x v="2"/>
    <x v="12"/>
    <x v="0"/>
    <x v="0"/>
    <x v="0"/>
    <s v="UPI"/>
    <n v="21.37"/>
    <n v="19.66"/>
    <x v="2"/>
    <n v="42.01"/>
    <n v="378.12"/>
    <n v="146.52000000000001"/>
    <n v="13.3"/>
    <n v="2.94"/>
    <n v="9.1300000000000008"/>
    <n v="0"/>
    <n v="0"/>
    <n v="171.89"/>
    <n v="206.23"/>
    <s v="Profit"/>
    <x v="0"/>
    <n v="22"/>
    <n v="9"/>
    <s v="16-30"/>
    <s v="Yes"/>
    <n v="1"/>
    <s v="At Risk"/>
    <n v="1"/>
  </r>
  <r>
    <n v="102344"/>
    <d v="2025-11-10T00:00:00"/>
    <n v="1139"/>
    <x v="3"/>
    <x v="14"/>
    <x v="0"/>
    <x v="1"/>
    <x v="1"/>
    <s v="Wallet"/>
    <n v="29.55"/>
    <n v="15.88"/>
    <x v="2"/>
    <n v="46.92"/>
    <n v="422.33"/>
    <n v="221.54"/>
    <n v="7.34"/>
    <n v="5.63"/>
    <n v="6.17"/>
    <n v="0"/>
    <n v="0"/>
    <n v="240.68"/>
    <n v="181.65"/>
    <s v="Profit"/>
    <x v="0"/>
    <n v="5"/>
    <n v="2"/>
    <s v="0-15"/>
    <s v="No"/>
    <n v="0"/>
    <s v="Healthy"/>
    <n v="0"/>
  </r>
  <r>
    <n v="102345"/>
    <d v="2025-10-05T00:00:00"/>
    <n v="1005"/>
    <x v="0"/>
    <x v="11"/>
    <x v="3"/>
    <x v="1"/>
    <x v="0"/>
    <s v="Card"/>
    <n v="37.56"/>
    <n v="14.79"/>
    <x v="2"/>
    <n v="55.55"/>
    <n v="499.96"/>
    <n v="282.37"/>
    <n v="9.4600000000000009"/>
    <n v="8.33"/>
    <n v="3.49"/>
    <n v="0"/>
    <n v="0"/>
    <n v="303.64999999999998"/>
    <n v="196.31"/>
    <s v="Profit"/>
    <x v="0"/>
    <n v="65"/>
    <n v="20"/>
    <s v="30+"/>
    <s v="Yes"/>
    <n v="2"/>
    <s v="At Risk"/>
    <n v="1"/>
  </r>
  <r>
    <n v="102346"/>
    <d v="2025-10-19T00:00:00"/>
    <n v="1092"/>
    <x v="1"/>
    <x v="13"/>
    <x v="3"/>
    <x v="3"/>
    <x v="0"/>
    <s v="Wallet"/>
    <n v="20.22"/>
    <n v="12.89"/>
    <x v="3"/>
    <n v="0"/>
    <n v="260.64"/>
    <n v="115.83"/>
    <n v="10.6"/>
    <n v="3.13"/>
    <n v="7.42"/>
    <n v="0"/>
    <n v="0"/>
    <n v="136.97999999999999"/>
    <n v="123.66"/>
    <s v="Profit"/>
    <x v="0"/>
    <n v="8"/>
    <n v="8"/>
    <s v="0-15"/>
    <s v="No"/>
    <n v="0"/>
    <s v="Healthy"/>
    <n v="0"/>
  </r>
  <r>
    <n v="102347"/>
    <d v="2025-11-01T00:00:00"/>
    <n v="1113"/>
    <x v="2"/>
    <x v="9"/>
    <x v="3"/>
    <x v="1"/>
    <x v="0"/>
    <s v="UPI"/>
    <n v="35.049999999999997"/>
    <n v="15.21"/>
    <x v="2"/>
    <n v="53.31"/>
    <n v="479.8"/>
    <n v="248.46"/>
    <n v="6.76"/>
    <n v="3.73"/>
    <n v="8.86"/>
    <n v="0"/>
    <n v="0"/>
    <n v="267.81"/>
    <n v="211.99"/>
    <s v="Profit"/>
    <x v="0"/>
    <n v="4"/>
    <n v="8"/>
    <s v="0-15"/>
    <s v="No"/>
    <n v="0"/>
    <s v="Healthy"/>
    <n v="0"/>
  </r>
  <r>
    <n v="102348"/>
    <d v="2025-11-16T00:00:00"/>
    <n v="1094"/>
    <x v="1"/>
    <x v="4"/>
    <x v="2"/>
    <x v="1"/>
    <x v="1"/>
    <s v="Wallet"/>
    <n v="34.54"/>
    <n v="14.96"/>
    <x v="3"/>
    <n v="0"/>
    <n v="516.72"/>
    <n v="273.41000000000003"/>
    <n v="12.28"/>
    <n v="6.2"/>
    <n v="0"/>
    <n v="0"/>
    <n v="0"/>
    <n v="291.89"/>
    <n v="224.83"/>
    <s v="Profit"/>
    <x v="0"/>
    <n v="5"/>
    <n v="2"/>
    <s v="0-15"/>
    <s v="No"/>
    <n v="0"/>
    <s v="Healthy"/>
    <n v="0"/>
  </r>
  <r>
    <n v="102349"/>
    <d v="2025-12-12T00:00:00"/>
    <n v="1124"/>
    <x v="2"/>
    <x v="10"/>
    <x v="3"/>
    <x v="3"/>
    <x v="0"/>
    <s v="UPI"/>
    <n v="20.37"/>
    <n v="14.1"/>
    <x v="0"/>
    <n v="43.08"/>
    <n v="244.14"/>
    <n v="141.65"/>
    <n v="6.81"/>
    <n v="2.0099999999999998"/>
    <n v="0"/>
    <n v="0"/>
    <n v="0"/>
    <n v="150.47"/>
    <n v="93.67"/>
    <s v="Profit"/>
    <x v="0"/>
    <n v="15"/>
    <n v="5"/>
    <s v="0-15"/>
    <s v="No"/>
    <n v="0"/>
    <s v="Healthy"/>
    <n v="0"/>
  </r>
  <r>
    <n v="102350"/>
    <d v="2025-10-31T00:00:00"/>
    <n v="1007"/>
    <x v="2"/>
    <x v="10"/>
    <x v="1"/>
    <x v="0"/>
    <x v="2"/>
    <s v="Fleet_Invoice"/>
    <n v="35.909999999999997"/>
    <n v="19.48"/>
    <x v="3"/>
    <n v="0"/>
    <n v="699.53"/>
    <n v="294"/>
    <n v="5.58"/>
    <n v="2.8"/>
    <n v="5.9"/>
    <n v="596.67999999999995"/>
    <n v="5.03"/>
    <n v="909.99"/>
    <n v="-210.46"/>
    <s v="Loss"/>
    <x v="1"/>
    <n v="6"/>
    <n v="0"/>
    <s v="0-15"/>
    <s v="Yes"/>
    <n v="1"/>
    <s v="At Risk"/>
    <n v="1"/>
  </r>
  <r>
    <n v="102351"/>
    <d v="2025-11-25T00:00:00"/>
    <n v="1034"/>
    <x v="3"/>
    <x v="8"/>
    <x v="3"/>
    <x v="0"/>
    <x v="2"/>
    <s v="Wallet"/>
    <n v="32.72"/>
    <n v="19.16"/>
    <x v="4"/>
    <n v="31.35"/>
    <n v="595.57000000000005"/>
    <n v="210.65"/>
    <n v="12.35"/>
    <n v="7.52"/>
    <n v="6.23"/>
    <n v="0"/>
    <n v="0"/>
    <n v="236.75"/>
    <n v="358.82"/>
    <s v="Profit"/>
    <x v="0"/>
    <n v="0"/>
    <n v="1"/>
    <s v="0-15"/>
    <s v="No"/>
    <n v="0"/>
    <s v="Healthy"/>
    <n v="0"/>
  </r>
  <r>
    <n v="102352"/>
    <d v="2025-11-02T00:00:00"/>
    <n v="1037"/>
    <x v="0"/>
    <x v="11"/>
    <x v="1"/>
    <x v="1"/>
    <x v="2"/>
    <s v="Card"/>
    <n v="22.33"/>
    <n v="15.07"/>
    <x v="2"/>
    <n v="33.65"/>
    <n v="302.86"/>
    <n v="138.83000000000001"/>
    <n v="6.45"/>
    <n v="5.05"/>
    <n v="2.6"/>
    <n v="0"/>
    <n v="0"/>
    <n v="152.93"/>
    <n v="149.93"/>
    <s v="Profit"/>
    <x v="0"/>
    <n v="13"/>
    <n v="24"/>
    <s v="0-15"/>
    <s v="Yes"/>
    <n v="2"/>
    <s v="At Risk"/>
    <n v="1"/>
  </r>
  <r>
    <n v="102353"/>
    <d v="2025-12-19T00:00:00"/>
    <n v="1134"/>
    <x v="1"/>
    <x v="2"/>
    <x v="3"/>
    <x v="3"/>
    <x v="0"/>
    <s v="Wallet"/>
    <n v="22.64"/>
    <n v="12.87"/>
    <x v="0"/>
    <n v="43.71"/>
    <n v="247.67"/>
    <n v="171.17"/>
    <n v="5.47"/>
    <n v="3.5"/>
    <n v="2.61"/>
    <n v="0"/>
    <n v="0"/>
    <n v="182.75"/>
    <n v="64.92"/>
    <s v="Profit"/>
    <x v="0"/>
    <n v="5"/>
    <n v="11"/>
    <s v="0-15"/>
    <s v="No"/>
    <n v="0"/>
    <s v="Healthy"/>
    <n v="0"/>
  </r>
  <r>
    <n v="102354"/>
    <d v="2025-10-06T00:00:00"/>
    <n v="1143"/>
    <x v="1"/>
    <x v="4"/>
    <x v="2"/>
    <x v="3"/>
    <x v="0"/>
    <s v="Card"/>
    <n v="15.39"/>
    <n v="12.64"/>
    <x v="4"/>
    <n v="9.73"/>
    <n v="184.8"/>
    <n v="104.91"/>
    <n v="4.63"/>
    <n v="2.92"/>
    <n v="4.97"/>
    <n v="0"/>
    <n v="0"/>
    <n v="117.43"/>
    <n v="67.37"/>
    <s v="Profit"/>
    <x v="0"/>
    <n v="75"/>
    <n v="6"/>
    <s v="30+"/>
    <s v="Yes"/>
    <n v="4"/>
    <s v="At Risk"/>
    <n v="1"/>
  </r>
  <r>
    <n v="102355"/>
    <d v="2025-10-07T00:00:00"/>
    <n v="1067"/>
    <x v="0"/>
    <x v="0"/>
    <x v="4"/>
    <x v="3"/>
    <x v="0"/>
    <s v="Wallet"/>
    <n v="19.190000000000001"/>
    <n v="11.39"/>
    <x v="2"/>
    <n v="21.86"/>
    <n v="196.71"/>
    <n v="147.53"/>
    <n v="9.9600000000000009"/>
    <n v="2.62"/>
    <n v="7.69"/>
    <n v="177.03"/>
    <n v="0"/>
    <n v="344.83"/>
    <n v="-148.12"/>
    <s v="Loss"/>
    <x v="1"/>
    <n v="21"/>
    <n v="7"/>
    <s v="16-30"/>
    <s v="Yes"/>
    <n v="1"/>
    <s v="At Risk"/>
    <n v="1"/>
  </r>
  <r>
    <n v="102356"/>
    <d v="2025-10-06T00:00:00"/>
    <n v="1007"/>
    <x v="0"/>
    <x v="1"/>
    <x v="2"/>
    <x v="1"/>
    <x v="0"/>
    <s v="UPI"/>
    <n v="42.71"/>
    <n v="14.91"/>
    <x v="4"/>
    <n v="31.84"/>
    <n v="604.97"/>
    <n v="314.86"/>
    <n v="7.95"/>
    <n v="4.46"/>
    <n v="14.75"/>
    <n v="0"/>
    <n v="0"/>
    <n v="342.02"/>
    <n v="262.95"/>
    <s v="Profit"/>
    <x v="0"/>
    <n v="24"/>
    <n v="6"/>
    <s v="16-30"/>
    <s v="Yes"/>
    <n v="2"/>
    <s v="At Risk"/>
    <n v="1"/>
  </r>
  <r>
    <n v="102357"/>
    <d v="2025-12-05T00:00:00"/>
    <n v="1086"/>
    <x v="0"/>
    <x v="1"/>
    <x v="3"/>
    <x v="1"/>
    <x v="0"/>
    <s v="Wallet"/>
    <n v="30.58"/>
    <n v="16.440000000000001"/>
    <x v="4"/>
    <n v="25.14"/>
    <n v="477.6"/>
    <n v="249.97"/>
    <n v="11.86"/>
    <n v="6.03"/>
    <n v="4.54"/>
    <n v="0"/>
    <n v="0"/>
    <n v="272.39999999999998"/>
    <n v="205.2"/>
    <s v="Profit"/>
    <x v="0"/>
    <n v="7"/>
    <n v="7"/>
    <s v="0-15"/>
    <s v="No"/>
    <n v="0"/>
    <s v="Healthy"/>
    <n v="0"/>
  </r>
  <r>
    <n v="102358"/>
    <d v="2025-11-08T00:00:00"/>
    <n v="1015"/>
    <x v="0"/>
    <x v="11"/>
    <x v="2"/>
    <x v="3"/>
    <x v="0"/>
    <s v="Fleet_Invoice"/>
    <n v="4.9400000000000004"/>
    <n v="13"/>
    <x v="3"/>
    <n v="0"/>
    <n v="64.22"/>
    <n v="35.119999999999997"/>
    <n v="10.61"/>
    <n v="0.26"/>
    <n v="5.24"/>
    <n v="29.93"/>
    <n v="0"/>
    <n v="81.16"/>
    <n v="-16.940000000000001"/>
    <s v="Loss"/>
    <x v="2"/>
    <n v="6"/>
    <n v="0"/>
    <s v="0-15"/>
    <s v="No"/>
    <n v="1"/>
    <s v="At Risk"/>
    <n v="0"/>
  </r>
  <r>
    <n v="102359"/>
    <d v="2025-10-22T00:00:00"/>
    <n v="1054"/>
    <x v="2"/>
    <x v="12"/>
    <x v="2"/>
    <x v="3"/>
    <x v="0"/>
    <s v="UPI"/>
    <n v="20.38"/>
    <n v="11.96"/>
    <x v="0"/>
    <n v="36.56"/>
    <n v="207.18"/>
    <n v="133.86000000000001"/>
    <n v="8.9600000000000009"/>
    <n v="1.71"/>
    <n v="3.44"/>
    <n v="145.24"/>
    <n v="0"/>
    <n v="293.20999999999998"/>
    <n v="-86.03"/>
    <s v="Loss"/>
    <x v="1"/>
    <n v="13"/>
    <n v="3"/>
    <s v="0-15"/>
    <s v="Yes"/>
    <n v="3"/>
    <s v="At Risk"/>
    <n v="1"/>
  </r>
  <r>
    <n v="102360"/>
    <d v="2025-10-09T00:00:00"/>
    <n v="1032"/>
    <x v="0"/>
    <x v="1"/>
    <x v="4"/>
    <x v="3"/>
    <x v="1"/>
    <s v="Fleet_Invoice"/>
    <n v="11.28"/>
    <n v="12.63"/>
    <x v="3"/>
    <n v="0"/>
    <n v="142.47"/>
    <n v="78.45"/>
    <n v="9.26"/>
    <n v="0.56999999999999995"/>
    <n v="6.71"/>
    <n v="0"/>
    <n v="0"/>
    <n v="94.99"/>
    <n v="47.48"/>
    <s v="Profit"/>
    <x v="0"/>
    <n v="26"/>
    <n v="6"/>
    <s v="16-30"/>
    <s v="Yes"/>
    <n v="3"/>
    <s v="At Risk"/>
    <n v="1"/>
  </r>
  <r>
    <n v="102361"/>
    <d v="2025-11-15T00:00:00"/>
    <n v="1138"/>
    <x v="1"/>
    <x v="13"/>
    <x v="3"/>
    <x v="0"/>
    <x v="2"/>
    <s v="Wallet"/>
    <n v="36.94"/>
    <n v="18.5"/>
    <x v="2"/>
    <n v="68.34"/>
    <n v="615.04999999999995"/>
    <n v="247.46"/>
    <n v="8.9600000000000009"/>
    <n v="8.1999999999999993"/>
    <n v="10.97"/>
    <n v="0"/>
    <n v="0"/>
    <n v="275.58999999999997"/>
    <n v="339.46"/>
    <s v="Profit"/>
    <x v="0"/>
    <n v="9"/>
    <n v="6"/>
    <s v="0-15"/>
    <s v="No"/>
    <n v="2"/>
    <s v="Healthy"/>
    <n v="0"/>
  </r>
  <r>
    <n v="102362"/>
    <d v="2025-12-30T00:00:00"/>
    <n v="1069"/>
    <x v="1"/>
    <x v="4"/>
    <x v="4"/>
    <x v="1"/>
    <x v="1"/>
    <s v="Fleet_Invoice"/>
    <n v="29.11"/>
    <n v="15.42"/>
    <x v="2"/>
    <n v="44.89"/>
    <n v="403.99"/>
    <n v="220.73"/>
    <n v="4.8899999999999997"/>
    <n v="1.8"/>
    <n v="1.1499999999999999"/>
    <n v="0"/>
    <n v="0"/>
    <n v="228.57"/>
    <n v="175.42"/>
    <s v="Profit"/>
    <x v="0"/>
    <n v="14"/>
    <n v="3"/>
    <s v="0-15"/>
    <s v="No"/>
    <n v="0"/>
    <s v="Healthy"/>
    <n v="0"/>
  </r>
  <r>
    <n v="102363"/>
    <d v="2025-12-14T00:00:00"/>
    <n v="1142"/>
    <x v="2"/>
    <x v="12"/>
    <x v="2"/>
    <x v="1"/>
    <x v="0"/>
    <s v="UPI"/>
    <n v="20.36"/>
    <n v="15.06"/>
    <x v="3"/>
    <n v="0"/>
    <n v="306.62"/>
    <n v="163.57"/>
    <n v="5.13"/>
    <n v="2.15"/>
    <n v="2.94"/>
    <n v="0"/>
    <n v="0"/>
    <n v="173.79"/>
    <n v="132.83000000000001"/>
    <s v="Profit"/>
    <x v="0"/>
    <n v="4"/>
    <n v="31"/>
    <s v="0-15"/>
    <s v="Yes"/>
    <n v="1"/>
    <s v="At Risk"/>
    <n v="1"/>
  </r>
  <r>
    <n v="102364"/>
    <d v="2025-10-02T00:00:00"/>
    <n v="1105"/>
    <x v="0"/>
    <x v="6"/>
    <x v="2"/>
    <x v="0"/>
    <x v="2"/>
    <s v="Wallet"/>
    <n v="39.69"/>
    <n v="18.82"/>
    <x v="2"/>
    <n v="74.7"/>
    <n v="672.27"/>
    <n v="342.09"/>
    <n v="7.75"/>
    <n v="8.9600000000000009"/>
    <n v="7.4"/>
    <n v="0"/>
    <n v="0"/>
    <n v="366.2"/>
    <n v="306.07"/>
    <s v="Profit"/>
    <x v="0"/>
    <n v="19"/>
    <n v="8"/>
    <s v="16-30"/>
    <s v="No"/>
    <n v="0"/>
    <s v="Healthy"/>
    <n v="0"/>
  </r>
  <r>
    <n v="102365"/>
    <d v="2025-12-14T00:00:00"/>
    <n v="1012"/>
    <x v="1"/>
    <x v="4"/>
    <x v="0"/>
    <x v="1"/>
    <x v="0"/>
    <s v="UPI"/>
    <n v="33.44"/>
    <n v="15.37"/>
    <x v="3"/>
    <n v="0"/>
    <n v="513.97"/>
    <n v="225.54"/>
    <n v="8.93"/>
    <n v="3.6"/>
    <n v="2.78"/>
    <n v="0"/>
    <n v="0"/>
    <n v="240.85"/>
    <n v="273.12"/>
    <s v="Profit"/>
    <x v="0"/>
    <n v="6"/>
    <n v="12"/>
    <s v="0-15"/>
    <s v="No"/>
    <n v="0"/>
    <s v="Healthy"/>
    <n v="0"/>
  </r>
  <r>
    <n v="102366"/>
    <d v="2025-10-03T00:00:00"/>
    <n v="1117"/>
    <x v="1"/>
    <x v="13"/>
    <x v="3"/>
    <x v="3"/>
    <x v="0"/>
    <s v="UPI"/>
    <n v="19.190000000000001"/>
    <n v="12.43"/>
    <x v="4"/>
    <n v="11.93"/>
    <n v="226.6"/>
    <n v="143.34"/>
    <n v="6.07"/>
    <n v="1.67"/>
    <n v="16.52"/>
    <n v="0"/>
    <n v="0"/>
    <n v="167.6"/>
    <n v="59"/>
    <s v="Profit"/>
    <x v="0"/>
    <n v="10"/>
    <n v="21"/>
    <s v="0-15"/>
    <s v="Yes"/>
    <n v="2"/>
    <s v="At Risk"/>
    <n v="1"/>
  </r>
  <r>
    <n v="102367"/>
    <d v="2025-12-19T00:00:00"/>
    <n v="1143"/>
    <x v="2"/>
    <x v="12"/>
    <x v="4"/>
    <x v="0"/>
    <x v="0"/>
    <s v="UPI"/>
    <n v="22.46"/>
    <n v="19.71"/>
    <x v="3"/>
    <n v="0"/>
    <n v="442.69"/>
    <n v="151.32"/>
    <n v="12.36"/>
    <n v="3.1"/>
    <n v="0"/>
    <n v="0"/>
    <n v="0"/>
    <n v="166.78"/>
    <n v="275.91000000000003"/>
    <s v="Profit"/>
    <x v="0"/>
    <n v="17"/>
    <n v="3"/>
    <s v="16-30"/>
    <s v="No"/>
    <n v="0"/>
    <s v="Healthy"/>
    <n v="0"/>
  </r>
  <r>
    <n v="102368"/>
    <d v="2025-11-07T00:00:00"/>
    <n v="1076"/>
    <x v="2"/>
    <x v="10"/>
    <x v="1"/>
    <x v="2"/>
    <x v="0"/>
    <s v="UPI"/>
    <n v="52.2"/>
    <n v="20.010000000000002"/>
    <x v="4"/>
    <n v="52.23"/>
    <n v="992.29"/>
    <n v="346.07"/>
    <n v="11.14"/>
    <n v="7.31"/>
    <n v="4.2699999999999996"/>
    <n v="0"/>
    <n v="0"/>
    <n v="368.79"/>
    <n v="623.5"/>
    <s v="Profit"/>
    <x v="0"/>
    <n v="12"/>
    <n v="9"/>
    <s v="0-15"/>
    <s v="No"/>
    <n v="0"/>
    <s v="Healthy"/>
    <n v="0"/>
  </r>
  <r>
    <n v="102369"/>
    <d v="2025-11-07T00:00:00"/>
    <n v="1124"/>
    <x v="2"/>
    <x v="10"/>
    <x v="0"/>
    <x v="1"/>
    <x v="1"/>
    <s v="UPI"/>
    <n v="36.85"/>
    <n v="15.65"/>
    <x v="4"/>
    <n v="28.84"/>
    <n v="547.86"/>
    <n v="259.61"/>
    <n v="1"/>
    <n v="4.04"/>
    <n v="8.69"/>
    <n v="0"/>
    <n v="0"/>
    <n v="273.33999999999997"/>
    <n v="274.52"/>
    <s v="Profit"/>
    <x v="0"/>
    <n v="15"/>
    <n v="6"/>
    <s v="0-15"/>
    <s v="No"/>
    <n v="0"/>
    <s v="Healthy"/>
    <n v="0"/>
  </r>
  <r>
    <n v="102370"/>
    <d v="2025-11-03T00:00:00"/>
    <n v="1053"/>
    <x v="0"/>
    <x v="6"/>
    <x v="2"/>
    <x v="3"/>
    <x v="2"/>
    <s v="Card"/>
    <n v="17.55"/>
    <n v="12.64"/>
    <x v="3"/>
    <n v="0"/>
    <n v="221.83"/>
    <n v="122.18"/>
    <n v="9.2100000000000009"/>
    <n v="3.33"/>
    <n v="10.54"/>
    <n v="0"/>
    <n v="0"/>
    <n v="145.26"/>
    <n v="76.569999999999993"/>
    <s v="Profit"/>
    <x v="0"/>
    <n v="2"/>
    <n v="20"/>
    <s v="0-15"/>
    <s v="Yes"/>
    <n v="1"/>
    <s v="At Risk"/>
    <n v="1"/>
  </r>
  <r>
    <n v="102371"/>
    <d v="2025-10-09T00:00:00"/>
    <n v="1095"/>
    <x v="3"/>
    <x v="14"/>
    <x v="4"/>
    <x v="0"/>
    <x v="2"/>
    <s v="UPI"/>
    <n v="31.78"/>
    <n v="19.190000000000001"/>
    <x v="3"/>
    <n v="0"/>
    <n v="609.86"/>
    <n v="230.91"/>
    <n v="7.31"/>
    <n v="4.2699999999999996"/>
    <n v="6.56"/>
    <n v="0"/>
    <n v="0"/>
    <n v="249.05"/>
    <n v="360.81"/>
    <s v="Profit"/>
    <x v="0"/>
    <n v="20"/>
    <n v="0"/>
    <s v="16-30"/>
    <s v="No"/>
    <n v="0"/>
    <s v="Healthy"/>
    <n v="0"/>
  </r>
  <r>
    <n v="102372"/>
    <d v="2025-12-01T00:00:00"/>
    <n v="1080"/>
    <x v="2"/>
    <x v="9"/>
    <x v="0"/>
    <x v="2"/>
    <x v="1"/>
    <s v="Card"/>
    <n v="28.76"/>
    <n v="18.149999999999999"/>
    <x v="1"/>
    <n v="104.4"/>
    <n v="417.59"/>
    <n v="224.86"/>
    <n v="11.21"/>
    <n v="7.83"/>
    <n v="11"/>
    <n v="0"/>
    <n v="0"/>
    <n v="254.9"/>
    <n v="162.69"/>
    <s v="Profit"/>
    <x v="0"/>
    <n v="81"/>
    <n v="4"/>
    <s v="30+"/>
    <s v="Yes"/>
    <n v="1"/>
    <s v="At Risk"/>
    <n v="1"/>
  </r>
  <r>
    <n v="102373"/>
    <d v="2025-11-20T00:00:00"/>
    <n v="1079"/>
    <x v="0"/>
    <x v="1"/>
    <x v="0"/>
    <x v="1"/>
    <x v="1"/>
    <s v="UPI"/>
    <n v="6.97"/>
    <n v="15.13"/>
    <x v="3"/>
    <n v="0"/>
    <n v="105.46"/>
    <n v="49.06"/>
    <n v="9.2799999999999994"/>
    <n v="0.74"/>
    <n v="10.84"/>
    <n v="0"/>
    <n v="0"/>
    <n v="69.92"/>
    <n v="35.54"/>
    <s v="Profit"/>
    <x v="0"/>
    <n v="3"/>
    <n v="1"/>
    <s v="0-15"/>
    <s v="No"/>
    <n v="0"/>
    <s v="Healthy"/>
    <n v="0"/>
  </r>
  <r>
    <n v="102374"/>
    <d v="2025-10-13T00:00:00"/>
    <n v="1062"/>
    <x v="3"/>
    <x v="8"/>
    <x v="0"/>
    <x v="1"/>
    <x v="2"/>
    <s v="Card"/>
    <n v="26.59"/>
    <n v="17.170000000000002"/>
    <x v="3"/>
    <n v="0"/>
    <n v="456.55"/>
    <n v="211.04"/>
    <n v="9.49"/>
    <n v="6.85"/>
    <n v="3.37"/>
    <n v="0"/>
    <n v="0"/>
    <n v="230.75"/>
    <n v="225.8"/>
    <s v="Profit"/>
    <x v="0"/>
    <n v="3"/>
    <n v="3"/>
    <s v="0-15"/>
    <s v="No"/>
    <n v="2"/>
    <s v="Healthy"/>
    <n v="0"/>
  </r>
  <r>
    <n v="102375"/>
    <d v="2025-10-14T00:00:00"/>
    <n v="1130"/>
    <x v="2"/>
    <x v="10"/>
    <x v="4"/>
    <x v="1"/>
    <x v="0"/>
    <s v="Wallet"/>
    <n v="24.1"/>
    <n v="15.67"/>
    <x v="2"/>
    <n v="37.76"/>
    <n v="339.89"/>
    <n v="151.29"/>
    <n v="8.86"/>
    <n v="4.53"/>
    <n v="0.12"/>
    <n v="0"/>
    <n v="0"/>
    <n v="164.8"/>
    <n v="175.09"/>
    <s v="Profit"/>
    <x v="0"/>
    <n v="8"/>
    <n v="8"/>
    <s v="0-15"/>
    <s v="No"/>
    <n v="0"/>
    <s v="Healthy"/>
    <n v="0"/>
  </r>
  <r>
    <n v="102376"/>
    <d v="2025-10-19T00:00:00"/>
    <n v="1087"/>
    <x v="2"/>
    <x v="10"/>
    <x v="1"/>
    <x v="1"/>
    <x v="0"/>
    <s v="UPI"/>
    <n v="25.04"/>
    <n v="15.19"/>
    <x v="2"/>
    <n v="38.04"/>
    <n v="342.32"/>
    <n v="165.19"/>
    <n v="6.01"/>
    <n v="2.66"/>
    <n v="2.04"/>
    <n v="0"/>
    <n v="0"/>
    <n v="175.9"/>
    <n v="166.42"/>
    <s v="Profit"/>
    <x v="0"/>
    <n v="50"/>
    <n v="3"/>
    <s v="30+"/>
    <s v="Yes"/>
    <n v="2"/>
    <s v="At Risk"/>
    <n v="1"/>
  </r>
  <r>
    <n v="102377"/>
    <d v="2025-11-24T00:00:00"/>
    <n v="1013"/>
    <x v="1"/>
    <x v="3"/>
    <x v="2"/>
    <x v="1"/>
    <x v="0"/>
    <s v="UPI"/>
    <n v="28.81"/>
    <n v="15.41"/>
    <x v="4"/>
    <n v="22.2"/>
    <n v="421.76"/>
    <n v="193.77"/>
    <n v="14.31"/>
    <n v="3.11"/>
    <n v="13.28"/>
    <n v="0"/>
    <n v="0"/>
    <n v="224.47"/>
    <n v="197.29"/>
    <s v="Profit"/>
    <x v="0"/>
    <n v="29"/>
    <n v="3"/>
    <s v="16-30"/>
    <s v="Yes"/>
    <n v="1"/>
    <s v="At Risk"/>
    <n v="1"/>
  </r>
  <r>
    <n v="102378"/>
    <d v="2025-11-05T00:00:00"/>
    <n v="1041"/>
    <x v="2"/>
    <x v="5"/>
    <x v="1"/>
    <x v="1"/>
    <x v="1"/>
    <s v="UPI"/>
    <n v="33.08"/>
    <n v="16.12"/>
    <x v="0"/>
    <n v="79.989999999999995"/>
    <n v="453.26"/>
    <n v="257.8"/>
    <n v="12.98"/>
    <n v="3.73"/>
    <n v="5.74"/>
    <n v="0"/>
    <n v="0"/>
    <n v="280.25"/>
    <n v="173.01"/>
    <s v="Profit"/>
    <x v="0"/>
    <n v="0"/>
    <n v="0"/>
    <s v="0-15"/>
    <s v="No"/>
    <n v="0"/>
    <s v="Healthy"/>
    <n v="0"/>
  </r>
  <r>
    <n v="102379"/>
    <d v="2025-12-10T00:00:00"/>
    <n v="1076"/>
    <x v="3"/>
    <x v="15"/>
    <x v="2"/>
    <x v="3"/>
    <x v="0"/>
    <s v="Wallet"/>
    <n v="18.78"/>
    <n v="12.95"/>
    <x v="3"/>
    <n v="0"/>
    <n v="243.2"/>
    <n v="122.62"/>
    <n v="8"/>
    <n v="2.92"/>
    <n v="9.92"/>
    <n v="0"/>
    <n v="0"/>
    <n v="143.46"/>
    <n v="99.74"/>
    <s v="Profit"/>
    <x v="0"/>
    <n v="26"/>
    <n v="0"/>
    <s v="16-30"/>
    <s v="Yes"/>
    <n v="2"/>
    <s v="At Risk"/>
    <n v="1"/>
  </r>
  <r>
    <n v="102380"/>
    <d v="2025-10-21T00:00:00"/>
    <n v="1148"/>
    <x v="0"/>
    <x v="6"/>
    <x v="3"/>
    <x v="3"/>
    <x v="1"/>
    <s v="Wallet"/>
    <n v="25.46"/>
    <n v="12.55"/>
    <x v="0"/>
    <n v="47.93"/>
    <n v="271.58999999999997"/>
    <n v="183.57"/>
    <n v="9.93"/>
    <n v="3.83"/>
    <n v="9.27"/>
    <n v="0"/>
    <n v="0"/>
    <n v="206.6"/>
    <n v="64.989999999999995"/>
    <s v="Profit"/>
    <x v="0"/>
    <n v="17"/>
    <n v="13"/>
    <s v="16-30"/>
    <s v="No"/>
    <n v="0"/>
    <s v="Healthy"/>
    <n v="0"/>
  </r>
  <r>
    <n v="102381"/>
    <d v="2025-11-16T00:00:00"/>
    <n v="1051"/>
    <x v="1"/>
    <x v="3"/>
    <x v="3"/>
    <x v="3"/>
    <x v="0"/>
    <s v="Card"/>
    <n v="21.1"/>
    <n v="13.54"/>
    <x v="0"/>
    <n v="42.85"/>
    <n v="242.84"/>
    <n v="181.24"/>
    <n v="7.68"/>
    <n v="4.29"/>
    <n v="12.1"/>
    <n v="0"/>
    <n v="0"/>
    <n v="205.31"/>
    <n v="37.53"/>
    <s v="Profit"/>
    <x v="0"/>
    <n v="12"/>
    <n v="1"/>
    <s v="0-15"/>
    <s v="No"/>
    <n v="0"/>
    <s v="Healthy"/>
    <n v="0"/>
  </r>
  <r>
    <n v="102382"/>
    <d v="2025-12-22T00:00:00"/>
    <n v="1047"/>
    <x v="0"/>
    <x v="6"/>
    <x v="2"/>
    <x v="1"/>
    <x v="0"/>
    <s v="UPI"/>
    <n v="37.049999999999997"/>
    <n v="15.37"/>
    <x v="4"/>
    <n v="28.47"/>
    <n v="540.99"/>
    <n v="213.17"/>
    <n v="9.23"/>
    <n v="3.99"/>
    <n v="6.85"/>
    <n v="0"/>
    <n v="0"/>
    <n v="233.24"/>
    <n v="307.75"/>
    <s v="Profit"/>
    <x v="0"/>
    <n v="6"/>
    <n v="5"/>
    <s v="0-15"/>
    <s v="No"/>
    <n v="0"/>
    <s v="Healthy"/>
    <n v="0"/>
  </r>
  <r>
    <n v="102383"/>
    <d v="2025-10-21T00:00:00"/>
    <n v="1070"/>
    <x v="1"/>
    <x v="13"/>
    <x v="1"/>
    <x v="2"/>
    <x v="0"/>
    <s v="UPI"/>
    <n v="22.63"/>
    <n v="18.14"/>
    <x v="0"/>
    <n v="61.58"/>
    <n v="348.93"/>
    <n v="187.27"/>
    <n v="11.95"/>
    <n v="2.87"/>
    <n v="13.44"/>
    <n v="323.29000000000002"/>
    <n v="0"/>
    <n v="538.82000000000005"/>
    <n v="-189.89"/>
    <s v="Loss"/>
    <x v="2"/>
    <n v="12"/>
    <n v="2"/>
    <s v="0-15"/>
    <s v="No"/>
    <n v="2"/>
    <s v="At Risk"/>
    <n v="0"/>
  </r>
  <r>
    <n v="102384"/>
    <d v="2025-11-03T00:00:00"/>
    <n v="1001"/>
    <x v="1"/>
    <x v="2"/>
    <x v="4"/>
    <x v="2"/>
    <x v="0"/>
    <s v="Card"/>
    <n v="25.97"/>
    <n v="20.16"/>
    <x v="3"/>
    <n v="0"/>
    <n v="523.55999999999995"/>
    <n v="189.34"/>
    <n v="15.18"/>
    <n v="7.85"/>
    <n v="11.27"/>
    <n v="382.01"/>
    <n v="0"/>
    <n v="605.65"/>
    <n v="-82.09"/>
    <s v="Loss"/>
    <x v="1"/>
    <n v="10"/>
    <n v="5"/>
    <s v="0-15"/>
    <s v="Yes"/>
    <n v="1"/>
    <s v="At Risk"/>
    <n v="1"/>
  </r>
  <r>
    <n v="102385"/>
    <d v="2025-12-23T00:00:00"/>
    <n v="1035"/>
    <x v="2"/>
    <x v="9"/>
    <x v="1"/>
    <x v="3"/>
    <x v="0"/>
    <s v="UPI"/>
    <n v="27.17"/>
    <n v="12.51"/>
    <x v="1"/>
    <n v="67.98"/>
    <n v="271.92"/>
    <n v="206.97"/>
    <n v="5.35"/>
    <n v="2.38"/>
    <n v="7.3"/>
    <n v="0"/>
    <n v="0"/>
    <n v="222"/>
    <n v="49.92"/>
    <s v="Profit"/>
    <x v="0"/>
    <n v="5"/>
    <n v="11"/>
    <s v="0-15"/>
    <s v="No"/>
    <n v="0"/>
    <s v="Healthy"/>
    <n v="0"/>
  </r>
  <r>
    <n v="102386"/>
    <d v="2025-12-02T00:00:00"/>
    <n v="1041"/>
    <x v="3"/>
    <x v="15"/>
    <x v="1"/>
    <x v="1"/>
    <x v="0"/>
    <s v="Card"/>
    <n v="15.72"/>
    <n v="15.31"/>
    <x v="1"/>
    <n v="48.13"/>
    <n v="192.54"/>
    <n v="129.29"/>
    <n v="10.199999999999999"/>
    <n v="3.61"/>
    <n v="5.95"/>
    <n v="0"/>
    <n v="0"/>
    <n v="149.05000000000001"/>
    <n v="43.49"/>
    <s v="Profit"/>
    <x v="0"/>
    <n v="34"/>
    <n v="26"/>
    <s v="30+"/>
    <s v="Yes"/>
    <n v="2"/>
    <s v="At Risk"/>
    <n v="1"/>
  </r>
  <r>
    <n v="102387"/>
    <d v="2025-10-30T00:00:00"/>
    <n v="1108"/>
    <x v="1"/>
    <x v="3"/>
    <x v="1"/>
    <x v="0"/>
    <x v="0"/>
    <s v="UPI"/>
    <n v="30.54"/>
    <n v="19.23"/>
    <x v="4"/>
    <n v="29.36"/>
    <n v="557.91999999999996"/>
    <n v="211.02"/>
    <n v="4.38"/>
    <n v="4.1100000000000003"/>
    <n v="7.72"/>
    <n v="0"/>
    <n v="0"/>
    <n v="227.23"/>
    <n v="330.69"/>
    <s v="Profit"/>
    <x v="0"/>
    <n v="13"/>
    <n v="0"/>
    <s v="0-15"/>
    <s v="No"/>
    <n v="0"/>
    <s v="Healthy"/>
    <n v="0"/>
  </r>
  <r>
    <n v="102388"/>
    <d v="2025-11-03T00:00:00"/>
    <n v="1150"/>
    <x v="3"/>
    <x v="14"/>
    <x v="2"/>
    <x v="3"/>
    <x v="0"/>
    <s v="Fleet_Invoice"/>
    <n v="4.37"/>
    <n v="12.88"/>
    <x v="3"/>
    <n v="0"/>
    <n v="56.29"/>
    <n v="27.62"/>
    <n v="9.2899999999999991"/>
    <n v="0.23"/>
    <n v="4.1900000000000004"/>
    <n v="0"/>
    <n v="0"/>
    <n v="41.33"/>
    <n v="14.96"/>
    <s v="Profit"/>
    <x v="0"/>
    <n v="1"/>
    <n v="13"/>
    <s v="0-15"/>
    <s v="No"/>
    <n v="0"/>
    <s v="Healthy"/>
    <n v="0"/>
  </r>
  <r>
    <n v="102389"/>
    <d v="2025-12-03T00:00:00"/>
    <n v="1074"/>
    <x v="2"/>
    <x v="10"/>
    <x v="1"/>
    <x v="3"/>
    <x v="0"/>
    <s v="Fleet_Invoice"/>
    <n v="27.87"/>
    <n v="11.66"/>
    <x v="3"/>
    <n v="0"/>
    <n v="324.95999999999998"/>
    <n v="206.4"/>
    <n v="6.78"/>
    <n v="1.3"/>
    <n v="5.08"/>
    <n v="155.88999999999999"/>
    <n v="0"/>
    <n v="375.45"/>
    <n v="-50.49"/>
    <s v="Loss"/>
    <x v="1"/>
    <n v="0"/>
    <n v="9"/>
    <s v="0-15"/>
    <s v="Yes"/>
    <n v="4"/>
    <s v="At Risk"/>
    <n v="1"/>
  </r>
  <r>
    <n v="102390"/>
    <d v="2025-11-09T00:00:00"/>
    <n v="1132"/>
    <x v="1"/>
    <x v="2"/>
    <x v="2"/>
    <x v="3"/>
    <x v="2"/>
    <s v="UPI"/>
    <n v="12.83"/>
    <n v="11.4"/>
    <x v="4"/>
    <n v="7.31"/>
    <n v="138.94999999999999"/>
    <n v="99.17"/>
    <n v="10.01"/>
    <n v="1.02"/>
    <n v="10.26"/>
    <n v="0"/>
    <n v="0"/>
    <n v="120.46"/>
    <n v="18.489999999999998"/>
    <s v="Profit"/>
    <x v="0"/>
    <n v="9"/>
    <n v="6"/>
    <s v="0-15"/>
    <s v="No"/>
    <n v="0"/>
    <s v="Healthy"/>
    <n v="0"/>
  </r>
  <r>
    <n v="102391"/>
    <d v="2025-10-10T00:00:00"/>
    <n v="1096"/>
    <x v="0"/>
    <x v="11"/>
    <x v="1"/>
    <x v="3"/>
    <x v="2"/>
    <s v="UPI"/>
    <n v="19.68"/>
    <n v="12.42"/>
    <x v="4"/>
    <n v="12.22"/>
    <n v="232.21"/>
    <n v="121.04"/>
    <n v="9.68"/>
    <n v="1.71"/>
    <n v="13.53"/>
    <n v="0"/>
    <n v="0"/>
    <n v="145.96"/>
    <n v="86.25"/>
    <s v="Profit"/>
    <x v="0"/>
    <n v="5"/>
    <n v="6"/>
    <s v="0-15"/>
    <s v="No"/>
    <n v="0"/>
    <s v="Healthy"/>
    <n v="0"/>
  </r>
  <r>
    <n v="102392"/>
    <d v="2025-10-01T00:00:00"/>
    <n v="1068"/>
    <x v="2"/>
    <x v="5"/>
    <x v="4"/>
    <x v="2"/>
    <x v="0"/>
    <s v="Card"/>
    <n v="34.549999999999997"/>
    <n v="17.829999999999998"/>
    <x v="3"/>
    <n v="0"/>
    <n v="616.03"/>
    <n v="266.45"/>
    <n v="6.58"/>
    <n v="9.24"/>
    <n v="9.42"/>
    <n v="0"/>
    <n v="0"/>
    <n v="291.69"/>
    <n v="324.33999999999997"/>
    <s v="Profit"/>
    <x v="0"/>
    <n v="10"/>
    <n v="53"/>
    <s v="0-15"/>
    <s v="Yes"/>
    <n v="1"/>
    <s v="At Risk"/>
    <n v="1"/>
  </r>
  <r>
    <n v="102393"/>
    <d v="2025-12-16T00:00:00"/>
    <n v="1024"/>
    <x v="2"/>
    <x v="12"/>
    <x v="3"/>
    <x v="0"/>
    <x v="0"/>
    <s v="Card"/>
    <n v="42.64"/>
    <n v="18.399999999999999"/>
    <x v="3"/>
    <n v="0"/>
    <n v="784.58"/>
    <n v="322.35000000000002"/>
    <n v="9.99"/>
    <n v="11.77"/>
    <n v="6.97"/>
    <n v="0"/>
    <n v="0"/>
    <n v="351.08"/>
    <n v="433.5"/>
    <s v="Profit"/>
    <x v="0"/>
    <n v="11"/>
    <n v="11"/>
    <s v="0-15"/>
    <s v="No"/>
    <n v="0"/>
    <s v="Healthy"/>
    <n v="0"/>
  </r>
  <r>
    <n v="102394"/>
    <d v="2025-10-18T00:00:00"/>
    <n v="1077"/>
    <x v="3"/>
    <x v="15"/>
    <x v="0"/>
    <x v="1"/>
    <x v="2"/>
    <s v="Fleet_Invoice"/>
    <n v="37.96"/>
    <n v="17.72"/>
    <x v="3"/>
    <n v="0"/>
    <n v="672.65"/>
    <n v="266.06"/>
    <n v="5.78"/>
    <n v="2.69"/>
    <n v="6.15"/>
    <n v="0"/>
    <n v="0"/>
    <n v="280.68"/>
    <n v="391.97"/>
    <s v="Profit"/>
    <x v="0"/>
    <n v="7"/>
    <n v="43"/>
    <s v="0-15"/>
    <s v="Yes"/>
    <n v="3"/>
    <s v="At Risk"/>
    <n v="1"/>
  </r>
  <r>
    <n v="102395"/>
    <d v="2025-12-18T00:00:00"/>
    <n v="1146"/>
    <x v="0"/>
    <x v="6"/>
    <x v="3"/>
    <x v="2"/>
    <x v="2"/>
    <s v="UPI"/>
    <n v="22.06"/>
    <n v="18.2"/>
    <x v="4"/>
    <n v="20.07"/>
    <n v="381.42"/>
    <n v="166.71"/>
    <n v="10.66"/>
    <n v="2.81"/>
    <n v="5.13"/>
    <n v="0"/>
    <n v="0"/>
    <n v="185.31"/>
    <n v="196.11"/>
    <s v="Profit"/>
    <x v="0"/>
    <n v="14"/>
    <n v="5"/>
    <s v="0-15"/>
    <s v="No"/>
    <n v="0"/>
    <s v="Healthy"/>
    <n v="0"/>
  </r>
  <r>
    <n v="102396"/>
    <d v="2025-11-03T00:00:00"/>
    <n v="1037"/>
    <x v="0"/>
    <x v="11"/>
    <x v="4"/>
    <x v="3"/>
    <x v="1"/>
    <s v="Fleet_Invoice"/>
    <n v="20.38"/>
    <n v="12.71"/>
    <x v="1"/>
    <n v="51.81"/>
    <n v="207.22"/>
    <n v="130.91999999999999"/>
    <n v="6.29"/>
    <n v="1.04"/>
    <n v="0"/>
    <n v="0"/>
    <n v="0"/>
    <n v="138.25"/>
    <n v="68.97"/>
    <s v="Profit"/>
    <x v="0"/>
    <n v="14"/>
    <n v="7"/>
    <s v="0-15"/>
    <s v="No"/>
    <n v="0"/>
    <s v="Healthy"/>
    <n v="0"/>
  </r>
  <r>
    <n v="102397"/>
    <d v="2025-10-09T00:00:00"/>
    <n v="1012"/>
    <x v="1"/>
    <x v="2"/>
    <x v="3"/>
    <x v="0"/>
    <x v="0"/>
    <s v="Fleet_Invoice"/>
    <n v="23.38"/>
    <n v="19.21"/>
    <x v="3"/>
    <n v="0"/>
    <n v="449.13"/>
    <n v="158.16999999999999"/>
    <n v="12.57"/>
    <n v="1.8"/>
    <n v="7.29"/>
    <n v="0"/>
    <n v="0"/>
    <n v="179.83"/>
    <n v="269.3"/>
    <s v="Profit"/>
    <x v="0"/>
    <n v="6"/>
    <n v="2"/>
    <s v="0-15"/>
    <s v="No"/>
    <n v="0"/>
    <s v="Healthy"/>
    <n v="0"/>
  </r>
  <r>
    <n v="102398"/>
    <d v="2025-12-21T00:00:00"/>
    <n v="1038"/>
    <x v="2"/>
    <x v="5"/>
    <x v="1"/>
    <x v="1"/>
    <x v="0"/>
    <s v="UPI"/>
    <n v="33.43"/>
    <n v="16.3"/>
    <x v="0"/>
    <n v="81.739999999999995"/>
    <n v="463.17"/>
    <n v="233.95"/>
    <n v="11.44"/>
    <n v="3.81"/>
    <n v="3.18"/>
    <n v="0"/>
    <n v="0"/>
    <n v="252.38"/>
    <n v="210.79"/>
    <s v="Profit"/>
    <x v="0"/>
    <n v="6"/>
    <n v="1"/>
    <s v="0-15"/>
    <s v="No"/>
    <n v="0"/>
    <s v="Healthy"/>
    <n v="0"/>
  </r>
  <r>
    <n v="102399"/>
    <d v="2025-10-28T00:00:00"/>
    <n v="1048"/>
    <x v="3"/>
    <x v="7"/>
    <x v="4"/>
    <x v="1"/>
    <x v="0"/>
    <s v="Wallet"/>
    <n v="31.16"/>
    <n v="16.29"/>
    <x v="0"/>
    <n v="76.14"/>
    <n v="431.46"/>
    <n v="274.54000000000002"/>
    <n v="15.45"/>
    <n v="6.09"/>
    <n v="3.55"/>
    <n v="0"/>
    <n v="0"/>
    <n v="299.63"/>
    <n v="131.83000000000001"/>
    <s v="Profit"/>
    <x v="0"/>
    <n v="3"/>
    <n v="0"/>
    <s v="0-15"/>
    <s v="No"/>
    <n v="0"/>
    <s v="Healthy"/>
    <n v="0"/>
  </r>
  <r>
    <n v="102400"/>
    <d v="2025-10-24T00:00:00"/>
    <n v="1064"/>
    <x v="2"/>
    <x v="10"/>
    <x v="3"/>
    <x v="1"/>
    <x v="1"/>
    <s v="Fleet_Invoice"/>
    <n v="29.56"/>
    <n v="16.03"/>
    <x v="2"/>
    <n v="47.39"/>
    <n v="426.46"/>
    <n v="246.1"/>
    <n v="7.96"/>
    <n v="1.9"/>
    <n v="1.42"/>
    <n v="0"/>
    <n v="0"/>
    <n v="257.38"/>
    <n v="169.08"/>
    <s v="Profit"/>
    <x v="0"/>
    <n v="0"/>
    <n v="2"/>
    <s v="0-15"/>
    <s v="No"/>
    <n v="0"/>
    <s v="Healthy"/>
    <n v="0"/>
  </r>
  <r>
    <n v="102401"/>
    <d v="2025-10-11T00:00:00"/>
    <n v="1025"/>
    <x v="2"/>
    <x v="12"/>
    <x v="3"/>
    <x v="1"/>
    <x v="0"/>
    <s v="UPI"/>
    <n v="42.2"/>
    <n v="14.59"/>
    <x v="2"/>
    <n v="61.57"/>
    <n v="554.13"/>
    <n v="327.98"/>
    <n v="9.14"/>
    <n v="4.3099999999999996"/>
    <n v="9.73"/>
    <n v="0"/>
    <n v="0"/>
    <n v="351.16"/>
    <n v="202.97"/>
    <s v="Profit"/>
    <x v="0"/>
    <n v="17"/>
    <n v="8"/>
    <s v="16-30"/>
    <s v="No"/>
    <n v="0"/>
    <s v="Healthy"/>
    <n v="0"/>
  </r>
  <r>
    <n v="102402"/>
    <d v="2025-10-05T00:00:00"/>
    <n v="1075"/>
    <x v="1"/>
    <x v="3"/>
    <x v="2"/>
    <x v="3"/>
    <x v="2"/>
    <s v="Card"/>
    <n v="7.29"/>
    <n v="13.22"/>
    <x v="3"/>
    <n v="0"/>
    <n v="96.37"/>
    <n v="55.25"/>
    <n v="11.21"/>
    <n v="1.45"/>
    <n v="12.09"/>
    <n v="0"/>
    <n v="0"/>
    <n v="80"/>
    <n v="16.37"/>
    <s v="Profit"/>
    <x v="0"/>
    <n v="9"/>
    <n v="2"/>
    <s v="0-15"/>
    <s v="No"/>
    <n v="0"/>
    <s v="Healthy"/>
    <n v="0"/>
  </r>
  <r>
    <n v="102403"/>
    <d v="2025-11-18T00:00:00"/>
    <n v="1002"/>
    <x v="2"/>
    <x v="10"/>
    <x v="3"/>
    <x v="3"/>
    <x v="0"/>
    <s v="UPI"/>
    <n v="22.99"/>
    <n v="12.39"/>
    <x v="0"/>
    <n v="42.73"/>
    <n v="242.12"/>
    <n v="135.27000000000001"/>
    <n v="10.5"/>
    <n v="1.99"/>
    <n v="1.86"/>
    <n v="0"/>
    <n v="0"/>
    <n v="149.62"/>
    <n v="92.5"/>
    <s v="Profit"/>
    <x v="0"/>
    <n v="40"/>
    <n v="3"/>
    <s v="30+"/>
    <s v="Yes"/>
    <n v="1"/>
    <s v="At Risk"/>
    <n v="1"/>
  </r>
  <r>
    <n v="102404"/>
    <d v="2025-11-23T00:00:00"/>
    <n v="1095"/>
    <x v="0"/>
    <x v="11"/>
    <x v="4"/>
    <x v="3"/>
    <x v="2"/>
    <s v="UPI"/>
    <n v="17.079999999999998"/>
    <n v="12.12"/>
    <x v="3"/>
    <n v="0"/>
    <n v="207.01"/>
    <n v="122.74"/>
    <n v="6.51"/>
    <n v="1.45"/>
    <n v="7.07"/>
    <n v="0"/>
    <n v="0"/>
    <n v="137.77000000000001"/>
    <n v="69.239999999999995"/>
    <s v="Profit"/>
    <x v="0"/>
    <n v="10"/>
    <n v="24"/>
    <s v="0-15"/>
    <s v="Yes"/>
    <n v="2"/>
    <s v="At Risk"/>
    <n v="1"/>
  </r>
  <r>
    <n v="102405"/>
    <d v="2025-12-18T00:00:00"/>
    <n v="1127"/>
    <x v="2"/>
    <x v="12"/>
    <x v="1"/>
    <x v="3"/>
    <x v="0"/>
    <s v="Fleet_Invoice"/>
    <n v="21"/>
    <n v="13.66"/>
    <x v="2"/>
    <n v="28.69"/>
    <n v="258.17"/>
    <n v="175.85"/>
    <n v="8.3000000000000007"/>
    <n v="1.1499999999999999"/>
    <n v="6.16"/>
    <n v="0"/>
    <n v="0"/>
    <n v="191.46"/>
    <n v="66.709999999999994"/>
    <s v="Profit"/>
    <x v="0"/>
    <n v="12"/>
    <n v="5"/>
    <s v="0-15"/>
    <s v="No"/>
    <n v="0"/>
    <s v="Healthy"/>
    <n v="0"/>
  </r>
  <r>
    <n v="102406"/>
    <d v="2025-12-21T00:00:00"/>
    <n v="1137"/>
    <x v="0"/>
    <x v="1"/>
    <x v="1"/>
    <x v="3"/>
    <x v="0"/>
    <s v="UPI"/>
    <n v="17.7"/>
    <n v="12.82"/>
    <x v="4"/>
    <n v="11.35"/>
    <n v="215.56"/>
    <n v="112.09"/>
    <n v="10.46"/>
    <n v="1.59"/>
    <n v="5.85"/>
    <n v="0"/>
    <n v="0"/>
    <n v="129.99"/>
    <n v="85.57"/>
    <s v="Profit"/>
    <x v="0"/>
    <n v="3"/>
    <n v="18"/>
    <s v="0-15"/>
    <s v="Yes"/>
    <n v="4"/>
    <s v="At Risk"/>
    <n v="1"/>
  </r>
  <r>
    <n v="102407"/>
    <d v="2025-11-26T00:00:00"/>
    <n v="1023"/>
    <x v="3"/>
    <x v="14"/>
    <x v="0"/>
    <x v="0"/>
    <x v="2"/>
    <s v="Card"/>
    <n v="12.43"/>
    <n v="18.739999999999998"/>
    <x v="0"/>
    <n v="34.94"/>
    <n v="198"/>
    <n v="101.46"/>
    <n v="8.16"/>
    <n v="3.49"/>
    <n v="0"/>
    <n v="0"/>
    <n v="0"/>
    <n v="113.11"/>
    <n v="84.89"/>
    <s v="Profit"/>
    <x v="0"/>
    <n v="14"/>
    <n v="5"/>
    <s v="0-15"/>
    <s v="No"/>
    <n v="0"/>
    <s v="Healthy"/>
    <n v="0"/>
  </r>
  <r>
    <n v="102408"/>
    <d v="2025-10-14T00:00:00"/>
    <n v="1093"/>
    <x v="2"/>
    <x v="9"/>
    <x v="4"/>
    <x v="2"/>
    <x v="0"/>
    <s v="Wallet"/>
    <n v="23.62"/>
    <n v="17.22"/>
    <x v="4"/>
    <n v="20.34"/>
    <n v="386.4"/>
    <n v="165.84"/>
    <n v="11.35"/>
    <n v="4.88"/>
    <n v="1.28"/>
    <n v="0"/>
    <n v="0"/>
    <n v="183.35"/>
    <n v="203.05"/>
    <s v="Profit"/>
    <x v="0"/>
    <n v="4"/>
    <n v="2"/>
    <s v="0-15"/>
    <s v="No"/>
    <n v="0"/>
    <s v="Healthy"/>
    <n v="0"/>
  </r>
  <r>
    <n v="102409"/>
    <d v="2025-11-12T00:00:00"/>
    <n v="1011"/>
    <x v="3"/>
    <x v="7"/>
    <x v="0"/>
    <x v="2"/>
    <x v="2"/>
    <s v="UPI"/>
    <n v="35.69"/>
    <n v="17.23"/>
    <x v="2"/>
    <n v="61.49"/>
    <n v="553.45000000000005"/>
    <n v="314.16000000000003"/>
    <n v="4.4000000000000004"/>
    <n v="4.3"/>
    <n v="3.44"/>
    <n v="351.32"/>
    <n v="14.61"/>
    <n v="692.23"/>
    <n v="-138.78"/>
    <s v="Loss"/>
    <x v="1"/>
    <n v="8"/>
    <n v="7"/>
    <s v="0-15"/>
    <s v="Yes"/>
    <n v="1"/>
    <s v="At Risk"/>
    <n v="1"/>
  </r>
  <r>
    <n v="102410"/>
    <d v="2025-10-06T00:00:00"/>
    <n v="1095"/>
    <x v="2"/>
    <x v="12"/>
    <x v="1"/>
    <x v="3"/>
    <x v="0"/>
    <s v="UPI"/>
    <n v="3"/>
    <n v="12.5"/>
    <x v="4"/>
    <n v="1.88"/>
    <n v="35.619999999999997"/>
    <n v="21.13"/>
    <n v="10.59"/>
    <n v="0.26"/>
    <n v="7.59"/>
    <n v="0"/>
    <n v="0"/>
    <n v="39.57"/>
    <n v="-3.95"/>
    <s v="Loss"/>
    <x v="0"/>
    <n v="3"/>
    <n v="2"/>
    <s v="0-15"/>
    <s v="No"/>
    <n v="0"/>
    <s v="At Risk"/>
    <n v="0"/>
  </r>
  <r>
    <n v="102411"/>
    <d v="2025-10-26T00:00:00"/>
    <n v="1098"/>
    <x v="2"/>
    <x v="10"/>
    <x v="0"/>
    <x v="3"/>
    <x v="0"/>
    <s v="UPI"/>
    <n v="20.36"/>
    <n v="13.04"/>
    <x v="3"/>
    <n v="0"/>
    <n v="265.49"/>
    <n v="133.30000000000001"/>
    <n v="13.75"/>
    <n v="1.86"/>
    <n v="9.51"/>
    <n v="0"/>
    <n v="0"/>
    <n v="158.41999999999999"/>
    <n v="107.07"/>
    <s v="Profit"/>
    <x v="0"/>
    <n v="11"/>
    <n v="15"/>
    <s v="0-15"/>
    <s v="No"/>
    <n v="0"/>
    <s v="Healthy"/>
    <n v="0"/>
  </r>
  <r>
    <n v="102412"/>
    <d v="2025-12-08T00:00:00"/>
    <n v="1022"/>
    <x v="0"/>
    <x v="11"/>
    <x v="1"/>
    <x v="2"/>
    <x v="0"/>
    <s v="Card"/>
    <n v="26.43"/>
    <n v="17.66"/>
    <x v="3"/>
    <n v="0"/>
    <n v="466.75"/>
    <n v="173.69"/>
    <n v="8.94"/>
    <n v="7"/>
    <n v="2.89"/>
    <n v="0"/>
    <n v="0"/>
    <n v="192.52"/>
    <n v="274.23"/>
    <s v="Profit"/>
    <x v="0"/>
    <n v="2"/>
    <n v="6"/>
    <s v="0-15"/>
    <s v="No"/>
    <n v="0"/>
    <s v="Healthy"/>
    <n v="0"/>
  </r>
  <r>
    <n v="102413"/>
    <d v="2025-11-08T00:00:00"/>
    <n v="1015"/>
    <x v="3"/>
    <x v="14"/>
    <x v="3"/>
    <x v="2"/>
    <x v="0"/>
    <s v="Fleet_Invoice"/>
    <n v="34.020000000000003"/>
    <n v="17.55"/>
    <x v="4"/>
    <n v="29.85"/>
    <n v="567.20000000000005"/>
    <n v="311.26"/>
    <n v="7.33"/>
    <n v="2.39"/>
    <n v="7.7"/>
    <n v="0"/>
    <n v="0"/>
    <n v="328.68"/>
    <n v="238.52"/>
    <s v="Profit"/>
    <x v="0"/>
    <n v="21"/>
    <n v="12"/>
    <s v="16-30"/>
    <s v="Yes"/>
    <n v="1"/>
    <s v="At Risk"/>
    <n v="1"/>
  </r>
  <r>
    <n v="102414"/>
    <d v="2025-12-31T00:00:00"/>
    <n v="1121"/>
    <x v="2"/>
    <x v="10"/>
    <x v="0"/>
    <x v="0"/>
    <x v="1"/>
    <s v="Card"/>
    <n v="24.91"/>
    <n v="19.86"/>
    <x v="0"/>
    <n v="74.209999999999994"/>
    <n v="420.5"/>
    <n v="159.1"/>
    <n v="3.71"/>
    <n v="7.42"/>
    <n v="14.15"/>
    <n v="0"/>
    <n v="0"/>
    <n v="184.38"/>
    <n v="236.12"/>
    <s v="Profit"/>
    <x v="0"/>
    <n v="9"/>
    <n v="11"/>
    <s v="0-15"/>
    <s v="No"/>
    <n v="0"/>
    <s v="Healthy"/>
    <n v="0"/>
  </r>
  <r>
    <n v="102415"/>
    <d v="2025-12-29T00:00:00"/>
    <n v="1130"/>
    <x v="0"/>
    <x v="1"/>
    <x v="4"/>
    <x v="1"/>
    <x v="0"/>
    <s v="Wallet"/>
    <n v="24.67"/>
    <n v="14.91"/>
    <x v="1"/>
    <n v="73.569999999999993"/>
    <n v="294.26"/>
    <n v="154.82"/>
    <n v="2.0699999999999998"/>
    <n v="4.41"/>
    <n v="13.59"/>
    <n v="0"/>
    <n v="0"/>
    <n v="174.89"/>
    <n v="119.37"/>
    <s v="Profit"/>
    <x v="0"/>
    <n v="4"/>
    <n v="9"/>
    <s v="0-15"/>
    <s v="No"/>
    <n v="0"/>
    <s v="Healthy"/>
    <n v="0"/>
  </r>
  <r>
    <n v="102416"/>
    <d v="2025-11-05T00:00:00"/>
    <n v="1001"/>
    <x v="3"/>
    <x v="8"/>
    <x v="1"/>
    <x v="3"/>
    <x v="2"/>
    <s v="Wallet"/>
    <n v="29.78"/>
    <n v="12.19"/>
    <x v="3"/>
    <n v="0"/>
    <n v="363.02"/>
    <n v="198"/>
    <n v="5.25"/>
    <n v="4.3600000000000003"/>
    <n v="5.52"/>
    <n v="175.51"/>
    <n v="14.54"/>
    <n v="403.18"/>
    <n v="-40.159999999999997"/>
    <s v="Loss"/>
    <x v="1"/>
    <n v="10"/>
    <n v="3"/>
    <s v="0-15"/>
    <s v="Yes"/>
    <n v="1"/>
    <s v="At Risk"/>
    <n v="1"/>
  </r>
  <r>
    <n v="102417"/>
    <d v="2025-11-10T00:00:00"/>
    <n v="1143"/>
    <x v="3"/>
    <x v="7"/>
    <x v="1"/>
    <x v="1"/>
    <x v="0"/>
    <s v="Fleet_Invoice"/>
    <n v="27.14"/>
    <n v="15.67"/>
    <x v="3"/>
    <n v="0"/>
    <n v="425.28"/>
    <n v="188.83"/>
    <n v="11.45"/>
    <n v="1.7"/>
    <n v="8.0500000000000007"/>
    <n v="0"/>
    <n v="0"/>
    <n v="210.03"/>
    <n v="215.25"/>
    <s v="Profit"/>
    <x v="0"/>
    <n v="29"/>
    <n v="2"/>
    <s v="16-30"/>
    <s v="Yes"/>
    <n v="2"/>
    <s v="At Risk"/>
    <n v="1"/>
  </r>
  <r>
    <n v="102418"/>
    <d v="2025-12-12T00:00:00"/>
    <n v="1075"/>
    <x v="2"/>
    <x v="5"/>
    <x v="1"/>
    <x v="1"/>
    <x v="0"/>
    <s v="Card"/>
    <n v="38.65"/>
    <n v="15.56"/>
    <x v="0"/>
    <n v="90.21"/>
    <n v="511.18"/>
    <n v="304.89999999999998"/>
    <n v="10.36"/>
    <n v="9.02"/>
    <n v="5.57"/>
    <n v="0"/>
    <n v="0"/>
    <n v="329.85"/>
    <n v="181.33"/>
    <s v="Profit"/>
    <x v="0"/>
    <n v="6"/>
    <n v="32"/>
    <s v="0-15"/>
    <s v="Yes"/>
    <n v="1"/>
    <s v="At Risk"/>
    <n v="1"/>
  </r>
  <r>
    <n v="102419"/>
    <d v="2025-10-15T00:00:00"/>
    <n v="1080"/>
    <x v="1"/>
    <x v="2"/>
    <x v="0"/>
    <x v="3"/>
    <x v="2"/>
    <s v="UPI"/>
    <n v="21.99"/>
    <n v="13.46"/>
    <x v="3"/>
    <n v="0"/>
    <n v="295.99"/>
    <n v="136.74"/>
    <n v="7.17"/>
    <n v="2.0699999999999998"/>
    <n v="4.95"/>
    <n v="0"/>
    <n v="0"/>
    <n v="150.93"/>
    <n v="145.06"/>
    <s v="Profit"/>
    <x v="0"/>
    <n v="17"/>
    <n v="17"/>
    <s v="16-30"/>
    <s v="Yes"/>
    <n v="3"/>
    <s v="At Risk"/>
    <n v="1"/>
  </r>
  <r>
    <n v="102420"/>
    <d v="2025-12-02T00:00:00"/>
    <n v="1030"/>
    <x v="0"/>
    <x v="0"/>
    <x v="1"/>
    <x v="0"/>
    <x v="0"/>
    <s v="UPI"/>
    <n v="20.79"/>
    <n v="18.77"/>
    <x v="4"/>
    <n v="19.510000000000002"/>
    <n v="370.72"/>
    <n v="141.19999999999999"/>
    <n v="5.28"/>
    <n v="2.73"/>
    <n v="5.89"/>
    <n v="0"/>
    <n v="0"/>
    <n v="155.1"/>
    <n v="215.62"/>
    <s v="Profit"/>
    <x v="0"/>
    <n v="11"/>
    <n v="6"/>
    <s v="0-15"/>
    <s v="No"/>
    <n v="0"/>
    <s v="Healthy"/>
    <n v="0"/>
  </r>
  <r>
    <n v="102421"/>
    <d v="2025-11-16T00:00:00"/>
    <n v="1110"/>
    <x v="3"/>
    <x v="7"/>
    <x v="1"/>
    <x v="1"/>
    <x v="2"/>
    <s v="UPI"/>
    <n v="33.700000000000003"/>
    <n v="15.49"/>
    <x v="3"/>
    <n v="0"/>
    <n v="522.01"/>
    <n v="266.23"/>
    <n v="10.56"/>
    <n v="3.65"/>
    <n v="9.35"/>
    <n v="0"/>
    <n v="0"/>
    <n v="289.79000000000002"/>
    <n v="232.22"/>
    <s v="Profit"/>
    <x v="0"/>
    <n v="19"/>
    <n v="3"/>
    <s v="16-30"/>
    <s v="No"/>
    <n v="0"/>
    <s v="Healthy"/>
    <n v="0"/>
  </r>
  <r>
    <n v="102422"/>
    <d v="2025-10-27T00:00:00"/>
    <n v="1028"/>
    <x v="1"/>
    <x v="13"/>
    <x v="1"/>
    <x v="0"/>
    <x v="2"/>
    <s v="UPI"/>
    <n v="15.93"/>
    <n v="19.62"/>
    <x v="3"/>
    <n v="0"/>
    <n v="312.55"/>
    <n v="108.89"/>
    <n v="4.5199999999999996"/>
    <n v="2.19"/>
    <n v="10.32"/>
    <n v="0"/>
    <n v="0"/>
    <n v="125.92"/>
    <n v="186.63"/>
    <s v="Profit"/>
    <x v="0"/>
    <n v="23"/>
    <n v="4"/>
    <s v="16-30"/>
    <s v="Yes"/>
    <n v="3"/>
    <s v="At Risk"/>
    <n v="1"/>
  </r>
  <r>
    <n v="102423"/>
    <d v="2025-12-12T00:00:00"/>
    <n v="1077"/>
    <x v="0"/>
    <x v="0"/>
    <x v="4"/>
    <x v="3"/>
    <x v="0"/>
    <s v="Wallet"/>
    <n v="8.9499999999999993"/>
    <n v="12.94"/>
    <x v="2"/>
    <n v="11.58"/>
    <n v="104.23"/>
    <n v="59.27"/>
    <n v="5.31"/>
    <n v="1.39"/>
    <n v="6.78"/>
    <n v="0"/>
    <n v="0"/>
    <n v="72.75"/>
    <n v="31.48"/>
    <s v="Profit"/>
    <x v="0"/>
    <n v="0"/>
    <n v="1"/>
    <s v="0-15"/>
    <s v="No"/>
    <n v="0"/>
    <s v="Healthy"/>
    <n v="0"/>
  </r>
  <r>
    <n v="102424"/>
    <d v="2025-11-11T00:00:00"/>
    <n v="1123"/>
    <x v="1"/>
    <x v="2"/>
    <x v="0"/>
    <x v="3"/>
    <x v="0"/>
    <s v="Card"/>
    <n v="5.79"/>
    <n v="12.48"/>
    <x v="2"/>
    <n v="7.23"/>
    <n v="65.03"/>
    <n v="38.409999999999997"/>
    <n v="5.64"/>
    <n v="1.08"/>
    <n v="9.5399999999999991"/>
    <n v="0"/>
    <n v="0"/>
    <n v="54.67"/>
    <n v="10.36"/>
    <s v="Profit"/>
    <x v="0"/>
    <n v="15"/>
    <n v="4"/>
    <s v="0-15"/>
    <s v="No"/>
    <n v="0"/>
    <s v="Healthy"/>
    <n v="0"/>
  </r>
  <r>
    <n v="102425"/>
    <d v="2025-12-02T00:00:00"/>
    <n v="1106"/>
    <x v="2"/>
    <x v="12"/>
    <x v="4"/>
    <x v="0"/>
    <x v="0"/>
    <s v="UPI"/>
    <n v="23.45"/>
    <n v="19.7"/>
    <x v="3"/>
    <n v="0"/>
    <n v="461.96"/>
    <n v="185.02"/>
    <n v="3.81"/>
    <n v="3.23"/>
    <n v="5.6"/>
    <n v="0"/>
    <n v="0"/>
    <n v="197.66"/>
    <n v="264.3"/>
    <s v="Profit"/>
    <x v="0"/>
    <n v="16"/>
    <n v="19"/>
    <s v="16-30"/>
    <s v="Yes"/>
    <n v="3"/>
    <s v="At Risk"/>
    <n v="1"/>
  </r>
  <r>
    <n v="102426"/>
    <d v="2025-12-19T00:00:00"/>
    <n v="1029"/>
    <x v="0"/>
    <x v="11"/>
    <x v="0"/>
    <x v="1"/>
    <x v="2"/>
    <s v="UPI"/>
    <n v="39.92"/>
    <n v="15.37"/>
    <x v="3"/>
    <n v="0"/>
    <n v="613.57000000000005"/>
    <n v="313.22000000000003"/>
    <n v="9.44"/>
    <n v="4.29"/>
    <n v="14.88"/>
    <n v="0"/>
    <n v="0"/>
    <n v="341.83"/>
    <n v="271.74"/>
    <s v="Profit"/>
    <x v="0"/>
    <n v="0"/>
    <n v="10"/>
    <s v="0-15"/>
    <s v="No"/>
    <n v="0"/>
    <s v="Healthy"/>
    <n v="0"/>
  </r>
  <r>
    <n v="102427"/>
    <d v="2025-10-04T00:00:00"/>
    <n v="1004"/>
    <x v="1"/>
    <x v="4"/>
    <x v="1"/>
    <x v="1"/>
    <x v="2"/>
    <s v="Wallet"/>
    <n v="26.24"/>
    <n v="15.61"/>
    <x v="4"/>
    <n v="20.48"/>
    <n v="389.13"/>
    <n v="206.83"/>
    <n v="9.4700000000000006"/>
    <n v="4.92"/>
    <n v="7.95"/>
    <n v="0"/>
    <n v="0"/>
    <n v="229.17"/>
    <n v="159.96"/>
    <s v="Profit"/>
    <x v="0"/>
    <n v="16"/>
    <n v="1"/>
    <s v="16-30"/>
    <s v="No"/>
    <n v="0"/>
    <s v="Healthy"/>
    <n v="0"/>
  </r>
  <r>
    <n v="102428"/>
    <d v="2025-11-24T00:00:00"/>
    <n v="1108"/>
    <x v="3"/>
    <x v="14"/>
    <x v="1"/>
    <x v="1"/>
    <x v="0"/>
    <s v="UPI"/>
    <n v="22.77"/>
    <n v="17.43"/>
    <x v="3"/>
    <n v="0"/>
    <n v="396.88"/>
    <n v="152.28"/>
    <n v="4.05"/>
    <n v="2.78"/>
    <n v="0"/>
    <n v="0"/>
    <n v="0"/>
    <n v="159.11000000000001"/>
    <n v="237.77"/>
    <s v="Profit"/>
    <x v="0"/>
    <n v="4"/>
    <n v="12"/>
    <s v="0-15"/>
    <s v="No"/>
    <n v="0"/>
    <s v="Healthy"/>
    <n v="0"/>
  </r>
  <r>
    <n v="102429"/>
    <d v="2025-11-30T00:00:00"/>
    <n v="1094"/>
    <x v="0"/>
    <x v="0"/>
    <x v="1"/>
    <x v="0"/>
    <x v="0"/>
    <s v="Fleet_Invoice"/>
    <n v="28.81"/>
    <n v="18.91"/>
    <x v="3"/>
    <n v="0"/>
    <n v="544.79999999999995"/>
    <n v="218.65"/>
    <n v="4.5"/>
    <n v="2.1800000000000002"/>
    <n v="6.89"/>
    <n v="0"/>
    <n v="0"/>
    <n v="232.22"/>
    <n v="312.58"/>
    <s v="Profit"/>
    <x v="0"/>
    <n v="2"/>
    <n v="10"/>
    <s v="0-15"/>
    <s v="No"/>
    <n v="0"/>
    <s v="Healthy"/>
    <n v="0"/>
  </r>
  <r>
    <n v="102430"/>
    <d v="2025-10-29T00:00:00"/>
    <n v="1068"/>
    <x v="1"/>
    <x v="4"/>
    <x v="0"/>
    <x v="1"/>
    <x v="1"/>
    <s v="Card"/>
    <n v="26.93"/>
    <n v="16.190000000000001"/>
    <x v="3"/>
    <n v="0"/>
    <n v="436"/>
    <n v="192.41"/>
    <n v="9.06"/>
    <n v="6.54"/>
    <n v="9.93"/>
    <n v="0"/>
    <n v="0"/>
    <n v="217.94"/>
    <n v="218.06"/>
    <s v="Profit"/>
    <x v="0"/>
    <n v="13"/>
    <n v="6"/>
    <s v="0-15"/>
    <s v="No"/>
    <n v="0"/>
    <s v="Healthy"/>
    <n v="0"/>
  </r>
  <r>
    <n v="102431"/>
    <d v="2025-10-07T00:00:00"/>
    <n v="1042"/>
    <x v="2"/>
    <x v="12"/>
    <x v="1"/>
    <x v="3"/>
    <x v="0"/>
    <s v="UPI"/>
    <n v="3"/>
    <n v="12.92"/>
    <x v="4"/>
    <n v="1.94"/>
    <n v="36.82"/>
    <n v="20.22"/>
    <n v="7.69"/>
    <n v="0.27"/>
    <n v="6.28"/>
    <n v="0"/>
    <n v="0"/>
    <n v="34.46"/>
    <n v="2.36"/>
    <s v="Profit"/>
    <x v="0"/>
    <n v="33"/>
    <n v="7"/>
    <s v="30+"/>
    <s v="Yes"/>
    <n v="2"/>
    <s v="At Risk"/>
    <n v="1"/>
  </r>
  <r>
    <n v="102432"/>
    <d v="2025-11-01T00:00:00"/>
    <n v="1062"/>
    <x v="1"/>
    <x v="2"/>
    <x v="3"/>
    <x v="3"/>
    <x v="1"/>
    <s v="UPI"/>
    <n v="19.61"/>
    <n v="12.64"/>
    <x v="3"/>
    <n v="0"/>
    <n v="247.87"/>
    <n v="148.61000000000001"/>
    <n v="5.93"/>
    <n v="1.74"/>
    <n v="10.76"/>
    <n v="0"/>
    <n v="0"/>
    <n v="167.04"/>
    <n v="80.83"/>
    <s v="Profit"/>
    <x v="0"/>
    <n v="19"/>
    <n v="19"/>
    <s v="16-30"/>
    <s v="Yes"/>
    <n v="3"/>
    <s v="At Risk"/>
    <n v="1"/>
  </r>
  <r>
    <n v="102433"/>
    <d v="2025-12-30T00:00:00"/>
    <n v="1144"/>
    <x v="2"/>
    <x v="12"/>
    <x v="0"/>
    <x v="3"/>
    <x v="2"/>
    <s v="UPI"/>
    <n v="3"/>
    <n v="13.11"/>
    <x v="1"/>
    <n v="7.87"/>
    <n v="31.46"/>
    <n v="22.48"/>
    <n v="4.96"/>
    <n v="0.28000000000000003"/>
    <n v="8.4499999999999993"/>
    <n v="0"/>
    <n v="0"/>
    <n v="36.17"/>
    <n v="-4.71"/>
    <s v="Loss"/>
    <x v="0"/>
    <n v="2"/>
    <n v="3"/>
    <s v="0-15"/>
    <s v="No"/>
    <n v="0"/>
    <s v="Healthy"/>
    <n v="0"/>
  </r>
  <r>
    <n v="102434"/>
    <d v="2025-10-10T00:00:00"/>
    <n v="1075"/>
    <x v="0"/>
    <x v="11"/>
    <x v="1"/>
    <x v="3"/>
    <x v="2"/>
    <s v="Wallet"/>
    <n v="16.36"/>
    <n v="12.84"/>
    <x v="3"/>
    <n v="0"/>
    <n v="210.06"/>
    <n v="119.71"/>
    <n v="1"/>
    <n v="2.52"/>
    <n v="0"/>
    <n v="0"/>
    <n v="0"/>
    <n v="123.23"/>
    <n v="86.83"/>
    <s v="Profit"/>
    <x v="0"/>
    <n v="4"/>
    <n v="4"/>
    <s v="0-15"/>
    <s v="No"/>
    <n v="0"/>
    <s v="Healthy"/>
    <n v="0"/>
  </r>
  <r>
    <n v="102435"/>
    <d v="2025-10-09T00:00:00"/>
    <n v="1058"/>
    <x v="2"/>
    <x v="10"/>
    <x v="1"/>
    <x v="1"/>
    <x v="0"/>
    <s v="Wallet"/>
    <n v="31.03"/>
    <n v="17.559999999999999"/>
    <x v="3"/>
    <n v="0"/>
    <n v="544.89"/>
    <n v="237.49"/>
    <n v="12.52"/>
    <n v="6.54"/>
    <n v="5.23"/>
    <n v="0"/>
    <n v="0"/>
    <n v="261.77999999999997"/>
    <n v="283.11"/>
    <s v="Profit"/>
    <x v="0"/>
    <n v="10"/>
    <n v="2"/>
    <s v="0-15"/>
    <s v="No"/>
    <n v="0"/>
    <s v="Healthy"/>
    <n v="0"/>
  </r>
  <r>
    <n v="102436"/>
    <d v="2025-12-29T00:00:00"/>
    <n v="1121"/>
    <x v="0"/>
    <x v="11"/>
    <x v="4"/>
    <x v="2"/>
    <x v="2"/>
    <s v="Wallet"/>
    <n v="16.920000000000002"/>
    <n v="18.79"/>
    <x v="3"/>
    <n v="0"/>
    <n v="317.93"/>
    <n v="89.29"/>
    <n v="2.4900000000000002"/>
    <n v="3.82"/>
    <n v="8.59"/>
    <n v="0"/>
    <n v="0"/>
    <n v="104.19"/>
    <n v="213.74"/>
    <s v="Profit"/>
    <x v="0"/>
    <n v="2"/>
    <n v="22"/>
    <s v="0-15"/>
    <s v="Yes"/>
    <n v="3"/>
    <s v="At Risk"/>
    <n v="1"/>
  </r>
  <r>
    <n v="102437"/>
    <d v="2025-10-07T00:00:00"/>
    <n v="1145"/>
    <x v="1"/>
    <x v="13"/>
    <x v="1"/>
    <x v="3"/>
    <x v="0"/>
    <s v="Card"/>
    <n v="6.94"/>
    <n v="12.68"/>
    <x v="3"/>
    <n v="0"/>
    <n v="88"/>
    <n v="44.97"/>
    <n v="10.24"/>
    <n v="1.32"/>
    <n v="8.11"/>
    <n v="0"/>
    <n v="0"/>
    <n v="64.64"/>
    <n v="23.36"/>
    <s v="Profit"/>
    <x v="0"/>
    <n v="4"/>
    <n v="10"/>
    <s v="0-15"/>
    <s v="No"/>
    <n v="0"/>
    <s v="Healthy"/>
    <n v="0"/>
  </r>
  <r>
    <n v="102438"/>
    <d v="2025-10-14T00:00:00"/>
    <n v="1150"/>
    <x v="3"/>
    <x v="14"/>
    <x v="4"/>
    <x v="2"/>
    <x v="0"/>
    <s v="Fleet_Invoice"/>
    <n v="35.99"/>
    <n v="17.71"/>
    <x v="2"/>
    <n v="63.74"/>
    <n v="573.64"/>
    <n v="214.63"/>
    <n v="4.04"/>
    <n v="2.5499999999999998"/>
    <n v="5.27"/>
    <n v="0"/>
    <n v="0"/>
    <n v="226.49"/>
    <n v="347.15"/>
    <s v="Profit"/>
    <x v="0"/>
    <n v="0"/>
    <n v="5"/>
    <s v="0-15"/>
    <s v="No"/>
    <n v="0"/>
    <s v="Healthy"/>
    <n v="0"/>
  </r>
  <r>
    <n v="102439"/>
    <d v="2025-11-27T00:00:00"/>
    <n v="1112"/>
    <x v="0"/>
    <x v="0"/>
    <x v="3"/>
    <x v="1"/>
    <x v="1"/>
    <s v="Fleet_Invoice"/>
    <n v="26.25"/>
    <n v="16.02"/>
    <x v="3"/>
    <n v="0"/>
    <n v="420.52"/>
    <n v="173.64"/>
    <n v="6.05"/>
    <n v="1.68"/>
    <n v="8.5399999999999991"/>
    <n v="0"/>
    <n v="0"/>
    <n v="189.91"/>
    <n v="230.61"/>
    <s v="Profit"/>
    <x v="0"/>
    <n v="2"/>
    <n v="7"/>
    <s v="0-15"/>
    <s v="No"/>
    <n v="0"/>
    <s v="Healthy"/>
    <n v="0"/>
  </r>
  <r>
    <n v="102440"/>
    <d v="2025-12-01T00:00:00"/>
    <n v="1150"/>
    <x v="3"/>
    <x v="7"/>
    <x v="3"/>
    <x v="0"/>
    <x v="0"/>
    <s v="Card"/>
    <n v="39.68"/>
    <n v="18.46"/>
    <x v="2"/>
    <n v="73.25"/>
    <n v="659.24"/>
    <n v="276.51"/>
    <n v="6.1"/>
    <n v="10.99"/>
    <n v="10.11"/>
    <n v="0"/>
    <n v="0"/>
    <n v="303.70999999999998"/>
    <n v="355.53"/>
    <s v="Profit"/>
    <x v="0"/>
    <n v="0"/>
    <n v="11"/>
    <s v="0-15"/>
    <s v="No"/>
    <n v="0"/>
    <s v="Healthy"/>
    <n v="0"/>
  </r>
  <r>
    <n v="102441"/>
    <d v="2025-10-05T00:00:00"/>
    <n v="1005"/>
    <x v="1"/>
    <x v="13"/>
    <x v="0"/>
    <x v="2"/>
    <x v="0"/>
    <s v="UPI"/>
    <n v="28.5"/>
    <n v="18.559999999999999"/>
    <x v="0"/>
    <n v="79.34"/>
    <n v="449.62"/>
    <n v="193.55"/>
    <n v="7.43"/>
    <n v="3.7"/>
    <n v="0"/>
    <n v="269.17"/>
    <n v="0"/>
    <n v="473.85"/>
    <n v="-24.23"/>
    <s v="Loss"/>
    <x v="1"/>
    <n v="20"/>
    <n v="4"/>
    <s v="16-30"/>
    <s v="Yes"/>
    <n v="3"/>
    <s v="At Risk"/>
    <n v="1"/>
  </r>
  <r>
    <n v="102442"/>
    <d v="2025-12-23T00:00:00"/>
    <n v="1099"/>
    <x v="1"/>
    <x v="13"/>
    <x v="3"/>
    <x v="3"/>
    <x v="0"/>
    <s v="UPI"/>
    <n v="19.64"/>
    <n v="14.34"/>
    <x v="1"/>
    <n v="56.33"/>
    <n v="225.31"/>
    <n v="167.42"/>
    <n v="11.7"/>
    <n v="1.97"/>
    <n v="0.7"/>
    <n v="0"/>
    <n v="0"/>
    <n v="181.79"/>
    <n v="43.52"/>
    <s v="Profit"/>
    <x v="0"/>
    <n v="9"/>
    <n v="1"/>
    <s v="0-15"/>
    <s v="No"/>
    <n v="0"/>
    <s v="Healthy"/>
    <n v="0"/>
  </r>
  <r>
    <n v="102443"/>
    <d v="2025-10-24T00:00:00"/>
    <n v="1007"/>
    <x v="3"/>
    <x v="8"/>
    <x v="4"/>
    <x v="1"/>
    <x v="0"/>
    <s v="Card"/>
    <n v="27.12"/>
    <n v="14.96"/>
    <x v="0"/>
    <n v="60.86"/>
    <n v="344.86"/>
    <n v="192.25"/>
    <n v="8.81"/>
    <n v="6.09"/>
    <n v="6.35"/>
    <n v="0"/>
    <n v="0"/>
    <n v="213.5"/>
    <n v="131.36000000000001"/>
    <s v="Profit"/>
    <x v="0"/>
    <n v="7"/>
    <n v="2"/>
    <s v="0-15"/>
    <s v="No"/>
    <n v="0"/>
    <s v="Healthy"/>
    <n v="0"/>
  </r>
  <r>
    <n v="102444"/>
    <d v="2025-12-21T00:00:00"/>
    <n v="1111"/>
    <x v="0"/>
    <x v="1"/>
    <x v="4"/>
    <x v="1"/>
    <x v="1"/>
    <s v="UPI"/>
    <n v="8.61"/>
    <n v="14.54"/>
    <x v="3"/>
    <n v="0"/>
    <n v="125.19"/>
    <n v="59.64"/>
    <n v="10.32"/>
    <n v="0.88"/>
    <n v="3.74"/>
    <n v="0"/>
    <n v="0"/>
    <n v="74.58"/>
    <n v="50.61"/>
    <s v="Profit"/>
    <x v="0"/>
    <n v="14"/>
    <n v="16"/>
    <s v="0-15"/>
    <s v="Yes"/>
    <n v="2"/>
    <s v="At Risk"/>
    <n v="1"/>
  </r>
  <r>
    <n v="102445"/>
    <d v="2025-11-01T00:00:00"/>
    <n v="1141"/>
    <x v="3"/>
    <x v="7"/>
    <x v="2"/>
    <x v="1"/>
    <x v="0"/>
    <s v="UPI"/>
    <n v="32.299999999999997"/>
    <n v="16.079999999999998"/>
    <x v="3"/>
    <n v="0"/>
    <n v="519.38"/>
    <n v="214.22"/>
    <n v="6.47"/>
    <n v="3.64"/>
    <n v="7.34"/>
    <n v="0"/>
    <n v="0"/>
    <n v="231.67"/>
    <n v="287.70999999999998"/>
    <s v="Profit"/>
    <x v="0"/>
    <n v="5"/>
    <n v="10"/>
    <s v="0-15"/>
    <s v="No"/>
    <n v="0"/>
    <s v="Healthy"/>
    <n v="0"/>
  </r>
  <r>
    <n v="102446"/>
    <d v="2025-11-22T00:00:00"/>
    <n v="1016"/>
    <x v="0"/>
    <x v="0"/>
    <x v="3"/>
    <x v="2"/>
    <x v="2"/>
    <s v="Wallet"/>
    <n v="24.45"/>
    <n v="17.87"/>
    <x v="3"/>
    <n v="0"/>
    <n v="436.92"/>
    <n v="164.72"/>
    <n v="13.81"/>
    <n v="5.24"/>
    <n v="3.33"/>
    <n v="0"/>
    <n v="0"/>
    <n v="187.1"/>
    <n v="249.82"/>
    <s v="Profit"/>
    <x v="0"/>
    <n v="26"/>
    <n v="1"/>
    <s v="16-30"/>
    <s v="Yes"/>
    <n v="2"/>
    <s v="At Risk"/>
    <n v="1"/>
  </r>
  <r>
    <n v="102447"/>
    <d v="2025-12-24T00:00:00"/>
    <n v="1041"/>
    <x v="0"/>
    <x v="1"/>
    <x v="2"/>
    <x v="0"/>
    <x v="1"/>
    <s v="UPI"/>
    <n v="20.65"/>
    <n v="19.48"/>
    <x v="3"/>
    <n v="0"/>
    <n v="402.26"/>
    <n v="165.17"/>
    <n v="10.73"/>
    <n v="2.82"/>
    <n v="5.45"/>
    <n v="0"/>
    <n v="0"/>
    <n v="184.17"/>
    <n v="218.09"/>
    <s v="Profit"/>
    <x v="0"/>
    <n v="4"/>
    <n v="10"/>
    <s v="0-15"/>
    <s v="No"/>
    <n v="0"/>
    <s v="Healthy"/>
    <n v="0"/>
  </r>
  <r>
    <n v="102448"/>
    <d v="2025-10-23T00:00:00"/>
    <n v="1009"/>
    <x v="2"/>
    <x v="10"/>
    <x v="1"/>
    <x v="3"/>
    <x v="0"/>
    <s v="Fleet_Invoice"/>
    <n v="19.329999999999998"/>
    <n v="12.14"/>
    <x v="3"/>
    <n v="0"/>
    <n v="234.67"/>
    <n v="145.61000000000001"/>
    <n v="13.51"/>
    <n v="0.94"/>
    <n v="2.86"/>
    <n v="0"/>
    <n v="0"/>
    <n v="162.91999999999999"/>
    <n v="71.75"/>
    <s v="Profit"/>
    <x v="0"/>
    <n v="21"/>
    <n v="3"/>
    <s v="16-30"/>
    <s v="Yes"/>
    <n v="4"/>
    <s v="At Risk"/>
    <n v="1"/>
  </r>
  <r>
    <n v="102449"/>
    <d v="2025-12-21T00:00:00"/>
    <n v="1104"/>
    <x v="0"/>
    <x v="0"/>
    <x v="1"/>
    <x v="3"/>
    <x v="0"/>
    <s v="Card"/>
    <n v="27.58"/>
    <n v="13.9"/>
    <x v="3"/>
    <n v="0"/>
    <n v="383.36"/>
    <n v="172.73"/>
    <n v="7.54"/>
    <n v="5.75"/>
    <n v="12.79"/>
    <n v="0"/>
    <n v="0"/>
    <n v="198.81"/>
    <n v="184.55"/>
    <s v="Profit"/>
    <x v="0"/>
    <n v="11"/>
    <n v="18"/>
    <s v="0-15"/>
    <s v="Yes"/>
    <n v="2"/>
    <s v="At Risk"/>
    <n v="1"/>
  </r>
  <r>
    <n v="102450"/>
    <d v="2025-11-04T00:00:00"/>
    <n v="1018"/>
    <x v="0"/>
    <x v="6"/>
    <x v="0"/>
    <x v="3"/>
    <x v="2"/>
    <s v="Card"/>
    <n v="22.17"/>
    <n v="13.1"/>
    <x v="3"/>
    <n v="0"/>
    <n v="290.43"/>
    <n v="180.99"/>
    <n v="5.79"/>
    <n v="4.3600000000000003"/>
    <n v="0"/>
    <n v="0"/>
    <n v="0"/>
    <n v="191.14"/>
    <n v="99.29"/>
    <s v="Profit"/>
    <x v="0"/>
    <n v="2"/>
    <n v="4"/>
    <s v="0-15"/>
    <s v="No"/>
    <n v="0"/>
    <s v="Healthy"/>
    <n v="0"/>
  </r>
  <r>
    <n v="102451"/>
    <d v="2025-11-21T00:00:00"/>
    <n v="1138"/>
    <x v="1"/>
    <x v="13"/>
    <x v="0"/>
    <x v="3"/>
    <x v="0"/>
    <s v="UPI"/>
    <n v="3"/>
    <n v="13.68"/>
    <x v="3"/>
    <n v="0"/>
    <n v="41.04"/>
    <n v="25.22"/>
    <n v="8.1"/>
    <n v="0.28999999999999998"/>
    <n v="6.42"/>
    <n v="0"/>
    <n v="0"/>
    <n v="40.03"/>
    <n v="1.01"/>
    <s v="Profit"/>
    <x v="0"/>
    <n v="13"/>
    <n v="11"/>
    <s v="0-15"/>
    <s v="No"/>
    <n v="1"/>
    <s v="Healthy"/>
    <n v="0"/>
  </r>
  <r>
    <n v="102452"/>
    <d v="2025-11-29T00:00:00"/>
    <n v="1028"/>
    <x v="0"/>
    <x v="6"/>
    <x v="4"/>
    <x v="1"/>
    <x v="0"/>
    <s v="Wallet"/>
    <n v="26.58"/>
    <n v="14.73"/>
    <x v="3"/>
    <n v="0"/>
    <n v="391.52"/>
    <n v="214.95"/>
    <n v="6.19"/>
    <n v="4.7"/>
    <n v="4.5599999999999996"/>
    <n v="208.79"/>
    <n v="0"/>
    <n v="439.19"/>
    <n v="-47.67"/>
    <s v="Loss"/>
    <x v="1"/>
    <n v="0"/>
    <n v="10"/>
    <s v="0-15"/>
    <s v="Yes"/>
    <n v="1"/>
    <s v="At Risk"/>
    <n v="1"/>
  </r>
  <r>
    <n v="102453"/>
    <d v="2025-10-29T00:00:00"/>
    <n v="1098"/>
    <x v="1"/>
    <x v="2"/>
    <x v="4"/>
    <x v="3"/>
    <x v="0"/>
    <s v="UPI"/>
    <n v="25.59"/>
    <n v="13.62"/>
    <x v="0"/>
    <n v="52.28"/>
    <n v="296.26"/>
    <n v="201.13"/>
    <n v="9.77"/>
    <n v="2.44"/>
    <n v="7.69"/>
    <n v="282.45999999999998"/>
    <n v="0"/>
    <n v="503.49"/>
    <n v="-207.23"/>
    <s v="Loss"/>
    <x v="1"/>
    <n v="4"/>
    <n v="6"/>
    <s v="0-15"/>
    <s v="Yes"/>
    <n v="2"/>
    <s v="At Risk"/>
    <n v="1"/>
  </r>
  <r>
    <n v="102454"/>
    <d v="2025-11-28T00:00:00"/>
    <n v="1145"/>
    <x v="0"/>
    <x v="0"/>
    <x v="4"/>
    <x v="1"/>
    <x v="0"/>
    <s v="UPI"/>
    <n v="13.69"/>
    <n v="14.9"/>
    <x v="3"/>
    <n v="0"/>
    <n v="203.98"/>
    <n v="80.61"/>
    <n v="8.52"/>
    <n v="1.43"/>
    <n v="7.31"/>
    <n v="0"/>
    <n v="0"/>
    <n v="97.87"/>
    <n v="106.11"/>
    <s v="Profit"/>
    <x v="0"/>
    <n v="5"/>
    <n v="0"/>
    <s v="0-15"/>
    <s v="No"/>
    <n v="0"/>
    <s v="Healthy"/>
    <n v="0"/>
  </r>
  <r>
    <n v="102455"/>
    <d v="2025-12-07T00:00:00"/>
    <n v="1128"/>
    <x v="2"/>
    <x v="12"/>
    <x v="4"/>
    <x v="0"/>
    <x v="0"/>
    <s v="UPI"/>
    <n v="36.64"/>
    <n v="21.51"/>
    <x v="2"/>
    <n v="78.81"/>
    <n v="709.32"/>
    <n v="245.89"/>
    <n v="5.67"/>
    <n v="5.52"/>
    <n v="6.87"/>
    <n v="0"/>
    <n v="0"/>
    <n v="263.95"/>
    <n v="445.37"/>
    <s v="Profit"/>
    <x v="0"/>
    <n v="7"/>
    <n v="0"/>
    <s v="0-15"/>
    <s v="No"/>
    <n v="0"/>
    <s v="Healthy"/>
    <n v="0"/>
  </r>
  <r>
    <n v="102456"/>
    <d v="2025-10-29T00:00:00"/>
    <n v="1078"/>
    <x v="1"/>
    <x v="13"/>
    <x v="4"/>
    <x v="3"/>
    <x v="1"/>
    <s v="UPI"/>
    <n v="29.72"/>
    <n v="12.75"/>
    <x v="4"/>
    <n v="18.95"/>
    <n v="359.98"/>
    <n v="261.54000000000002"/>
    <n v="8.33"/>
    <n v="2.65"/>
    <n v="5.0199999999999996"/>
    <n v="0"/>
    <n v="0"/>
    <n v="277.54000000000002"/>
    <n v="82.44"/>
    <s v="Profit"/>
    <x v="0"/>
    <n v="9"/>
    <n v="15"/>
    <s v="0-15"/>
    <s v="No"/>
    <n v="0"/>
    <s v="Healthy"/>
    <n v="0"/>
  </r>
  <r>
    <n v="102457"/>
    <d v="2025-10-04T00:00:00"/>
    <n v="1146"/>
    <x v="0"/>
    <x v="0"/>
    <x v="1"/>
    <x v="1"/>
    <x v="1"/>
    <s v="UPI"/>
    <n v="22.66"/>
    <n v="15.24"/>
    <x v="0"/>
    <n v="51.8"/>
    <n v="293.54000000000002"/>
    <n v="167.18"/>
    <n v="3.6"/>
    <n v="2.42"/>
    <n v="1.75"/>
    <n v="310.38"/>
    <n v="2.56"/>
    <n v="487.89"/>
    <n v="-194.35"/>
    <s v="Loss"/>
    <x v="1"/>
    <n v="26"/>
    <n v="0"/>
    <s v="16-30"/>
    <s v="Yes"/>
    <n v="1"/>
    <s v="At Risk"/>
    <n v="1"/>
  </r>
  <r>
    <n v="102458"/>
    <d v="2025-10-17T00:00:00"/>
    <n v="1055"/>
    <x v="2"/>
    <x v="12"/>
    <x v="1"/>
    <x v="0"/>
    <x v="0"/>
    <s v="Fleet_Invoice"/>
    <n v="33.4"/>
    <n v="18.14"/>
    <x v="0"/>
    <n v="90.88"/>
    <n v="515"/>
    <n v="269.87"/>
    <n v="8.7899999999999991"/>
    <n v="2.42"/>
    <n v="5.96"/>
    <n v="0"/>
    <n v="0"/>
    <n v="287.04000000000002"/>
    <n v="227.96"/>
    <s v="Profit"/>
    <x v="0"/>
    <n v="10"/>
    <n v="3"/>
    <s v="0-15"/>
    <s v="No"/>
    <n v="0"/>
    <s v="Healthy"/>
    <n v="0"/>
  </r>
  <r>
    <n v="102459"/>
    <d v="2025-11-24T00:00:00"/>
    <n v="1092"/>
    <x v="0"/>
    <x v="11"/>
    <x v="3"/>
    <x v="2"/>
    <x v="0"/>
    <s v="UPI"/>
    <n v="38.32"/>
    <n v="17.989999999999998"/>
    <x v="3"/>
    <n v="0"/>
    <n v="689.38"/>
    <n v="282.64"/>
    <n v="5.92"/>
    <n v="4.83"/>
    <n v="12.53"/>
    <n v="0"/>
    <n v="0"/>
    <n v="305.92"/>
    <n v="383.46"/>
    <s v="Profit"/>
    <x v="0"/>
    <n v="10"/>
    <n v="19"/>
    <s v="0-15"/>
    <s v="Yes"/>
    <n v="2"/>
    <s v="At Risk"/>
    <n v="1"/>
  </r>
  <r>
    <n v="102460"/>
    <d v="2025-10-16T00:00:00"/>
    <n v="1058"/>
    <x v="2"/>
    <x v="10"/>
    <x v="2"/>
    <x v="1"/>
    <x v="0"/>
    <s v="UPI"/>
    <n v="19.05"/>
    <n v="15.46"/>
    <x v="1"/>
    <n v="58.9"/>
    <n v="235.61"/>
    <n v="121.7"/>
    <n v="2.98"/>
    <n v="2.06"/>
    <n v="4.9000000000000004"/>
    <n v="0"/>
    <n v="0"/>
    <n v="131.63999999999999"/>
    <n v="103.97"/>
    <s v="Profit"/>
    <x v="0"/>
    <n v="4"/>
    <n v="8"/>
    <s v="0-15"/>
    <s v="No"/>
    <n v="2"/>
    <s v="Healthy"/>
    <n v="0"/>
  </r>
  <r>
    <n v="102461"/>
    <d v="2025-12-01T00:00:00"/>
    <n v="1006"/>
    <x v="1"/>
    <x v="3"/>
    <x v="2"/>
    <x v="1"/>
    <x v="0"/>
    <s v="UPI"/>
    <n v="25.24"/>
    <n v="15.88"/>
    <x v="0"/>
    <n v="60.12"/>
    <n v="340.69"/>
    <n v="204.25"/>
    <n v="8.06"/>
    <n v="2.81"/>
    <n v="9.09"/>
    <n v="0"/>
    <n v="0"/>
    <n v="224.21"/>
    <n v="116.48"/>
    <s v="Profit"/>
    <x v="0"/>
    <n v="32"/>
    <n v="2"/>
    <s v="30+"/>
    <s v="Yes"/>
    <n v="1"/>
    <s v="At Risk"/>
    <n v="1"/>
  </r>
  <r>
    <n v="102462"/>
    <d v="2025-11-28T00:00:00"/>
    <n v="1072"/>
    <x v="2"/>
    <x v="5"/>
    <x v="2"/>
    <x v="3"/>
    <x v="0"/>
    <s v="Card"/>
    <n v="14.53"/>
    <n v="12.96"/>
    <x v="3"/>
    <n v="0"/>
    <n v="188.31"/>
    <n v="108.2"/>
    <n v="5.8"/>
    <n v="2.82"/>
    <n v="10.08"/>
    <n v="0"/>
    <n v="0"/>
    <n v="126.9"/>
    <n v="61.41"/>
    <s v="Profit"/>
    <x v="0"/>
    <n v="10"/>
    <n v="4"/>
    <s v="0-15"/>
    <s v="No"/>
    <n v="0"/>
    <s v="Healthy"/>
    <n v="0"/>
  </r>
  <r>
    <n v="102463"/>
    <d v="2025-12-18T00:00:00"/>
    <n v="1098"/>
    <x v="2"/>
    <x v="12"/>
    <x v="0"/>
    <x v="3"/>
    <x v="2"/>
    <s v="UPI"/>
    <n v="21.76"/>
    <n v="12.95"/>
    <x v="2"/>
    <n v="28.18"/>
    <n v="253.61"/>
    <n v="132.44999999999999"/>
    <n v="8.68"/>
    <n v="1.97"/>
    <n v="5.21"/>
    <n v="0"/>
    <n v="0"/>
    <n v="148.31"/>
    <n v="105.3"/>
    <s v="Profit"/>
    <x v="0"/>
    <n v="32"/>
    <n v="4"/>
    <s v="30+"/>
    <s v="Yes"/>
    <n v="2"/>
    <s v="At Risk"/>
    <n v="1"/>
  </r>
  <r>
    <n v="102464"/>
    <d v="2025-10-15T00:00:00"/>
    <n v="1146"/>
    <x v="3"/>
    <x v="15"/>
    <x v="4"/>
    <x v="2"/>
    <x v="0"/>
    <s v="UPI"/>
    <n v="25.92"/>
    <n v="18.739999999999998"/>
    <x v="3"/>
    <n v="0"/>
    <n v="485.74"/>
    <n v="172.48"/>
    <n v="4.2"/>
    <n v="3.4"/>
    <n v="6.93"/>
    <n v="0"/>
    <n v="0"/>
    <n v="187.01"/>
    <n v="298.73"/>
    <s v="Profit"/>
    <x v="0"/>
    <n v="5"/>
    <n v="3"/>
    <s v="0-15"/>
    <s v="No"/>
    <n v="0"/>
    <s v="Healthy"/>
    <n v="0"/>
  </r>
  <r>
    <n v="102465"/>
    <d v="2025-11-17T00:00:00"/>
    <n v="1117"/>
    <x v="1"/>
    <x v="3"/>
    <x v="3"/>
    <x v="1"/>
    <x v="2"/>
    <s v="Fleet_Invoice"/>
    <n v="34.96"/>
    <n v="16.809999999999999"/>
    <x v="4"/>
    <n v="29.38"/>
    <n v="558.29999999999995"/>
    <n v="228.65"/>
    <n v="7.41"/>
    <n v="2.35"/>
    <n v="13.42"/>
    <n v="0"/>
    <n v="0"/>
    <n v="251.83"/>
    <n v="306.47000000000003"/>
    <s v="Profit"/>
    <x v="0"/>
    <n v="56"/>
    <n v="3"/>
    <s v="30+"/>
    <s v="Yes"/>
    <n v="1"/>
    <s v="At Risk"/>
    <n v="1"/>
  </r>
  <r>
    <n v="102466"/>
    <d v="2025-12-19T00:00:00"/>
    <n v="1136"/>
    <x v="2"/>
    <x v="5"/>
    <x v="3"/>
    <x v="2"/>
    <x v="0"/>
    <s v="UPI"/>
    <n v="17.739999999999998"/>
    <n v="15.99"/>
    <x v="3"/>
    <n v="0"/>
    <n v="283.66000000000003"/>
    <n v="134.51"/>
    <n v="10.31"/>
    <n v="1.99"/>
    <n v="4.74"/>
    <n v="0"/>
    <n v="0"/>
    <n v="151.55000000000001"/>
    <n v="132.11000000000001"/>
    <s v="Profit"/>
    <x v="0"/>
    <n v="2"/>
    <n v="7"/>
    <s v="0-15"/>
    <s v="No"/>
    <n v="0"/>
    <s v="Healthy"/>
    <n v="0"/>
  </r>
  <r>
    <n v="102467"/>
    <d v="2025-11-04T00:00:00"/>
    <n v="1054"/>
    <x v="0"/>
    <x v="11"/>
    <x v="2"/>
    <x v="3"/>
    <x v="0"/>
    <s v="Card"/>
    <n v="29.27"/>
    <n v="10.7"/>
    <x v="2"/>
    <n v="31.32"/>
    <n v="281.87"/>
    <n v="177.38"/>
    <n v="7.26"/>
    <n v="4.7"/>
    <n v="3.08"/>
    <n v="0"/>
    <n v="0"/>
    <n v="192.42"/>
    <n v="89.45"/>
    <s v="Profit"/>
    <x v="0"/>
    <n v="6"/>
    <n v="4"/>
    <s v="0-15"/>
    <s v="No"/>
    <n v="0"/>
    <s v="Healthy"/>
    <n v="0"/>
  </r>
  <r>
    <n v="102468"/>
    <d v="2025-11-02T00:00:00"/>
    <n v="1101"/>
    <x v="1"/>
    <x v="4"/>
    <x v="4"/>
    <x v="1"/>
    <x v="0"/>
    <s v="Fleet_Invoice"/>
    <n v="14.49"/>
    <n v="16.260000000000002"/>
    <x v="0"/>
    <n v="35.340000000000003"/>
    <n v="200.27"/>
    <n v="126.4"/>
    <n v="7.07"/>
    <n v="0.94"/>
    <n v="8.6"/>
    <n v="0"/>
    <n v="0"/>
    <n v="143.01"/>
    <n v="57.26"/>
    <s v="Profit"/>
    <x v="0"/>
    <n v="4"/>
    <n v="3"/>
    <s v="0-15"/>
    <s v="No"/>
    <n v="0"/>
    <s v="Healthy"/>
    <n v="0"/>
  </r>
  <r>
    <n v="102469"/>
    <d v="2025-11-04T00:00:00"/>
    <n v="1019"/>
    <x v="0"/>
    <x v="0"/>
    <x v="3"/>
    <x v="3"/>
    <x v="0"/>
    <s v="UPI"/>
    <n v="9.01"/>
    <n v="11.95"/>
    <x v="3"/>
    <n v="0"/>
    <n v="107.67"/>
    <n v="62.66"/>
    <n v="8.07"/>
    <n v="0.75"/>
    <n v="3.43"/>
    <n v="0"/>
    <n v="0"/>
    <n v="74.91"/>
    <n v="32.76"/>
    <s v="Profit"/>
    <x v="0"/>
    <n v="3"/>
    <n v="22"/>
    <s v="0-15"/>
    <s v="Yes"/>
    <n v="1"/>
    <s v="At Risk"/>
    <n v="1"/>
  </r>
  <r>
    <n v="102470"/>
    <d v="2025-12-18T00:00:00"/>
    <n v="1046"/>
    <x v="3"/>
    <x v="14"/>
    <x v="0"/>
    <x v="3"/>
    <x v="0"/>
    <s v="Wallet"/>
    <n v="15.39"/>
    <n v="12.88"/>
    <x v="1"/>
    <n v="39.64"/>
    <n v="158.58000000000001"/>
    <n v="127.49"/>
    <n v="5.27"/>
    <n v="2.38"/>
    <n v="7.31"/>
    <n v="162.99"/>
    <n v="0"/>
    <n v="305.44"/>
    <n v="-146.86000000000001"/>
    <s v="Loss"/>
    <x v="2"/>
    <n v="8"/>
    <n v="5"/>
    <s v="0-15"/>
    <s v="No"/>
    <n v="1"/>
    <s v="At Risk"/>
    <n v="0"/>
  </r>
  <r>
    <n v="102471"/>
    <d v="2025-11-17T00:00:00"/>
    <n v="1039"/>
    <x v="3"/>
    <x v="15"/>
    <x v="1"/>
    <x v="3"/>
    <x v="0"/>
    <s v="UPI"/>
    <n v="20.36"/>
    <n v="12.3"/>
    <x v="0"/>
    <n v="37.56"/>
    <n v="212.87"/>
    <n v="180.76"/>
    <n v="7.92"/>
    <n v="1.75"/>
    <n v="0"/>
    <n v="0"/>
    <n v="0"/>
    <n v="190.43"/>
    <n v="22.44"/>
    <s v="Profit"/>
    <x v="0"/>
    <n v="12"/>
    <n v="3"/>
    <s v="0-15"/>
    <s v="No"/>
    <n v="0"/>
    <s v="Healthy"/>
    <n v="0"/>
  </r>
  <r>
    <n v="102472"/>
    <d v="2025-10-20T00:00:00"/>
    <n v="1122"/>
    <x v="0"/>
    <x v="1"/>
    <x v="4"/>
    <x v="1"/>
    <x v="0"/>
    <s v="UPI"/>
    <n v="21.6"/>
    <n v="16.329999999999998"/>
    <x v="3"/>
    <n v="0"/>
    <n v="352.73"/>
    <n v="158.22"/>
    <n v="12.7"/>
    <n v="2.4700000000000002"/>
    <n v="0"/>
    <n v="273.60000000000002"/>
    <n v="0"/>
    <n v="446.99"/>
    <n v="-94.26"/>
    <s v="Loss"/>
    <x v="1"/>
    <n v="23"/>
    <n v="22"/>
    <s v="16-30"/>
    <s v="Yes"/>
    <n v="1"/>
    <s v="At Risk"/>
    <n v="1"/>
  </r>
  <r>
    <n v="102473"/>
    <d v="2025-10-16T00:00:00"/>
    <n v="1125"/>
    <x v="2"/>
    <x v="5"/>
    <x v="3"/>
    <x v="1"/>
    <x v="2"/>
    <s v="UPI"/>
    <n v="24.12"/>
    <n v="15.53"/>
    <x v="3"/>
    <n v="0"/>
    <n v="374.58"/>
    <n v="175.37"/>
    <n v="8.2799999999999994"/>
    <n v="2.62"/>
    <n v="1.54"/>
    <n v="0"/>
    <n v="0"/>
    <n v="187.81"/>
    <n v="186.77"/>
    <s v="Profit"/>
    <x v="0"/>
    <n v="1"/>
    <n v="4"/>
    <s v="0-15"/>
    <s v="No"/>
    <n v="0"/>
    <s v="Healthy"/>
    <n v="0"/>
  </r>
  <r>
    <n v="102474"/>
    <d v="2025-10-31T00:00:00"/>
    <n v="1054"/>
    <x v="1"/>
    <x v="13"/>
    <x v="1"/>
    <x v="1"/>
    <x v="0"/>
    <s v="UPI"/>
    <n v="35.06"/>
    <n v="15.8"/>
    <x v="3"/>
    <n v="0"/>
    <n v="553.95000000000005"/>
    <n v="225.18"/>
    <n v="5.5"/>
    <n v="3.88"/>
    <n v="3.56"/>
    <n v="0"/>
    <n v="0"/>
    <n v="238.12"/>
    <n v="315.83"/>
    <s v="Profit"/>
    <x v="0"/>
    <n v="6"/>
    <n v="2"/>
    <s v="0-15"/>
    <s v="No"/>
    <n v="0"/>
    <s v="Healthy"/>
    <n v="0"/>
  </r>
  <r>
    <n v="102475"/>
    <d v="2025-12-25T00:00:00"/>
    <n v="1030"/>
    <x v="1"/>
    <x v="4"/>
    <x v="1"/>
    <x v="0"/>
    <x v="0"/>
    <s v="Card"/>
    <n v="29.93"/>
    <n v="19.13"/>
    <x v="3"/>
    <n v="0"/>
    <n v="572.55999999999995"/>
    <n v="226.12"/>
    <n v="8.33"/>
    <n v="8.59"/>
    <n v="8.56"/>
    <n v="0"/>
    <n v="0"/>
    <n v="251.6"/>
    <n v="320.95999999999998"/>
    <s v="Profit"/>
    <x v="0"/>
    <n v="50"/>
    <n v="0"/>
    <s v="30+"/>
    <s v="Yes"/>
    <n v="2"/>
    <s v="At Risk"/>
    <n v="1"/>
  </r>
  <r>
    <n v="102476"/>
    <d v="2025-11-01T00:00:00"/>
    <n v="1113"/>
    <x v="2"/>
    <x v="5"/>
    <x v="0"/>
    <x v="1"/>
    <x v="0"/>
    <s v="Fleet_Invoice"/>
    <n v="42.92"/>
    <n v="14.65"/>
    <x v="0"/>
    <n v="94.32"/>
    <n v="534.46"/>
    <n v="309.63"/>
    <n v="6.99"/>
    <n v="2.52"/>
    <n v="9.94"/>
    <n v="0"/>
    <n v="0"/>
    <n v="329.08"/>
    <n v="205.38"/>
    <s v="Profit"/>
    <x v="0"/>
    <n v="22"/>
    <n v="2"/>
    <s v="16-30"/>
    <s v="Yes"/>
    <n v="1"/>
    <s v="At Risk"/>
    <n v="1"/>
  </r>
  <r>
    <n v="102477"/>
    <d v="2025-10-22T00:00:00"/>
    <n v="1137"/>
    <x v="1"/>
    <x v="13"/>
    <x v="0"/>
    <x v="3"/>
    <x v="0"/>
    <s v="UPI"/>
    <n v="14.25"/>
    <n v="11.75"/>
    <x v="4"/>
    <n v="8.3699999999999992"/>
    <n v="159.07"/>
    <n v="104.1"/>
    <n v="8.3699999999999992"/>
    <n v="1.17"/>
    <n v="8.59"/>
    <n v="0"/>
    <n v="0"/>
    <n v="122.23"/>
    <n v="36.840000000000003"/>
    <s v="Profit"/>
    <x v="0"/>
    <n v="11"/>
    <n v="7"/>
    <s v="0-15"/>
    <s v="No"/>
    <n v="0"/>
    <s v="Healthy"/>
    <n v="0"/>
  </r>
  <r>
    <n v="102478"/>
    <d v="2025-10-04T00:00:00"/>
    <n v="1007"/>
    <x v="0"/>
    <x v="11"/>
    <x v="0"/>
    <x v="3"/>
    <x v="2"/>
    <s v="Wallet"/>
    <n v="12.04"/>
    <n v="11.68"/>
    <x v="1"/>
    <n v="28.13"/>
    <n v="112.5"/>
    <n v="95.76"/>
    <n v="5.56"/>
    <n v="1.69"/>
    <n v="5.55"/>
    <n v="0"/>
    <n v="0"/>
    <n v="108.56"/>
    <n v="3.94"/>
    <s v="Profit"/>
    <x v="0"/>
    <n v="9"/>
    <n v="7"/>
    <s v="0-15"/>
    <s v="No"/>
    <n v="0"/>
    <s v="Healthy"/>
    <n v="0"/>
  </r>
  <r>
    <n v="102479"/>
    <d v="2025-11-03T00:00:00"/>
    <n v="1007"/>
    <x v="0"/>
    <x v="6"/>
    <x v="0"/>
    <x v="1"/>
    <x v="1"/>
    <s v="UPI"/>
    <n v="34.72"/>
    <n v="16.559999999999999"/>
    <x v="3"/>
    <n v="0"/>
    <n v="574.96"/>
    <n v="250.58"/>
    <n v="8.4"/>
    <n v="4.0199999999999996"/>
    <n v="3.62"/>
    <n v="0"/>
    <n v="0"/>
    <n v="266.62"/>
    <n v="308.33999999999997"/>
    <s v="Profit"/>
    <x v="0"/>
    <n v="23"/>
    <n v="9"/>
    <s v="16-30"/>
    <s v="Yes"/>
    <n v="1"/>
    <s v="At Risk"/>
    <n v="1"/>
  </r>
  <r>
    <n v="102480"/>
    <d v="2025-10-07T00:00:00"/>
    <n v="1072"/>
    <x v="0"/>
    <x v="6"/>
    <x v="3"/>
    <x v="3"/>
    <x v="0"/>
    <s v="Fleet_Invoice"/>
    <n v="22.29"/>
    <n v="12.61"/>
    <x v="3"/>
    <n v="0"/>
    <n v="281.08"/>
    <n v="181.15"/>
    <n v="10.34"/>
    <n v="1.1200000000000001"/>
    <n v="9.92"/>
    <n v="0"/>
    <n v="0"/>
    <n v="202.53"/>
    <n v="78.55"/>
    <s v="Profit"/>
    <x v="0"/>
    <n v="20"/>
    <n v="18"/>
    <s v="16-30"/>
    <s v="Yes"/>
    <n v="1"/>
    <s v="At Risk"/>
    <n v="1"/>
  </r>
  <r>
    <n v="102481"/>
    <d v="2025-11-28T00:00:00"/>
    <n v="1088"/>
    <x v="1"/>
    <x v="4"/>
    <x v="0"/>
    <x v="3"/>
    <x v="1"/>
    <s v="UPI"/>
    <n v="24.34"/>
    <n v="12.65"/>
    <x v="4"/>
    <n v="15.4"/>
    <n v="292.5"/>
    <n v="186.82"/>
    <n v="10.7"/>
    <n v="2.16"/>
    <n v="5.26"/>
    <n v="0"/>
    <n v="0"/>
    <n v="204.94"/>
    <n v="87.56"/>
    <s v="Profit"/>
    <x v="0"/>
    <n v="4"/>
    <n v="12"/>
    <s v="0-15"/>
    <s v="No"/>
    <n v="0"/>
    <s v="Healthy"/>
    <n v="0"/>
  </r>
  <r>
    <n v="102482"/>
    <d v="2025-10-10T00:00:00"/>
    <n v="1055"/>
    <x v="0"/>
    <x v="0"/>
    <x v="3"/>
    <x v="3"/>
    <x v="1"/>
    <s v="UPI"/>
    <n v="3"/>
    <n v="13.41"/>
    <x v="3"/>
    <n v="0"/>
    <n v="40.229999999999997"/>
    <n v="17.32"/>
    <n v="4.76"/>
    <n v="0.28000000000000003"/>
    <n v="0"/>
    <n v="0"/>
    <n v="0"/>
    <n v="22.36"/>
    <n v="17.87"/>
    <s v="Profit"/>
    <x v="0"/>
    <n v="5"/>
    <n v="17"/>
    <s v="0-15"/>
    <s v="Yes"/>
    <n v="1"/>
    <s v="At Risk"/>
    <n v="1"/>
  </r>
  <r>
    <n v="102483"/>
    <d v="2025-10-12T00:00:00"/>
    <n v="1143"/>
    <x v="3"/>
    <x v="15"/>
    <x v="4"/>
    <x v="3"/>
    <x v="0"/>
    <s v="Fleet_Invoice"/>
    <n v="20.03"/>
    <n v="12.7"/>
    <x v="2"/>
    <n v="25.44"/>
    <n v="228.94"/>
    <n v="148.03"/>
    <n v="10.75"/>
    <n v="1.02"/>
    <n v="4.1399999999999997"/>
    <n v="0"/>
    <n v="0"/>
    <n v="163.94"/>
    <n v="65"/>
    <s v="Profit"/>
    <x v="0"/>
    <n v="25"/>
    <n v="1"/>
    <s v="16-30"/>
    <s v="Yes"/>
    <n v="2"/>
    <s v="At Risk"/>
    <n v="1"/>
  </r>
  <r>
    <n v="102484"/>
    <d v="2025-11-10T00:00:00"/>
    <n v="1061"/>
    <x v="1"/>
    <x v="13"/>
    <x v="2"/>
    <x v="1"/>
    <x v="0"/>
    <s v="UPI"/>
    <n v="27.28"/>
    <n v="16.850000000000001"/>
    <x v="2"/>
    <n v="45.97"/>
    <n v="413.7"/>
    <n v="217.1"/>
    <n v="9.11"/>
    <n v="3.22"/>
    <n v="3.27"/>
    <n v="0"/>
    <n v="0"/>
    <n v="232.7"/>
    <n v="181"/>
    <s v="Profit"/>
    <x v="0"/>
    <n v="12"/>
    <n v="5"/>
    <s v="0-15"/>
    <s v="No"/>
    <n v="0"/>
    <s v="Healthy"/>
    <n v="0"/>
  </r>
  <r>
    <n v="102485"/>
    <d v="2025-10-25T00:00:00"/>
    <n v="1004"/>
    <x v="1"/>
    <x v="3"/>
    <x v="4"/>
    <x v="3"/>
    <x v="0"/>
    <s v="UPI"/>
    <n v="21.67"/>
    <n v="13.06"/>
    <x v="1"/>
    <n v="56.6"/>
    <n v="226.41"/>
    <n v="120.89"/>
    <n v="7.84"/>
    <n v="1.98"/>
    <n v="12.75"/>
    <n v="0"/>
    <n v="0"/>
    <n v="143.46"/>
    <n v="82.95"/>
    <s v="Profit"/>
    <x v="0"/>
    <n v="4"/>
    <n v="16"/>
    <s v="0-15"/>
    <s v="Yes"/>
    <n v="3"/>
    <s v="At Risk"/>
    <n v="1"/>
  </r>
  <r>
    <n v="102486"/>
    <d v="2025-12-29T00:00:00"/>
    <n v="1130"/>
    <x v="1"/>
    <x v="2"/>
    <x v="3"/>
    <x v="0"/>
    <x v="2"/>
    <s v="UPI"/>
    <n v="34.03"/>
    <n v="19.760000000000002"/>
    <x v="3"/>
    <n v="0"/>
    <n v="672.43"/>
    <n v="229.29"/>
    <n v="11.45"/>
    <n v="4.71"/>
    <n v="4.84"/>
    <n v="0"/>
    <n v="0"/>
    <n v="250.29"/>
    <n v="422.14"/>
    <s v="Profit"/>
    <x v="0"/>
    <n v="7"/>
    <n v="4"/>
    <s v="0-15"/>
    <s v="No"/>
    <n v="0"/>
    <s v="Healthy"/>
    <n v="0"/>
  </r>
  <r>
    <n v="102487"/>
    <d v="2025-10-07T00:00:00"/>
    <n v="1024"/>
    <x v="2"/>
    <x v="10"/>
    <x v="4"/>
    <x v="3"/>
    <x v="2"/>
    <s v="Fleet_Invoice"/>
    <n v="13.51"/>
    <n v="12.72"/>
    <x v="4"/>
    <n v="8.59"/>
    <n v="163.26"/>
    <n v="89.33"/>
    <n v="8.4600000000000009"/>
    <n v="0.69"/>
    <n v="5.69"/>
    <n v="0"/>
    <n v="0"/>
    <n v="104.17"/>
    <n v="59.09"/>
    <s v="Profit"/>
    <x v="0"/>
    <n v="8"/>
    <n v="0"/>
    <s v="0-15"/>
    <s v="No"/>
    <n v="0"/>
    <s v="Healthy"/>
    <n v="0"/>
  </r>
  <r>
    <n v="102488"/>
    <d v="2025-12-19T00:00:00"/>
    <n v="1117"/>
    <x v="0"/>
    <x v="0"/>
    <x v="3"/>
    <x v="0"/>
    <x v="0"/>
    <s v="UPI"/>
    <n v="27.67"/>
    <n v="17.98"/>
    <x v="1"/>
    <n v="99.5"/>
    <n v="398.01"/>
    <n v="208.38"/>
    <n v="5.59"/>
    <n v="3.48"/>
    <n v="3.85"/>
    <n v="0"/>
    <n v="0"/>
    <n v="221.3"/>
    <n v="176.71"/>
    <s v="Profit"/>
    <x v="0"/>
    <n v="6"/>
    <n v="0"/>
    <s v="0-15"/>
    <s v="No"/>
    <n v="0"/>
    <s v="Healthy"/>
    <n v="0"/>
  </r>
  <r>
    <n v="102489"/>
    <d v="2025-11-22T00:00:00"/>
    <n v="1050"/>
    <x v="1"/>
    <x v="13"/>
    <x v="1"/>
    <x v="3"/>
    <x v="0"/>
    <s v="UPI"/>
    <n v="23.81"/>
    <n v="11.28"/>
    <x v="2"/>
    <n v="26.86"/>
    <n v="241.72"/>
    <n v="182.56"/>
    <n v="5.83"/>
    <n v="1.88"/>
    <n v="7.56"/>
    <n v="0"/>
    <n v="0"/>
    <n v="197.83"/>
    <n v="43.89"/>
    <s v="Profit"/>
    <x v="0"/>
    <n v="1"/>
    <n v="13"/>
    <s v="0-15"/>
    <s v="No"/>
    <n v="0"/>
    <s v="Healthy"/>
    <n v="0"/>
  </r>
  <r>
    <n v="102490"/>
    <d v="2025-10-25T00:00:00"/>
    <n v="1021"/>
    <x v="3"/>
    <x v="8"/>
    <x v="3"/>
    <x v="1"/>
    <x v="0"/>
    <s v="Fleet_Invoice"/>
    <n v="30.63"/>
    <n v="15.21"/>
    <x v="4"/>
    <n v="23.29"/>
    <n v="442.59"/>
    <n v="214.25"/>
    <n v="6.68"/>
    <n v="1.86"/>
    <n v="11.44"/>
    <n v="0"/>
    <n v="0"/>
    <n v="234.23"/>
    <n v="208.36"/>
    <s v="Profit"/>
    <x v="0"/>
    <n v="29"/>
    <n v="17"/>
    <s v="16-30"/>
    <s v="Yes"/>
    <n v="2"/>
    <s v="At Risk"/>
    <n v="1"/>
  </r>
  <r>
    <n v="102491"/>
    <d v="2025-10-13T00:00:00"/>
    <n v="1052"/>
    <x v="3"/>
    <x v="7"/>
    <x v="3"/>
    <x v="3"/>
    <x v="0"/>
    <s v="Card"/>
    <n v="12.65"/>
    <n v="11.22"/>
    <x v="4"/>
    <n v="7.1"/>
    <n v="134.83000000000001"/>
    <n v="91.3"/>
    <n v="8.27"/>
    <n v="2.13"/>
    <n v="10.210000000000001"/>
    <n v="0"/>
    <n v="0"/>
    <n v="111.91"/>
    <n v="22.92"/>
    <s v="Profit"/>
    <x v="0"/>
    <n v="7"/>
    <n v="5"/>
    <s v="0-15"/>
    <s v="No"/>
    <n v="0"/>
    <s v="Healthy"/>
    <n v="0"/>
  </r>
  <r>
    <n v="102492"/>
    <d v="2025-12-26T00:00:00"/>
    <n v="1141"/>
    <x v="1"/>
    <x v="4"/>
    <x v="4"/>
    <x v="0"/>
    <x v="2"/>
    <s v="UPI"/>
    <n v="47.6"/>
    <n v="20.329999999999998"/>
    <x v="3"/>
    <n v="0"/>
    <n v="967.71"/>
    <n v="315.10000000000002"/>
    <n v="10.94"/>
    <n v="6.77"/>
    <n v="6.51"/>
    <n v="0"/>
    <n v="0"/>
    <n v="339.32"/>
    <n v="628.39"/>
    <s v="Profit"/>
    <x v="0"/>
    <n v="8"/>
    <n v="0"/>
    <s v="0-15"/>
    <s v="No"/>
    <n v="0"/>
    <s v="Healthy"/>
    <n v="0"/>
  </r>
  <r>
    <n v="102493"/>
    <d v="2025-11-22T00:00:00"/>
    <n v="1085"/>
    <x v="1"/>
    <x v="4"/>
    <x v="3"/>
    <x v="0"/>
    <x v="0"/>
    <s v="UPI"/>
    <n v="26.86"/>
    <n v="19.829999999999998"/>
    <x v="3"/>
    <n v="0"/>
    <n v="532.63"/>
    <n v="217.37"/>
    <n v="4.99"/>
    <n v="3.73"/>
    <n v="2.54"/>
    <n v="0"/>
    <n v="0"/>
    <n v="228.63"/>
    <n v="304"/>
    <s v="Profit"/>
    <x v="0"/>
    <n v="5"/>
    <n v="0"/>
    <s v="0-15"/>
    <s v="No"/>
    <n v="0"/>
    <s v="Healthy"/>
    <n v="0"/>
  </r>
  <r>
    <n v="102494"/>
    <d v="2025-11-09T00:00:00"/>
    <n v="1062"/>
    <x v="3"/>
    <x v="8"/>
    <x v="3"/>
    <x v="3"/>
    <x v="2"/>
    <s v="UPI"/>
    <n v="19.07"/>
    <n v="13.11"/>
    <x v="3"/>
    <n v="0"/>
    <n v="250.01"/>
    <n v="114.12"/>
    <n v="2.97"/>
    <n v="1.75"/>
    <n v="5.9"/>
    <n v="0"/>
    <n v="0"/>
    <n v="124.74"/>
    <n v="125.27"/>
    <s v="Profit"/>
    <x v="0"/>
    <n v="2"/>
    <n v="12"/>
    <s v="0-15"/>
    <s v="No"/>
    <n v="0"/>
    <s v="Healthy"/>
    <n v="0"/>
  </r>
  <r>
    <n v="102495"/>
    <d v="2025-10-18T00:00:00"/>
    <n v="1120"/>
    <x v="1"/>
    <x v="4"/>
    <x v="4"/>
    <x v="3"/>
    <x v="0"/>
    <s v="Wallet"/>
    <n v="21.36"/>
    <n v="13.03"/>
    <x v="4"/>
    <n v="13.92"/>
    <n v="264.39999999999998"/>
    <n v="190.85"/>
    <n v="8.35"/>
    <n v="3.34"/>
    <n v="11.03"/>
    <n v="0"/>
    <n v="0"/>
    <n v="213.57"/>
    <n v="50.83"/>
    <s v="Profit"/>
    <x v="0"/>
    <n v="33"/>
    <n v="14"/>
    <s v="30+"/>
    <s v="Yes"/>
    <n v="3"/>
    <s v="At Risk"/>
    <n v="1"/>
  </r>
  <r>
    <n v="102496"/>
    <d v="2025-12-23T00:00:00"/>
    <n v="1086"/>
    <x v="2"/>
    <x v="12"/>
    <x v="2"/>
    <x v="1"/>
    <x v="0"/>
    <s v="Wallet"/>
    <n v="27.39"/>
    <n v="15.94"/>
    <x v="2"/>
    <n v="43.66"/>
    <n v="392.94"/>
    <n v="195.41"/>
    <n v="9.24"/>
    <n v="5.24"/>
    <n v="1.9"/>
    <n v="303.02"/>
    <n v="0"/>
    <n v="514.80999999999995"/>
    <n v="-121.87"/>
    <s v="Loss"/>
    <x v="2"/>
    <n v="3"/>
    <n v="10"/>
    <s v="0-15"/>
    <s v="No"/>
    <n v="2"/>
    <s v="At Risk"/>
    <n v="0"/>
  </r>
  <r>
    <n v="102497"/>
    <d v="2025-11-20T00:00:00"/>
    <n v="1070"/>
    <x v="1"/>
    <x v="2"/>
    <x v="4"/>
    <x v="1"/>
    <x v="2"/>
    <s v="Fleet_Invoice"/>
    <n v="27.87"/>
    <n v="16.46"/>
    <x v="0"/>
    <n v="68.81"/>
    <n v="389.93"/>
    <n v="179.8"/>
    <n v="8.76"/>
    <n v="1.83"/>
    <n v="7.25"/>
    <n v="0"/>
    <n v="0"/>
    <n v="197.64"/>
    <n v="192.29"/>
    <s v="Profit"/>
    <x v="0"/>
    <n v="10"/>
    <n v="15"/>
    <s v="0-15"/>
    <s v="No"/>
    <n v="0"/>
    <s v="Healthy"/>
    <n v="0"/>
  </r>
  <r>
    <n v="102498"/>
    <d v="2025-12-02T00:00:00"/>
    <n v="1019"/>
    <x v="2"/>
    <x v="12"/>
    <x v="4"/>
    <x v="0"/>
    <x v="2"/>
    <s v="Wallet"/>
    <n v="23.26"/>
    <n v="18.670000000000002"/>
    <x v="3"/>
    <n v="0"/>
    <n v="434.26"/>
    <n v="179.05"/>
    <n v="11.14"/>
    <n v="5.21"/>
    <n v="3.2"/>
    <n v="215.59"/>
    <n v="7.68"/>
    <n v="421.87"/>
    <n v="12.39"/>
    <s v="Profit"/>
    <x v="1"/>
    <n v="15"/>
    <n v="9"/>
    <s v="0-15"/>
    <s v="Yes"/>
    <n v="1"/>
    <s v="At Risk"/>
    <n v="1"/>
  </r>
  <r>
    <n v="102499"/>
    <d v="2025-12-18T00:00:00"/>
    <n v="1037"/>
    <x v="2"/>
    <x v="10"/>
    <x v="2"/>
    <x v="1"/>
    <x v="2"/>
    <s v="Wallet"/>
    <n v="17.690000000000001"/>
    <n v="14.71"/>
    <x v="3"/>
    <n v="0"/>
    <n v="260.22000000000003"/>
    <n v="147.81"/>
    <n v="6.64"/>
    <n v="3.12"/>
    <n v="5.31"/>
    <n v="0"/>
    <n v="0"/>
    <n v="162.88"/>
    <n v="97.34"/>
    <s v="Profit"/>
    <x v="0"/>
    <n v="0"/>
    <n v="8"/>
    <s v="0-15"/>
    <s v="No"/>
    <n v="0"/>
    <s v="Healthy"/>
    <n v="0"/>
  </r>
  <r>
    <n v="102500"/>
    <d v="2025-11-24T00:00:00"/>
    <n v="1089"/>
    <x v="2"/>
    <x v="10"/>
    <x v="4"/>
    <x v="0"/>
    <x v="2"/>
    <s v="UPI"/>
    <n v="37.94"/>
    <n v="18.98"/>
    <x v="4"/>
    <n v="36.01"/>
    <n v="684.09"/>
    <n v="220.38"/>
    <n v="8.51"/>
    <n v="5.04"/>
    <n v="0"/>
    <n v="0"/>
    <n v="0"/>
    <n v="233.93"/>
    <n v="450.16"/>
    <s v="Profit"/>
    <x v="0"/>
    <n v="3"/>
    <n v="0"/>
    <s v="0-15"/>
    <s v="No"/>
    <n v="0"/>
    <s v="Healthy"/>
    <n v="0"/>
  </r>
  <r>
    <n v="102501"/>
    <d v="2025-12-01T00:00:00"/>
    <n v="1046"/>
    <x v="0"/>
    <x v="1"/>
    <x v="4"/>
    <x v="1"/>
    <x v="0"/>
    <s v="UPI"/>
    <n v="32.64"/>
    <n v="14.9"/>
    <x v="4"/>
    <n v="24.32"/>
    <n v="462.02"/>
    <n v="203.88"/>
    <n v="6.89"/>
    <n v="3.4"/>
    <n v="7.34"/>
    <n v="0"/>
    <n v="0"/>
    <n v="221.51"/>
    <n v="240.51"/>
    <s v="Profit"/>
    <x v="0"/>
    <n v="10"/>
    <n v="58"/>
    <s v="0-15"/>
    <s v="Yes"/>
    <n v="1"/>
    <s v="At Risk"/>
    <n v="1"/>
  </r>
  <r>
    <n v="102502"/>
    <d v="2025-10-29T00:00:00"/>
    <n v="1092"/>
    <x v="0"/>
    <x v="6"/>
    <x v="0"/>
    <x v="2"/>
    <x v="2"/>
    <s v="UPI"/>
    <n v="44.32"/>
    <n v="19.38"/>
    <x v="3"/>
    <n v="0"/>
    <n v="858.92"/>
    <n v="316.61"/>
    <n v="12.13"/>
    <n v="6.01"/>
    <n v="6.59"/>
    <n v="0"/>
    <n v="0"/>
    <n v="341.34"/>
    <n v="517.58000000000004"/>
    <s v="Profit"/>
    <x v="0"/>
    <n v="12"/>
    <n v="2"/>
    <s v="0-15"/>
    <s v="No"/>
    <n v="0"/>
    <s v="Healthy"/>
    <n v="0"/>
  </r>
  <r>
    <n v="102503"/>
    <d v="2025-11-18T00:00:00"/>
    <n v="1104"/>
    <x v="0"/>
    <x v="1"/>
    <x v="1"/>
    <x v="2"/>
    <x v="0"/>
    <s v="Card"/>
    <n v="18.440000000000001"/>
    <n v="17.100000000000001"/>
    <x v="0"/>
    <n v="47.3"/>
    <n v="268.02"/>
    <n v="113.34"/>
    <n v="4.67"/>
    <n v="4.7300000000000004"/>
    <n v="8.49"/>
    <n v="0"/>
    <n v="0"/>
    <n v="131.22999999999999"/>
    <n v="136.79"/>
    <s v="Profit"/>
    <x v="0"/>
    <n v="16"/>
    <n v="3"/>
    <s v="16-30"/>
    <s v="No"/>
    <n v="0"/>
    <s v="Healthy"/>
    <n v="0"/>
  </r>
  <r>
    <n v="102504"/>
    <d v="2025-11-21T00:00:00"/>
    <n v="1055"/>
    <x v="3"/>
    <x v="7"/>
    <x v="4"/>
    <x v="1"/>
    <x v="0"/>
    <s v="Wallet"/>
    <n v="24.31"/>
    <n v="15.74"/>
    <x v="3"/>
    <n v="0"/>
    <n v="382.64"/>
    <n v="179.74"/>
    <n v="5.95"/>
    <n v="4.59"/>
    <n v="5.92"/>
    <n v="253.91"/>
    <n v="0"/>
    <n v="450.11"/>
    <n v="-67.47"/>
    <s v="Loss"/>
    <x v="1"/>
    <n v="28"/>
    <n v="0"/>
    <s v="16-30"/>
    <s v="Yes"/>
    <n v="1"/>
    <s v="At Risk"/>
    <n v="1"/>
  </r>
  <r>
    <n v="102505"/>
    <d v="2025-10-18T00:00:00"/>
    <n v="1007"/>
    <x v="3"/>
    <x v="7"/>
    <x v="3"/>
    <x v="3"/>
    <x v="0"/>
    <s v="Card"/>
    <n v="14.89"/>
    <n v="12.93"/>
    <x v="3"/>
    <n v="0"/>
    <n v="192.53"/>
    <n v="96.1"/>
    <n v="4.03"/>
    <n v="2.89"/>
    <n v="5.24"/>
    <n v="0"/>
    <n v="0"/>
    <n v="108.26"/>
    <n v="84.27"/>
    <s v="Profit"/>
    <x v="0"/>
    <n v="8"/>
    <n v="42"/>
    <s v="0-15"/>
    <s v="Yes"/>
    <n v="2"/>
    <s v="At Risk"/>
    <n v="1"/>
  </r>
  <r>
    <n v="102506"/>
    <d v="2025-10-18T00:00:00"/>
    <n v="1123"/>
    <x v="2"/>
    <x v="12"/>
    <x v="1"/>
    <x v="1"/>
    <x v="0"/>
    <s v="Card"/>
    <n v="12.82"/>
    <n v="15.27"/>
    <x v="3"/>
    <n v="0"/>
    <n v="195.76"/>
    <n v="88.48"/>
    <n v="10.81"/>
    <n v="2.94"/>
    <n v="4.01"/>
    <n v="0"/>
    <n v="0"/>
    <n v="106.24"/>
    <n v="89.52"/>
    <s v="Profit"/>
    <x v="0"/>
    <n v="2"/>
    <n v="0"/>
    <s v="0-15"/>
    <s v="No"/>
    <n v="0"/>
    <s v="Healthy"/>
    <n v="0"/>
  </r>
  <r>
    <n v="102507"/>
    <d v="2025-10-19T00:00:00"/>
    <n v="1143"/>
    <x v="1"/>
    <x v="2"/>
    <x v="3"/>
    <x v="0"/>
    <x v="0"/>
    <s v="UPI"/>
    <n v="24.02"/>
    <n v="20.37"/>
    <x v="3"/>
    <n v="0"/>
    <n v="489.29"/>
    <n v="178.17"/>
    <n v="13.1"/>
    <n v="3.43"/>
    <n v="4.12"/>
    <n v="245.38"/>
    <n v="0"/>
    <n v="444.2"/>
    <n v="45.09"/>
    <s v="Profit"/>
    <x v="1"/>
    <n v="25"/>
    <n v="6"/>
    <s v="16-30"/>
    <s v="Yes"/>
    <n v="3"/>
    <s v="At Risk"/>
    <n v="1"/>
  </r>
  <r>
    <n v="102508"/>
    <d v="2025-12-15T00:00:00"/>
    <n v="1123"/>
    <x v="3"/>
    <x v="15"/>
    <x v="3"/>
    <x v="3"/>
    <x v="2"/>
    <s v="Wallet"/>
    <n v="13.78"/>
    <n v="12.39"/>
    <x v="3"/>
    <n v="0"/>
    <n v="170.73"/>
    <n v="88.88"/>
    <n v="5.37"/>
    <n v="2.0499999999999998"/>
    <n v="6.4"/>
    <n v="0"/>
    <n v="0"/>
    <n v="102.7"/>
    <n v="68.03"/>
    <s v="Profit"/>
    <x v="0"/>
    <n v="10"/>
    <n v="2"/>
    <s v="0-15"/>
    <s v="No"/>
    <n v="2"/>
    <s v="Healthy"/>
    <n v="0"/>
  </r>
  <r>
    <n v="102509"/>
    <d v="2025-11-17T00:00:00"/>
    <n v="1049"/>
    <x v="1"/>
    <x v="13"/>
    <x v="0"/>
    <x v="3"/>
    <x v="0"/>
    <s v="UPI"/>
    <n v="19.14"/>
    <n v="13.98"/>
    <x v="3"/>
    <n v="0"/>
    <n v="267.58"/>
    <n v="142.16"/>
    <n v="10.5"/>
    <n v="1.87"/>
    <n v="9.11"/>
    <n v="0"/>
    <n v="0"/>
    <n v="163.63999999999999"/>
    <n v="103.94"/>
    <s v="Profit"/>
    <x v="0"/>
    <n v="1"/>
    <n v="8"/>
    <s v="0-15"/>
    <s v="No"/>
    <n v="0"/>
    <s v="Healthy"/>
    <n v="0"/>
  </r>
  <r>
    <n v="102510"/>
    <d v="2025-11-12T00:00:00"/>
    <n v="1094"/>
    <x v="1"/>
    <x v="2"/>
    <x v="0"/>
    <x v="0"/>
    <x v="0"/>
    <s v="Fleet_Invoice"/>
    <n v="19.48"/>
    <n v="19.07"/>
    <x v="2"/>
    <n v="37.15"/>
    <n v="334.33"/>
    <n v="125.99"/>
    <n v="7.06"/>
    <n v="1.49"/>
    <n v="3.76"/>
    <n v="0"/>
    <n v="0"/>
    <n v="138.30000000000001"/>
    <n v="196.03"/>
    <s v="Profit"/>
    <x v="0"/>
    <n v="4"/>
    <n v="10"/>
    <s v="0-15"/>
    <s v="No"/>
    <n v="0"/>
    <s v="Healthy"/>
    <n v="0"/>
  </r>
  <r>
    <n v="102511"/>
    <d v="2025-10-21T00:00:00"/>
    <n v="1078"/>
    <x v="2"/>
    <x v="9"/>
    <x v="2"/>
    <x v="1"/>
    <x v="1"/>
    <s v="Fleet_Invoice"/>
    <n v="33.25"/>
    <n v="17.71"/>
    <x v="0"/>
    <n v="88.33"/>
    <n v="500.53"/>
    <n v="216.93"/>
    <n v="4.46"/>
    <n v="2.36"/>
    <n v="6.58"/>
    <n v="0"/>
    <n v="0"/>
    <n v="230.33"/>
    <n v="270.2"/>
    <s v="Profit"/>
    <x v="0"/>
    <n v="3"/>
    <n v="6"/>
    <s v="0-15"/>
    <s v="No"/>
    <n v="0"/>
    <s v="Healthy"/>
    <n v="0"/>
  </r>
  <r>
    <n v="102512"/>
    <d v="2025-11-22T00:00:00"/>
    <n v="1010"/>
    <x v="2"/>
    <x v="5"/>
    <x v="2"/>
    <x v="0"/>
    <x v="0"/>
    <s v="UPI"/>
    <n v="35.840000000000003"/>
    <n v="19.64"/>
    <x v="0"/>
    <n v="105.58"/>
    <n v="598.32000000000005"/>
    <n v="262.01"/>
    <n v="1.1499999999999999"/>
    <n v="4.93"/>
    <n v="2.94"/>
    <n v="0"/>
    <n v="0"/>
    <n v="271.02999999999997"/>
    <n v="327.29000000000002"/>
    <s v="Profit"/>
    <x v="0"/>
    <n v="8"/>
    <n v="9"/>
    <s v="0-15"/>
    <s v="No"/>
    <n v="0"/>
    <s v="Healthy"/>
    <n v="0"/>
  </r>
  <r>
    <n v="102513"/>
    <d v="2025-12-12T00:00:00"/>
    <n v="1138"/>
    <x v="1"/>
    <x v="2"/>
    <x v="2"/>
    <x v="1"/>
    <x v="0"/>
    <s v="Card"/>
    <n v="32.020000000000003"/>
    <n v="15.39"/>
    <x v="3"/>
    <n v="0"/>
    <n v="492.79"/>
    <n v="237.2"/>
    <n v="5.78"/>
    <n v="7.39"/>
    <n v="10.66"/>
    <n v="405.98"/>
    <n v="0"/>
    <n v="667.01"/>
    <n v="-174.22"/>
    <s v="Loss"/>
    <x v="1"/>
    <n v="4"/>
    <n v="4"/>
    <s v="0-15"/>
    <s v="Yes"/>
    <n v="1"/>
    <s v="At Risk"/>
    <n v="1"/>
  </r>
  <r>
    <n v="102514"/>
    <d v="2025-11-07T00:00:00"/>
    <n v="1102"/>
    <x v="1"/>
    <x v="3"/>
    <x v="1"/>
    <x v="1"/>
    <x v="2"/>
    <s v="Card"/>
    <n v="29.24"/>
    <n v="14.79"/>
    <x v="1"/>
    <n v="86.49"/>
    <n v="345.97"/>
    <n v="227.23"/>
    <n v="7.96"/>
    <n v="6.49"/>
    <n v="8.3699999999999992"/>
    <n v="0"/>
    <n v="0"/>
    <n v="250.05"/>
    <n v="95.92"/>
    <s v="Profit"/>
    <x v="0"/>
    <n v="1"/>
    <n v="7"/>
    <s v="0-15"/>
    <s v="No"/>
    <n v="0"/>
    <s v="Healthy"/>
    <n v="0"/>
  </r>
  <r>
    <n v="102515"/>
    <d v="2025-11-17T00:00:00"/>
    <n v="1092"/>
    <x v="0"/>
    <x v="11"/>
    <x v="0"/>
    <x v="3"/>
    <x v="2"/>
    <s v="UPI"/>
    <n v="3.02"/>
    <n v="13.68"/>
    <x v="3"/>
    <n v="0"/>
    <n v="41.31"/>
    <n v="21.42"/>
    <n v="9.24"/>
    <n v="0.28999999999999998"/>
    <n v="11.95"/>
    <n v="0"/>
    <n v="0"/>
    <n v="42.9"/>
    <n v="-1.59"/>
    <s v="Loss"/>
    <x v="0"/>
    <n v="0"/>
    <n v="34"/>
    <s v="0-15"/>
    <s v="Yes"/>
    <n v="1"/>
    <s v="At Risk"/>
    <n v="1"/>
  </r>
  <r>
    <n v="102516"/>
    <d v="2025-11-27T00:00:00"/>
    <n v="1074"/>
    <x v="3"/>
    <x v="14"/>
    <x v="3"/>
    <x v="2"/>
    <x v="1"/>
    <s v="UPI"/>
    <n v="33.82"/>
    <n v="17.54"/>
    <x v="3"/>
    <n v="0"/>
    <n v="593.20000000000005"/>
    <n v="267.05"/>
    <n v="10.02"/>
    <n v="4.1500000000000004"/>
    <n v="2.48"/>
    <n v="0"/>
    <n v="0"/>
    <n v="283.7"/>
    <n v="309.5"/>
    <s v="Profit"/>
    <x v="0"/>
    <n v="14"/>
    <n v="10"/>
    <s v="0-15"/>
    <s v="No"/>
    <n v="0"/>
    <s v="Healthy"/>
    <n v="0"/>
  </r>
  <r>
    <n v="102517"/>
    <d v="2025-11-29T00:00:00"/>
    <n v="1104"/>
    <x v="1"/>
    <x v="2"/>
    <x v="1"/>
    <x v="1"/>
    <x v="1"/>
    <s v="UPI"/>
    <n v="32"/>
    <n v="15.64"/>
    <x v="2"/>
    <n v="50.05"/>
    <n v="450.43"/>
    <n v="243.5"/>
    <n v="11.19"/>
    <n v="3.5"/>
    <n v="6.15"/>
    <n v="0"/>
    <n v="0"/>
    <n v="264.33999999999997"/>
    <n v="186.09"/>
    <s v="Profit"/>
    <x v="0"/>
    <n v="19"/>
    <n v="4"/>
    <s v="16-30"/>
    <s v="No"/>
    <n v="1"/>
    <s v="Healthy"/>
    <n v="0"/>
  </r>
  <r>
    <n v="102518"/>
    <d v="2025-11-10T00:00:00"/>
    <n v="1080"/>
    <x v="1"/>
    <x v="3"/>
    <x v="0"/>
    <x v="3"/>
    <x v="1"/>
    <s v="Fleet_Invoice"/>
    <n v="18.760000000000002"/>
    <n v="13.17"/>
    <x v="0"/>
    <n v="37.06"/>
    <n v="210.01"/>
    <n v="121.96"/>
    <n v="10.77"/>
    <n v="0.99"/>
    <n v="10.029999999999999"/>
    <n v="0"/>
    <n v="0"/>
    <n v="143.75"/>
    <n v="66.260000000000005"/>
    <s v="Profit"/>
    <x v="0"/>
    <n v="1"/>
    <n v="4"/>
    <s v="0-15"/>
    <s v="No"/>
    <n v="0"/>
    <s v="Healthy"/>
    <n v="0"/>
  </r>
  <r>
    <n v="102519"/>
    <d v="2025-11-23T00:00:00"/>
    <n v="1103"/>
    <x v="0"/>
    <x v="0"/>
    <x v="3"/>
    <x v="2"/>
    <x v="2"/>
    <s v="UPI"/>
    <n v="26.86"/>
    <n v="17.54"/>
    <x v="3"/>
    <n v="0"/>
    <n v="471.12"/>
    <n v="232.47"/>
    <n v="6.91"/>
    <n v="3.3"/>
    <n v="2.8"/>
    <n v="0"/>
    <n v="0"/>
    <n v="245.48"/>
    <n v="225.64"/>
    <s v="Profit"/>
    <x v="0"/>
    <n v="11"/>
    <n v="21"/>
    <s v="0-15"/>
    <s v="Yes"/>
    <n v="2"/>
    <s v="At Risk"/>
    <n v="1"/>
  </r>
  <r>
    <n v="102520"/>
    <d v="2025-10-17T00:00:00"/>
    <n v="1120"/>
    <x v="0"/>
    <x v="0"/>
    <x v="1"/>
    <x v="1"/>
    <x v="0"/>
    <s v="Fleet_Invoice"/>
    <n v="25.01"/>
    <n v="14.36"/>
    <x v="0"/>
    <n v="53.87"/>
    <n v="305.27"/>
    <n v="181.22"/>
    <n v="5.39"/>
    <n v="1.44"/>
    <n v="9.4499999999999993"/>
    <n v="0"/>
    <n v="0"/>
    <n v="197.5"/>
    <n v="107.77"/>
    <s v="Profit"/>
    <x v="0"/>
    <n v="2"/>
    <n v="12"/>
    <s v="0-15"/>
    <s v="No"/>
    <n v="0"/>
    <s v="Healthy"/>
    <n v="0"/>
  </r>
  <r>
    <n v="102521"/>
    <d v="2025-11-01T00:00:00"/>
    <n v="1148"/>
    <x v="2"/>
    <x v="9"/>
    <x v="4"/>
    <x v="3"/>
    <x v="0"/>
    <s v="UPI"/>
    <n v="16.62"/>
    <n v="12.64"/>
    <x v="3"/>
    <n v="0"/>
    <n v="210.08"/>
    <n v="130.44999999999999"/>
    <n v="5.07"/>
    <n v="1.47"/>
    <n v="4.32"/>
    <n v="0"/>
    <n v="0"/>
    <n v="141.31"/>
    <n v="68.77"/>
    <s v="Profit"/>
    <x v="0"/>
    <n v="3"/>
    <n v="3"/>
    <s v="0-15"/>
    <s v="No"/>
    <n v="0"/>
    <s v="Healthy"/>
    <n v="0"/>
  </r>
  <r>
    <n v="102522"/>
    <d v="2025-12-26T00:00:00"/>
    <n v="1140"/>
    <x v="2"/>
    <x v="9"/>
    <x v="1"/>
    <x v="0"/>
    <x v="2"/>
    <s v="UPI"/>
    <n v="27.26"/>
    <n v="18.66"/>
    <x v="2"/>
    <n v="50.87"/>
    <n v="457.8"/>
    <n v="205.94"/>
    <n v="8.6999999999999993"/>
    <n v="3.56"/>
    <n v="5.85"/>
    <n v="0"/>
    <n v="0"/>
    <n v="224.05"/>
    <n v="233.75"/>
    <s v="Profit"/>
    <x v="0"/>
    <n v="17"/>
    <n v="2"/>
    <s v="16-30"/>
    <s v="No"/>
    <n v="0"/>
    <s v="Healthy"/>
    <n v="0"/>
  </r>
  <r>
    <n v="102523"/>
    <d v="2025-12-10T00:00:00"/>
    <n v="1042"/>
    <x v="1"/>
    <x v="2"/>
    <x v="1"/>
    <x v="1"/>
    <x v="0"/>
    <s v="UPI"/>
    <n v="25.61"/>
    <n v="15.54"/>
    <x v="3"/>
    <n v="0"/>
    <n v="397.98"/>
    <n v="158.79"/>
    <n v="8.01"/>
    <n v="2.79"/>
    <n v="16.64"/>
    <n v="0"/>
    <n v="0"/>
    <n v="186.23"/>
    <n v="211.75"/>
    <s v="Profit"/>
    <x v="0"/>
    <n v="18"/>
    <n v="7"/>
    <s v="16-30"/>
    <s v="No"/>
    <n v="0"/>
    <s v="Healthy"/>
    <n v="0"/>
  </r>
  <r>
    <n v="102524"/>
    <d v="2025-12-05T00:00:00"/>
    <n v="1148"/>
    <x v="2"/>
    <x v="12"/>
    <x v="2"/>
    <x v="1"/>
    <x v="0"/>
    <s v="Fleet_Invoice"/>
    <n v="19.87"/>
    <n v="16.079999999999998"/>
    <x v="3"/>
    <n v="0"/>
    <n v="319.51"/>
    <n v="175.36"/>
    <n v="5.0199999999999996"/>
    <n v="1.28"/>
    <n v="2.81"/>
    <n v="298.58999999999997"/>
    <n v="0"/>
    <n v="483.06"/>
    <n v="-163.55000000000001"/>
    <s v="Loss"/>
    <x v="2"/>
    <n v="4"/>
    <n v="7"/>
    <s v="0-15"/>
    <s v="No"/>
    <n v="1"/>
    <s v="At Risk"/>
    <n v="0"/>
  </r>
  <r>
    <n v="102525"/>
    <d v="2025-11-01T00:00:00"/>
    <n v="1019"/>
    <x v="0"/>
    <x v="0"/>
    <x v="3"/>
    <x v="2"/>
    <x v="0"/>
    <s v="Card"/>
    <n v="25.36"/>
    <n v="17.12"/>
    <x v="4"/>
    <n v="21.71"/>
    <n v="412.45"/>
    <n v="167.18"/>
    <n v="9.09"/>
    <n v="6.51"/>
    <n v="6.79"/>
    <n v="0"/>
    <n v="0"/>
    <n v="189.57"/>
    <n v="222.88"/>
    <s v="Profit"/>
    <x v="0"/>
    <n v="10"/>
    <n v="7"/>
    <s v="0-15"/>
    <s v="No"/>
    <n v="0"/>
    <s v="Healthy"/>
    <n v="0"/>
  </r>
  <r>
    <n v="102526"/>
    <d v="2025-11-13T00:00:00"/>
    <n v="1118"/>
    <x v="2"/>
    <x v="9"/>
    <x v="1"/>
    <x v="1"/>
    <x v="0"/>
    <s v="UPI"/>
    <n v="34.090000000000003"/>
    <n v="17.03"/>
    <x v="4"/>
    <n v="29.03"/>
    <n v="551.52"/>
    <n v="242.3"/>
    <n v="5.13"/>
    <n v="4.0599999999999996"/>
    <n v="1.6"/>
    <n v="0"/>
    <n v="0"/>
    <n v="253.09"/>
    <n v="298.43"/>
    <s v="Profit"/>
    <x v="0"/>
    <n v="17"/>
    <n v="2"/>
    <s v="16-30"/>
    <s v="No"/>
    <n v="0"/>
    <s v="Healthy"/>
    <n v="0"/>
  </r>
  <r>
    <n v="102527"/>
    <d v="2025-12-31T00:00:00"/>
    <n v="1149"/>
    <x v="0"/>
    <x v="0"/>
    <x v="4"/>
    <x v="1"/>
    <x v="1"/>
    <s v="Card"/>
    <n v="18.91"/>
    <n v="15.77"/>
    <x v="3"/>
    <n v="0"/>
    <n v="298.20999999999998"/>
    <n v="127.35"/>
    <n v="6.79"/>
    <n v="4.47"/>
    <n v="7.82"/>
    <n v="0"/>
    <n v="0"/>
    <n v="146.43"/>
    <n v="151.78"/>
    <s v="Profit"/>
    <x v="0"/>
    <n v="2"/>
    <n v="23"/>
    <s v="0-15"/>
    <s v="Yes"/>
    <n v="2"/>
    <s v="At Risk"/>
    <n v="1"/>
  </r>
  <r>
    <n v="102528"/>
    <d v="2025-10-05T00:00:00"/>
    <n v="1079"/>
    <x v="1"/>
    <x v="13"/>
    <x v="1"/>
    <x v="2"/>
    <x v="0"/>
    <s v="Card"/>
    <n v="33.93"/>
    <n v="16.8"/>
    <x v="1"/>
    <n v="114"/>
    <n v="456.02"/>
    <n v="279.66000000000003"/>
    <n v="10.99"/>
    <n v="8.5500000000000007"/>
    <n v="9.27"/>
    <n v="0"/>
    <n v="0"/>
    <n v="308.47000000000003"/>
    <n v="147.55000000000001"/>
    <s v="Profit"/>
    <x v="0"/>
    <n v="6"/>
    <n v="10"/>
    <s v="0-15"/>
    <s v="No"/>
    <n v="0"/>
    <s v="Healthy"/>
    <n v="0"/>
  </r>
  <r>
    <n v="102529"/>
    <d v="2025-12-26T00:00:00"/>
    <n v="1042"/>
    <x v="0"/>
    <x v="0"/>
    <x v="3"/>
    <x v="0"/>
    <x v="1"/>
    <s v="UPI"/>
    <n v="17.079999999999998"/>
    <n v="19.48"/>
    <x v="1"/>
    <n v="66.540000000000006"/>
    <n v="266.18"/>
    <n v="141.53"/>
    <n v="4.78"/>
    <n v="2.33"/>
    <n v="9.7799999999999994"/>
    <n v="0"/>
    <n v="0"/>
    <n v="158.41999999999999"/>
    <n v="107.76"/>
    <s v="Profit"/>
    <x v="0"/>
    <n v="5"/>
    <n v="3"/>
    <s v="0-15"/>
    <s v="No"/>
    <n v="0"/>
    <s v="Healthy"/>
    <n v="0"/>
  </r>
  <r>
    <n v="102530"/>
    <d v="2025-11-19T00:00:00"/>
    <n v="1043"/>
    <x v="0"/>
    <x v="1"/>
    <x v="1"/>
    <x v="2"/>
    <x v="0"/>
    <s v="Fleet_Invoice"/>
    <n v="15.38"/>
    <n v="18.100000000000001"/>
    <x v="0"/>
    <n v="41.76"/>
    <n v="236.62"/>
    <n v="119.35"/>
    <n v="9.01"/>
    <n v="1.1100000000000001"/>
    <n v="3.6"/>
    <n v="242.15"/>
    <n v="0"/>
    <n v="375.22"/>
    <n v="-138.6"/>
    <s v="Loss"/>
    <x v="2"/>
    <n v="33"/>
    <n v="2"/>
    <s v="30+"/>
    <s v="Yes"/>
    <n v="2"/>
    <s v="At Risk"/>
    <n v="1"/>
  </r>
  <r>
    <n v="102531"/>
    <d v="2025-11-14T00:00:00"/>
    <n v="1013"/>
    <x v="0"/>
    <x v="6"/>
    <x v="2"/>
    <x v="3"/>
    <x v="2"/>
    <s v="Wallet"/>
    <n v="8.91"/>
    <n v="13.18"/>
    <x v="4"/>
    <n v="5.87"/>
    <n v="111.56"/>
    <n v="75.23"/>
    <n v="4.2699999999999996"/>
    <n v="1.41"/>
    <n v="8.58"/>
    <n v="0"/>
    <n v="0"/>
    <n v="89.49"/>
    <n v="22.07"/>
    <s v="Profit"/>
    <x v="0"/>
    <n v="10"/>
    <n v="11"/>
    <s v="0-15"/>
    <s v="No"/>
    <n v="0"/>
    <s v="Healthy"/>
    <n v="0"/>
  </r>
  <r>
    <n v="102532"/>
    <d v="2025-12-20T00:00:00"/>
    <n v="1099"/>
    <x v="0"/>
    <x v="0"/>
    <x v="2"/>
    <x v="1"/>
    <x v="0"/>
    <s v="UPI"/>
    <n v="32.270000000000003"/>
    <n v="17.7"/>
    <x v="4"/>
    <n v="28.56"/>
    <n v="542.62"/>
    <n v="223.53"/>
    <n v="3.17"/>
    <n v="4"/>
    <n v="4.6100000000000003"/>
    <n v="0"/>
    <n v="0"/>
    <n v="235.31"/>
    <n v="307.31"/>
    <s v="Profit"/>
    <x v="0"/>
    <n v="1"/>
    <n v="12"/>
    <s v="0-15"/>
    <s v="No"/>
    <n v="0"/>
    <s v="Healthy"/>
    <n v="0"/>
  </r>
  <r>
    <n v="102533"/>
    <d v="2025-10-04T00:00:00"/>
    <n v="1106"/>
    <x v="1"/>
    <x v="3"/>
    <x v="0"/>
    <x v="2"/>
    <x v="2"/>
    <s v="UPI"/>
    <n v="41.18"/>
    <n v="19.45"/>
    <x v="3"/>
    <n v="0"/>
    <n v="800.95"/>
    <n v="307.74"/>
    <n v="2.61"/>
    <n v="5.61"/>
    <n v="3.57"/>
    <n v="0"/>
    <n v="0"/>
    <n v="319.52999999999997"/>
    <n v="481.42"/>
    <s v="Profit"/>
    <x v="0"/>
    <n v="4"/>
    <n v="5"/>
    <s v="0-15"/>
    <s v="No"/>
    <n v="0"/>
    <s v="Healthy"/>
    <n v="0"/>
  </r>
  <r>
    <n v="102534"/>
    <d v="2025-11-07T00:00:00"/>
    <n v="1062"/>
    <x v="3"/>
    <x v="7"/>
    <x v="4"/>
    <x v="2"/>
    <x v="0"/>
    <s v="UPI"/>
    <n v="37.44"/>
    <n v="18.010000000000002"/>
    <x v="2"/>
    <n v="67.430000000000007"/>
    <n v="606.86"/>
    <n v="269.77"/>
    <n v="8.73"/>
    <n v="4.72"/>
    <n v="2.41"/>
    <n v="0"/>
    <n v="0"/>
    <n v="285.63"/>
    <n v="321.23"/>
    <s v="Profit"/>
    <x v="0"/>
    <n v="2"/>
    <n v="0"/>
    <s v="0-15"/>
    <s v="No"/>
    <n v="0"/>
    <s v="Healthy"/>
    <n v="0"/>
  </r>
  <r>
    <n v="102535"/>
    <d v="2025-11-30T00:00:00"/>
    <n v="1025"/>
    <x v="3"/>
    <x v="14"/>
    <x v="3"/>
    <x v="3"/>
    <x v="0"/>
    <s v="Fleet_Invoice"/>
    <n v="12.07"/>
    <n v="12.73"/>
    <x v="3"/>
    <n v="0"/>
    <n v="153.65"/>
    <n v="77.930000000000007"/>
    <n v="5.53"/>
    <n v="0.61"/>
    <n v="8.89"/>
    <n v="0"/>
    <n v="0"/>
    <n v="92.96"/>
    <n v="60.69"/>
    <s v="Profit"/>
    <x v="0"/>
    <n v="21"/>
    <n v="8"/>
    <s v="16-30"/>
    <s v="Yes"/>
    <n v="3"/>
    <s v="At Risk"/>
    <n v="1"/>
  </r>
  <r>
    <n v="102536"/>
    <d v="2025-10-28T00:00:00"/>
    <n v="1068"/>
    <x v="2"/>
    <x v="12"/>
    <x v="1"/>
    <x v="1"/>
    <x v="0"/>
    <s v="Card"/>
    <n v="32.799999999999997"/>
    <n v="16.39"/>
    <x v="4"/>
    <n v="26.88"/>
    <n v="510.71"/>
    <n v="231.06"/>
    <n v="6.78"/>
    <n v="8.06"/>
    <n v="1.64"/>
    <n v="0"/>
    <n v="0"/>
    <n v="247.54"/>
    <n v="263.17"/>
    <s v="Profit"/>
    <x v="0"/>
    <n v="10"/>
    <n v="0"/>
    <s v="0-15"/>
    <s v="No"/>
    <n v="0"/>
    <s v="Healthy"/>
    <n v="0"/>
  </r>
  <r>
    <n v="102537"/>
    <d v="2025-11-30T00:00:00"/>
    <n v="1078"/>
    <x v="1"/>
    <x v="4"/>
    <x v="2"/>
    <x v="1"/>
    <x v="0"/>
    <s v="UPI"/>
    <n v="17.53"/>
    <n v="15.69"/>
    <x v="3"/>
    <n v="0"/>
    <n v="275.05"/>
    <n v="125"/>
    <n v="4.26"/>
    <n v="1.93"/>
    <n v="3.64"/>
    <n v="109.72"/>
    <n v="0"/>
    <n v="244.55"/>
    <n v="30.5"/>
    <s v="Profit"/>
    <x v="2"/>
    <n v="12"/>
    <n v="34"/>
    <s v="0-15"/>
    <s v="Yes"/>
    <n v="3"/>
    <s v="At Risk"/>
    <n v="1"/>
  </r>
  <r>
    <n v="102538"/>
    <d v="2025-11-20T00:00:00"/>
    <n v="1052"/>
    <x v="2"/>
    <x v="5"/>
    <x v="4"/>
    <x v="3"/>
    <x v="0"/>
    <s v="UPI"/>
    <n v="26.76"/>
    <n v="12.82"/>
    <x v="4"/>
    <n v="17.149999999999999"/>
    <n v="325.91000000000003"/>
    <n v="199.04"/>
    <n v="8.61"/>
    <n v="2.4"/>
    <n v="6.65"/>
    <n v="277.43"/>
    <n v="0"/>
    <n v="494.13"/>
    <n v="-168.22"/>
    <s v="Loss"/>
    <x v="1"/>
    <n v="4"/>
    <n v="2"/>
    <s v="0-15"/>
    <s v="Yes"/>
    <n v="2"/>
    <s v="At Risk"/>
    <n v="1"/>
  </r>
  <r>
    <n v="102539"/>
    <d v="2025-11-26T00:00:00"/>
    <n v="1123"/>
    <x v="2"/>
    <x v="5"/>
    <x v="3"/>
    <x v="3"/>
    <x v="0"/>
    <s v="Fleet_Invoice"/>
    <n v="36.229999999999997"/>
    <n v="12.33"/>
    <x v="3"/>
    <n v="0"/>
    <n v="446.72"/>
    <n v="261.19"/>
    <n v="9.73"/>
    <n v="1.79"/>
    <n v="11.52"/>
    <n v="0"/>
    <n v="0"/>
    <n v="284.23"/>
    <n v="162.49"/>
    <s v="Profit"/>
    <x v="0"/>
    <n v="4"/>
    <n v="6"/>
    <s v="0-15"/>
    <s v="No"/>
    <n v="0"/>
    <s v="Healthy"/>
    <n v="0"/>
  </r>
  <r>
    <n v="102540"/>
    <d v="2025-12-31T00:00:00"/>
    <n v="1063"/>
    <x v="2"/>
    <x v="5"/>
    <x v="2"/>
    <x v="3"/>
    <x v="0"/>
    <s v="Fleet_Invoice"/>
    <n v="12.76"/>
    <n v="12.24"/>
    <x v="4"/>
    <n v="7.81"/>
    <n v="148.37"/>
    <n v="96.15"/>
    <n v="12.27"/>
    <n v="0.62"/>
    <n v="10.02"/>
    <n v="0"/>
    <n v="0"/>
    <n v="119.06"/>
    <n v="29.31"/>
    <s v="Profit"/>
    <x v="0"/>
    <n v="2"/>
    <n v="0"/>
    <s v="0-15"/>
    <s v="No"/>
    <n v="0"/>
    <s v="Healthy"/>
    <n v="0"/>
  </r>
  <r>
    <n v="102541"/>
    <d v="2025-12-14T00:00:00"/>
    <n v="1088"/>
    <x v="2"/>
    <x v="5"/>
    <x v="3"/>
    <x v="3"/>
    <x v="2"/>
    <s v="Fleet_Invoice"/>
    <n v="14.38"/>
    <n v="11.52"/>
    <x v="4"/>
    <n v="8.2799999999999994"/>
    <n v="157.38"/>
    <n v="115.88"/>
    <n v="11.57"/>
    <n v="0.66"/>
    <n v="0"/>
    <n v="0"/>
    <n v="0"/>
    <n v="128.11000000000001"/>
    <n v="29.27"/>
    <s v="Profit"/>
    <x v="0"/>
    <n v="44"/>
    <n v="19"/>
    <s v="30+"/>
    <s v="Yes"/>
    <n v="2"/>
    <s v="At Risk"/>
    <n v="1"/>
  </r>
  <r>
    <n v="102542"/>
    <d v="2025-10-24T00:00:00"/>
    <n v="1046"/>
    <x v="0"/>
    <x v="6"/>
    <x v="4"/>
    <x v="1"/>
    <x v="0"/>
    <s v="UPI"/>
    <n v="40.82"/>
    <n v="16.11"/>
    <x v="3"/>
    <n v="0"/>
    <n v="657.61"/>
    <n v="289.39"/>
    <n v="7.31"/>
    <n v="4.5999999999999996"/>
    <n v="4.8"/>
    <n v="637.64"/>
    <n v="0"/>
    <n v="943.74"/>
    <n v="-286.13"/>
    <s v="Loss"/>
    <x v="2"/>
    <n v="12"/>
    <n v="4"/>
    <s v="0-15"/>
    <s v="No"/>
    <n v="1"/>
    <s v="At Risk"/>
    <n v="0"/>
  </r>
  <r>
    <n v="102543"/>
    <d v="2025-10-15T00:00:00"/>
    <n v="1023"/>
    <x v="2"/>
    <x v="5"/>
    <x v="0"/>
    <x v="0"/>
    <x v="0"/>
    <s v="Wallet"/>
    <n v="18.95"/>
    <n v="19.96"/>
    <x v="0"/>
    <n v="56.74"/>
    <n v="321.5"/>
    <n v="140.41999999999999"/>
    <n v="3.62"/>
    <n v="4.54"/>
    <n v="10.050000000000001"/>
    <n v="0"/>
    <n v="0"/>
    <n v="158.63"/>
    <n v="162.87"/>
    <s v="Profit"/>
    <x v="0"/>
    <n v="13"/>
    <n v="4"/>
    <s v="0-15"/>
    <s v="No"/>
    <n v="0"/>
    <s v="Healthy"/>
    <n v="0"/>
  </r>
  <r>
    <n v="102544"/>
    <d v="2025-11-29T00:00:00"/>
    <n v="1136"/>
    <x v="1"/>
    <x v="13"/>
    <x v="3"/>
    <x v="0"/>
    <x v="0"/>
    <s v="UPI"/>
    <n v="14.47"/>
    <n v="19.61"/>
    <x v="3"/>
    <n v="0"/>
    <n v="283.76"/>
    <n v="81.28"/>
    <n v="8.32"/>
    <n v="1.99"/>
    <n v="3.73"/>
    <n v="142.93"/>
    <n v="0"/>
    <n v="238.25"/>
    <n v="45.51"/>
    <s v="Profit"/>
    <x v="1"/>
    <n v="3"/>
    <n v="16"/>
    <s v="0-15"/>
    <s v="Yes"/>
    <n v="3"/>
    <s v="At Risk"/>
    <n v="1"/>
  </r>
  <r>
    <n v="102545"/>
    <d v="2025-10-07T00:00:00"/>
    <n v="1089"/>
    <x v="0"/>
    <x v="11"/>
    <x v="2"/>
    <x v="3"/>
    <x v="1"/>
    <s v="UPI"/>
    <n v="19.03"/>
    <n v="12.57"/>
    <x v="2"/>
    <n v="23.92"/>
    <n v="215.29"/>
    <n v="133.22"/>
    <n v="3.84"/>
    <n v="1.67"/>
    <n v="1.28"/>
    <n v="0"/>
    <n v="0"/>
    <n v="140.01"/>
    <n v="75.28"/>
    <s v="Profit"/>
    <x v="0"/>
    <n v="22"/>
    <n v="0"/>
    <s v="16-30"/>
    <s v="Yes"/>
    <n v="1"/>
    <s v="At Risk"/>
    <n v="1"/>
  </r>
  <r>
    <n v="102546"/>
    <d v="2025-12-13T00:00:00"/>
    <n v="1079"/>
    <x v="3"/>
    <x v="7"/>
    <x v="4"/>
    <x v="1"/>
    <x v="2"/>
    <s v="Card"/>
    <n v="28.89"/>
    <n v="15.72"/>
    <x v="4"/>
    <n v="22.71"/>
    <n v="431.44"/>
    <n v="241.1"/>
    <n v="9.1199999999999992"/>
    <n v="6.81"/>
    <n v="0"/>
    <n v="0"/>
    <n v="0"/>
    <n v="257.02999999999997"/>
    <n v="174.41"/>
    <s v="Profit"/>
    <x v="0"/>
    <n v="28"/>
    <n v="18"/>
    <s v="16-30"/>
    <s v="Yes"/>
    <n v="3"/>
    <s v="At Risk"/>
    <n v="1"/>
  </r>
  <r>
    <n v="102547"/>
    <d v="2025-11-15T00:00:00"/>
    <n v="1146"/>
    <x v="0"/>
    <x v="6"/>
    <x v="2"/>
    <x v="3"/>
    <x v="0"/>
    <s v="UPI"/>
    <n v="17.239999999999998"/>
    <n v="13.71"/>
    <x v="2"/>
    <n v="23.64"/>
    <n v="212.72"/>
    <n v="137.19"/>
    <n v="7.47"/>
    <n v="1.65"/>
    <n v="5.96"/>
    <n v="0"/>
    <n v="0"/>
    <n v="152.27000000000001"/>
    <n v="60.45"/>
    <s v="Profit"/>
    <x v="0"/>
    <n v="8"/>
    <n v="3"/>
    <s v="0-15"/>
    <s v="No"/>
    <n v="0"/>
    <s v="Healthy"/>
    <n v="0"/>
  </r>
  <r>
    <n v="102548"/>
    <d v="2025-11-24T00:00:00"/>
    <n v="1012"/>
    <x v="1"/>
    <x v="2"/>
    <x v="1"/>
    <x v="1"/>
    <x v="2"/>
    <s v="Card"/>
    <n v="33.380000000000003"/>
    <n v="14.47"/>
    <x v="3"/>
    <n v="0"/>
    <n v="483.01"/>
    <n v="291.29000000000002"/>
    <n v="6.76"/>
    <n v="7.25"/>
    <n v="13.53"/>
    <n v="0"/>
    <n v="0"/>
    <n v="318.83"/>
    <n v="164.18"/>
    <s v="Profit"/>
    <x v="0"/>
    <n v="8"/>
    <n v="10"/>
    <s v="0-15"/>
    <s v="No"/>
    <n v="0"/>
    <s v="Healthy"/>
    <n v="0"/>
  </r>
  <r>
    <n v="102549"/>
    <d v="2025-12-19T00:00:00"/>
    <n v="1096"/>
    <x v="2"/>
    <x v="9"/>
    <x v="0"/>
    <x v="2"/>
    <x v="2"/>
    <s v="Card"/>
    <n v="18.54"/>
    <n v="18.86"/>
    <x v="3"/>
    <n v="0"/>
    <n v="349.66"/>
    <n v="135.19"/>
    <n v="6.29"/>
    <n v="5.24"/>
    <n v="11.28"/>
    <n v="0"/>
    <n v="0"/>
    <n v="158"/>
    <n v="191.66"/>
    <s v="Profit"/>
    <x v="0"/>
    <n v="10"/>
    <n v="2"/>
    <s v="0-15"/>
    <s v="No"/>
    <n v="0"/>
    <s v="Healthy"/>
    <n v="0"/>
  </r>
  <r>
    <n v="102550"/>
    <d v="2025-10-25T00:00:00"/>
    <n v="1077"/>
    <x v="2"/>
    <x v="5"/>
    <x v="2"/>
    <x v="2"/>
    <x v="0"/>
    <s v="Wallet"/>
    <n v="22.24"/>
    <n v="17.309999999999999"/>
    <x v="3"/>
    <n v="0"/>
    <n v="384.97"/>
    <n v="145.26"/>
    <n v="9.7200000000000006"/>
    <n v="4.62"/>
    <n v="2.1800000000000002"/>
    <n v="0"/>
    <n v="0"/>
    <n v="161.78"/>
    <n v="223.19"/>
    <s v="Profit"/>
    <x v="0"/>
    <n v="1"/>
    <n v="4"/>
    <s v="0-15"/>
    <s v="No"/>
    <n v="0"/>
    <s v="Healthy"/>
    <n v="0"/>
  </r>
  <r>
    <n v="102551"/>
    <d v="2025-10-05T00:00:00"/>
    <n v="1014"/>
    <x v="1"/>
    <x v="3"/>
    <x v="0"/>
    <x v="3"/>
    <x v="0"/>
    <s v="Wallet"/>
    <n v="29.56"/>
    <n v="13.25"/>
    <x v="4"/>
    <n v="19.579999999999998"/>
    <n v="372.09"/>
    <n v="270.77999999999997"/>
    <n v="7.29"/>
    <n v="4.7"/>
    <n v="13.52"/>
    <n v="0"/>
    <n v="0"/>
    <n v="296.29000000000002"/>
    <n v="75.8"/>
    <s v="Profit"/>
    <x v="0"/>
    <n v="20"/>
    <n v="5"/>
    <s v="16-30"/>
    <s v="No"/>
    <n v="0"/>
    <s v="Healthy"/>
    <n v="0"/>
  </r>
  <r>
    <n v="102552"/>
    <d v="2025-12-27T00:00:00"/>
    <n v="1107"/>
    <x v="0"/>
    <x v="1"/>
    <x v="1"/>
    <x v="2"/>
    <x v="2"/>
    <s v="UPI"/>
    <n v="22.12"/>
    <n v="17.72"/>
    <x v="4"/>
    <n v="19.600000000000001"/>
    <n v="372.37"/>
    <n v="141.44999999999999"/>
    <n v="9.9700000000000006"/>
    <n v="2.74"/>
    <n v="4.79"/>
    <n v="0"/>
    <n v="0"/>
    <n v="158.94999999999999"/>
    <n v="213.42"/>
    <s v="Profit"/>
    <x v="0"/>
    <n v="1"/>
    <n v="62"/>
    <s v="0-15"/>
    <s v="Yes"/>
    <n v="3"/>
    <s v="At Risk"/>
    <n v="1"/>
  </r>
  <r>
    <n v="102553"/>
    <d v="2025-11-29T00:00:00"/>
    <n v="1012"/>
    <x v="3"/>
    <x v="8"/>
    <x v="2"/>
    <x v="0"/>
    <x v="0"/>
    <s v="UPI"/>
    <n v="23.98"/>
    <n v="19.04"/>
    <x v="3"/>
    <n v="0"/>
    <n v="456.58"/>
    <n v="167.56"/>
    <n v="16.690000000000001"/>
    <n v="3.2"/>
    <n v="9.93"/>
    <n v="0"/>
    <n v="0"/>
    <n v="197.38"/>
    <n v="259.2"/>
    <s v="Profit"/>
    <x v="0"/>
    <n v="2"/>
    <n v="15"/>
    <s v="0-15"/>
    <s v="No"/>
    <n v="0"/>
    <s v="Healthy"/>
    <n v="0"/>
  </r>
  <r>
    <n v="102554"/>
    <d v="2025-12-07T00:00:00"/>
    <n v="1030"/>
    <x v="3"/>
    <x v="7"/>
    <x v="0"/>
    <x v="3"/>
    <x v="0"/>
    <s v="UPI"/>
    <n v="12.94"/>
    <n v="12.73"/>
    <x v="3"/>
    <n v="0"/>
    <n v="164.73"/>
    <n v="87.22"/>
    <n v="1.25"/>
    <n v="1.1499999999999999"/>
    <n v="7.53"/>
    <n v="84.21"/>
    <n v="0"/>
    <n v="181.36"/>
    <n v="-16.63"/>
    <s v="Loss"/>
    <x v="1"/>
    <n v="9"/>
    <n v="8"/>
    <s v="0-15"/>
    <s v="Yes"/>
    <n v="1"/>
    <s v="At Risk"/>
    <n v="1"/>
  </r>
  <r>
    <n v="102555"/>
    <d v="2025-12-23T00:00:00"/>
    <n v="1078"/>
    <x v="0"/>
    <x v="6"/>
    <x v="1"/>
    <x v="3"/>
    <x v="0"/>
    <s v="UPI"/>
    <n v="14.1"/>
    <n v="11.76"/>
    <x v="3"/>
    <n v="0"/>
    <n v="165.82"/>
    <n v="96.77"/>
    <n v="14.23"/>
    <n v="1.1599999999999999"/>
    <n v="3.19"/>
    <n v="0"/>
    <n v="0"/>
    <n v="115.35"/>
    <n v="50.47"/>
    <s v="Profit"/>
    <x v="0"/>
    <n v="0"/>
    <n v="2"/>
    <s v="0-15"/>
    <s v="No"/>
    <n v="0"/>
    <s v="Healthy"/>
    <n v="0"/>
  </r>
  <r>
    <n v="102556"/>
    <d v="2025-11-19T00:00:00"/>
    <n v="1072"/>
    <x v="1"/>
    <x v="4"/>
    <x v="0"/>
    <x v="1"/>
    <x v="0"/>
    <s v="Fleet_Invoice"/>
    <n v="39.99"/>
    <n v="15.15"/>
    <x v="3"/>
    <n v="0"/>
    <n v="605.85"/>
    <n v="248.23"/>
    <n v="5.32"/>
    <n v="2.42"/>
    <n v="8.23"/>
    <n v="0"/>
    <n v="0"/>
    <n v="264.2"/>
    <n v="341.65"/>
    <s v="Profit"/>
    <x v="0"/>
    <n v="11"/>
    <n v="3"/>
    <s v="0-15"/>
    <s v="No"/>
    <n v="0"/>
    <s v="Healthy"/>
    <n v="0"/>
  </r>
  <r>
    <n v="102557"/>
    <d v="2025-10-16T00:00:00"/>
    <n v="1045"/>
    <x v="0"/>
    <x v="11"/>
    <x v="3"/>
    <x v="1"/>
    <x v="0"/>
    <s v="Wallet"/>
    <n v="38.700000000000003"/>
    <n v="16.559999999999999"/>
    <x v="4"/>
    <n v="32.04"/>
    <n v="608.83000000000004"/>
    <n v="263.55"/>
    <n v="9.68"/>
    <n v="7.69"/>
    <n v="7.31"/>
    <n v="486.2"/>
    <n v="0"/>
    <n v="774.43"/>
    <n v="-165.6"/>
    <s v="Loss"/>
    <x v="2"/>
    <n v="4"/>
    <n v="5"/>
    <s v="0-15"/>
    <s v="No"/>
    <n v="1"/>
    <s v="At Risk"/>
    <n v="0"/>
  </r>
  <r>
    <n v="102558"/>
    <d v="2025-11-05T00:00:00"/>
    <n v="1042"/>
    <x v="1"/>
    <x v="2"/>
    <x v="1"/>
    <x v="1"/>
    <x v="0"/>
    <s v="UPI"/>
    <n v="29.22"/>
    <n v="14.97"/>
    <x v="3"/>
    <n v="0"/>
    <n v="437.42"/>
    <n v="186.16"/>
    <n v="12.2"/>
    <n v="3.06"/>
    <n v="12.92"/>
    <n v="0"/>
    <n v="0"/>
    <n v="214.34"/>
    <n v="223.08"/>
    <s v="Profit"/>
    <x v="0"/>
    <n v="8"/>
    <n v="4"/>
    <s v="0-15"/>
    <s v="No"/>
    <n v="0"/>
    <s v="Healthy"/>
    <n v="0"/>
  </r>
  <r>
    <n v="102559"/>
    <d v="2025-10-22T00:00:00"/>
    <n v="1053"/>
    <x v="2"/>
    <x v="9"/>
    <x v="4"/>
    <x v="3"/>
    <x v="1"/>
    <s v="UPI"/>
    <n v="16.649999999999999"/>
    <n v="12.69"/>
    <x v="3"/>
    <n v="0"/>
    <n v="211.29"/>
    <n v="131.94"/>
    <n v="5.76"/>
    <n v="1.48"/>
    <n v="9.94"/>
    <n v="75.180000000000007"/>
    <n v="24.49"/>
    <n v="248.79"/>
    <n v="-37.5"/>
    <s v="Loss"/>
    <x v="1"/>
    <n v="9"/>
    <n v="4"/>
    <s v="0-15"/>
    <s v="Yes"/>
    <n v="2"/>
    <s v="At Risk"/>
    <n v="1"/>
  </r>
  <r>
    <n v="102560"/>
    <d v="2025-12-06T00:00:00"/>
    <n v="1127"/>
    <x v="2"/>
    <x v="5"/>
    <x v="1"/>
    <x v="0"/>
    <x v="2"/>
    <s v="Wallet"/>
    <n v="17.579999999999998"/>
    <n v="18.68"/>
    <x v="2"/>
    <n v="32.840000000000003"/>
    <n v="295.55"/>
    <n v="138.27000000000001"/>
    <n v="12.76"/>
    <n v="3.94"/>
    <n v="4.07"/>
    <n v="0"/>
    <n v="0"/>
    <n v="159.04"/>
    <n v="136.51"/>
    <s v="Profit"/>
    <x v="0"/>
    <n v="17"/>
    <n v="3"/>
    <s v="16-30"/>
    <s v="No"/>
    <n v="0"/>
    <s v="Healthy"/>
    <n v="0"/>
  </r>
  <r>
    <n v="102561"/>
    <d v="2025-12-18T00:00:00"/>
    <n v="1029"/>
    <x v="3"/>
    <x v="7"/>
    <x v="4"/>
    <x v="0"/>
    <x v="1"/>
    <s v="UPI"/>
    <n v="27.84"/>
    <n v="18.75"/>
    <x v="4"/>
    <n v="26.1"/>
    <n v="495.9"/>
    <n v="234.16"/>
    <n v="9.48"/>
    <n v="3.65"/>
    <n v="10.9"/>
    <n v="0"/>
    <n v="0"/>
    <n v="258.19"/>
    <n v="237.71"/>
    <s v="Profit"/>
    <x v="0"/>
    <n v="17"/>
    <n v="44"/>
    <s v="16-30"/>
    <s v="Yes"/>
    <n v="1"/>
    <s v="At Risk"/>
    <n v="1"/>
  </r>
  <r>
    <n v="102562"/>
    <d v="2025-12-07T00:00:00"/>
    <n v="1123"/>
    <x v="2"/>
    <x v="5"/>
    <x v="4"/>
    <x v="1"/>
    <x v="0"/>
    <s v="Wallet"/>
    <n v="34.32"/>
    <n v="16.11"/>
    <x v="4"/>
    <n v="27.64"/>
    <n v="525.26"/>
    <n v="234.34"/>
    <n v="4.41"/>
    <n v="6.63"/>
    <n v="4.0999999999999996"/>
    <n v="0"/>
    <n v="0"/>
    <n v="249.48"/>
    <n v="275.77999999999997"/>
    <s v="Profit"/>
    <x v="0"/>
    <n v="15"/>
    <n v="12"/>
    <s v="0-15"/>
    <s v="No"/>
    <n v="0"/>
    <s v="Healthy"/>
    <n v="0"/>
  </r>
  <r>
    <n v="102563"/>
    <d v="2025-10-11T00:00:00"/>
    <n v="1134"/>
    <x v="2"/>
    <x v="10"/>
    <x v="2"/>
    <x v="3"/>
    <x v="1"/>
    <s v="Fleet_Invoice"/>
    <n v="22.65"/>
    <n v="14.41"/>
    <x v="2"/>
    <n v="32.64"/>
    <n v="293.75"/>
    <n v="134.44999999999999"/>
    <n v="6.09"/>
    <n v="1.31"/>
    <n v="1.18"/>
    <n v="0"/>
    <n v="0"/>
    <n v="143.03"/>
    <n v="150.72"/>
    <s v="Profit"/>
    <x v="0"/>
    <n v="19"/>
    <n v="3"/>
    <s v="16-30"/>
    <s v="No"/>
    <n v="0"/>
    <s v="Healthy"/>
    <n v="0"/>
  </r>
  <r>
    <n v="102564"/>
    <d v="2025-10-16T00:00:00"/>
    <n v="1109"/>
    <x v="1"/>
    <x v="2"/>
    <x v="3"/>
    <x v="1"/>
    <x v="0"/>
    <s v="Fleet_Invoice"/>
    <n v="14.79"/>
    <n v="15.41"/>
    <x v="3"/>
    <n v="0"/>
    <n v="227.91"/>
    <n v="108.29"/>
    <n v="10.01"/>
    <n v="0.91"/>
    <n v="8.1"/>
    <n v="0"/>
    <n v="0"/>
    <n v="127.31"/>
    <n v="100.6"/>
    <s v="Profit"/>
    <x v="0"/>
    <n v="25"/>
    <n v="5"/>
    <s v="16-30"/>
    <s v="Yes"/>
    <n v="2"/>
    <s v="At Risk"/>
    <n v="1"/>
  </r>
  <r>
    <n v="102565"/>
    <d v="2025-11-15T00:00:00"/>
    <n v="1123"/>
    <x v="1"/>
    <x v="2"/>
    <x v="3"/>
    <x v="3"/>
    <x v="1"/>
    <s v="UPI"/>
    <n v="20.2"/>
    <n v="12.28"/>
    <x v="3"/>
    <n v="0"/>
    <n v="248.06"/>
    <n v="153.08000000000001"/>
    <n v="8.09"/>
    <n v="1.74"/>
    <n v="1.81"/>
    <n v="218.82"/>
    <n v="10.41"/>
    <n v="393.95"/>
    <n v="-145.88999999999999"/>
    <s v="Loss"/>
    <x v="2"/>
    <n v="1"/>
    <n v="2"/>
    <s v="0-15"/>
    <s v="No"/>
    <n v="1"/>
    <s v="At Risk"/>
    <n v="0"/>
  </r>
  <r>
    <n v="102566"/>
    <d v="2025-11-27T00:00:00"/>
    <n v="1024"/>
    <x v="3"/>
    <x v="8"/>
    <x v="0"/>
    <x v="1"/>
    <x v="0"/>
    <s v="Card"/>
    <n v="36.159999999999997"/>
    <n v="14.94"/>
    <x v="3"/>
    <n v="0"/>
    <n v="540.23"/>
    <n v="266.67"/>
    <n v="8.69"/>
    <n v="8.1"/>
    <n v="6.08"/>
    <n v="0"/>
    <n v="0"/>
    <n v="289.54000000000002"/>
    <n v="250.69"/>
    <s v="Profit"/>
    <x v="0"/>
    <n v="3"/>
    <n v="1"/>
    <s v="0-15"/>
    <s v="No"/>
    <n v="0"/>
    <s v="Healthy"/>
    <n v="0"/>
  </r>
  <r>
    <n v="102567"/>
    <d v="2025-10-23T00:00:00"/>
    <n v="1029"/>
    <x v="1"/>
    <x v="13"/>
    <x v="3"/>
    <x v="3"/>
    <x v="0"/>
    <s v="Wallet"/>
    <n v="9.7100000000000009"/>
    <n v="11.96"/>
    <x v="3"/>
    <n v="0"/>
    <n v="116.13"/>
    <n v="77.47"/>
    <n v="5.22"/>
    <n v="1.39"/>
    <n v="8.4700000000000006"/>
    <n v="0"/>
    <n v="0"/>
    <n v="92.55"/>
    <n v="23.58"/>
    <s v="Profit"/>
    <x v="0"/>
    <n v="9"/>
    <n v="7"/>
    <s v="0-15"/>
    <s v="No"/>
    <n v="0"/>
    <s v="Healthy"/>
    <n v="0"/>
  </r>
  <r>
    <n v="102568"/>
    <d v="2025-12-06T00:00:00"/>
    <n v="1132"/>
    <x v="2"/>
    <x v="10"/>
    <x v="4"/>
    <x v="3"/>
    <x v="0"/>
    <s v="Wallet"/>
    <n v="12.32"/>
    <n v="11.76"/>
    <x v="2"/>
    <n v="14.49"/>
    <n v="130.38999999999999"/>
    <n v="78.66"/>
    <n v="1"/>
    <n v="1.74"/>
    <n v="6.66"/>
    <n v="89.57"/>
    <n v="0"/>
    <n v="177.63"/>
    <n v="-47.24"/>
    <s v="Loss"/>
    <x v="1"/>
    <n v="4"/>
    <n v="7"/>
    <s v="0-15"/>
    <s v="Yes"/>
    <n v="1"/>
    <s v="At Risk"/>
    <n v="1"/>
  </r>
  <r>
    <n v="102569"/>
    <d v="2025-10-08T00:00:00"/>
    <n v="1125"/>
    <x v="2"/>
    <x v="5"/>
    <x v="1"/>
    <x v="1"/>
    <x v="2"/>
    <s v="UPI"/>
    <n v="25.63"/>
    <n v="14.96"/>
    <x v="3"/>
    <n v="0"/>
    <n v="383.42"/>
    <n v="179.19"/>
    <n v="8.74"/>
    <n v="2.68"/>
    <n v="12.35"/>
    <n v="321.82"/>
    <n v="4.22"/>
    <n v="529"/>
    <n v="-145.58000000000001"/>
    <s v="Loss"/>
    <x v="1"/>
    <n v="5"/>
    <n v="12"/>
    <s v="0-15"/>
    <s v="Yes"/>
    <n v="1"/>
    <s v="At Risk"/>
    <n v="1"/>
  </r>
  <r>
    <n v="102570"/>
    <d v="2025-11-15T00:00:00"/>
    <n v="1100"/>
    <x v="1"/>
    <x v="4"/>
    <x v="1"/>
    <x v="0"/>
    <x v="1"/>
    <s v="UPI"/>
    <n v="15.61"/>
    <n v="19.59"/>
    <x v="0"/>
    <n v="45.87"/>
    <n v="259.93"/>
    <n v="109.95"/>
    <n v="11.53"/>
    <n v="2.14"/>
    <n v="11.41"/>
    <n v="0"/>
    <n v="0"/>
    <n v="135.03"/>
    <n v="124.9"/>
    <s v="Profit"/>
    <x v="0"/>
    <n v="3"/>
    <n v="3"/>
    <s v="0-15"/>
    <s v="No"/>
    <n v="0"/>
    <s v="Healthy"/>
    <n v="0"/>
  </r>
  <r>
    <n v="102571"/>
    <d v="2025-11-28T00:00:00"/>
    <n v="1054"/>
    <x v="0"/>
    <x v="6"/>
    <x v="4"/>
    <x v="1"/>
    <x v="1"/>
    <s v="Fleet_Invoice"/>
    <n v="27.55"/>
    <n v="15.49"/>
    <x v="1"/>
    <n v="85.35"/>
    <n v="341.4"/>
    <n v="231.16"/>
    <n v="12.75"/>
    <n v="1.71"/>
    <n v="3.98"/>
    <n v="238.33"/>
    <n v="13.85"/>
    <n v="501.78"/>
    <n v="-160.38"/>
    <s v="Loss"/>
    <x v="1"/>
    <n v="1"/>
    <n v="20"/>
    <s v="0-15"/>
    <s v="Yes"/>
    <n v="2"/>
    <s v="At Risk"/>
    <n v="1"/>
  </r>
  <r>
    <n v="102572"/>
    <d v="2025-11-05T00:00:00"/>
    <n v="1096"/>
    <x v="2"/>
    <x v="12"/>
    <x v="2"/>
    <x v="1"/>
    <x v="1"/>
    <s v="UPI"/>
    <n v="38.94"/>
    <n v="15.64"/>
    <x v="2"/>
    <n v="60.9"/>
    <n v="548.12"/>
    <n v="338.68"/>
    <n v="8.82"/>
    <n v="4.26"/>
    <n v="0"/>
    <n v="379.65"/>
    <n v="14.69"/>
    <n v="746.1"/>
    <n v="-197.98"/>
    <s v="Loss"/>
    <x v="1"/>
    <n v="18"/>
    <n v="6"/>
    <s v="16-30"/>
    <s v="Yes"/>
    <n v="4"/>
    <s v="At Risk"/>
    <n v="1"/>
  </r>
  <r>
    <n v="102573"/>
    <d v="2025-12-25T00:00:00"/>
    <n v="1121"/>
    <x v="3"/>
    <x v="7"/>
    <x v="0"/>
    <x v="0"/>
    <x v="2"/>
    <s v="UPI"/>
    <n v="22.34"/>
    <n v="18.71"/>
    <x v="4"/>
    <n v="20.9"/>
    <n v="397.08"/>
    <n v="162.6"/>
    <n v="10.83"/>
    <n v="2.93"/>
    <n v="8.14"/>
    <n v="0"/>
    <n v="0"/>
    <n v="184.5"/>
    <n v="212.58"/>
    <s v="Profit"/>
    <x v="0"/>
    <n v="52"/>
    <n v="1"/>
    <s v="30+"/>
    <s v="Yes"/>
    <n v="3"/>
    <s v="At Risk"/>
    <n v="1"/>
  </r>
  <r>
    <n v="102574"/>
    <d v="2025-11-09T00:00:00"/>
    <n v="1088"/>
    <x v="1"/>
    <x v="3"/>
    <x v="3"/>
    <x v="2"/>
    <x v="0"/>
    <s v="Wallet"/>
    <n v="25.42"/>
    <n v="17.16"/>
    <x v="2"/>
    <n v="43.62"/>
    <n v="392.59"/>
    <n v="208"/>
    <n v="10.96"/>
    <n v="5.23"/>
    <n v="1.36"/>
    <n v="0"/>
    <n v="0"/>
    <n v="225.55"/>
    <n v="167.04"/>
    <s v="Profit"/>
    <x v="0"/>
    <n v="15"/>
    <n v="18"/>
    <s v="0-15"/>
    <s v="Yes"/>
    <n v="1"/>
    <s v="At Risk"/>
    <n v="1"/>
  </r>
  <r>
    <n v="102575"/>
    <d v="2025-11-12T00:00:00"/>
    <n v="1136"/>
    <x v="0"/>
    <x v="0"/>
    <x v="4"/>
    <x v="3"/>
    <x v="0"/>
    <s v="Wallet"/>
    <n v="16.059999999999999"/>
    <n v="12.58"/>
    <x v="3"/>
    <n v="0"/>
    <n v="202.03"/>
    <n v="105.72"/>
    <n v="9.6199999999999992"/>
    <n v="2.42"/>
    <n v="0"/>
    <n v="0"/>
    <n v="0"/>
    <n v="117.76"/>
    <n v="84.27"/>
    <s v="Profit"/>
    <x v="0"/>
    <n v="10"/>
    <n v="0"/>
    <s v="0-15"/>
    <s v="No"/>
    <n v="0"/>
    <s v="Healthy"/>
    <n v="0"/>
  </r>
  <r>
    <n v="102576"/>
    <d v="2025-11-19T00:00:00"/>
    <n v="1088"/>
    <x v="2"/>
    <x v="9"/>
    <x v="1"/>
    <x v="3"/>
    <x v="2"/>
    <s v="UPI"/>
    <n v="20.36"/>
    <n v="13.17"/>
    <x v="4"/>
    <n v="13.41"/>
    <n v="254.73"/>
    <n v="127.18"/>
    <n v="4.34"/>
    <n v="1.88"/>
    <n v="6.83"/>
    <n v="0"/>
    <n v="0"/>
    <n v="140.22999999999999"/>
    <n v="114.5"/>
    <s v="Profit"/>
    <x v="0"/>
    <n v="6"/>
    <n v="6"/>
    <s v="0-15"/>
    <s v="No"/>
    <n v="0"/>
    <s v="Healthy"/>
    <n v="0"/>
  </r>
  <r>
    <n v="102577"/>
    <d v="2025-11-06T00:00:00"/>
    <n v="1025"/>
    <x v="3"/>
    <x v="15"/>
    <x v="0"/>
    <x v="2"/>
    <x v="0"/>
    <s v="UPI"/>
    <n v="28.6"/>
    <n v="18.420000000000002"/>
    <x v="3"/>
    <n v="0"/>
    <n v="526.80999999999995"/>
    <n v="193.43"/>
    <n v="15.36"/>
    <n v="3.69"/>
    <n v="9.61"/>
    <n v="0"/>
    <n v="0"/>
    <n v="222.09"/>
    <n v="304.72000000000003"/>
    <s v="Profit"/>
    <x v="0"/>
    <n v="14"/>
    <n v="3"/>
    <s v="0-15"/>
    <s v="No"/>
    <n v="0"/>
    <s v="Healthy"/>
    <n v="0"/>
  </r>
  <r>
    <n v="102578"/>
    <d v="2025-12-14T00:00:00"/>
    <n v="1123"/>
    <x v="3"/>
    <x v="8"/>
    <x v="1"/>
    <x v="3"/>
    <x v="1"/>
    <s v="Card"/>
    <n v="11.78"/>
    <n v="12.11"/>
    <x v="3"/>
    <n v="0"/>
    <n v="142.66"/>
    <n v="83.34"/>
    <n v="5.03"/>
    <n v="2.14"/>
    <n v="1.43"/>
    <n v="0"/>
    <n v="0"/>
    <n v="91.94"/>
    <n v="50.72"/>
    <s v="Profit"/>
    <x v="0"/>
    <n v="27"/>
    <n v="3"/>
    <s v="16-30"/>
    <s v="Yes"/>
    <n v="3"/>
    <s v="At Risk"/>
    <n v="1"/>
  </r>
  <r>
    <n v="102579"/>
    <d v="2025-12-27T00:00:00"/>
    <n v="1036"/>
    <x v="0"/>
    <x v="0"/>
    <x v="0"/>
    <x v="3"/>
    <x v="0"/>
    <s v="UPI"/>
    <n v="13.38"/>
    <n v="13.29"/>
    <x v="4"/>
    <n v="8.89"/>
    <n v="168.93"/>
    <n v="106.92"/>
    <n v="6.97"/>
    <n v="1.24"/>
    <n v="7.53"/>
    <n v="0"/>
    <n v="0"/>
    <n v="122.66"/>
    <n v="46.27"/>
    <s v="Profit"/>
    <x v="0"/>
    <n v="0"/>
    <n v="23"/>
    <s v="0-15"/>
    <s v="Yes"/>
    <n v="1"/>
    <s v="At Risk"/>
    <n v="1"/>
  </r>
  <r>
    <n v="102580"/>
    <d v="2025-11-30T00:00:00"/>
    <n v="1035"/>
    <x v="1"/>
    <x v="13"/>
    <x v="2"/>
    <x v="2"/>
    <x v="0"/>
    <s v="Wallet"/>
    <n v="32.28"/>
    <n v="18.649999999999999"/>
    <x v="3"/>
    <n v="0"/>
    <n v="602.02"/>
    <n v="245.33"/>
    <n v="9.4700000000000006"/>
    <n v="7.22"/>
    <n v="9.2100000000000009"/>
    <n v="0"/>
    <n v="0"/>
    <n v="271.23"/>
    <n v="330.79"/>
    <s v="Profit"/>
    <x v="0"/>
    <n v="10"/>
    <n v="2"/>
    <s v="0-15"/>
    <s v="No"/>
    <n v="0"/>
    <s v="Healthy"/>
    <n v="0"/>
  </r>
  <r>
    <n v="102581"/>
    <d v="2025-11-18T00:00:00"/>
    <n v="1002"/>
    <x v="3"/>
    <x v="15"/>
    <x v="0"/>
    <x v="1"/>
    <x v="0"/>
    <s v="Fleet_Invoice"/>
    <n v="16.89"/>
    <n v="16.62"/>
    <x v="2"/>
    <n v="28.07"/>
    <n v="252.64"/>
    <n v="129.09"/>
    <n v="3.22"/>
    <n v="1.1200000000000001"/>
    <n v="1.31"/>
    <n v="0"/>
    <n v="0"/>
    <n v="134.74"/>
    <n v="117.9"/>
    <s v="Profit"/>
    <x v="0"/>
    <n v="22"/>
    <n v="10"/>
    <s v="16-30"/>
    <s v="Yes"/>
    <n v="1"/>
    <s v="At Risk"/>
    <n v="1"/>
  </r>
  <r>
    <n v="102582"/>
    <d v="2025-10-22T00:00:00"/>
    <n v="1044"/>
    <x v="2"/>
    <x v="5"/>
    <x v="3"/>
    <x v="3"/>
    <x v="2"/>
    <s v="Wallet"/>
    <n v="20.41"/>
    <n v="12.54"/>
    <x v="0"/>
    <n v="38.39"/>
    <n v="217.55"/>
    <n v="141.22"/>
    <n v="6.2"/>
    <n v="3.07"/>
    <n v="8.0299999999999994"/>
    <n v="0"/>
    <n v="0"/>
    <n v="158.52000000000001"/>
    <n v="59.03"/>
    <s v="Profit"/>
    <x v="0"/>
    <n v="7"/>
    <n v="15"/>
    <s v="0-15"/>
    <s v="No"/>
    <n v="0"/>
    <s v="Healthy"/>
    <n v="0"/>
  </r>
  <r>
    <n v="102583"/>
    <d v="2025-10-15T00:00:00"/>
    <n v="1027"/>
    <x v="0"/>
    <x v="11"/>
    <x v="3"/>
    <x v="3"/>
    <x v="0"/>
    <s v="UPI"/>
    <n v="13.89"/>
    <n v="11.65"/>
    <x v="0"/>
    <n v="24.27"/>
    <n v="137.55000000000001"/>
    <n v="106.48"/>
    <n v="7.57"/>
    <n v="1.1299999999999999"/>
    <n v="4.42"/>
    <n v="0"/>
    <n v="0"/>
    <n v="119.6"/>
    <n v="17.95"/>
    <s v="Profit"/>
    <x v="0"/>
    <n v="2"/>
    <n v="22"/>
    <s v="0-15"/>
    <s v="Yes"/>
    <n v="2"/>
    <s v="At Risk"/>
    <n v="1"/>
  </r>
  <r>
    <n v="102584"/>
    <d v="2025-10-12T00:00:00"/>
    <n v="1055"/>
    <x v="0"/>
    <x v="1"/>
    <x v="2"/>
    <x v="2"/>
    <x v="0"/>
    <s v="UPI"/>
    <n v="35.17"/>
    <n v="17.66"/>
    <x v="3"/>
    <n v="0"/>
    <n v="621.1"/>
    <n v="250.3"/>
    <n v="4.25"/>
    <n v="4.3499999999999996"/>
    <n v="7.44"/>
    <n v="257.04000000000002"/>
    <n v="0"/>
    <n v="523.38"/>
    <n v="97.72"/>
    <s v="Profit"/>
    <x v="1"/>
    <n v="33"/>
    <n v="6"/>
    <s v="30+"/>
    <s v="Yes"/>
    <n v="4"/>
    <s v="At Risk"/>
    <n v="1"/>
  </r>
  <r>
    <n v="102585"/>
    <d v="2025-11-10T00:00:00"/>
    <n v="1002"/>
    <x v="2"/>
    <x v="9"/>
    <x v="4"/>
    <x v="3"/>
    <x v="0"/>
    <s v="UPI"/>
    <n v="18.66"/>
    <n v="12.08"/>
    <x v="2"/>
    <n v="22.54"/>
    <n v="202.87"/>
    <n v="115.3"/>
    <n v="8.2200000000000006"/>
    <n v="1.58"/>
    <n v="8.77"/>
    <n v="0"/>
    <n v="0"/>
    <n v="133.87"/>
    <n v="69"/>
    <s v="Profit"/>
    <x v="0"/>
    <n v="6"/>
    <n v="6"/>
    <s v="0-15"/>
    <s v="No"/>
    <n v="0"/>
    <s v="Healthy"/>
    <n v="0"/>
  </r>
  <r>
    <n v="102586"/>
    <d v="2025-10-05T00:00:00"/>
    <n v="1104"/>
    <x v="1"/>
    <x v="2"/>
    <x v="3"/>
    <x v="3"/>
    <x v="2"/>
    <s v="UPI"/>
    <n v="11.61"/>
    <n v="12.31"/>
    <x v="1"/>
    <n v="28.58"/>
    <n v="114.34"/>
    <n v="95.52"/>
    <n v="12.67"/>
    <n v="1"/>
    <n v="9.34"/>
    <n v="107.37"/>
    <n v="17.22"/>
    <n v="243.12"/>
    <n v="-128.78"/>
    <s v="Loss"/>
    <x v="1"/>
    <n v="6"/>
    <n v="0"/>
    <s v="0-15"/>
    <s v="Yes"/>
    <n v="2"/>
    <s v="At Risk"/>
    <n v="1"/>
  </r>
  <r>
    <n v="102587"/>
    <d v="2025-12-08T00:00:00"/>
    <n v="1122"/>
    <x v="1"/>
    <x v="3"/>
    <x v="4"/>
    <x v="3"/>
    <x v="2"/>
    <s v="UPI"/>
    <n v="19.829999999999998"/>
    <n v="12.64"/>
    <x v="2"/>
    <n v="25.06"/>
    <n v="225.59"/>
    <n v="162.22"/>
    <n v="13.03"/>
    <n v="1.75"/>
    <n v="3.54"/>
    <n v="0"/>
    <n v="0"/>
    <n v="180.54"/>
    <n v="45.05"/>
    <s v="Profit"/>
    <x v="0"/>
    <n v="45"/>
    <n v="3"/>
    <s v="30+"/>
    <s v="Yes"/>
    <n v="1"/>
    <s v="At Risk"/>
    <n v="1"/>
  </r>
  <r>
    <n v="102588"/>
    <d v="2025-11-15T00:00:00"/>
    <n v="1007"/>
    <x v="3"/>
    <x v="14"/>
    <x v="2"/>
    <x v="3"/>
    <x v="0"/>
    <s v="Card"/>
    <n v="17.829999999999998"/>
    <n v="12.69"/>
    <x v="3"/>
    <n v="0"/>
    <n v="226.26"/>
    <n v="140.97999999999999"/>
    <n v="4.0599999999999996"/>
    <n v="3.39"/>
    <n v="4.8099999999999996"/>
    <n v="0"/>
    <n v="0"/>
    <n v="153.24"/>
    <n v="73.02"/>
    <s v="Profit"/>
    <x v="0"/>
    <n v="10"/>
    <n v="17"/>
    <s v="0-15"/>
    <s v="Yes"/>
    <n v="3"/>
    <s v="At Risk"/>
    <n v="1"/>
  </r>
  <r>
    <n v="102589"/>
    <d v="2025-11-16T00:00:00"/>
    <n v="1036"/>
    <x v="0"/>
    <x v="0"/>
    <x v="3"/>
    <x v="1"/>
    <x v="1"/>
    <s v="Wallet"/>
    <n v="29.71"/>
    <n v="15.28"/>
    <x v="0"/>
    <n v="68.099999999999994"/>
    <n v="385.87"/>
    <n v="196.73"/>
    <n v="1"/>
    <n v="5.45"/>
    <n v="15.29"/>
    <n v="0"/>
    <n v="0"/>
    <n v="218.47"/>
    <n v="167.4"/>
    <s v="Profit"/>
    <x v="0"/>
    <n v="0"/>
    <n v="6"/>
    <s v="0-15"/>
    <s v="No"/>
    <n v="0"/>
    <s v="Healthy"/>
    <n v="0"/>
  </r>
  <r>
    <n v="102590"/>
    <d v="2025-10-09T00:00:00"/>
    <n v="1122"/>
    <x v="3"/>
    <x v="15"/>
    <x v="1"/>
    <x v="3"/>
    <x v="1"/>
    <s v="Card"/>
    <n v="22.55"/>
    <n v="13.02"/>
    <x v="2"/>
    <n v="29.36"/>
    <n v="264.24"/>
    <n v="177.73"/>
    <n v="4.78"/>
    <n v="4.4000000000000004"/>
    <n v="2.92"/>
    <n v="0"/>
    <n v="0"/>
    <n v="189.83"/>
    <n v="74.41"/>
    <s v="Profit"/>
    <x v="0"/>
    <n v="6"/>
    <n v="33"/>
    <s v="0-15"/>
    <s v="Yes"/>
    <n v="4"/>
    <s v="At Risk"/>
    <n v="1"/>
  </r>
  <r>
    <n v="102591"/>
    <d v="2025-10-06T00:00:00"/>
    <n v="1070"/>
    <x v="0"/>
    <x v="0"/>
    <x v="1"/>
    <x v="0"/>
    <x v="2"/>
    <s v="Fleet_Invoice"/>
    <n v="32.76"/>
    <n v="19.04"/>
    <x v="1"/>
    <n v="124.75"/>
    <n v="499"/>
    <n v="211.32"/>
    <n v="8.2200000000000006"/>
    <n v="2.5"/>
    <n v="3.52"/>
    <n v="0"/>
    <n v="0"/>
    <n v="225.56"/>
    <n v="273.44"/>
    <s v="Profit"/>
    <x v="0"/>
    <n v="42"/>
    <n v="11"/>
    <s v="30+"/>
    <s v="Yes"/>
    <n v="1"/>
    <s v="At Risk"/>
    <n v="1"/>
  </r>
  <r>
    <n v="102592"/>
    <d v="2025-10-05T00:00:00"/>
    <n v="1079"/>
    <x v="1"/>
    <x v="2"/>
    <x v="2"/>
    <x v="2"/>
    <x v="0"/>
    <s v="UPI"/>
    <n v="29.2"/>
    <n v="16.84"/>
    <x v="3"/>
    <n v="0"/>
    <n v="491.73"/>
    <n v="192.56"/>
    <n v="6.28"/>
    <n v="3.44"/>
    <n v="11.55"/>
    <n v="0"/>
    <n v="0"/>
    <n v="213.83"/>
    <n v="277.89999999999998"/>
    <s v="Profit"/>
    <x v="0"/>
    <n v="15"/>
    <n v="7"/>
    <s v="0-15"/>
    <s v="No"/>
    <n v="0"/>
    <s v="Healthy"/>
    <n v="0"/>
  </r>
  <r>
    <n v="102593"/>
    <d v="2025-10-22T00:00:00"/>
    <n v="1102"/>
    <x v="2"/>
    <x v="10"/>
    <x v="0"/>
    <x v="2"/>
    <x v="0"/>
    <s v="UPI"/>
    <n v="32.33"/>
    <n v="18.170000000000002"/>
    <x v="1"/>
    <n v="117.49"/>
    <n v="469.95"/>
    <n v="254.34"/>
    <n v="9.9600000000000009"/>
    <n v="4.1100000000000003"/>
    <n v="10.48"/>
    <n v="0"/>
    <n v="0"/>
    <n v="278.89"/>
    <n v="191.06"/>
    <s v="Profit"/>
    <x v="0"/>
    <n v="9"/>
    <n v="1"/>
    <s v="0-15"/>
    <s v="No"/>
    <n v="0"/>
    <s v="Healthy"/>
    <n v="0"/>
  </r>
  <r>
    <n v="102594"/>
    <d v="2025-10-19T00:00:00"/>
    <n v="1107"/>
    <x v="3"/>
    <x v="15"/>
    <x v="1"/>
    <x v="3"/>
    <x v="0"/>
    <s v="Wallet"/>
    <n v="22.79"/>
    <n v="13.82"/>
    <x v="3"/>
    <n v="0"/>
    <n v="314.95999999999998"/>
    <n v="169.23"/>
    <n v="12.3"/>
    <n v="3.78"/>
    <n v="7.3"/>
    <n v="0"/>
    <n v="0"/>
    <n v="192.61"/>
    <n v="122.35"/>
    <s v="Profit"/>
    <x v="0"/>
    <n v="7"/>
    <n v="2"/>
    <s v="0-15"/>
    <s v="No"/>
    <n v="0"/>
    <s v="Healthy"/>
    <n v="0"/>
  </r>
  <r>
    <n v="102595"/>
    <d v="2025-12-30T00:00:00"/>
    <n v="1110"/>
    <x v="2"/>
    <x v="12"/>
    <x v="1"/>
    <x v="2"/>
    <x v="0"/>
    <s v="UPI"/>
    <n v="41.62"/>
    <n v="16.86"/>
    <x v="3"/>
    <n v="0"/>
    <n v="701.71"/>
    <n v="323.89"/>
    <n v="10.119999999999999"/>
    <n v="4.91"/>
    <n v="4.46"/>
    <n v="0"/>
    <n v="0"/>
    <n v="343.38"/>
    <n v="358.33"/>
    <s v="Profit"/>
    <x v="0"/>
    <n v="10"/>
    <n v="0"/>
    <s v="0-15"/>
    <s v="No"/>
    <n v="0"/>
    <s v="Healthy"/>
    <n v="0"/>
  </r>
  <r>
    <n v="102596"/>
    <d v="2025-11-07T00:00:00"/>
    <n v="1001"/>
    <x v="1"/>
    <x v="2"/>
    <x v="0"/>
    <x v="2"/>
    <x v="0"/>
    <s v="UPI"/>
    <n v="34.049999999999997"/>
    <n v="17.32"/>
    <x v="3"/>
    <n v="0"/>
    <n v="589.75"/>
    <n v="238.42"/>
    <n v="8.43"/>
    <n v="4.13"/>
    <n v="6.45"/>
    <n v="0"/>
    <n v="0"/>
    <n v="257.43"/>
    <n v="332.32"/>
    <s v="Profit"/>
    <x v="0"/>
    <n v="1"/>
    <n v="11"/>
    <s v="0-15"/>
    <s v="No"/>
    <n v="0"/>
    <s v="Healthy"/>
    <n v="0"/>
  </r>
  <r>
    <n v="102597"/>
    <d v="2025-11-14T00:00:00"/>
    <n v="1120"/>
    <x v="1"/>
    <x v="4"/>
    <x v="3"/>
    <x v="1"/>
    <x v="2"/>
    <s v="UPI"/>
    <n v="32.659999999999997"/>
    <n v="16.149999999999999"/>
    <x v="3"/>
    <n v="0"/>
    <n v="527.46"/>
    <n v="216.5"/>
    <n v="9.84"/>
    <n v="3.69"/>
    <n v="11"/>
    <n v="0"/>
    <n v="0"/>
    <n v="241.03"/>
    <n v="286.43"/>
    <s v="Profit"/>
    <x v="0"/>
    <n v="5"/>
    <n v="0"/>
    <s v="0-15"/>
    <s v="No"/>
    <n v="0"/>
    <s v="Healthy"/>
    <n v="0"/>
  </r>
  <r>
    <n v="102598"/>
    <d v="2025-12-20T00:00:00"/>
    <n v="1106"/>
    <x v="1"/>
    <x v="4"/>
    <x v="1"/>
    <x v="3"/>
    <x v="0"/>
    <s v="Card"/>
    <n v="10.5"/>
    <n v="13.79"/>
    <x v="3"/>
    <n v="0"/>
    <n v="144.79"/>
    <n v="75.5"/>
    <n v="8.0500000000000007"/>
    <n v="2.17"/>
    <n v="7.51"/>
    <n v="0"/>
    <n v="0"/>
    <n v="93.23"/>
    <n v="51.56"/>
    <s v="Profit"/>
    <x v="0"/>
    <n v="1"/>
    <n v="5"/>
    <s v="0-15"/>
    <s v="No"/>
    <n v="0"/>
    <s v="Healthy"/>
    <n v="0"/>
  </r>
  <r>
    <n v="102599"/>
    <d v="2025-10-12T00:00:00"/>
    <n v="1128"/>
    <x v="2"/>
    <x v="9"/>
    <x v="0"/>
    <x v="1"/>
    <x v="0"/>
    <s v="Card"/>
    <n v="20.92"/>
    <n v="14.95"/>
    <x v="3"/>
    <n v="0"/>
    <n v="312.75"/>
    <n v="159.94999999999999"/>
    <n v="11.52"/>
    <n v="4.6900000000000004"/>
    <n v="5.34"/>
    <n v="0"/>
    <n v="0"/>
    <n v="181.5"/>
    <n v="131.25"/>
    <s v="Profit"/>
    <x v="0"/>
    <n v="3"/>
    <n v="5"/>
    <s v="0-15"/>
    <s v="No"/>
    <n v="0"/>
    <s v="Healthy"/>
    <n v="0"/>
  </r>
  <r>
    <n v="102600"/>
    <d v="2025-10-25T00:00:00"/>
    <n v="1085"/>
    <x v="2"/>
    <x v="12"/>
    <x v="1"/>
    <x v="3"/>
    <x v="1"/>
    <s v="Fleet_Invoice"/>
    <n v="28.54"/>
    <n v="12.61"/>
    <x v="3"/>
    <n v="0"/>
    <n v="359.89"/>
    <n v="204.24"/>
    <n v="5.01"/>
    <n v="1.44"/>
    <n v="4.8600000000000003"/>
    <n v="0"/>
    <n v="0"/>
    <n v="215.55"/>
    <n v="144.34"/>
    <s v="Profit"/>
    <x v="0"/>
    <n v="3"/>
    <n v="48"/>
    <s v="0-15"/>
    <s v="Yes"/>
    <n v="4"/>
    <s v="At Risk"/>
    <n v="1"/>
  </r>
  <r>
    <n v="102601"/>
    <d v="2025-11-02T00:00:00"/>
    <n v="1122"/>
    <x v="0"/>
    <x v="11"/>
    <x v="3"/>
    <x v="1"/>
    <x v="2"/>
    <s v="Card"/>
    <n v="30.27"/>
    <n v="15.46"/>
    <x v="3"/>
    <n v="0"/>
    <n v="467.97"/>
    <n v="199.66"/>
    <n v="5.17"/>
    <n v="7.02"/>
    <n v="4.1399999999999997"/>
    <n v="0"/>
    <n v="0"/>
    <n v="215.99"/>
    <n v="251.98"/>
    <s v="Profit"/>
    <x v="0"/>
    <n v="13"/>
    <n v="7"/>
    <s v="0-15"/>
    <s v="No"/>
    <n v="0"/>
    <s v="Healthy"/>
    <n v="0"/>
  </r>
  <r>
    <n v="102602"/>
    <d v="2025-11-13T00:00:00"/>
    <n v="1146"/>
    <x v="1"/>
    <x v="3"/>
    <x v="2"/>
    <x v="3"/>
    <x v="2"/>
    <s v="Card"/>
    <n v="12.86"/>
    <n v="12.38"/>
    <x v="2"/>
    <n v="15.92"/>
    <n v="143.29"/>
    <n v="88.56"/>
    <n v="8.1"/>
    <n v="2.39"/>
    <n v="5.5"/>
    <n v="0"/>
    <n v="0"/>
    <n v="104.55"/>
    <n v="38.74"/>
    <s v="Profit"/>
    <x v="0"/>
    <n v="50"/>
    <n v="28"/>
    <s v="30+"/>
    <s v="Yes"/>
    <n v="1"/>
    <s v="At Risk"/>
    <n v="1"/>
  </r>
  <r>
    <n v="102603"/>
    <d v="2025-11-08T00:00:00"/>
    <n v="1114"/>
    <x v="0"/>
    <x v="11"/>
    <x v="3"/>
    <x v="1"/>
    <x v="0"/>
    <s v="Wallet"/>
    <n v="19.68"/>
    <n v="15.23"/>
    <x v="3"/>
    <n v="0"/>
    <n v="299.73"/>
    <n v="159.16"/>
    <n v="11.87"/>
    <n v="3.6"/>
    <n v="8.11"/>
    <n v="0"/>
    <n v="0"/>
    <n v="182.74"/>
    <n v="116.99"/>
    <s v="Profit"/>
    <x v="0"/>
    <n v="3"/>
    <n v="1"/>
    <s v="0-15"/>
    <s v="No"/>
    <n v="0"/>
    <s v="Healthy"/>
    <n v="0"/>
  </r>
  <r>
    <n v="102604"/>
    <d v="2025-10-02T00:00:00"/>
    <n v="1046"/>
    <x v="1"/>
    <x v="3"/>
    <x v="1"/>
    <x v="1"/>
    <x v="0"/>
    <s v="UPI"/>
    <n v="20.43"/>
    <n v="15.32"/>
    <x v="2"/>
    <n v="31.3"/>
    <n v="281.69"/>
    <n v="170.13"/>
    <n v="1.41"/>
    <n v="2.19"/>
    <n v="4.67"/>
    <n v="0"/>
    <n v="0"/>
    <n v="178.4"/>
    <n v="103.29"/>
    <s v="Profit"/>
    <x v="0"/>
    <n v="8"/>
    <n v="11"/>
    <s v="0-15"/>
    <s v="No"/>
    <n v="0"/>
    <s v="Healthy"/>
    <n v="0"/>
  </r>
  <r>
    <n v="102605"/>
    <d v="2025-12-27T00:00:00"/>
    <n v="1123"/>
    <x v="2"/>
    <x v="10"/>
    <x v="3"/>
    <x v="1"/>
    <x v="0"/>
    <s v="Fleet_Invoice"/>
    <n v="29.58"/>
    <n v="18.07"/>
    <x v="3"/>
    <n v="0"/>
    <n v="534.51"/>
    <n v="201.12"/>
    <n v="8.94"/>
    <n v="2.14"/>
    <n v="4.8099999999999996"/>
    <n v="0"/>
    <n v="0"/>
    <n v="217.01"/>
    <n v="317.5"/>
    <s v="Profit"/>
    <x v="0"/>
    <n v="19"/>
    <n v="4"/>
    <s v="16-30"/>
    <s v="No"/>
    <n v="0"/>
    <s v="Healthy"/>
    <n v="0"/>
  </r>
  <r>
    <n v="102606"/>
    <d v="2025-12-04T00:00:00"/>
    <n v="1025"/>
    <x v="3"/>
    <x v="7"/>
    <x v="3"/>
    <x v="2"/>
    <x v="0"/>
    <s v="Fleet_Invoice"/>
    <n v="32.22"/>
    <n v="19.690000000000001"/>
    <x v="1"/>
    <n v="126.88"/>
    <n v="507.53"/>
    <n v="196.18"/>
    <n v="8.77"/>
    <n v="2.54"/>
    <n v="8.91"/>
    <n v="0"/>
    <n v="0"/>
    <n v="216.4"/>
    <n v="291.13"/>
    <s v="Profit"/>
    <x v="0"/>
    <n v="3"/>
    <n v="5"/>
    <s v="0-15"/>
    <s v="No"/>
    <n v="0"/>
    <s v="Healthy"/>
    <n v="0"/>
  </r>
  <r>
    <n v="102607"/>
    <d v="2025-11-07T00:00:00"/>
    <n v="1133"/>
    <x v="1"/>
    <x v="3"/>
    <x v="2"/>
    <x v="3"/>
    <x v="0"/>
    <s v="UPI"/>
    <n v="13.78"/>
    <n v="11.89"/>
    <x v="4"/>
    <n v="8.19"/>
    <n v="155.65"/>
    <n v="108.54"/>
    <n v="10.73"/>
    <n v="1.1499999999999999"/>
    <n v="8.4600000000000009"/>
    <n v="0"/>
    <n v="0"/>
    <n v="128.88"/>
    <n v="26.77"/>
    <s v="Profit"/>
    <x v="0"/>
    <n v="20"/>
    <n v="9"/>
    <s v="16-30"/>
    <s v="No"/>
    <n v="0"/>
    <s v="Healthy"/>
    <n v="0"/>
  </r>
  <r>
    <n v="102608"/>
    <d v="2025-12-01T00:00:00"/>
    <n v="1066"/>
    <x v="0"/>
    <x v="6"/>
    <x v="3"/>
    <x v="1"/>
    <x v="2"/>
    <s v="UPI"/>
    <n v="21.81"/>
    <n v="15.65"/>
    <x v="1"/>
    <n v="68.27"/>
    <n v="273.06"/>
    <n v="187.29"/>
    <n v="16.739999999999998"/>
    <n v="2.39"/>
    <n v="7.92"/>
    <n v="0"/>
    <n v="0"/>
    <n v="214.34"/>
    <n v="58.72"/>
    <s v="Profit"/>
    <x v="0"/>
    <n v="2"/>
    <n v="1"/>
    <s v="0-15"/>
    <s v="No"/>
    <n v="0"/>
    <s v="Healthy"/>
    <n v="0"/>
  </r>
  <r>
    <n v="102609"/>
    <d v="2025-12-21T00:00:00"/>
    <n v="1127"/>
    <x v="0"/>
    <x v="0"/>
    <x v="1"/>
    <x v="1"/>
    <x v="0"/>
    <s v="Wallet"/>
    <n v="12.17"/>
    <n v="15.32"/>
    <x v="2"/>
    <n v="18.64"/>
    <n v="167.8"/>
    <n v="98.64"/>
    <n v="8.07"/>
    <n v="2.2400000000000002"/>
    <n v="11.07"/>
    <n v="0"/>
    <n v="0"/>
    <n v="120.02"/>
    <n v="47.78"/>
    <s v="Profit"/>
    <x v="0"/>
    <n v="9"/>
    <n v="15"/>
    <s v="0-15"/>
    <s v="No"/>
    <n v="2"/>
    <s v="Healthy"/>
    <n v="0"/>
  </r>
  <r>
    <n v="102610"/>
    <d v="2025-11-14T00:00:00"/>
    <n v="1096"/>
    <x v="0"/>
    <x v="11"/>
    <x v="4"/>
    <x v="3"/>
    <x v="0"/>
    <s v="UPI"/>
    <n v="10.39"/>
    <n v="11.99"/>
    <x v="4"/>
    <n v="6.23"/>
    <n v="118.35"/>
    <n v="77.02"/>
    <n v="6.06"/>
    <n v="0.87"/>
    <n v="7.32"/>
    <n v="0"/>
    <n v="0"/>
    <n v="91.27"/>
    <n v="27.08"/>
    <s v="Profit"/>
    <x v="0"/>
    <n v="1"/>
    <n v="6"/>
    <s v="0-15"/>
    <s v="No"/>
    <n v="0"/>
    <s v="Healthy"/>
    <n v="0"/>
  </r>
  <r>
    <n v="102611"/>
    <d v="2025-12-04T00:00:00"/>
    <n v="1116"/>
    <x v="1"/>
    <x v="3"/>
    <x v="4"/>
    <x v="3"/>
    <x v="2"/>
    <s v="UPI"/>
    <n v="35.020000000000003"/>
    <n v="14.56"/>
    <x v="2"/>
    <n v="50.99"/>
    <n v="458.9"/>
    <n v="226.45"/>
    <n v="8.85"/>
    <n v="3.57"/>
    <n v="12.09"/>
    <n v="0"/>
    <n v="0"/>
    <n v="250.96"/>
    <n v="207.94"/>
    <s v="Profit"/>
    <x v="0"/>
    <n v="2"/>
    <n v="5"/>
    <s v="0-15"/>
    <s v="No"/>
    <n v="0"/>
    <s v="Healthy"/>
    <n v="0"/>
  </r>
  <r>
    <n v="102612"/>
    <d v="2025-10-31T00:00:00"/>
    <n v="1033"/>
    <x v="0"/>
    <x v="11"/>
    <x v="3"/>
    <x v="2"/>
    <x v="2"/>
    <s v="Card"/>
    <n v="25.35"/>
    <n v="16.64"/>
    <x v="3"/>
    <n v="0"/>
    <n v="421.82"/>
    <n v="192.1"/>
    <n v="13.45"/>
    <n v="6.33"/>
    <n v="8.85"/>
    <n v="273.47000000000003"/>
    <n v="23.79"/>
    <n v="517.99"/>
    <n v="-96.17"/>
    <s v="Loss"/>
    <x v="1"/>
    <n v="11"/>
    <n v="1"/>
    <s v="0-15"/>
    <s v="Yes"/>
    <n v="2"/>
    <s v="At Risk"/>
    <n v="1"/>
  </r>
  <r>
    <n v="102613"/>
    <d v="2025-11-14T00:00:00"/>
    <n v="1044"/>
    <x v="1"/>
    <x v="3"/>
    <x v="4"/>
    <x v="3"/>
    <x v="0"/>
    <s v="UPI"/>
    <n v="9.75"/>
    <n v="14.96"/>
    <x v="2"/>
    <n v="14.59"/>
    <n v="131.27000000000001"/>
    <n v="60.62"/>
    <n v="4.32"/>
    <n v="1.02"/>
    <n v="4.57"/>
    <n v="0"/>
    <n v="0"/>
    <n v="70.53"/>
    <n v="60.74"/>
    <s v="Profit"/>
    <x v="0"/>
    <n v="7"/>
    <n v="13"/>
    <s v="0-15"/>
    <s v="No"/>
    <n v="0"/>
    <s v="Healthy"/>
    <n v="0"/>
  </r>
  <r>
    <n v="102614"/>
    <d v="2025-10-21T00:00:00"/>
    <n v="1013"/>
    <x v="0"/>
    <x v="1"/>
    <x v="2"/>
    <x v="3"/>
    <x v="0"/>
    <s v="UPI"/>
    <n v="11.67"/>
    <n v="12.79"/>
    <x v="2"/>
    <n v="14.93"/>
    <n v="134.33000000000001"/>
    <n v="84.93"/>
    <n v="11.19"/>
    <n v="1.04"/>
    <n v="2.48"/>
    <n v="0"/>
    <n v="0"/>
    <n v="99.64"/>
    <n v="34.69"/>
    <s v="Profit"/>
    <x v="0"/>
    <n v="4"/>
    <n v="0"/>
    <s v="0-15"/>
    <s v="No"/>
    <n v="0"/>
    <s v="Healthy"/>
    <n v="0"/>
  </r>
  <r>
    <n v="102615"/>
    <d v="2025-12-03T00:00:00"/>
    <n v="1078"/>
    <x v="0"/>
    <x v="1"/>
    <x v="3"/>
    <x v="0"/>
    <x v="0"/>
    <s v="Wallet"/>
    <n v="15.16"/>
    <n v="20.149999999999999"/>
    <x v="4"/>
    <n v="15.27"/>
    <n v="290.2"/>
    <n v="93.84"/>
    <n v="7.24"/>
    <n v="3.67"/>
    <n v="4.09"/>
    <n v="0"/>
    <n v="0"/>
    <n v="108.84"/>
    <n v="181.36"/>
    <s v="Profit"/>
    <x v="0"/>
    <n v="1"/>
    <n v="38"/>
    <s v="0-15"/>
    <s v="Yes"/>
    <n v="1"/>
    <s v="At Risk"/>
    <n v="1"/>
  </r>
  <r>
    <n v="102616"/>
    <d v="2025-12-01T00:00:00"/>
    <n v="1090"/>
    <x v="2"/>
    <x v="10"/>
    <x v="1"/>
    <x v="2"/>
    <x v="1"/>
    <s v="Card"/>
    <n v="20.43"/>
    <n v="18.41"/>
    <x v="1"/>
    <n v="75.22"/>
    <n v="300.89999999999998"/>
    <n v="150.69999999999999"/>
    <n v="5.81"/>
    <n v="5.64"/>
    <n v="5.4"/>
    <n v="0"/>
    <n v="0"/>
    <n v="167.55"/>
    <n v="133.35"/>
    <s v="Profit"/>
    <x v="0"/>
    <n v="13"/>
    <n v="10"/>
    <s v="0-15"/>
    <s v="No"/>
    <n v="0"/>
    <s v="Healthy"/>
    <n v="0"/>
  </r>
  <r>
    <n v="102617"/>
    <d v="2025-12-18T00:00:00"/>
    <n v="1094"/>
    <x v="1"/>
    <x v="2"/>
    <x v="2"/>
    <x v="3"/>
    <x v="0"/>
    <s v="UPI"/>
    <n v="19.04"/>
    <n v="13.8"/>
    <x v="4"/>
    <n v="13.14"/>
    <n v="249.61"/>
    <n v="112.48"/>
    <n v="7.73"/>
    <n v="1.84"/>
    <n v="1.28"/>
    <n v="0"/>
    <n v="0"/>
    <n v="123.33"/>
    <n v="126.28"/>
    <s v="Profit"/>
    <x v="0"/>
    <n v="8"/>
    <n v="2"/>
    <s v="0-15"/>
    <s v="No"/>
    <n v="0"/>
    <s v="Healthy"/>
    <n v="0"/>
  </r>
  <r>
    <n v="102618"/>
    <d v="2025-11-25T00:00:00"/>
    <n v="1057"/>
    <x v="2"/>
    <x v="10"/>
    <x v="3"/>
    <x v="1"/>
    <x v="2"/>
    <s v="UPI"/>
    <n v="30.74"/>
    <n v="15.43"/>
    <x v="3"/>
    <n v="0"/>
    <n v="474.32"/>
    <n v="217.92"/>
    <n v="2.35"/>
    <n v="3.32"/>
    <n v="7.8"/>
    <n v="375.23"/>
    <n v="7.31"/>
    <n v="613.92999999999995"/>
    <n v="-139.61000000000001"/>
    <s v="Loss"/>
    <x v="1"/>
    <n v="1"/>
    <n v="1"/>
    <s v="0-15"/>
    <s v="Yes"/>
    <n v="1"/>
    <s v="At Risk"/>
    <n v="1"/>
  </r>
  <r>
    <n v="102619"/>
    <d v="2025-12-14T00:00:00"/>
    <n v="1133"/>
    <x v="3"/>
    <x v="15"/>
    <x v="4"/>
    <x v="1"/>
    <x v="0"/>
    <s v="UPI"/>
    <n v="48.08"/>
    <n v="15.48"/>
    <x v="4"/>
    <n v="37.21"/>
    <n v="707.07"/>
    <n v="339.57"/>
    <n v="6.45"/>
    <n v="5.21"/>
    <n v="3.45"/>
    <n v="470.18"/>
    <n v="0"/>
    <n v="824.86"/>
    <n v="-117.79"/>
    <s v="Loss"/>
    <x v="1"/>
    <n v="4"/>
    <n v="10"/>
    <s v="0-15"/>
    <s v="Yes"/>
    <n v="1"/>
    <s v="At Risk"/>
    <n v="1"/>
  </r>
  <r>
    <n v="102620"/>
    <d v="2025-12-07T00:00:00"/>
    <n v="1147"/>
    <x v="1"/>
    <x v="4"/>
    <x v="3"/>
    <x v="3"/>
    <x v="2"/>
    <s v="UPI"/>
    <n v="15.71"/>
    <n v="13.19"/>
    <x v="3"/>
    <n v="0"/>
    <n v="207.21"/>
    <n v="131.08000000000001"/>
    <n v="10.59"/>
    <n v="1.45"/>
    <n v="3.45"/>
    <n v="0"/>
    <n v="0"/>
    <n v="146.57"/>
    <n v="60.64"/>
    <s v="Profit"/>
    <x v="0"/>
    <n v="3"/>
    <n v="2"/>
    <s v="0-15"/>
    <s v="No"/>
    <n v="0"/>
    <s v="Healthy"/>
    <n v="0"/>
  </r>
  <r>
    <n v="102621"/>
    <d v="2025-11-26T00:00:00"/>
    <n v="1050"/>
    <x v="1"/>
    <x v="2"/>
    <x v="1"/>
    <x v="3"/>
    <x v="0"/>
    <s v="Wallet"/>
    <n v="35.4"/>
    <n v="13.42"/>
    <x v="3"/>
    <n v="0"/>
    <n v="475.07"/>
    <n v="198.55"/>
    <n v="6.28"/>
    <n v="5.7"/>
    <n v="6.77"/>
    <n v="0"/>
    <n v="0"/>
    <n v="217.3"/>
    <n v="257.77"/>
    <s v="Profit"/>
    <x v="0"/>
    <n v="6"/>
    <n v="11"/>
    <s v="0-15"/>
    <s v="No"/>
    <n v="0"/>
    <s v="Healthy"/>
    <n v="0"/>
  </r>
  <r>
    <n v="102622"/>
    <d v="2025-11-14T00:00:00"/>
    <n v="1075"/>
    <x v="3"/>
    <x v="14"/>
    <x v="0"/>
    <x v="2"/>
    <x v="0"/>
    <s v="Card"/>
    <n v="17.190000000000001"/>
    <n v="18.63"/>
    <x v="4"/>
    <n v="16.010000000000002"/>
    <n v="304.24"/>
    <n v="136.57"/>
    <n v="4.8600000000000003"/>
    <n v="4.8"/>
    <n v="5.55"/>
    <n v="0"/>
    <n v="0"/>
    <n v="151.78"/>
    <n v="152.46"/>
    <s v="Profit"/>
    <x v="0"/>
    <n v="11"/>
    <n v="15"/>
    <s v="0-15"/>
    <s v="No"/>
    <n v="0"/>
    <s v="Healthy"/>
    <n v="0"/>
  </r>
  <r>
    <n v="102623"/>
    <d v="2025-12-21T00:00:00"/>
    <n v="1056"/>
    <x v="1"/>
    <x v="13"/>
    <x v="3"/>
    <x v="1"/>
    <x v="2"/>
    <s v="Wallet"/>
    <n v="27.8"/>
    <n v="14.67"/>
    <x v="3"/>
    <n v="0"/>
    <n v="407.83"/>
    <n v="225.75"/>
    <n v="14.26"/>
    <n v="4.8899999999999997"/>
    <n v="4.58"/>
    <n v="0"/>
    <n v="0"/>
    <n v="249.48"/>
    <n v="158.35"/>
    <s v="Profit"/>
    <x v="0"/>
    <n v="33"/>
    <n v="7"/>
    <s v="30+"/>
    <s v="Yes"/>
    <n v="1"/>
    <s v="At Risk"/>
    <n v="1"/>
  </r>
  <r>
    <n v="102624"/>
    <d v="2025-12-30T00:00:00"/>
    <n v="1107"/>
    <x v="3"/>
    <x v="14"/>
    <x v="2"/>
    <x v="3"/>
    <x v="0"/>
    <s v="Card"/>
    <n v="15.92"/>
    <n v="13.09"/>
    <x v="4"/>
    <n v="10.42"/>
    <n v="197.97"/>
    <n v="140.05000000000001"/>
    <n v="10.9"/>
    <n v="3.13"/>
    <n v="2.54"/>
    <n v="0"/>
    <n v="0"/>
    <n v="156.62"/>
    <n v="41.35"/>
    <s v="Profit"/>
    <x v="0"/>
    <n v="0"/>
    <n v="9"/>
    <s v="0-15"/>
    <s v="No"/>
    <n v="0"/>
    <s v="Healthy"/>
    <n v="0"/>
  </r>
  <r>
    <n v="102625"/>
    <d v="2025-10-21T00:00:00"/>
    <n v="1141"/>
    <x v="1"/>
    <x v="4"/>
    <x v="0"/>
    <x v="3"/>
    <x v="0"/>
    <s v="UPI"/>
    <n v="26.22"/>
    <n v="11.89"/>
    <x v="3"/>
    <n v="0"/>
    <n v="311.76"/>
    <n v="217.51"/>
    <n v="6.95"/>
    <n v="2.1800000000000002"/>
    <n v="1.74"/>
    <n v="178.76"/>
    <n v="0"/>
    <n v="407.14"/>
    <n v="-95.38"/>
    <s v="Loss"/>
    <x v="1"/>
    <n v="2"/>
    <n v="5"/>
    <s v="0-15"/>
    <s v="Yes"/>
    <n v="1"/>
    <s v="At Risk"/>
    <n v="1"/>
  </r>
  <r>
    <n v="102626"/>
    <d v="2025-12-03T00:00:00"/>
    <n v="1111"/>
    <x v="3"/>
    <x v="8"/>
    <x v="4"/>
    <x v="3"/>
    <x v="1"/>
    <s v="UPI"/>
    <n v="3"/>
    <n v="13.14"/>
    <x v="2"/>
    <n v="3.94"/>
    <n v="35.479999999999997"/>
    <n v="20.12"/>
    <n v="11.06"/>
    <n v="0.28000000000000003"/>
    <n v="0.37"/>
    <n v="0"/>
    <n v="0"/>
    <n v="31.83"/>
    <n v="3.65"/>
    <s v="Profit"/>
    <x v="0"/>
    <n v="8"/>
    <n v="1"/>
    <s v="0-15"/>
    <s v="No"/>
    <n v="0"/>
    <s v="Healthy"/>
    <n v="0"/>
  </r>
  <r>
    <n v="102627"/>
    <d v="2025-10-15T00:00:00"/>
    <n v="1052"/>
    <x v="2"/>
    <x v="10"/>
    <x v="1"/>
    <x v="3"/>
    <x v="0"/>
    <s v="UPI"/>
    <n v="12.08"/>
    <n v="12.34"/>
    <x v="3"/>
    <n v="0"/>
    <n v="149.07"/>
    <n v="76.89"/>
    <n v="4.01"/>
    <n v="1.04"/>
    <n v="4.6500000000000004"/>
    <n v="0"/>
    <n v="0"/>
    <n v="86.59"/>
    <n v="62.48"/>
    <s v="Profit"/>
    <x v="0"/>
    <n v="2"/>
    <n v="28"/>
    <s v="0-15"/>
    <s v="Yes"/>
    <n v="2"/>
    <s v="At Risk"/>
    <n v="1"/>
  </r>
  <r>
    <n v="102628"/>
    <d v="2025-10-24T00:00:00"/>
    <n v="1004"/>
    <x v="0"/>
    <x v="1"/>
    <x v="2"/>
    <x v="2"/>
    <x v="0"/>
    <s v="Wallet"/>
    <n v="34.39"/>
    <n v="17.53"/>
    <x v="3"/>
    <n v="0"/>
    <n v="602.86"/>
    <n v="215.51"/>
    <n v="4.13"/>
    <n v="7.23"/>
    <n v="12.6"/>
    <n v="0"/>
    <n v="0"/>
    <n v="239.47"/>
    <n v="363.39"/>
    <s v="Profit"/>
    <x v="0"/>
    <n v="22"/>
    <n v="5"/>
    <s v="16-30"/>
    <s v="Yes"/>
    <n v="1"/>
    <s v="At Risk"/>
    <n v="1"/>
  </r>
  <r>
    <n v="102629"/>
    <d v="2025-12-09T00:00:00"/>
    <n v="1111"/>
    <x v="1"/>
    <x v="13"/>
    <x v="0"/>
    <x v="1"/>
    <x v="0"/>
    <s v="Fleet_Invoice"/>
    <n v="27.62"/>
    <n v="14.7"/>
    <x v="4"/>
    <n v="20.3"/>
    <n v="385.71"/>
    <n v="243.46"/>
    <n v="9.7200000000000006"/>
    <n v="1.62"/>
    <n v="11.14"/>
    <n v="356.18"/>
    <n v="0"/>
    <n v="622.12"/>
    <n v="-236.41"/>
    <s v="Loss"/>
    <x v="1"/>
    <n v="18"/>
    <n v="6"/>
    <s v="16-30"/>
    <s v="Yes"/>
    <n v="1"/>
    <s v="At Risk"/>
    <n v="1"/>
  </r>
  <r>
    <n v="102630"/>
    <d v="2025-12-08T00:00:00"/>
    <n v="1058"/>
    <x v="1"/>
    <x v="3"/>
    <x v="0"/>
    <x v="1"/>
    <x v="2"/>
    <s v="UPI"/>
    <n v="23.93"/>
    <n v="16.66"/>
    <x v="3"/>
    <n v="0"/>
    <n v="398.67"/>
    <n v="165.38"/>
    <n v="5.86"/>
    <n v="2.79"/>
    <n v="4.6900000000000004"/>
    <n v="0"/>
    <n v="0"/>
    <n v="178.72"/>
    <n v="219.95"/>
    <s v="Profit"/>
    <x v="0"/>
    <n v="3"/>
    <n v="0"/>
    <s v="0-15"/>
    <s v="No"/>
    <n v="0"/>
    <s v="Healthy"/>
    <n v="0"/>
  </r>
  <r>
    <n v="102631"/>
    <d v="2025-12-18T00:00:00"/>
    <n v="1045"/>
    <x v="2"/>
    <x v="10"/>
    <x v="4"/>
    <x v="1"/>
    <x v="0"/>
    <s v="UPI"/>
    <n v="22.14"/>
    <n v="15.6"/>
    <x v="4"/>
    <n v="17.27"/>
    <n v="328.11"/>
    <n v="163.77000000000001"/>
    <n v="7.15"/>
    <n v="2.42"/>
    <n v="5.79"/>
    <n v="0"/>
    <n v="0"/>
    <n v="179.13"/>
    <n v="148.97999999999999"/>
    <s v="Profit"/>
    <x v="0"/>
    <n v="10"/>
    <n v="3"/>
    <s v="0-15"/>
    <s v="No"/>
    <n v="0"/>
    <s v="Healthy"/>
    <n v="0"/>
  </r>
  <r>
    <n v="102632"/>
    <d v="2025-10-24T00:00:00"/>
    <n v="1048"/>
    <x v="2"/>
    <x v="5"/>
    <x v="3"/>
    <x v="3"/>
    <x v="0"/>
    <s v="Wallet"/>
    <n v="13.75"/>
    <n v="13.04"/>
    <x v="1"/>
    <n v="35.86"/>
    <n v="143.44"/>
    <n v="102.55"/>
    <n v="8.85"/>
    <n v="2.15"/>
    <n v="9.0500000000000007"/>
    <n v="0"/>
    <n v="0"/>
    <n v="122.6"/>
    <n v="20.84"/>
    <s v="Profit"/>
    <x v="0"/>
    <n v="15"/>
    <n v="17"/>
    <s v="0-15"/>
    <s v="Yes"/>
    <n v="2"/>
    <s v="At Risk"/>
    <n v="1"/>
  </r>
  <r>
    <n v="102633"/>
    <d v="2025-10-05T00:00:00"/>
    <n v="1088"/>
    <x v="2"/>
    <x v="10"/>
    <x v="3"/>
    <x v="1"/>
    <x v="0"/>
    <s v="UPI"/>
    <n v="22.87"/>
    <n v="16.16"/>
    <x v="1"/>
    <n v="73.92"/>
    <n v="295.66000000000003"/>
    <n v="170.62"/>
    <n v="9.42"/>
    <n v="2.59"/>
    <n v="8.07"/>
    <n v="0"/>
    <n v="0"/>
    <n v="190.7"/>
    <n v="104.96"/>
    <s v="Profit"/>
    <x v="0"/>
    <n v="2"/>
    <n v="13"/>
    <s v="0-15"/>
    <s v="No"/>
    <n v="0"/>
    <s v="Healthy"/>
    <n v="0"/>
  </r>
  <r>
    <n v="102634"/>
    <d v="2025-10-01T00:00:00"/>
    <n v="1094"/>
    <x v="3"/>
    <x v="14"/>
    <x v="2"/>
    <x v="3"/>
    <x v="0"/>
    <s v="UPI"/>
    <n v="14.39"/>
    <n v="12.26"/>
    <x v="3"/>
    <n v="0"/>
    <n v="176.42"/>
    <n v="104.75"/>
    <n v="3.96"/>
    <n v="1.23"/>
    <n v="2.29"/>
    <n v="0"/>
    <n v="0"/>
    <n v="112.23"/>
    <n v="64.19"/>
    <s v="Profit"/>
    <x v="0"/>
    <n v="1"/>
    <n v="33"/>
    <s v="0-15"/>
    <s v="Yes"/>
    <n v="1"/>
    <s v="At Risk"/>
    <n v="1"/>
  </r>
  <r>
    <n v="102635"/>
    <d v="2025-11-10T00:00:00"/>
    <n v="1034"/>
    <x v="2"/>
    <x v="12"/>
    <x v="2"/>
    <x v="2"/>
    <x v="0"/>
    <s v="Wallet"/>
    <n v="35.880000000000003"/>
    <n v="17.32"/>
    <x v="3"/>
    <n v="0"/>
    <n v="621.44000000000005"/>
    <n v="292.95"/>
    <n v="1.92"/>
    <n v="7.46"/>
    <n v="4.95"/>
    <n v="375.33"/>
    <n v="0"/>
    <n v="682.61"/>
    <n v="-61.17"/>
    <s v="Loss"/>
    <x v="2"/>
    <n v="1"/>
    <n v="5"/>
    <s v="0-15"/>
    <s v="No"/>
    <n v="2"/>
    <s v="At Risk"/>
    <n v="0"/>
  </r>
  <r>
    <n v="102636"/>
    <d v="2025-12-15T00:00:00"/>
    <n v="1139"/>
    <x v="1"/>
    <x v="4"/>
    <x v="0"/>
    <x v="1"/>
    <x v="0"/>
    <s v="Wallet"/>
    <n v="30.52"/>
    <n v="14.34"/>
    <x v="3"/>
    <n v="0"/>
    <n v="437.66"/>
    <n v="199.11"/>
    <n v="10.07"/>
    <n v="5.25"/>
    <n v="6.31"/>
    <n v="0"/>
    <n v="0"/>
    <n v="220.74"/>
    <n v="216.92"/>
    <s v="Profit"/>
    <x v="0"/>
    <n v="13"/>
    <n v="10"/>
    <s v="0-15"/>
    <s v="No"/>
    <n v="0"/>
    <s v="Healthy"/>
    <n v="0"/>
  </r>
  <r>
    <n v="102637"/>
    <d v="2025-12-17T00:00:00"/>
    <n v="1059"/>
    <x v="1"/>
    <x v="13"/>
    <x v="3"/>
    <x v="3"/>
    <x v="0"/>
    <s v="UPI"/>
    <n v="15.79"/>
    <n v="13.05"/>
    <x v="3"/>
    <n v="0"/>
    <n v="206.06"/>
    <n v="101.71"/>
    <n v="7.22"/>
    <n v="1.44"/>
    <n v="2.15"/>
    <n v="0"/>
    <n v="0"/>
    <n v="112.52"/>
    <n v="93.54"/>
    <s v="Profit"/>
    <x v="0"/>
    <n v="0"/>
    <n v="0"/>
    <s v="0-15"/>
    <s v="No"/>
    <n v="0"/>
    <s v="Healthy"/>
    <n v="0"/>
  </r>
  <r>
    <n v="102638"/>
    <d v="2025-11-08T00:00:00"/>
    <n v="1077"/>
    <x v="0"/>
    <x v="11"/>
    <x v="3"/>
    <x v="0"/>
    <x v="0"/>
    <s v="UPI"/>
    <n v="26.35"/>
    <n v="18.55"/>
    <x v="3"/>
    <n v="0"/>
    <n v="488.79"/>
    <n v="196.9"/>
    <n v="5.93"/>
    <n v="3.42"/>
    <n v="7.87"/>
    <n v="0"/>
    <n v="0"/>
    <n v="214.12"/>
    <n v="274.67"/>
    <s v="Profit"/>
    <x v="0"/>
    <n v="28"/>
    <n v="7"/>
    <s v="16-30"/>
    <s v="Yes"/>
    <n v="2"/>
    <s v="At Risk"/>
    <n v="1"/>
  </r>
  <r>
    <n v="102639"/>
    <d v="2025-10-17T00:00:00"/>
    <n v="1072"/>
    <x v="1"/>
    <x v="2"/>
    <x v="1"/>
    <x v="1"/>
    <x v="2"/>
    <s v="Card"/>
    <n v="42.68"/>
    <n v="15.68"/>
    <x v="3"/>
    <n v="0"/>
    <n v="669.22"/>
    <n v="313.39999999999998"/>
    <n v="5.61"/>
    <n v="10.039999999999999"/>
    <n v="7.24"/>
    <n v="461.47"/>
    <n v="7.53"/>
    <n v="805.29"/>
    <n v="-136.07"/>
    <s v="Loss"/>
    <x v="1"/>
    <n v="4"/>
    <n v="12"/>
    <s v="0-15"/>
    <s v="Yes"/>
    <n v="2"/>
    <s v="At Risk"/>
    <n v="1"/>
  </r>
  <r>
    <n v="102640"/>
    <d v="2025-10-17T00:00:00"/>
    <n v="1138"/>
    <x v="1"/>
    <x v="2"/>
    <x v="1"/>
    <x v="1"/>
    <x v="2"/>
    <s v="Card"/>
    <n v="21.63"/>
    <n v="15.44"/>
    <x v="4"/>
    <n v="16.7"/>
    <n v="317.27"/>
    <n v="133.66"/>
    <n v="10.11"/>
    <n v="5.01"/>
    <n v="10.68"/>
    <n v="0"/>
    <n v="0"/>
    <n v="159.46"/>
    <n v="157.81"/>
    <s v="Profit"/>
    <x v="0"/>
    <n v="7"/>
    <n v="4"/>
    <s v="0-15"/>
    <s v="No"/>
    <n v="0"/>
    <s v="Healthy"/>
    <n v="0"/>
  </r>
  <r>
    <n v="102641"/>
    <d v="2025-10-01T00:00:00"/>
    <n v="1037"/>
    <x v="2"/>
    <x v="10"/>
    <x v="0"/>
    <x v="3"/>
    <x v="0"/>
    <s v="Fleet_Invoice"/>
    <n v="16.95"/>
    <n v="12.99"/>
    <x v="0"/>
    <n v="33.03"/>
    <n v="187.15"/>
    <n v="126.99"/>
    <n v="2.1800000000000002"/>
    <n v="0.88"/>
    <n v="0"/>
    <n v="0"/>
    <n v="0"/>
    <n v="130.05000000000001"/>
    <n v="57.1"/>
    <s v="Profit"/>
    <x v="0"/>
    <n v="38"/>
    <n v="10"/>
    <s v="30+"/>
    <s v="Yes"/>
    <n v="2"/>
    <s v="At Risk"/>
    <n v="1"/>
  </r>
  <r>
    <n v="102642"/>
    <d v="2025-12-05T00:00:00"/>
    <n v="1107"/>
    <x v="2"/>
    <x v="9"/>
    <x v="0"/>
    <x v="3"/>
    <x v="2"/>
    <s v="Fleet_Invoice"/>
    <n v="27.85"/>
    <n v="12.04"/>
    <x v="4"/>
    <n v="16.77"/>
    <n v="318.54000000000002"/>
    <n v="218.88"/>
    <n v="10.119999999999999"/>
    <n v="1.34"/>
    <n v="7.28"/>
    <n v="0"/>
    <n v="0"/>
    <n v="237.62"/>
    <n v="80.92"/>
    <s v="Profit"/>
    <x v="0"/>
    <n v="6"/>
    <n v="0"/>
    <s v="0-15"/>
    <s v="No"/>
    <n v="0"/>
    <s v="Healthy"/>
    <n v="0"/>
  </r>
  <r>
    <n v="102643"/>
    <d v="2025-11-28T00:00:00"/>
    <n v="1028"/>
    <x v="3"/>
    <x v="15"/>
    <x v="4"/>
    <x v="1"/>
    <x v="2"/>
    <s v="Fleet_Invoice"/>
    <n v="27.5"/>
    <n v="15.36"/>
    <x v="3"/>
    <n v="0"/>
    <n v="422.4"/>
    <n v="190.62"/>
    <n v="7.68"/>
    <n v="1.69"/>
    <n v="4.95"/>
    <n v="0"/>
    <n v="0"/>
    <n v="204.94"/>
    <n v="217.46"/>
    <s v="Profit"/>
    <x v="0"/>
    <n v="9"/>
    <n v="3"/>
    <s v="0-15"/>
    <s v="No"/>
    <n v="0"/>
    <s v="Healthy"/>
    <n v="0"/>
  </r>
  <r>
    <n v="102644"/>
    <d v="2025-12-14T00:00:00"/>
    <n v="1079"/>
    <x v="0"/>
    <x v="6"/>
    <x v="3"/>
    <x v="3"/>
    <x v="0"/>
    <s v="Card"/>
    <n v="23.11"/>
    <n v="13.11"/>
    <x v="4"/>
    <n v="15.15"/>
    <n v="287.82"/>
    <n v="149.66999999999999"/>
    <n v="9.27"/>
    <n v="4.54"/>
    <n v="9.81"/>
    <n v="204.41"/>
    <n v="0"/>
    <n v="377.7"/>
    <n v="-89.88"/>
    <s v="Loss"/>
    <x v="1"/>
    <n v="3"/>
    <n v="13"/>
    <s v="0-15"/>
    <s v="Yes"/>
    <n v="1"/>
    <s v="At Risk"/>
    <n v="1"/>
  </r>
  <r>
    <n v="102645"/>
    <d v="2025-10-27T00:00:00"/>
    <n v="1138"/>
    <x v="1"/>
    <x v="13"/>
    <x v="1"/>
    <x v="2"/>
    <x v="0"/>
    <s v="Fleet_Invoice"/>
    <n v="12.86"/>
    <n v="16.89"/>
    <x v="3"/>
    <n v="0"/>
    <n v="217.21"/>
    <n v="92.73"/>
    <n v="5.15"/>
    <n v="0.87"/>
    <n v="4.62"/>
    <n v="0"/>
    <n v="0"/>
    <n v="103.37"/>
    <n v="113.84"/>
    <s v="Profit"/>
    <x v="0"/>
    <n v="13"/>
    <n v="1"/>
    <s v="0-15"/>
    <s v="No"/>
    <n v="0"/>
    <s v="Healthy"/>
    <n v="0"/>
  </r>
  <r>
    <n v="102646"/>
    <d v="2025-11-29T00:00:00"/>
    <n v="1001"/>
    <x v="2"/>
    <x v="12"/>
    <x v="4"/>
    <x v="3"/>
    <x v="0"/>
    <s v="Wallet"/>
    <n v="23.04"/>
    <n v="12.7"/>
    <x v="2"/>
    <n v="29.26"/>
    <n v="263.35000000000002"/>
    <n v="152.08000000000001"/>
    <n v="6.96"/>
    <n v="3.51"/>
    <n v="0"/>
    <n v="0"/>
    <n v="0"/>
    <n v="162.55000000000001"/>
    <n v="100.8"/>
    <s v="Profit"/>
    <x v="0"/>
    <n v="9"/>
    <n v="4"/>
    <s v="0-15"/>
    <s v="No"/>
    <n v="0"/>
    <s v="Healthy"/>
    <n v="0"/>
  </r>
  <r>
    <n v="102647"/>
    <d v="2025-11-16T00:00:00"/>
    <n v="1003"/>
    <x v="0"/>
    <x v="1"/>
    <x v="3"/>
    <x v="1"/>
    <x v="2"/>
    <s v="UPI"/>
    <n v="19.97"/>
    <n v="15.01"/>
    <x v="2"/>
    <n v="29.98"/>
    <n v="269.77"/>
    <n v="122.2"/>
    <n v="6.6"/>
    <n v="2.1"/>
    <n v="8.01"/>
    <n v="0"/>
    <n v="0"/>
    <n v="138.91"/>
    <n v="130.86000000000001"/>
    <s v="Profit"/>
    <x v="0"/>
    <n v="0"/>
    <n v="12"/>
    <s v="0-15"/>
    <s v="No"/>
    <n v="0"/>
    <s v="Healthy"/>
    <n v="0"/>
  </r>
  <r>
    <n v="102648"/>
    <d v="2025-12-17T00:00:00"/>
    <n v="1040"/>
    <x v="2"/>
    <x v="5"/>
    <x v="0"/>
    <x v="1"/>
    <x v="0"/>
    <s v="UPI"/>
    <n v="32.74"/>
    <n v="15.88"/>
    <x v="1"/>
    <n v="103.98"/>
    <n v="415.93"/>
    <n v="229.83"/>
    <n v="9.18"/>
    <n v="3.64"/>
    <n v="0"/>
    <n v="0"/>
    <n v="0"/>
    <n v="242.65"/>
    <n v="173.28"/>
    <s v="Profit"/>
    <x v="0"/>
    <n v="3"/>
    <n v="6"/>
    <s v="0-15"/>
    <s v="No"/>
    <n v="0"/>
    <s v="Healthy"/>
    <n v="0"/>
  </r>
  <r>
    <n v="102649"/>
    <d v="2025-12-17T00:00:00"/>
    <n v="1010"/>
    <x v="3"/>
    <x v="15"/>
    <x v="4"/>
    <x v="1"/>
    <x v="2"/>
    <s v="UPI"/>
    <n v="9.43"/>
    <n v="15.53"/>
    <x v="3"/>
    <n v="0"/>
    <n v="146.44999999999999"/>
    <n v="70.87"/>
    <n v="10.15"/>
    <n v="1.03"/>
    <n v="8.6999999999999993"/>
    <n v="0"/>
    <n v="0"/>
    <n v="90.75"/>
    <n v="55.7"/>
    <s v="Profit"/>
    <x v="0"/>
    <n v="7"/>
    <n v="30"/>
    <s v="0-15"/>
    <s v="Yes"/>
    <n v="3"/>
    <s v="At Risk"/>
    <n v="1"/>
  </r>
  <r>
    <n v="102650"/>
    <d v="2025-10-29T00:00:00"/>
    <n v="1120"/>
    <x v="0"/>
    <x v="11"/>
    <x v="2"/>
    <x v="0"/>
    <x v="0"/>
    <s v="Card"/>
    <n v="31.55"/>
    <n v="19.239999999999998"/>
    <x v="0"/>
    <n v="91.05"/>
    <n v="515.97"/>
    <n v="245.92"/>
    <n v="10.17"/>
    <n v="9.11"/>
    <n v="2.99"/>
    <n v="0"/>
    <n v="0"/>
    <n v="268.19"/>
    <n v="247.78"/>
    <s v="Profit"/>
    <x v="0"/>
    <n v="9"/>
    <n v="3"/>
    <s v="0-15"/>
    <s v="No"/>
    <n v="0"/>
    <s v="Healthy"/>
    <n v="0"/>
  </r>
  <r>
    <n v="102651"/>
    <d v="2025-12-12T00:00:00"/>
    <n v="1023"/>
    <x v="3"/>
    <x v="14"/>
    <x v="4"/>
    <x v="1"/>
    <x v="0"/>
    <s v="Fleet_Invoice"/>
    <n v="22.33"/>
    <n v="15.41"/>
    <x v="0"/>
    <n v="51.62"/>
    <n v="292.49"/>
    <n v="156.69"/>
    <n v="6.89"/>
    <n v="1.38"/>
    <n v="8.1999999999999993"/>
    <n v="323.26"/>
    <n v="0"/>
    <n v="496.42"/>
    <n v="-203.93"/>
    <s v="Loss"/>
    <x v="1"/>
    <n v="2"/>
    <n v="7"/>
    <s v="0-15"/>
    <s v="Yes"/>
    <n v="1"/>
    <s v="At Risk"/>
    <n v="1"/>
  </r>
  <r>
    <n v="102652"/>
    <d v="2025-10-30T00:00:00"/>
    <n v="1021"/>
    <x v="2"/>
    <x v="10"/>
    <x v="1"/>
    <x v="3"/>
    <x v="2"/>
    <s v="UPI"/>
    <n v="18.5"/>
    <n v="12.21"/>
    <x v="2"/>
    <n v="22.59"/>
    <n v="203.3"/>
    <n v="131.81"/>
    <n v="10.35"/>
    <n v="1.58"/>
    <n v="2.88"/>
    <n v="99.38"/>
    <n v="22.56"/>
    <n v="268.56"/>
    <n v="-65.260000000000005"/>
    <s v="Loss"/>
    <x v="1"/>
    <n v="4"/>
    <n v="4"/>
    <s v="0-15"/>
    <s v="Yes"/>
    <n v="3"/>
    <s v="At Risk"/>
    <n v="1"/>
  </r>
  <r>
    <n v="102653"/>
    <d v="2025-11-21T00:00:00"/>
    <n v="1073"/>
    <x v="1"/>
    <x v="4"/>
    <x v="3"/>
    <x v="1"/>
    <x v="0"/>
    <s v="UPI"/>
    <n v="30"/>
    <n v="16.190000000000001"/>
    <x v="4"/>
    <n v="24.28"/>
    <n v="461.42"/>
    <n v="180.26"/>
    <n v="6.63"/>
    <n v="3.4"/>
    <n v="7.18"/>
    <n v="0"/>
    <n v="0"/>
    <n v="197.47"/>
    <n v="263.95"/>
    <s v="Profit"/>
    <x v="0"/>
    <n v="1"/>
    <n v="5"/>
    <s v="0-15"/>
    <s v="No"/>
    <n v="0"/>
    <s v="Healthy"/>
    <n v="0"/>
  </r>
  <r>
    <n v="102654"/>
    <d v="2025-10-06T00:00:00"/>
    <n v="1067"/>
    <x v="0"/>
    <x v="0"/>
    <x v="1"/>
    <x v="3"/>
    <x v="0"/>
    <s v="Card"/>
    <n v="24.57"/>
    <n v="12.72"/>
    <x v="3"/>
    <n v="0"/>
    <n v="312.52999999999997"/>
    <n v="186.78"/>
    <n v="7.98"/>
    <n v="4.6900000000000004"/>
    <n v="3.85"/>
    <n v="0"/>
    <n v="0"/>
    <n v="203.3"/>
    <n v="109.23"/>
    <s v="Profit"/>
    <x v="0"/>
    <n v="6"/>
    <n v="4"/>
    <s v="0-15"/>
    <s v="No"/>
    <n v="0"/>
    <s v="Healthy"/>
    <n v="0"/>
  </r>
  <r>
    <n v="102655"/>
    <d v="2025-12-28T00:00:00"/>
    <n v="1134"/>
    <x v="0"/>
    <x v="1"/>
    <x v="1"/>
    <x v="0"/>
    <x v="2"/>
    <s v="UPI"/>
    <n v="20.55"/>
    <n v="19.23"/>
    <x v="3"/>
    <n v="0"/>
    <n v="395.18"/>
    <n v="179.69"/>
    <n v="10.130000000000001"/>
    <n v="2.77"/>
    <n v="5.78"/>
    <n v="0"/>
    <n v="0"/>
    <n v="198.37"/>
    <n v="196.81"/>
    <s v="Profit"/>
    <x v="0"/>
    <n v="8"/>
    <n v="30"/>
    <s v="0-15"/>
    <s v="Yes"/>
    <n v="4"/>
    <s v="At Risk"/>
    <n v="1"/>
  </r>
  <r>
    <n v="102656"/>
    <d v="2025-12-25T00:00:00"/>
    <n v="1129"/>
    <x v="0"/>
    <x v="11"/>
    <x v="2"/>
    <x v="3"/>
    <x v="1"/>
    <s v="UPI"/>
    <n v="20.350000000000001"/>
    <n v="12.89"/>
    <x v="3"/>
    <n v="0"/>
    <n v="262.31"/>
    <n v="141.86000000000001"/>
    <n v="6.31"/>
    <n v="1.84"/>
    <n v="12.82"/>
    <n v="105.84"/>
    <n v="10.5"/>
    <n v="279.17"/>
    <n v="-16.86"/>
    <s v="Loss"/>
    <x v="1"/>
    <n v="1"/>
    <n v="3"/>
    <s v="0-15"/>
    <s v="Yes"/>
    <n v="1"/>
    <s v="At Risk"/>
    <n v="1"/>
  </r>
  <r>
    <n v="102657"/>
    <d v="2025-10-18T00:00:00"/>
    <n v="1051"/>
    <x v="0"/>
    <x v="0"/>
    <x v="4"/>
    <x v="0"/>
    <x v="1"/>
    <s v="UPI"/>
    <n v="18.600000000000001"/>
    <n v="19.850000000000001"/>
    <x v="0"/>
    <n v="55.38"/>
    <n v="313.83"/>
    <n v="152.02000000000001"/>
    <n v="8.31"/>
    <n v="2.58"/>
    <n v="0"/>
    <n v="0"/>
    <n v="0"/>
    <n v="162.91"/>
    <n v="150.91999999999999"/>
    <s v="Profit"/>
    <x v="0"/>
    <n v="22"/>
    <n v="0"/>
    <s v="16-30"/>
    <s v="Yes"/>
    <n v="1"/>
    <s v="At Risk"/>
    <n v="1"/>
  </r>
  <r>
    <n v="102658"/>
    <d v="2025-10-10T00:00:00"/>
    <n v="1081"/>
    <x v="3"/>
    <x v="8"/>
    <x v="0"/>
    <x v="3"/>
    <x v="0"/>
    <s v="UPI"/>
    <n v="21.61"/>
    <n v="13.54"/>
    <x v="3"/>
    <n v="0"/>
    <n v="292.60000000000002"/>
    <n v="168.91"/>
    <n v="6.87"/>
    <n v="2.0499999999999998"/>
    <n v="2.1"/>
    <n v="0"/>
    <n v="0"/>
    <n v="179.93"/>
    <n v="112.67"/>
    <s v="Profit"/>
    <x v="0"/>
    <n v="27"/>
    <n v="22"/>
    <s v="16-30"/>
    <s v="Yes"/>
    <n v="1"/>
    <s v="At Risk"/>
    <n v="1"/>
  </r>
  <r>
    <n v="102659"/>
    <d v="2025-10-06T00:00:00"/>
    <n v="1036"/>
    <x v="2"/>
    <x v="12"/>
    <x v="4"/>
    <x v="0"/>
    <x v="0"/>
    <s v="Card"/>
    <n v="21.93"/>
    <n v="18.8"/>
    <x v="3"/>
    <n v="0"/>
    <n v="412.28"/>
    <n v="148.9"/>
    <n v="3.93"/>
    <n v="6.18"/>
    <n v="11.11"/>
    <n v="0"/>
    <n v="0"/>
    <n v="170.12"/>
    <n v="242.16"/>
    <s v="Profit"/>
    <x v="0"/>
    <n v="4"/>
    <n v="5"/>
    <s v="0-15"/>
    <s v="No"/>
    <n v="0"/>
    <s v="Healthy"/>
    <n v="0"/>
  </r>
  <r>
    <n v="102660"/>
    <d v="2025-10-22T00:00:00"/>
    <n v="1057"/>
    <x v="1"/>
    <x v="13"/>
    <x v="2"/>
    <x v="3"/>
    <x v="0"/>
    <s v="UPI"/>
    <n v="24.66"/>
    <n v="11.64"/>
    <x v="2"/>
    <n v="28.7"/>
    <n v="258.33999999999997"/>
    <n v="190.56"/>
    <n v="9.1300000000000008"/>
    <n v="2.0099999999999998"/>
    <n v="7.55"/>
    <n v="0"/>
    <n v="0"/>
    <n v="209.25"/>
    <n v="49.09"/>
    <s v="Profit"/>
    <x v="0"/>
    <n v="45"/>
    <n v="22"/>
    <s v="30+"/>
    <s v="Yes"/>
    <n v="2"/>
    <s v="At Risk"/>
    <n v="1"/>
  </r>
  <r>
    <n v="102661"/>
    <d v="2025-10-19T00:00:00"/>
    <n v="1029"/>
    <x v="1"/>
    <x v="2"/>
    <x v="1"/>
    <x v="1"/>
    <x v="1"/>
    <s v="UPI"/>
    <n v="32.880000000000003"/>
    <n v="14.63"/>
    <x v="3"/>
    <n v="0"/>
    <n v="481.03"/>
    <n v="251.88"/>
    <n v="8.9700000000000006"/>
    <n v="3.37"/>
    <n v="7.98"/>
    <n v="0"/>
    <n v="0"/>
    <n v="272.2"/>
    <n v="208.83"/>
    <s v="Profit"/>
    <x v="0"/>
    <n v="1"/>
    <n v="6"/>
    <s v="0-15"/>
    <s v="No"/>
    <n v="0"/>
    <s v="Healthy"/>
    <n v="0"/>
  </r>
  <r>
    <n v="102662"/>
    <d v="2025-10-03T00:00:00"/>
    <n v="1091"/>
    <x v="2"/>
    <x v="5"/>
    <x v="4"/>
    <x v="0"/>
    <x v="0"/>
    <s v="UPI"/>
    <n v="29.84"/>
    <n v="19.12"/>
    <x v="0"/>
    <n v="85.58"/>
    <n v="484.96"/>
    <n v="210.56"/>
    <n v="5.36"/>
    <n v="3.99"/>
    <n v="0"/>
    <n v="0"/>
    <n v="0"/>
    <n v="219.91"/>
    <n v="265.05"/>
    <s v="Profit"/>
    <x v="0"/>
    <n v="7"/>
    <n v="20"/>
    <s v="0-15"/>
    <s v="Yes"/>
    <n v="1"/>
    <s v="At Risk"/>
    <n v="1"/>
  </r>
  <r>
    <n v="102663"/>
    <d v="2025-11-21T00:00:00"/>
    <n v="1016"/>
    <x v="2"/>
    <x v="9"/>
    <x v="1"/>
    <x v="0"/>
    <x v="0"/>
    <s v="Fleet_Invoice"/>
    <n v="13.82"/>
    <n v="19.25"/>
    <x v="1"/>
    <n v="53.21"/>
    <n v="212.83"/>
    <n v="87.19"/>
    <n v="9.01"/>
    <n v="1.06"/>
    <n v="5.49"/>
    <n v="0"/>
    <n v="0"/>
    <n v="102.75"/>
    <n v="110.08"/>
    <s v="Profit"/>
    <x v="0"/>
    <n v="25"/>
    <n v="23"/>
    <s v="16-30"/>
    <s v="Yes"/>
    <n v="4"/>
    <s v="At Risk"/>
    <n v="1"/>
  </r>
  <r>
    <n v="102664"/>
    <d v="2025-11-17T00:00:00"/>
    <n v="1106"/>
    <x v="2"/>
    <x v="5"/>
    <x v="3"/>
    <x v="1"/>
    <x v="0"/>
    <s v="Fleet_Invoice"/>
    <n v="25.41"/>
    <n v="15.2"/>
    <x v="0"/>
    <n v="57.93"/>
    <n v="328.3"/>
    <n v="178.93"/>
    <n v="8.06"/>
    <n v="1.54"/>
    <n v="3.1"/>
    <n v="0"/>
    <n v="0"/>
    <n v="191.63"/>
    <n v="136.66999999999999"/>
    <s v="Profit"/>
    <x v="0"/>
    <n v="24"/>
    <n v="6"/>
    <s v="16-30"/>
    <s v="Yes"/>
    <n v="2"/>
    <s v="At Risk"/>
    <n v="1"/>
  </r>
  <r>
    <n v="102665"/>
    <d v="2025-11-23T00:00:00"/>
    <n v="1123"/>
    <x v="3"/>
    <x v="7"/>
    <x v="3"/>
    <x v="2"/>
    <x v="0"/>
    <s v="UPI"/>
    <n v="43.88"/>
    <n v="18"/>
    <x v="3"/>
    <n v="0"/>
    <n v="789.84"/>
    <n v="335.41"/>
    <n v="6.99"/>
    <n v="5.53"/>
    <n v="9.56"/>
    <n v="0"/>
    <n v="0"/>
    <n v="357.49"/>
    <n v="432.35"/>
    <s v="Profit"/>
    <x v="0"/>
    <n v="0"/>
    <n v="5"/>
    <s v="0-15"/>
    <s v="No"/>
    <n v="0"/>
    <s v="Healthy"/>
    <n v="0"/>
  </r>
  <r>
    <n v="102666"/>
    <d v="2025-12-25T00:00:00"/>
    <n v="1095"/>
    <x v="0"/>
    <x v="11"/>
    <x v="4"/>
    <x v="1"/>
    <x v="0"/>
    <s v="Fleet_Invoice"/>
    <n v="20.92"/>
    <n v="15.43"/>
    <x v="0"/>
    <n v="48.42"/>
    <n v="274.38"/>
    <n v="127.18"/>
    <n v="2.73"/>
    <n v="1.29"/>
    <n v="7.78"/>
    <n v="0"/>
    <n v="0"/>
    <n v="138.97999999999999"/>
    <n v="135.4"/>
    <s v="Profit"/>
    <x v="0"/>
    <n v="18"/>
    <n v="13"/>
    <s v="16-30"/>
    <s v="No"/>
    <n v="0"/>
    <s v="Healthy"/>
    <n v="0"/>
  </r>
  <r>
    <n v="102667"/>
    <d v="2025-10-03T00:00:00"/>
    <n v="1059"/>
    <x v="2"/>
    <x v="12"/>
    <x v="4"/>
    <x v="1"/>
    <x v="0"/>
    <s v="UPI"/>
    <n v="27.25"/>
    <n v="15.21"/>
    <x v="3"/>
    <n v="0"/>
    <n v="414.47"/>
    <n v="230.31"/>
    <n v="7.84"/>
    <n v="2.9"/>
    <n v="9.08"/>
    <n v="238.89"/>
    <n v="0"/>
    <n v="489.02"/>
    <n v="-74.55"/>
    <s v="Loss"/>
    <x v="1"/>
    <n v="4"/>
    <n v="0"/>
    <s v="0-15"/>
    <s v="Yes"/>
    <n v="3"/>
    <s v="At Risk"/>
    <n v="1"/>
  </r>
  <r>
    <n v="102668"/>
    <d v="2025-10-20T00:00:00"/>
    <n v="1038"/>
    <x v="0"/>
    <x v="6"/>
    <x v="0"/>
    <x v="2"/>
    <x v="0"/>
    <s v="Wallet"/>
    <n v="18.399999999999999"/>
    <n v="17.59"/>
    <x v="3"/>
    <n v="0"/>
    <n v="323.66000000000003"/>
    <n v="134.22999999999999"/>
    <n v="3.78"/>
    <n v="3.88"/>
    <n v="0.11"/>
    <n v="0"/>
    <n v="0"/>
    <n v="142"/>
    <n v="181.66"/>
    <s v="Profit"/>
    <x v="0"/>
    <n v="5"/>
    <n v="3"/>
    <s v="0-15"/>
    <s v="No"/>
    <n v="0"/>
    <s v="Healthy"/>
    <n v="0"/>
  </r>
  <r>
    <n v="102669"/>
    <d v="2025-10-29T00:00:00"/>
    <n v="1011"/>
    <x v="2"/>
    <x v="12"/>
    <x v="1"/>
    <x v="1"/>
    <x v="2"/>
    <s v="Wallet"/>
    <n v="23.18"/>
    <n v="17.489999999999998"/>
    <x v="4"/>
    <n v="20.27"/>
    <n v="385.15"/>
    <n v="168.63"/>
    <n v="7.24"/>
    <n v="4.87"/>
    <n v="8.59"/>
    <n v="0"/>
    <n v="0"/>
    <n v="189.33"/>
    <n v="195.82"/>
    <s v="Profit"/>
    <x v="0"/>
    <n v="13"/>
    <n v="2"/>
    <s v="0-15"/>
    <s v="No"/>
    <n v="0"/>
    <s v="Healthy"/>
    <n v="0"/>
  </r>
  <r>
    <n v="102670"/>
    <d v="2025-10-08T00:00:00"/>
    <n v="1076"/>
    <x v="0"/>
    <x v="6"/>
    <x v="4"/>
    <x v="3"/>
    <x v="2"/>
    <s v="UPI"/>
    <n v="8.76"/>
    <n v="11.77"/>
    <x v="4"/>
    <n v="5.16"/>
    <n v="97.95"/>
    <n v="74.510000000000005"/>
    <n v="7.78"/>
    <n v="0.72"/>
    <n v="0"/>
    <n v="89.71"/>
    <n v="24.26"/>
    <n v="196.98"/>
    <n v="-99.03"/>
    <s v="Loss"/>
    <x v="2"/>
    <n v="32"/>
    <n v="6"/>
    <s v="30+"/>
    <s v="Yes"/>
    <n v="3"/>
    <s v="At Risk"/>
    <n v="1"/>
  </r>
  <r>
    <n v="102671"/>
    <d v="2025-10-07T00:00:00"/>
    <n v="1127"/>
    <x v="3"/>
    <x v="14"/>
    <x v="2"/>
    <x v="3"/>
    <x v="0"/>
    <s v="UPI"/>
    <n v="14.84"/>
    <n v="12.94"/>
    <x v="4"/>
    <n v="9.6"/>
    <n v="182.43"/>
    <n v="85.53"/>
    <n v="7.22"/>
    <n v="1.34"/>
    <n v="1.05"/>
    <n v="0"/>
    <n v="0"/>
    <n v="95.14"/>
    <n v="87.29"/>
    <s v="Profit"/>
    <x v="0"/>
    <n v="3"/>
    <n v="0"/>
    <s v="0-15"/>
    <s v="No"/>
    <n v="0"/>
    <s v="Healthy"/>
    <n v="0"/>
  </r>
  <r>
    <n v="102672"/>
    <d v="2025-10-29T00:00:00"/>
    <n v="1050"/>
    <x v="2"/>
    <x v="10"/>
    <x v="2"/>
    <x v="1"/>
    <x v="0"/>
    <s v="UPI"/>
    <n v="28.73"/>
    <n v="14.26"/>
    <x v="3"/>
    <n v="0"/>
    <n v="409.69"/>
    <n v="204.65"/>
    <n v="9.4600000000000009"/>
    <n v="2.87"/>
    <n v="5.45"/>
    <n v="0"/>
    <n v="0"/>
    <n v="222.43"/>
    <n v="187.26"/>
    <s v="Profit"/>
    <x v="0"/>
    <n v="3"/>
    <n v="14"/>
    <s v="0-15"/>
    <s v="No"/>
    <n v="0"/>
    <s v="Healthy"/>
    <n v="0"/>
  </r>
  <r>
    <n v="102673"/>
    <d v="2025-12-17T00:00:00"/>
    <n v="1035"/>
    <x v="0"/>
    <x v="1"/>
    <x v="3"/>
    <x v="1"/>
    <x v="0"/>
    <s v="Card"/>
    <n v="32.270000000000003"/>
    <n v="16.03"/>
    <x v="1"/>
    <n v="103.46"/>
    <n v="413.83"/>
    <n v="203.57"/>
    <n v="9.2899999999999991"/>
    <n v="7.76"/>
    <n v="3.73"/>
    <n v="0"/>
    <n v="0"/>
    <n v="224.35"/>
    <n v="189.48"/>
    <s v="Profit"/>
    <x v="0"/>
    <n v="6"/>
    <n v="24"/>
    <s v="0-15"/>
    <s v="Yes"/>
    <n v="3"/>
    <s v="At Risk"/>
    <n v="1"/>
  </r>
  <r>
    <n v="102674"/>
    <d v="2025-11-22T00:00:00"/>
    <n v="1006"/>
    <x v="0"/>
    <x v="1"/>
    <x v="2"/>
    <x v="1"/>
    <x v="0"/>
    <s v="UPI"/>
    <n v="26.35"/>
    <n v="15.76"/>
    <x v="3"/>
    <n v="0"/>
    <n v="415.28"/>
    <n v="171.3"/>
    <n v="7.35"/>
    <n v="2.91"/>
    <n v="7.85"/>
    <n v="0"/>
    <n v="0"/>
    <n v="189.41"/>
    <n v="225.87"/>
    <s v="Profit"/>
    <x v="0"/>
    <n v="53"/>
    <n v="2"/>
    <s v="30+"/>
    <s v="Yes"/>
    <n v="1"/>
    <s v="At Risk"/>
    <n v="1"/>
  </r>
  <r>
    <n v="102675"/>
    <d v="2025-12-01T00:00:00"/>
    <n v="1147"/>
    <x v="1"/>
    <x v="3"/>
    <x v="2"/>
    <x v="0"/>
    <x v="0"/>
    <s v="UPI"/>
    <n v="36.46"/>
    <n v="18.14"/>
    <x v="4"/>
    <n v="33.07"/>
    <n v="628.30999999999995"/>
    <n v="268.98"/>
    <n v="11.56"/>
    <n v="4.63"/>
    <n v="6.86"/>
    <n v="0"/>
    <n v="0"/>
    <n v="292.02999999999997"/>
    <n v="336.28"/>
    <s v="Profit"/>
    <x v="0"/>
    <n v="1"/>
    <n v="34"/>
    <s v="0-15"/>
    <s v="Yes"/>
    <n v="1"/>
    <s v="At Risk"/>
    <n v="1"/>
  </r>
  <r>
    <n v="102676"/>
    <d v="2025-11-06T00:00:00"/>
    <n v="1107"/>
    <x v="0"/>
    <x v="1"/>
    <x v="4"/>
    <x v="2"/>
    <x v="1"/>
    <s v="Wallet"/>
    <n v="32.950000000000003"/>
    <n v="19.579999999999998"/>
    <x v="4"/>
    <n v="32.26"/>
    <n v="612.9"/>
    <n v="215.59"/>
    <n v="8.5500000000000007"/>
    <n v="7.74"/>
    <n v="4.0199999999999996"/>
    <n v="0"/>
    <n v="0"/>
    <n v="235.9"/>
    <n v="377"/>
    <s v="Profit"/>
    <x v="0"/>
    <n v="32"/>
    <n v="1"/>
    <s v="30+"/>
    <s v="Yes"/>
    <n v="1"/>
    <s v="At Risk"/>
    <n v="1"/>
  </r>
  <r>
    <n v="102677"/>
    <d v="2025-10-29T00:00:00"/>
    <n v="1131"/>
    <x v="3"/>
    <x v="7"/>
    <x v="1"/>
    <x v="3"/>
    <x v="0"/>
    <s v="Wallet"/>
    <n v="18.97"/>
    <n v="11.98"/>
    <x v="2"/>
    <n v="22.73"/>
    <n v="204.53"/>
    <n v="155.47999999999999"/>
    <n v="3.66"/>
    <n v="2.73"/>
    <n v="6.04"/>
    <n v="0"/>
    <n v="0"/>
    <n v="167.91"/>
    <n v="36.619999999999997"/>
    <s v="Profit"/>
    <x v="0"/>
    <n v="3"/>
    <n v="9"/>
    <s v="0-15"/>
    <s v="No"/>
    <n v="0"/>
    <s v="Healthy"/>
    <n v="0"/>
  </r>
  <r>
    <n v="102678"/>
    <d v="2025-11-21T00:00:00"/>
    <n v="1060"/>
    <x v="3"/>
    <x v="15"/>
    <x v="2"/>
    <x v="3"/>
    <x v="0"/>
    <s v="Card"/>
    <n v="18.54"/>
    <n v="12.95"/>
    <x v="2"/>
    <n v="24.01"/>
    <n v="216.08"/>
    <n v="128.65"/>
    <n v="8.49"/>
    <n v="3.6"/>
    <n v="3.94"/>
    <n v="0"/>
    <n v="0"/>
    <n v="144.68"/>
    <n v="71.400000000000006"/>
    <s v="Profit"/>
    <x v="0"/>
    <n v="6"/>
    <n v="34"/>
    <s v="0-15"/>
    <s v="Yes"/>
    <n v="3"/>
    <s v="At Risk"/>
    <n v="1"/>
  </r>
  <r>
    <n v="102679"/>
    <d v="2025-10-15T00:00:00"/>
    <n v="1011"/>
    <x v="1"/>
    <x v="13"/>
    <x v="3"/>
    <x v="3"/>
    <x v="2"/>
    <s v="Fleet_Invoice"/>
    <n v="13.38"/>
    <n v="14.71"/>
    <x v="3"/>
    <n v="0"/>
    <n v="196.82"/>
    <n v="90.1"/>
    <n v="5.71"/>
    <n v="0.79"/>
    <n v="1.43"/>
    <n v="0"/>
    <n v="0"/>
    <n v="98.03"/>
    <n v="98.79"/>
    <s v="Profit"/>
    <x v="0"/>
    <n v="2"/>
    <n v="7"/>
    <s v="0-15"/>
    <s v="No"/>
    <n v="0"/>
    <s v="Healthy"/>
    <n v="0"/>
  </r>
  <r>
    <n v="102680"/>
    <d v="2025-10-10T00:00:00"/>
    <n v="1098"/>
    <x v="1"/>
    <x v="2"/>
    <x v="1"/>
    <x v="3"/>
    <x v="0"/>
    <s v="UPI"/>
    <n v="26.63"/>
    <n v="12.48"/>
    <x v="3"/>
    <n v="0"/>
    <n v="332.34"/>
    <n v="199.29"/>
    <n v="4.2"/>
    <n v="2.33"/>
    <n v="4.97"/>
    <n v="0"/>
    <n v="0"/>
    <n v="210.79"/>
    <n v="121.55"/>
    <s v="Profit"/>
    <x v="0"/>
    <n v="8"/>
    <n v="2"/>
    <s v="0-15"/>
    <s v="No"/>
    <n v="0"/>
    <s v="Healthy"/>
    <n v="0"/>
  </r>
  <r>
    <n v="102681"/>
    <d v="2025-12-26T00:00:00"/>
    <n v="1019"/>
    <x v="2"/>
    <x v="9"/>
    <x v="2"/>
    <x v="1"/>
    <x v="2"/>
    <s v="Card"/>
    <n v="21.51"/>
    <n v="14.54"/>
    <x v="0"/>
    <n v="46.91"/>
    <n v="265.85000000000002"/>
    <n v="173.09"/>
    <n v="10.51"/>
    <n v="4.6900000000000004"/>
    <n v="10.99"/>
    <n v="0"/>
    <n v="0"/>
    <n v="199.28"/>
    <n v="66.569999999999993"/>
    <s v="Profit"/>
    <x v="0"/>
    <n v="23"/>
    <n v="9"/>
    <s v="16-30"/>
    <s v="Yes"/>
    <n v="1"/>
    <s v="At Risk"/>
    <n v="1"/>
  </r>
  <r>
    <n v="102682"/>
    <d v="2025-12-17T00:00:00"/>
    <n v="1009"/>
    <x v="1"/>
    <x v="4"/>
    <x v="2"/>
    <x v="3"/>
    <x v="0"/>
    <s v="UPI"/>
    <n v="16.14"/>
    <n v="12.26"/>
    <x v="0"/>
    <n v="29.68"/>
    <n v="168.2"/>
    <n v="124.52"/>
    <n v="5.63"/>
    <n v="1.39"/>
    <n v="4.7699999999999996"/>
    <n v="0"/>
    <n v="0"/>
    <n v="136.31"/>
    <n v="31.89"/>
    <s v="Profit"/>
    <x v="0"/>
    <n v="2"/>
    <n v="6"/>
    <s v="0-15"/>
    <s v="No"/>
    <n v="0"/>
    <s v="Healthy"/>
    <n v="0"/>
  </r>
  <r>
    <n v="102683"/>
    <d v="2025-12-28T00:00:00"/>
    <n v="1060"/>
    <x v="3"/>
    <x v="15"/>
    <x v="3"/>
    <x v="0"/>
    <x v="2"/>
    <s v="UPI"/>
    <n v="12.74"/>
    <n v="21.08"/>
    <x v="3"/>
    <n v="0"/>
    <n v="268.56"/>
    <n v="88.1"/>
    <n v="9.39"/>
    <n v="1.88"/>
    <n v="6.47"/>
    <n v="0"/>
    <n v="0"/>
    <n v="105.84"/>
    <n v="162.72"/>
    <s v="Profit"/>
    <x v="0"/>
    <n v="21"/>
    <n v="5"/>
    <s v="16-30"/>
    <s v="Yes"/>
    <n v="1"/>
    <s v="At Risk"/>
    <n v="1"/>
  </r>
  <r>
    <n v="102684"/>
    <d v="2025-12-07T00:00:00"/>
    <n v="1091"/>
    <x v="2"/>
    <x v="10"/>
    <x v="0"/>
    <x v="3"/>
    <x v="1"/>
    <s v="Card"/>
    <n v="29.71"/>
    <n v="12.04"/>
    <x v="3"/>
    <n v="0"/>
    <n v="357.71"/>
    <n v="239.88"/>
    <n v="12.18"/>
    <n v="5.37"/>
    <n v="4.91"/>
    <n v="315"/>
    <n v="6.44"/>
    <n v="583.78"/>
    <n v="-226.07"/>
    <s v="Loss"/>
    <x v="2"/>
    <n v="30"/>
    <n v="1"/>
    <s v="16-30"/>
    <s v="Yes"/>
    <n v="1"/>
    <s v="At Risk"/>
    <n v="1"/>
  </r>
  <r>
    <n v="102685"/>
    <d v="2025-12-07T00:00:00"/>
    <n v="1044"/>
    <x v="0"/>
    <x v="6"/>
    <x v="0"/>
    <x v="3"/>
    <x v="2"/>
    <s v="UPI"/>
    <n v="18.47"/>
    <n v="13.59"/>
    <x v="4"/>
    <n v="12.55"/>
    <n v="238.46"/>
    <n v="133.16"/>
    <n v="7.9"/>
    <n v="1.76"/>
    <n v="5.32"/>
    <n v="0"/>
    <n v="0"/>
    <n v="148.13999999999999"/>
    <n v="90.32"/>
    <s v="Profit"/>
    <x v="0"/>
    <n v="32"/>
    <n v="4"/>
    <s v="30+"/>
    <s v="Yes"/>
    <n v="4"/>
    <s v="At Risk"/>
    <n v="1"/>
  </r>
  <r>
    <n v="102686"/>
    <d v="2025-10-06T00:00:00"/>
    <n v="1015"/>
    <x v="3"/>
    <x v="7"/>
    <x v="1"/>
    <x v="1"/>
    <x v="0"/>
    <s v="Wallet"/>
    <n v="33.65"/>
    <n v="15.98"/>
    <x v="1"/>
    <n v="107.55"/>
    <n v="430.18"/>
    <n v="253.17"/>
    <n v="10.41"/>
    <n v="6.45"/>
    <n v="0"/>
    <n v="0"/>
    <n v="0"/>
    <n v="270.02999999999997"/>
    <n v="160.15"/>
    <s v="Profit"/>
    <x v="0"/>
    <n v="6"/>
    <n v="5"/>
    <s v="0-15"/>
    <s v="No"/>
    <n v="0"/>
    <s v="Healthy"/>
    <n v="0"/>
  </r>
  <r>
    <n v="102687"/>
    <d v="2025-11-07T00:00:00"/>
    <n v="1057"/>
    <x v="3"/>
    <x v="7"/>
    <x v="4"/>
    <x v="3"/>
    <x v="0"/>
    <s v="Wallet"/>
    <n v="17.27"/>
    <n v="13.54"/>
    <x v="4"/>
    <n v="11.69"/>
    <n v="222.15"/>
    <n v="131.18"/>
    <n v="3.26"/>
    <n v="2.81"/>
    <n v="4.71"/>
    <n v="0"/>
    <n v="0"/>
    <n v="141.96"/>
    <n v="80.19"/>
    <s v="Profit"/>
    <x v="0"/>
    <n v="10"/>
    <n v="5"/>
    <s v="0-15"/>
    <s v="No"/>
    <n v="0"/>
    <s v="Healthy"/>
    <n v="0"/>
  </r>
  <r>
    <n v="102688"/>
    <d v="2025-10-03T00:00:00"/>
    <n v="1104"/>
    <x v="1"/>
    <x v="2"/>
    <x v="1"/>
    <x v="1"/>
    <x v="1"/>
    <s v="Card"/>
    <n v="21.66"/>
    <n v="15.99"/>
    <x v="3"/>
    <n v="0"/>
    <n v="346.34"/>
    <n v="151.1"/>
    <n v="6.8"/>
    <n v="5.2"/>
    <n v="14.46"/>
    <n v="0"/>
    <n v="0"/>
    <n v="177.56"/>
    <n v="168.78"/>
    <s v="Profit"/>
    <x v="0"/>
    <n v="12"/>
    <n v="38"/>
    <s v="0-15"/>
    <s v="Yes"/>
    <n v="3"/>
    <s v="At Risk"/>
    <n v="1"/>
  </r>
  <r>
    <n v="102689"/>
    <d v="2025-10-31T00:00:00"/>
    <n v="1014"/>
    <x v="0"/>
    <x v="0"/>
    <x v="2"/>
    <x v="1"/>
    <x v="0"/>
    <s v="UPI"/>
    <n v="24.37"/>
    <n v="15.28"/>
    <x v="3"/>
    <n v="0"/>
    <n v="372.37"/>
    <n v="149"/>
    <n v="7.94"/>
    <n v="2.61"/>
    <n v="0.19"/>
    <n v="0"/>
    <n v="0"/>
    <n v="159.74"/>
    <n v="212.63"/>
    <s v="Profit"/>
    <x v="0"/>
    <n v="12"/>
    <n v="27"/>
    <s v="0-15"/>
    <s v="Yes"/>
    <n v="1"/>
    <s v="At Risk"/>
    <n v="1"/>
  </r>
  <r>
    <n v="102690"/>
    <d v="2025-10-15T00:00:00"/>
    <n v="1045"/>
    <x v="2"/>
    <x v="10"/>
    <x v="4"/>
    <x v="1"/>
    <x v="2"/>
    <s v="Wallet"/>
    <n v="30.23"/>
    <n v="16.16"/>
    <x v="1"/>
    <n v="97.7"/>
    <n v="390.82"/>
    <n v="175.68"/>
    <n v="8.26"/>
    <n v="5.86"/>
    <n v="7.8"/>
    <n v="0"/>
    <n v="0"/>
    <n v="197.6"/>
    <n v="193.22"/>
    <s v="Profit"/>
    <x v="0"/>
    <n v="0"/>
    <n v="2"/>
    <s v="0-15"/>
    <s v="No"/>
    <n v="0"/>
    <s v="Healthy"/>
    <n v="0"/>
  </r>
  <r>
    <n v="102691"/>
    <d v="2025-12-28T00:00:00"/>
    <n v="1114"/>
    <x v="2"/>
    <x v="10"/>
    <x v="0"/>
    <x v="2"/>
    <x v="0"/>
    <s v="UPI"/>
    <n v="19.45"/>
    <n v="17.71"/>
    <x v="3"/>
    <n v="0"/>
    <n v="344.46"/>
    <n v="164.36"/>
    <n v="1"/>
    <n v="2.41"/>
    <n v="9.32"/>
    <n v="0"/>
    <n v="0"/>
    <n v="177.09"/>
    <n v="167.37"/>
    <s v="Profit"/>
    <x v="0"/>
    <n v="21"/>
    <n v="13"/>
    <s v="16-30"/>
    <s v="Yes"/>
    <n v="1"/>
    <s v="At Risk"/>
    <n v="1"/>
  </r>
  <r>
    <n v="102692"/>
    <d v="2025-12-14T00:00:00"/>
    <n v="1058"/>
    <x v="1"/>
    <x v="2"/>
    <x v="4"/>
    <x v="3"/>
    <x v="0"/>
    <s v="UPI"/>
    <n v="13.68"/>
    <n v="11.77"/>
    <x v="0"/>
    <n v="24.15"/>
    <n v="136.86000000000001"/>
    <n v="94.73"/>
    <n v="9.5299999999999994"/>
    <n v="1.1299999999999999"/>
    <n v="4.66"/>
    <n v="0"/>
    <n v="0"/>
    <n v="110.05"/>
    <n v="26.81"/>
    <s v="Profit"/>
    <x v="0"/>
    <n v="1"/>
    <n v="5"/>
    <s v="0-15"/>
    <s v="No"/>
    <n v="0"/>
    <s v="Healthy"/>
    <n v="0"/>
  </r>
  <r>
    <n v="102693"/>
    <d v="2025-10-06T00:00:00"/>
    <n v="1137"/>
    <x v="0"/>
    <x v="6"/>
    <x v="0"/>
    <x v="1"/>
    <x v="2"/>
    <s v="UPI"/>
    <n v="24.89"/>
    <n v="16.399999999999999"/>
    <x v="3"/>
    <n v="0"/>
    <n v="408.2"/>
    <n v="176.04"/>
    <n v="6.26"/>
    <n v="2.86"/>
    <n v="6.53"/>
    <n v="0"/>
    <n v="0"/>
    <n v="191.69"/>
    <n v="216.51"/>
    <s v="Profit"/>
    <x v="0"/>
    <n v="25"/>
    <n v="9"/>
    <s v="16-30"/>
    <s v="Yes"/>
    <n v="3"/>
    <s v="At Risk"/>
    <n v="1"/>
  </r>
  <r>
    <n v="102694"/>
    <d v="2025-11-15T00:00:00"/>
    <n v="1114"/>
    <x v="2"/>
    <x v="12"/>
    <x v="2"/>
    <x v="2"/>
    <x v="2"/>
    <s v="UPI"/>
    <n v="19.059999999999999"/>
    <n v="17.14"/>
    <x v="2"/>
    <n v="32.67"/>
    <n v="294.02"/>
    <n v="158.78"/>
    <n v="7.68"/>
    <n v="2.29"/>
    <n v="10.119999999999999"/>
    <n v="0"/>
    <n v="0"/>
    <n v="178.87"/>
    <n v="115.15"/>
    <s v="Profit"/>
    <x v="0"/>
    <n v="2"/>
    <n v="12"/>
    <s v="0-15"/>
    <s v="No"/>
    <n v="0"/>
    <s v="Healthy"/>
    <n v="0"/>
  </r>
  <r>
    <n v="102695"/>
    <d v="2025-10-12T00:00:00"/>
    <n v="1097"/>
    <x v="1"/>
    <x v="4"/>
    <x v="4"/>
    <x v="0"/>
    <x v="0"/>
    <s v="UPI"/>
    <n v="14.36"/>
    <n v="20.02"/>
    <x v="2"/>
    <n v="28.75"/>
    <n v="258.74"/>
    <n v="96.19"/>
    <n v="10.92"/>
    <n v="2.0099999999999998"/>
    <n v="6.38"/>
    <n v="0"/>
    <n v="0"/>
    <n v="115.5"/>
    <n v="143.24"/>
    <s v="Profit"/>
    <x v="0"/>
    <n v="1"/>
    <n v="7"/>
    <s v="0-15"/>
    <s v="No"/>
    <n v="1"/>
    <s v="Healthy"/>
    <n v="0"/>
  </r>
  <r>
    <n v="102696"/>
    <d v="2025-12-09T00:00:00"/>
    <n v="1002"/>
    <x v="1"/>
    <x v="3"/>
    <x v="1"/>
    <x v="1"/>
    <x v="0"/>
    <s v="UPI"/>
    <n v="19.02"/>
    <n v="15.6"/>
    <x v="3"/>
    <n v="0"/>
    <n v="296.70999999999998"/>
    <n v="152.21"/>
    <n v="9.2899999999999991"/>
    <n v="2.08"/>
    <n v="9.91"/>
    <n v="0"/>
    <n v="0"/>
    <n v="173.49"/>
    <n v="123.22"/>
    <s v="Profit"/>
    <x v="0"/>
    <n v="12"/>
    <n v="3"/>
    <s v="0-15"/>
    <s v="No"/>
    <n v="0"/>
    <s v="Healthy"/>
    <n v="0"/>
  </r>
  <r>
    <n v="102697"/>
    <d v="2025-10-17T00:00:00"/>
    <n v="1143"/>
    <x v="0"/>
    <x v="6"/>
    <x v="3"/>
    <x v="3"/>
    <x v="2"/>
    <s v="UPI"/>
    <n v="19.02"/>
    <n v="11.91"/>
    <x v="1"/>
    <n v="45.31"/>
    <n v="181.22"/>
    <n v="144.47"/>
    <n v="10.29"/>
    <n v="1.59"/>
    <n v="4.51"/>
    <n v="0"/>
    <n v="0"/>
    <n v="160.86000000000001"/>
    <n v="20.36"/>
    <s v="Profit"/>
    <x v="0"/>
    <n v="40"/>
    <n v="30"/>
    <s v="30+"/>
    <s v="Yes"/>
    <n v="1"/>
    <s v="At Risk"/>
    <n v="1"/>
  </r>
  <r>
    <n v="102698"/>
    <d v="2025-11-12T00:00:00"/>
    <n v="1025"/>
    <x v="1"/>
    <x v="13"/>
    <x v="3"/>
    <x v="0"/>
    <x v="0"/>
    <s v="Card"/>
    <n v="16.86"/>
    <n v="19.28"/>
    <x v="4"/>
    <n v="16.25"/>
    <n v="308.81"/>
    <n v="125.67"/>
    <n v="7.95"/>
    <n v="4.88"/>
    <n v="4.7699999999999996"/>
    <n v="0"/>
    <n v="0"/>
    <n v="143.27000000000001"/>
    <n v="165.54"/>
    <s v="Profit"/>
    <x v="0"/>
    <n v="0"/>
    <n v="10"/>
    <s v="0-15"/>
    <s v="No"/>
    <n v="0"/>
    <s v="Healthy"/>
    <n v="0"/>
  </r>
  <r>
    <n v="102699"/>
    <d v="2025-10-28T00:00:00"/>
    <n v="1024"/>
    <x v="3"/>
    <x v="7"/>
    <x v="4"/>
    <x v="3"/>
    <x v="0"/>
    <s v="UPI"/>
    <n v="23.57"/>
    <n v="12.59"/>
    <x v="4"/>
    <n v="14.84"/>
    <n v="281.91000000000003"/>
    <n v="179.78"/>
    <n v="10.72"/>
    <n v="2.08"/>
    <n v="12.87"/>
    <n v="0"/>
    <n v="0"/>
    <n v="205.45"/>
    <n v="76.459999999999994"/>
    <s v="Profit"/>
    <x v="0"/>
    <n v="4"/>
    <n v="3"/>
    <s v="0-15"/>
    <s v="No"/>
    <n v="0"/>
    <s v="Healthy"/>
    <n v="0"/>
  </r>
  <r>
    <n v="102700"/>
    <d v="2025-10-12T00:00:00"/>
    <n v="1033"/>
    <x v="0"/>
    <x v="11"/>
    <x v="1"/>
    <x v="3"/>
    <x v="1"/>
    <s v="Card"/>
    <n v="24.18"/>
    <n v="11.45"/>
    <x v="3"/>
    <n v="0"/>
    <n v="276.86"/>
    <n v="150.13999999999999"/>
    <n v="14.5"/>
    <n v="4.1500000000000004"/>
    <n v="3.45"/>
    <n v="0"/>
    <n v="0"/>
    <n v="172.24"/>
    <n v="104.62"/>
    <s v="Profit"/>
    <x v="0"/>
    <n v="16"/>
    <n v="7"/>
    <s v="16-30"/>
    <s v="No"/>
    <n v="0"/>
    <s v="Healthy"/>
    <n v="0"/>
  </r>
  <r>
    <n v="102701"/>
    <d v="2025-12-16T00:00:00"/>
    <n v="1049"/>
    <x v="0"/>
    <x v="1"/>
    <x v="0"/>
    <x v="3"/>
    <x v="0"/>
    <s v="Fleet_Invoice"/>
    <n v="29.18"/>
    <n v="13.12"/>
    <x v="0"/>
    <n v="57.43"/>
    <n v="325.41000000000003"/>
    <n v="212.38"/>
    <n v="15.18"/>
    <n v="1.53"/>
    <n v="7.5"/>
    <n v="0"/>
    <n v="0"/>
    <n v="236.59"/>
    <n v="88.82"/>
    <s v="Profit"/>
    <x v="0"/>
    <n v="27"/>
    <n v="1"/>
    <s v="16-30"/>
    <s v="Yes"/>
    <n v="2"/>
    <s v="At Risk"/>
    <n v="1"/>
  </r>
  <r>
    <n v="102702"/>
    <d v="2025-12-12T00:00:00"/>
    <n v="1142"/>
    <x v="0"/>
    <x v="6"/>
    <x v="2"/>
    <x v="1"/>
    <x v="2"/>
    <s v="UPI"/>
    <n v="26.27"/>
    <n v="16.170000000000002"/>
    <x v="4"/>
    <n v="21.24"/>
    <n v="403.55"/>
    <n v="196.02"/>
    <n v="6.64"/>
    <n v="2.97"/>
    <n v="7.06"/>
    <n v="0"/>
    <n v="0"/>
    <n v="212.69"/>
    <n v="190.86"/>
    <s v="Profit"/>
    <x v="0"/>
    <n v="20"/>
    <n v="14"/>
    <s v="16-30"/>
    <s v="No"/>
    <n v="0"/>
    <s v="Healthy"/>
    <n v="0"/>
  </r>
  <r>
    <n v="102703"/>
    <d v="2025-11-30T00:00:00"/>
    <n v="1113"/>
    <x v="2"/>
    <x v="9"/>
    <x v="1"/>
    <x v="3"/>
    <x v="0"/>
    <s v="Fleet_Invoice"/>
    <n v="29.1"/>
    <n v="11.29"/>
    <x v="2"/>
    <n v="32.85"/>
    <n v="295.69"/>
    <n v="253.49"/>
    <n v="11.98"/>
    <n v="1.31"/>
    <n v="3.51"/>
    <n v="0"/>
    <n v="0"/>
    <n v="270.29000000000002"/>
    <n v="25.4"/>
    <s v="Profit"/>
    <x v="0"/>
    <n v="6"/>
    <n v="5"/>
    <s v="0-15"/>
    <s v="No"/>
    <n v="0"/>
    <s v="Healthy"/>
    <n v="0"/>
  </r>
  <r>
    <n v="102704"/>
    <d v="2025-10-12T00:00:00"/>
    <n v="1086"/>
    <x v="0"/>
    <x v="0"/>
    <x v="3"/>
    <x v="2"/>
    <x v="2"/>
    <s v="UPI"/>
    <n v="24.75"/>
    <n v="17.55"/>
    <x v="2"/>
    <n v="43.44"/>
    <n v="390.92"/>
    <n v="155.66"/>
    <n v="7.55"/>
    <n v="3.04"/>
    <n v="7"/>
    <n v="0"/>
    <n v="0"/>
    <n v="173.25"/>
    <n v="217.67"/>
    <s v="Profit"/>
    <x v="0"/>
    <n v="39"/>
    <n v="22"/>
    <s v="30+"/>
    <s v="Yes"/>
    <n v="3"/>
    <s v="At Risk"/>
    <n v="1"/>
  </r>
  <r>
    <n v="102705"/>
    <d v="2025-12-21T00:00:00"/>
    <n v="1067"/>
    <x v="2"/>
    <x v="10"/>
    <x v="4"/>
    <x v="1"/>
    <x v="1"/>
    <s v="UPI"/>
    <n v="29.82"/>
    <n v="14.48"/>
    <x v="3"/>
    <n v="0"/>
    <n v="431.79"/>
    <n v="220.69"/>
    <n v="5.7"/>
    <n v="3.02"/>
    <n v="5.23"/>
    <n v="0"/>
    <n v="0"/>
    <n v="234.64"/>
    <n v="197.15"/>
    <s v="Profit"/>
    <x v="0"/>
    <n v="9"/>
    <n v="1"/>
    <s v="0-15"/>
    <s v="No"/>
    <n v="0"/>
    <s v="Healthy"/>
    <n v="0"/>
  </r>
  <r>
    <n v="102706"/>
    <d v="2025-12-16T00:00:00"/>
    <n v="1051"/>
    <x v="3"/>
    <x v="15"/>
    <x v="3"/>
    <x v="1"/>
    <x v="0"/>
    <s v="UPI"/>
    <n v="26.22"/>
    <n v="15.95"/>
    <x v="0"/>
    <n v="62.73"/>
    <n v="355.48"/>
    <n v="176.95"/>
    <n v="12.11"/>
    <n v="2.93"/>
    <n v="7"/>
    <n v="0"/>
    <n v="0"/>
    <n v="198.99"/>
    <n v="156.49"/>
    <s v="Profit"/>
    <x v="0"/>
    <n v="14"/>
    <n v="5"/>
    <s v="0-15"/>
    <s v="No"/>
    <n v="0"/>
    <s v="Healthy"/>
    <n v="0"/>
  </r>
  <r>
    <n v="102707"/>
    <d v="2025-10-18T00:00:00"/>
    <n v="1088"/>
    <x v="1"/>
    <x v="3"/>
    <x v="1"/>
    <x v="3"/>
    <x v="0"/>
    <s v="UPI"/>
    <n v="29.23"/>
    <n v="13.14"/>
    <x v="0"/>
    <n v="57.61"/>
    <n v="326.47000000000003"/>
    <n v="189.13"/>
    <n v="5.18"/>
    <n v="2.69"/>
    <n v="1.87"/>
    <n v="0"/>
    <n v="0"/>
    <n v="198.87"/>
    <n v="127.6"/>
    <s v="Profit"/>
    <x v="0"/>
    <n v="21"/>
    <n v="0"/>
    <s v="16-30"/>
    <s v="Yes"/>
    <n v="1"/>
    <s v="At Risk"/>
    <n v="1"/>
  </r>
  <r>
    <n v="102708"/>
    <d v="2025-11-16T00:00:00"/>
    <n v="1098"/>
    <x v="3"/>
    <x v="7"/>
    <x v="4"/>
    <x v="3"/>
    <x v="0"/>
    <s v="UPI"/>
    <n v="14.05"/>
    <n v="12.13"/>
    <x v="2"/>
    <n v="17.04"/>
    <n v="153.38999999999999"/>
    <n v="92.96"/>
    <n v="5.33"/>
    <n v="1.19"/>
    <n v="8.56"/>
    <n v="0"/>
    <n v="0"/>
    <n v="108.04"/>
    <n v="45.35"/>
    <s v="Profit"/>
    <x v="0"/>
    <n v="3"/>
    <n v="15"/>
    <s v="0-15"/>
    <s v="No"/>
    <n v="0"/>
    <s v="Healthy"/>
    <n v="0"/>
  </r>
  <r>
    <n v="102709"/>
    <d v="2025-10-29T00:00:00"/>
    <n v="1112"/>
    <x v="1"/>
    <x v="13"/>
    <x v="1"/>
    <x v="1"/>
    <x v="0"/>
    <s v="Wallet"/>
    <n v="27.37"/>
    <n v="14.49"/>
    <x v="4"/>
    <n v="19.829999999999998"/>
    <n v="376.76"/>
    <n v="223.25"/>
    <n v="5.24"/>
    <n v="4.76"/>
    <n v="6.95"/>
    <n v="0"/>
    <n v="0"/>
    <n v="240.2"/>
    <n v="136.56"/>
    <s v="Profit"/>
    <x v="0"/>
    <n v="22"/>
    <n v="6"/>
    <s v="16-30"/>
    <s v="Yes"/>
    <n v="2"/>
    <s v="At Risk"/>
    <n v="1"/>
  </r>
  <r>
    <n v="102710"/>
    <d v="2025-12-16T00:00:00"/>
    <n v="1079"/>
    <x v="1"/>
    <x v="2"/>
    <x v="2"/>
    <x v="2"/>
    <x v="1"/>
    <s v="UPI"/>
    <n v="33.22"/>
    <n v="17.46"/>
    <x v="4"/>
    <n v="29"/>
    <n v="551.02"/>
    <n v="235.5"/>
    <n v="7.52"/>
    <n v="4.0599999999999996"/>
    <n v="4.05"/>
    <n v="0"/>
    <n v="0"/>
    <n v="251.13"/>
    <n v="299.89"/>
    <s v="Profit"/>
    <x v="0"/>
    <n v="11"/>
    <n v="14"/>
    <s v="0-15"/>
    <s v="No"/>
    <n v="0"/>
    <s v="Healthy"/>
    <n v="0"/>
  </r>
  <r>
    <n v="102711"/>
    <d v="2025-11-26T00:00:00"/>
    <n v="1067"/>
    <x v="3"/>
    <x v="14"/>
    <x v="0"/>
    <x v="3"/>
    <x v="0"/>
    <s v="UPI"/>
    <n v="13.46"/>
    <n v="13.53"/>
    <x v="3"/>
    <n v="0"/>
    <n v="182.11"/>
    <n v="104.28"/>
    <n v="8.86"/>
    <n v="1.27"/>
    <n v="3.19"/>
    <n v="0"/>
    <n v="0"/>
    <n v="117.6"/>
    <n v="64.510000000000005"/>
    <s v="Profit"/>
    <x v="0"/>
    <n v="2"/>
    <n v="10"/>
    <s v="0-15"/>
    <s v="No"/>
    <n v="0"/>
    <s v="Healthy"/>
    <n v="0"/>
  </r>
  <r>
    <n v="102712"/>
    <d v="2025-12-07T00:00:00"/>
    <n v="1010"/>
    <x v="1"/>
    <x v="13"/>
    <x v="3"/>
    <x v="3"/>
    <x v="0"/>
    <s v="UPI"/>
    <n v="16.670000000000002"/>
    <n v="12.83"/>
    <x v="1"/>
    <n v="42.78"/>
    <n v="171.1"/>
    <n v="96.21"/>
    <n v="9.3699999999999992"/>
    <n v="1.5"/>
    <n v="5.98"/>
    <n v="0"/>
    <n v="0"/>
    <n v="113.06"/>
    <n v="58.04"/>
    <s v="Profit"/>
    <x v="0"/>
    <n v="4"/>
    <n v="4"/>
    <s v="0-15"/>
    <s v="No"/>
    <n v="0"/>
    <s v="Healthy"/>
    <n v="0"/>
  </r>
  <r>
    <n v="102713"/>
    <d v="2025-12-08T00:00:00"/>
    <n v="1024"/>
    <x v="3"/>
    <x v="15"/>
    <x v="3"/>
    <x v="1"/>
    <x v="0"/>
    <s v="Card"/>
    <n v="23.41"/>
    <n v="16.09"/>
    <x v="3"/>
    <n v="0"/>
    <n v="376.67"/>
    <n v="193.5"/>
    <n v="6.19"/>
    <n v="5.65"/>
    <n v="11.3"/>
    <n v="0"/>
    <n v="0"/>
    <n v="216.64"/>
    <n v="160.03"/>
    <s v="Profit"/>
    <x v="0"/>
    <n v="7"/>
    <n v="2"/>
    <s v="0-15"/>
    <s v="No"/>
    <n v="0"/>
    <s v="Healthy"/>
    <n v="0"/>
  </r>
  <r>
    <n v="102714"/>
    <d v="2025-12-26T00:00:00"/>
    <n v="1036"/>
    <x v="3"/>
    <x v="8"/>
    <x v="4"/>
    <x v="1"/>
    <x v="0"/>
    <s v="Wallet"/>
    <n v="17.649999999999999"/>
    <n v="16.739999999999998"/>
    <x v="3"/>
    <n v="0"/>
    <n v="295.45999999999998"/>
    <n v="139.11000000000001"/>
    <n v="7.74"/>
    <n v="3.55"/>
    <n v="0"/>
    <n v="154.72999999999999"/>
    <n v="0"/>
    <n v="305.13"/>
    <n v="-9.67"/>
    <s v="Loss"/>
    <x v="2"/>
    <n v="21"/>
    <n v="6"/>
    <s v="16-30"/>
    <s v="Yes"/>
    <n v="2"/>
    <s v="At Risk"/>
    <n v="1"/>
  </r>
  <r>
    <n v="102715"/>
    <d v="2025-10-22T00:00:00"/>
    <n v="1133"/>
    <x v="2"/>
    <x v="10"/>
    <x v="3"/>
    <x v="1"/>
    <x v="0"/>
    <s v="Card"/>
    <n v="27.34"/>
    <n v="15.39"/>
    <x v="3"/>
    <n v="0"/>
    <n v="420.76"/>
    <n v="160.11000000000001"/>
    <n v="7.7"/>
    <n v="6.31"/>
    <n v="10.16"/>
    <n v="0"/>
    <n v="0"/>
    <n v="184.28"/>
    <n v="236.48"/>
    <s v="Profit"/>
    <x v="0"/>
    <n v="9"/>
    <n v="8"/>
    <s v="0-15"/>
    <s v="No"/>
    <n v="1"/>
    <s v="Healthy"/>
    <n v="0"/>
  </r>
  <r>
    <n v="102716"/>
    <d v="2025-10-31T00:00:00"/>
    <n v="1059"/>
    <x v="0"/>
    <x v="0"/>
    <x v="4"/>
    <x v="2"/>
    <x v="0"/>
    <s v="UPI"/>
    <n v="22.83"/>
    <n v="17.420000000000002"/>
    <x v="3"/>
    <n v="0"/>
    <n v="397.7"/>
    <n v="170.27"/>
    <n v="4.17"/>
    <n v="2.78"/>
    <n v="3.66"/>
    <n v="0"/>
    <n v="0"/>
    <n v="180.88"/>
    <n v="216.82"/>
    <s v="Profit"/>
    <x v="0"/>
    <n v="24"/>
    <n v="3"/>
    <s v="16-30"/>
    <s v="Yes"/>
    <n v="3"/>
    <s v="At Risk"/>
    <n v="1"/>
  </r>
  <r>
    <n v="102717"/>
    <d v="2025-10-29T00:00:00"/>
    <n v="1021"/>
    <x v="1"/>
    <x v="13"/>
    <x v="4"/>
    <x v="0"/>
    <x v="0"/>
    <s v="Fleet_Invoice"/>
    <n v="31.56"/>
    <n v="19.989999999999998"/>
    <x v="3"/>
    <n v="0"/>
    <n v="630.88"/>
    <n v="213"/>
    <n v="12.16"/>
    <n v="2.52"/>
    <n v="10.11"/>
    <n v="0"/>
    <n v="0"/>
    <n v="237.79"/>
    <n v="393.09"/>
    <s v="Profit"/>
    <x v="0"/>
    <n v="4"/>
    <n v="5"/>
    <s v="0-15"/>
    <s v="No"/>
    <n v="0"/>
    <s v="Healthy"/>
    <n v="0"/>
  </r>
  <r>
    <n v="102718"/>
    <d v="2025-10-30T00:00:00"/>
    <n v="1014"/>
    <x v="3"/>
    <x v="8"/>
    <x v="1"/>
    <x v="1"/>
    <x v="2"/>
    <s v="UPI"/>
    <n v="29.36"/>
    <n v="16.61"/>
    <x v="2"/>
    <n v="48.77"/>
    <n v="438.9"/>
    <n v="194.91"/>
    <n v="9.42"/>
    <n v="3.41"/>
    <n v="4.93"/>
    <n v="0"/>
    <n v="0"/>
    <n v="212.67"/>
    <n v="226.23"/>
    <s v="Profit"/>
    <x v="0"/>
    <n v="5"/>
    <n v="1"/>
    <s v="0-15"/>
    <s v="No"/>
    <n v="0"/>
    <s v="Healthy"/>
    <n v="0"/>
  </r>
  <r>
    <n v="102719"/>
    <d v="2025-11-14T00:00:00"/>
    <n v="1108"/>
    <x v="2"/>
    <x v="5"/>
    <x v="2"/>
    <x v="1"/>
    <x v="0"/>
    <s v="UPI"/>
    <n v="25.58"/>
    <n v="15.65"/>
    <x v="3"/>
    <n v="0"/>
    <n v="400.33"/>
    <n v="182.87"/>
    <n v="9.15"/>
    <n v="2.8"/>
    <n v="10.55"/>
    <n v="0"/>
    <n v="0"/>
    <n v="205.37"/>
    <n v="194.96"/>
    <s v="Profit"/>
    <x v="0"/>
    <n v="2"/>
    <n v="4"/>
    <s v="0-15"/>
    <s v="No"/>
    <n v="0"/>
    <s v="Healthy"/>
    <n v="0"/>
  </r>
  <r>
    <n v="102720"/>
    <d v="2025-12-25T00:00:00"/>
    <n v="1117"/>
    <x v="1"/>
    <x v="3"/>
    <x v="4"/>
    <x v="0"/>
    <x v="2"/>
    <s v="Card"/>
    <n v="30.5"/>
    <n v="19.309999999999999"/>
    <x v="0"/>
    <n v="88.34"/>
    <n v="500.61"/>
    <n v="221.1"/>
    <n v="10.1"/>
    <n v="8.83"/>
    <n v="3.74"/>
    <n v="0"/>
    <n v="0"/>
    <n v="243.77"/>
    <n v="256.83999999999997"/>
    <s v="Profit"/>
    <x v="0"/>
    <n v="5"/>
    <n v="13"/>
    <s v="0-15"/>
    <s v="No"/>
    <n v="0"/>
    <s v="Healthy"/>
    <n v="0"/>
  </r>
  <r>
    <n v="102721"/>
    <d v="2025-11-27T00:00:00"/>
    <n v="1080"/>
    <x v="2"/>
    <x v="10"/>
    <x v="4"/>
    <x v="2"/>
    <x v="0"/>
    <s v="UPI"/>
    <n v="18.86"/>
    <n v="17.54"/>
    <x v="4"/>
    <n v="16.54"/>
    <n v="314.26"/>
    <n v="134.08000000000001"/>
    <n v="11.8"/>
    <n v="2.3199999999999998"/>
    <n v="0.31"/>
    <n v="0"/>
    <n v="0"/>
    <n v="148.51"/>
    <n v="165.75"/>
    <s v="Profit"/>
    <x v="0"/>
    <n v="9"/>
    <n v="0"/>
    <s v="0-15"/>
    <s v="No"/>
    <n v="0"/>
    <s v="Healthy"/>
    <n v="0"/>
  </r>
  <r>
    <n v="102722"/>
    <d v="2025-12-31T00:00:00"/>
    <n v="1004"/>
    <x v="0"/>
    <x v="0"/>
    <x v="0"/>
    <x v="2"/>
    <x v="0"/>
    <s v="Fleet_Invoice"/>
    <n v="20.77"/>
    <n v="17.27"/>
    <x v="0"/>
    <n v="53.8"/>
    <n v="304.89999999999998"/>
    <n v="163.54"/>
    <n v="9.77"/>
    <n v="1.43"/>
    <n v="6.13"/>
    <n v="0"/>
    <n v="0"/>
    <n v="180.87"/>
    <n v="124.03"/>
    <s v="Profit"/>
    <x v="0"/>
    <n v="13"/>
    <n v="1"/>
    <s v="0-15"/>
    <s v="No"/>
    <n v="0"/>
    <s v="Healthy"/>
    <n v="0"/>
  </r>
  <r>
    <n v="102723"/>
    <d v="2025-12-10T00:00:00"/>
    <n v="1023"/>
    <x v="0"/>
    <x v="11"/>
    <x v="1"/>
    <x v="1"/>
    <x v="0"/>
    <s v="UPI"/>
    <n v="28.22"/>
    <n v="15.64"/>
    <x v="3"/>
    <n v="0"/>
    <n v="441.36"/>
    <n v="236.98"/>
    <n v="7.1"/>
    <n v="3.09"/>
    <n v="7.79"/>
    <n v="0"/>
    <n v="0"/>
    <n v="254.96"/>
    <n v="186.4"/>
    <s v="Profit"/>
    <x v="0"/>
    <n v="5"/>
    <n v="4"/>
    <s v="0-15"/>
    <s v="No"/>
    <n v="0"/>
    <s v="Healthy"/>
    <n v="0"/>
  </r>
  <r>
    <n v="102724"/>
    <d v="2025-12-16T00:00:00"/>
    <n v="1036"/>
    <x v="2"/>
    <x v="12"/>
    <x v="2"/>
    <x v="3"/>
    <x v="0"/>
    <s v="UPI"/>
    <n v="6.92"/>
    <n v="13.7"/>
    <x v="2"/>
    <n v="9.48"/>
    <n v="85.32"/>
    <n v="44.43"/>
    <n v="5.8"/>
    <n v="0.66"/>
    <n v="7.64"/>
    <n v="0"/>
    <n v="0"/>
    <n v="58.53"/>
    <n v="26.79"/>
    <s v="Profit"/>
    <x v="0"/>
    <n v="14"/>
    <n v="1"/>
    <s v="0-15"/>
    <s v="No"/>
    <n v="0"/>
    <s v="Healthy"/>
    <n v="0"/>
  </r>
  <r>
    <n v="102725"/>
    <d v="2025-10-13T00:00:00"/>
    <n v="1142"/>
    <x v="1"/>
    <x v="2"/>
    <x v="3"/>
    <x v="2"/>
    <x v="0"/>
    <s v="UPI"/>
    <n v="33.39"/>
    <n v="16.989999999999998"/>
    <x v="3"/>
    <n v="0"/>
    <n v="567.29999999999995"/>
    <n v="255.51"/>
    <n v="7.94"/>
    <n v="3.97"/>
    <n v="0"/>
    <n v="0"/>
    <n v="0"/>
    <n v="267.42"/>
    <n v="299.88"/>
    <s v="Profit"/>
    <x v="0"/>
    <n v="3"/>
    <n v="8"/>
    <s v="0-15"/>
    <s v="No"/>
    <n v="0"/>
    <s v="Healthy"/>
    <n v="0"/>
  </r>
  <r>
    <n v="102726"/>
    <d v="2025-11-20T00:00:00"/>
    <n v="1064"/>
    <x v="2"/>
    <x v="12"/>
    <x v="0"/>
    <x v="3"/>
    <x v="0"/>
    <s v="Fleet_Invoice"/>
    <n v="22.36"/>
    <n v="12.59"/>
    <x v="4"/>
    <n v="14.08"/>
    <n v="267.43"/>
    <n v="156.38999999999999"/>
    <n v="13.5"/>
    <n v="1.1299999999999999"/>
    <n v="10.95"/>
    <n v="0"/>
    <n v="0"/>
    <n v="181.97"/>
    <n v="85.46"/>
    <s v="Profit"/>
    <x v="0"/>
    <n v="4"/>
    <n v="19"/>
    <s v="0-15"/>
    <s v="Yes"/>
    <n v="3"/>
    <s v="At Risk"/>
    <n v="1"/>
  </r>
  <r>
    <n v="102727"/>
    <d v="2025-10-01T00:00:00"/>
    <n v="1046"/>
    <x v="0"/>
    <x v="1"/>
    <x v="1"/>
    <x v="2"/>
    <x v="0"/>
    <s v="UPI"/>
    <n v="23.38"/>
    <n v="16.45"/>
    <x v="3"/>
    <n v="0"/>
    <n v="384.6"/>
    <n v="164.03"/>
    <n v="1.91"/>
    <n v="2.69"/>
    <n v="1.86"/>
    <n v="0"/>
    <n v="0"/>
    <n v="170.49"/>
    <n v="214.11"/>
    <s v="Profit"/>
    <x v="0"/>
    <n v="12"/>
    <n v="5"/>
    <s v="0-15"/>
    <s v="No"/>
    <n v="0"/>
    <s v="Healthy"/>
    <n v="0"/>
  </r>
  <r>
    <n v="102728"/>
    <d v="2025-12-27T00:00:00"/>
    <n v="1120"/>
    <x v="0"/>
    <x v="0"/>
    <x v="1"/>
    <x v="3"/>
    <x v="1"/>
    <s v="UPI"/>
    <n v="22.7"/>
    <n v="11.46"/>
    <x v="3"/>
    <n v="0"/>
    <n v="260.14"/>
    <n v="134.91"/>
    <n v="9.23"/>
    <n v="1.82"/>
    <n v="7.84"/>
    <n v="0"/>
    <n v="0"/>
    <n v="153.80000000000001"/>
    <n v="106.34"/>
    <s v="Profit"/>
    <x v="0"/>
    <n v="29"/>
    <n v="11"/>
    <s v="16-30"/>
    <s v="Yes"/>
    <n v="1"/>
    <s v="At Risk"/>
    <n v="1"/>
  </r>
  <r>
    <n v="102729"/>
    <d v="2025-12-18T00:00:00"/>
    <n v="1147"/>
    <x v="0"/>
    <x v="1"/>
    <x v="0"/>
    <x v="1"/>
    <x v="0"/>
    <s v="UPI"/>
    <n v="33.71"/>
    <n v="15.45"/>
    <x v="3"/>
    <n v="0"/>
    <n v="520.82000000000005"/>
    <n v="239.82"/>
    <n v="11.64"/>
    <n v="3.65"/>
    <n v="7.83"/>
    <n v="0"/>
    <n v="0"/>
    <n v="262.94"/>
    <n v="257.88"/>
    <s v="Profit"/>
    <x v="0"/>
    <n v="8"/>
    <n v="8"/>
    <s v="0-15"/>
    <s v="No"/>
    <n v="0"/>
    <s v="Healthy"/>
    <n v="0"/>
  </r>
  <r>
    <n v="102730"/>
    <d v="2025-12-24T00:00:00"/>
    <n v="1041"/>
    <x v="0"/>
    <x v="0"/>
    <x v="1"/>
    <x v="2"/>
    <x v="1"/>
    <s v="UPI"/>
    <n v="22.09"/>
    <n v="16.96"/>
    <x v="3"/>
    <n v="0"/>
    <n v="374.65"/>
    <n v="178.82"/>
    <n v="7.35"/>
    <n v="2.62"/>
    <n v="8.9700000000000006"/>
    <n v="0"/>
    <n v="0"/>
    <n v="197.76"/>
    <n v="176.89"/>
    <s v="Profit"/>
    <x v="0"/>
    <n v="0"/>
    <n v="32"/>
    <s v="0-15"/>
    <s v="Yes"/>
    <n v="2"/>
    <s v="At Risk"/>
    <n v="1"/>
  </r>
  <r>
    <n v="102731"/>
    <d v="2025-10-31T00:00:00"/>
    <n v="1057"/>
    <x v="2"/>
    <x v="10"/>
    <x v="3"/>
    <x v="2"/>
    <x v="0"/>
    <s v="UPI"/>
    <n v="33.46"/>
    <n v="16.98"/>
    <x v="0"/>
    <n v="85.22"/>
    <n v="482.93"/>
    <n v="271.35000000000002"/>
    <n v="9.35"/>
    <n v="3.98"/>
    <n v="8.5399999999999991"/>
    <n v="0"/>
    <n v="0"/>
    <n v="293.22000000000003"/>
    <n v="189.71"/>
    <s v="Profit"/>
    <x v="0"/>
    <n v="43"/>
    <n v="17"/>
    <s v="30+"/>
    <s v="Yes"/>
    <n v="2"/>
    <s v="At Risk"/>
    <n v="1"/>
  </r>
  <r>
    <n v="102732"/>
    <d v="2025-10-27T00:00:00"/>
    <n v="1014"/>
    <x v="1"/>
    <x v="2"/>
    <x v="1"/>
    <x v="3"/>
    <x v="0"/>
    <s v="Wallet"/>
    <n v="6.38"/>
    <n v="12.47"/>
    <x v="2"/>
    <n v="7.96"/>
    <n v="71.599999999999994"/>
    <n v="34.9"/>
    <n v="5.99"/>
    <n v="0.95"/>
    <n v="3.52"/>
    <n v="0"/>
    <n v="0"/>
    <n v="45.36"/>
    <n v="26.24"/>
    <s v="Profit"/>
    <x v="0"/>
    <n v="7"/>
    <n v="0"/>
    <s v="0-15"/>
    <s v="No"/>
    <n v="0"/>
    <s v="Healthy"/>
    <n v="0"/>
  </r>
  <r>
    <n v="102733"/>
    <d v="2025-11-15T00:00:00"/>
    <n v="1027"/>
    <x v="1"/>
    <x v="2"/>
    <x v="0"/>
    <x v="2"/>
    <x v="2"/>
    <s v="Wallet"/>
    <n v="10.65"/>
    <n v="16.2"/>
    <x v="0"/>
    <n v="25.88"/>
    <n v="146.65"/>
    <n v="69.790000000000006"/>
    <n v="3.45"/>
    <n v="2.0699999999999998"/>
    <n v="13.92"/>
    <n v="0"/>
    <n v="0"/>
    <n v="89.23"/>
    <n v="57.42"/>
    <s v="Profit"/>
    <x v="0"/>
    <n v="5"/>
    <n v="2"/>
    <s v="0-15"/>
    <s v="No"/>
    <n v="0"/>
    <s v="Healthy"/>
    <n v="0"/>
  </r>
  <r>
    <n v="102734"/>
    <d v="2025-12-29T00:00:00"/>
    <n v="1009"/>
    <x v="1"/>
    <x v="2"/>
    <x v="3"/>
    <x v="3"/>
    <x v="2"/>
    <s v="UPI"/>
    <n v="19.87"/>
    <n v="12.86"/>
    <x v="3"/>
    <n v="0"/>
    <n v="255.53"/>
    <n v="126.9"/>
    <n v="10.1"/>
    <n v="1.79"/>
    <n v="6.42"/>
    <n v="0"/>
    <n v="0"/>
    <n v="145.21"/>
    <n v="110.32"/>
    <s v="Profit"/>
    <x v="0"/>
    <n v="2"/>
    <n v="3"/>
    <s v="0-15"/>
    <s v="No"/>
    <n v="0"/>
    <s v="Healthy"/>
    <n v="0"/>
  </r>
  <r>
    <n v="102735"/>
    <d v="2025-10-04T00:00:00"/>
    <n v="1077"/>
    <x v="2"/>
    <x v="9"/>
    <x v="0"/>
    <x v="1"/>
    <x v="2"/>
    <s v="Wallet"/>
    <n v="22.42"/>
    <n v="16.63"/>
    <x v="2"/>
    <n v="37.28"/>
    <n v="335.56"/>
    <n v="168.73"/>
    <n v="9.4"/>
    <n v="4.47"/>
    <n v="5.15"/>
    <n v="0"/>
    <n v="0"/>
    <n v="187.75"/>
    <n v="147.81"/>
    <s v="Profit"/>
    <x v="0"/>
    <n v="8"/>
    <n v="11"/>
    <s v="0-15"/>
    <s v="No"/>
    <n v="2"/>
    <s v="Healthy"/>
    <n v="0"/>
  </r>
  <r>
    <n v="102736"/>
    <d v="2025-11-09T00:00:00"/>
    <n v="1068"/>
    <x v="1"/>
    <x v="13"/>
    <x v="4"/>
    <x v="3"/>
    <x v="1"/>
    <s v="Card"/>
    <n v="4.6100000000000003"/>
    <n v="12.24"/>
    <x v="4"/>
    <n v="2.82"/>
    <n v="53.61"/>
    <n v="33.18"/>
    <n v="7.16"/>
    <n v="0.85"/>
    <n v="9.15"/>
    <n v="0"/>
    <n v="0"/>
    <n v="50.34"/>
    <n v="3.27"/>
    <s v="Profit"/>
    <x v="0"/>
    <n v="2"/>
    <n v="9"/>
    <s v="0-15"/>
    <s v="No"/>
    <n v="0"/>
    <s v="Healthy"/>
    <n v="0"/>
  </r>
  <r>
    <n v="102737"/>
    <d v="2025-11-20T00:00:00"/>
    <n v="1093"/>
    <x v="3"/>
    <x v="7"/>
    <x v="3"/>
    <x v="2"/>
    <x v="0"/>
    <s v="UPI"/>
    <n v="21.17"/>
    <n v="17.670000000000002"/>
    <x v="3"/>
    <n v="0"/>
    <n v="374.07"/>
    <n v="144.04"/>
    <n v="5.42"/>
    <n v="2.62"/>
    <n v="12.33"/>
    <n v="0"/>
    <n v="0"/>
    <n v="164.41"/>
    <n v="209.66"/>
    <s v="Profit"/>
    <x v="0"/>
    <n v="6"/>
    <n v="25"/>
    <s v="0-15"/>
    <s v="Yes"/>
    <n v="2"/>
    <s v="At Risk"/>
    <n v="1"/>
  </r>
  <r>
    <n v="102738"/>
    <d v="2025-11-02T00:00:00"/>
    <n v="1024"/>
    <x v="1"/>
    <x v="3"/>
    <x v="4"/>
    <x v="3"/>
    <x v="0"/>
    <s v="UPI"/>
    <n v="23.42"/>
    <n v="12.4"/>
    <x v="2"/>
    <n v="29.04"/>
    <n v="261.37"/>
    <n v="192.82"/>
    <n v="9.23"/>
    <n v="2.0299999999999998"/>
    <n v="11.07"/>
    <n v="0"/>
    <n v="0"/>
    <n v="215.15"/>
    <n v="46.22"/>
    <s v="Profit"/>
    <x v="0"/>
    <n v="25"/>
    <n v="5"/>
    <s v="16-30"/>
    <s v="Yes"/>
    <n v="1"/>
    <s v="At Risk"/>
    <n v="1"/>
  </r>
  <r>
    <n v="102739"/>
    <d v="2025-11-25T00:00:00"/>
    <n v="1093"/>
    <x v="1"/>
    <x v="3"/>
    <x v="1"/>
    <x v="3"/>
    <x v="2"/>
    <s v="Card"/>
    <n v="13.4"/>
    <n v="11.8"/>
    <x v="2"/>
    <n v="15.81"/>
    <n v="142.31"/>
    <n v="115.34"/>
    <n v="13.13"/>
    <n v="2.37"/>
    <n v="3.49"/>
    <n v="137.47999999999999"/>
    <n v="2.38"/>
    <n v="274.19"/>
    <n v="-131.88"/>
    <s v="Loss"/>
    <x v="2"/>
    <n v="10"/>
    <n v="3"/>
    <s v="0-15"/>
    <s v="No"/>
    <n v="2"/>
    <s v="At Risk"/>
    <n v="0"/>
  </r>
  <r>
    <n v="102740"/>
    <d v="2025-10-23T00:00:00"/>
    <n v="1037"/>
    <x v="3"/>
    <x v="15"/>
    <x v="0"/>
    <x v="1"/>
    <x v="2"/>
    <s v="UPI"/>
    <n v="39.93"/>
    <n v="15.56"/>
    <x v="2"/>
    <n v="62.13"/>
    <n v="559.17999999999995"/>
    <n v="289.16000000000003"/>
    <n v="12.85"/>
    <n v="4.3499999999999996"/>
    <n v="8.56"/>
    <n v="0"/>
    <n v="0"/>
    <n v="314.92"/>
    <n v="244.26"/>
    <s v="Profit"/>
    <x v="0"/>
    <n v="13"/>
    <n v="6"/>
    <s v="0-15"/>
    <s v="No"/>
    <n v="0"/>
    <s v="Healthy"/>
    <n v="0"/>
  </r>
  <r>
    <n v="102741"/>
    <d v="2025-11-14T00:00:00"/>
    <n v="1046"/>
    <x v="1"/>
    <x v="3"/>
    <x v="0"/>
    <x v="2"/>
    <x v="2"/>
    <s v="UPI"/>
    <n v="39.82"/>
    <n v="17.059999999999999"/>
    <x v="2"/>
    <n v="67.930000000000007"/>
    <n v="611.4"/>
    <n v="275.67"/>
    <n v="12.91"/>
    <n v="4.76"/>
    <n v="4.16"/>
    <n v="0"/>
    <n v="0"/>
    <n v="297.5"/>
    <n v="313.89999999999998"/>
    <s v="Profit"/>
    <x v="0"/>
    <n v="0"/>
    <n v="9"/>
    <s v="0-15"/>
    <s v="No"/>
    <n v="2"/>
    <s v="Healthy"/>
    <n v="0"/>
  </r>
  <r>
    <n v="102742"/>
    <d v="2025-12-20T00:00:00"/>
    <n v="1029"/>
    <x v="1"/>
    <x v="3"/>
    <x v="0"/>
    <x v="0"/>
    <x v="1"/>
    <s v="UPI"/>
    <n v="24.92"/>
    <n v="18.68"/>
    <x v="4"/>
    <n v="23.28"/>
    <n v="442.23"/>
    <n v="177.25"/>
    <n v="9.65"/>
    <n v="3.26"/>
    <n v="5.87"/>
    <n v="227.65"/>
    <n v="18.98"/>
    <n v="442.66"/>
    <n v="-0.43"/>
    <s v="Loss"/>
    <x v="2"/>
    <n v="18"/>
    <n v="14"/>
    <s v="16-30"/>
    <s v="No"/>
    <n v="1"/>
    <s v="At Risk"/>
    <n v="0"/>
  </r>
  <r>
    <n v="102743"/>
    <d v="2025-10-16T00:00:00"/>
    <n v="1055"/>
    <x v="0"/>
    <x v="11"/>
    <x v="2"/>
    <x v="3"/>
    <x v="0"/>
    <s v="UPI"/>
    <n v="7.92"/>
    <n v="12.35"/>
    <x v="3"/>
    <n v="0"/>
    <n v="97.81"/>
    <n v="49.78"/>
    <n v="8.4700000000000006"/>
    <n v="0.68"/>
    <n v="10.18"/>
    <n v="0"/>
    <n v="0"/>
    <n v="69.11"/>
    <n v="28.7"/>
    <s v="Profit"/>
    <x v="0"/>
    <n v="20"/>
    <n v="4"/>
    <s v="16-30"/>
    <s v="No"/>
    <n v="1"/>
    <s v="Healthy"/>
    <n v="0"/>
  </r>
  <r>
    <n v="102744"/>
    <d v="2025-10-06T00:00:00"/>
    <n v="1015"/>
    <x v="3"/>
    <x v="8"/>
    <x v="1"/>
    <x v="1"/>
    <x v="0"/>
    <s v="UPI"/>
    <n v="42.03"/>
    <n v="15.02"/>
    <x v="4"/>
    <n v="31.56"/>
    <n v="599.73"/>
    <n v="317.20999999999998"/>
    <n v="8.11"/>
    <n v="4.42"/>
    <n v="7.58"/>
    <n v="0"/>
    <n v="0"/>
    <n v="337.32"/>
    <n v="262.41000000000003"/>
    <s v="Profit"/>
    <x v="0"/>
    <n v="5"/>
    <n v="5"/>
    <s v="0-15"/>
    <s v="No"/>
    <n v="0"/>
    <s v="Healthy"/>
    <n v="0"/>
  </r>
  <r>
    <n v="102745"/>
    <d v="2025-12-10T00:00:00"/>
    <n v="1142"/>
    <x v="1"/>
    <x v="4"/>
    <x v="0"/>
    <x v="3"/>
    <x v="0"/>
    <s v="UPI"/>
    <n v="24.62"/>
    <n v="12.86"/>
    <x v="0"/>
    <n v="47.49"/>
    <n v="269.12"/>
    <n v="201.39"/>
    <n v="2.21"/>
    <n v="2.2200000000000002"/>
    <n v="7.04"/>
    <n v="204.1"/>
    <n v="0"/>
    <n v="416.96"/>
    <n v="-147.84"/>
    <s v="Loss"/>
    <x v="1"/>
    <n v="9"/>
    <n v="5"/>
    <s v="0-15"/>
    <s v="Yes"/>
    <n v="1"/>
    <s v="At Risk"/>
    <n v="1"/>
  </r>
  <r>
    <n v="102746"/>
    <d v="2025-12-11T00:00:00"/>
    <n v="1148"/>
    <x v="2"/>
    <x v="9"/>
    <x v="4"/>
    <x v="2"/>
    <x v="0"/>
    <s v="UPI"/>
    <n v="31.19"/>
    <n v="17.239999999999998"/>
    <x v="4"/>
    <n v="26.89"/>
    <n v="510.83"/>
    <n v="151.49"/>
    <n v="8.3000000000000007"/>
    <n v="3.76"/>
    <n v="13.03"/>
    <n v="0"/>
    <n v="0"/>
    <n v="176.58"/>
    <n v="334.25"/>
    <s v="Profit"/>
    <x v="0"/>
    <n v="9"/>
    <n v="2"/>
    <s v="0-15"/>
    <s v="No"/>
    <n v="0"/>
    <s v="Healthy"/>
    <n v="0"/>
  </r>
  <r>
    <n v="102747"/>
    <d v="2025-12-14T00:00:00"/>
    <n v="1078"/>
    <x v="0"/>
    <x v="1"/>
    <x v="4"/>
    <x v="2"/>
    <x v="0"/>
    <s v="UPI"/>
    <n v="27.2"/>
    <n v="17.39"/>
    <x v="3"/>
    <n v="0"/>
    <n v="473.01"/>
    <n v="194.36"/>
    <n v="6.6"/>
    <n v="3.31"/>
    <n v="5.18"/>
    <n v="0"/>
    <n v="0"/>
    <n v="209.45"/>
    <n v="263.56"/>
    <s v="Profit"/>
    <x v="0"/>
    <n v="16"/>
    <n v="2"/>
    <s v="16-30"/>
    <s v="No"/>
    <n v="0"/>
    <s v="Healthy"/>
    <n v="0"/>
  </r>
  <r>
    <n v="102748"/>
    <d v="2025-12-27T00:00:00"/>
    <n v="1005"/>
    <x v="0"/>
    <x v="1"/>
    <x v="0"/>
    <x v="0"/>
    <x v="2"/>
    <s v="UPI"/>
    <n v="19.48"/>
    <n v="18.93"/>
    <x v="4"/>
    <n v="18.440000000000001"/>
    <n v="350.32"/>
    <n v="155.54"/>
    <n v="8.9700000000000006"/>
    <n v="2.58"/>
    <n v="9.01"/>
    <n v="302.54000000000002"/>
    <n v="11.93"/>
    <n v="490.57"/>
    <n v="-140.25"/>
    <s v="Loss"/>
    <x v="1"/>
    <n v="17"/>
    <n v="10"/>
    <s v="16-30"/>
    <s v="Yes"/>
    <n v="1"/>
    <s v="At Risk"/>
    <n v="1"/>
  </r>
  <r>
    <n v="102749"/>
    <d v="2025-11-29T00:00:00"/>
    <n v="1061"/>
    <x v="2"/>
    <x v="10"/>
    <x v="2"/>
    <x v="2"/>
    <x v="2"/>
    <s v="Fleet_Invoice"/>
    <n v="32.08"/>
    <n v="18.29"/>
    <x v="2"/>
    <n v="58.67"/>
    <n v="528.07000000000005"/>
    <n v="240.43"/>
    <n v="12.81"/>
    <n v="2.35"/>
    <n v="5.37"/>
    <n v="0"/>
    <n v="0"/>
    <n v="260.95999999999998"/>
    <n v="267.11"/>
    <s v="Profit"/>
    <x v="0"/>
    <n v="26"/>
    <n v="2"/>
    <s v="16-30"/>
    <s v="Yes"/>
    <n v="1"/>
    <s v="At Risk"/>
    <n v="1"/>
  </r>
  <r>
    <n v="102750"/>
    <d v="2025-12-31T00:00:00"/>
    <n v="1140"/>
    <x v="0"/>
    <x v="0"/>
    <x v="2"/>
    <x v="2"/>
    <x v="2"/>
    <s v="Wallet"/>
    <n v="33.99"/>
    <n v="17.2"/>
    <x v="0"/>
    <n v="87.69"/>
    <n v="496.94"/>
    <n v="298.02999999999997"/>
    <n v="10.44"/>
    <n v="7.02"/>
    <n v="10.039999999999999"/>
    <n v="0"/>
    <n v="0"/>
    <n v="325.52999999999997"/>
    <n v="171.41"/>
    <s v="Profit"/>
    <x v="0"/>
    <n v="11"/>
    <n v="11"/>
    <s v="0-15"/>
    <s v="No"/>
    <n v="0"/>
    <s v="Healthy"/>
    <n v="0"/>
  </r>
  <r>
    <n v="102751"/>
    <d v="2025-10-16T00:00:00"/>
    <n v="1120"/>
    <x v="2"/>
    <x v="12"/>
    <x v="1"/>
    <x v="1"/>
    <x v="2"/>
    <s v="Wallet"/>
    <n v="31.87"/>
    <n v="15.17"/>
    <x v="3"/>
    <n v="0"/>
    <n v="483.47"/>
    <n v="233.59"/>
    <n v="11.18"/>
    <n v="5.8"/>
    <n v="10.35"/>
    <n v="0"/>
    <n v="0"/>
    <n v="260.92"/>
    <n v="222.55"/>
    <s v="Profit"/>
    <x v="0"/>
    <n v="5"/>
    <n v="18"/>
    <s v="0-15"/>
    <s v="Yes"/>
    <n v="2"/>
    <s v="At Risk"/>
    <n v="1"/>
  </r>
  <r>
    <n v="102752"/>
    <d v="2025-12-29T00:00:00"/>
    <n v="1123"/>
    <x v="3"/>
    <x v="14"/>
    <x v="3"/>
    <x v="1"/>
    <x v="0"/>
    <s v="Card"/>
    <n v="27.5"/>
    <n v="15.18"/>
    <x v="3"/>
    <n v="0"/>
    <n v="417.45"/>
    <n v="215.67"/>
    <n v="6.95"/>
    <n v="6.26"/>
    <n v="7.33"/>
    <n v="0"/>
    <n v="0"/>
    <n v="236.21"/>
    <n v="181.24"/>
    <s v="Profit"/>
    <x v="0"/>
    <n v="21"/>
    <n v="3"/>
    <s v="16-30"/>
    <s v="Yes"/>
    <n v="2"/>
    <s v="At Risk"/>
    <n v="1"/>
  </r>
  <r>
    <n v="102753"/>
    <d v="2025-12-15T00:00:00"/>
    <n v="1038"/>
    <x v="2"/>
    <x v="12"/>
    <x v="3"/>
    <x v="1"/>
    <x v="0"/>
    <s v="UPI"/>
    <n v="31.38"/>
    <n v="15.32"/>
    <x v="4"/>
    <n v="24.04"/>
    <n v="456.7"/>
    <n v="236.03"/>
    <n v="10.52"/>
    <n v="3.37"/>
    <n v="9.01"/>
    <n v="0"/>
    <n v="0"/>
    <n v="258.93"/>
    <n v="197.77"/>
    <s v="Profit"/>
    <x v="0"/>
    <n v="62"/>
    <n v="6"/>
    <s v="30+"/>
    <s v="Yes"/>
    <n v="3"/>
    <s v="At Risk"/>
    <n v="1"/>
  </r>
  <r>
    <n v="102754"/>
    <d v="2025-12-11T00:00:00"/>
    <n v="1103"/>
    <x v="1"/>
    <x v="3"/>
    <x v="4"/>
    <x v="3"/>
    <x v="2"/>
    <s v="UPI"/>
    <n v="15.86"/>
    <n v="12.72"/>
    <x v="2"/>
    <n v="20.170000000000002"/>
    <n v="181.57"/>
    <n v="109.12"/>
    <n v="6.41"/>
    <n v="1.41"/>
    <n v="13.91"/>
    <n v="177.98"/>
    <n v="17.7"/>
    <n v="326.52999999999997"/>
    <n v="-144.96"/>
    <s v="Loss"/>
    <x v="1"/>
    <n v="1"/>
    <n v="26"/>
    <s v="0-15"/>
    <s v="Yes"/>
    <n v="1"/>
    <s v="At Risk"/>
    <n v="1"/>
  </r>
  <r>
    <n v="102755"/>
    <d v="2025-11-18T00:00:00"/>
    <n v="1074"/>
    <x v="0"/>
    <x v="0"/>
    <x v="2"/>
    <x v="2"/>
    <x v="2"/>
    <s v="UPI"/>
    <n v="23.67"/>
    <n v="18.010000000000002"/>
    <x v="2"/>
    <n v="42.63"/>
    <n v="383.67"/>
    <n v="182.89"/>
    <n v="10.52"/>
    <n v="2.98"/>
    <n v="7.32"/>
    <n v="0"/>
    <n v="0"/>
    <n v="203.71"/>
    <n v="179.96"/>
    <s v="Profit"/>
    <x v="0"/>
    <n v="17"/>
    <n v="4"/>
    <s v="16-30"/>
    <s v="No"/>
    <n v="1"/>
    <s v="Healthy"/>
    <n v="0"/>
  </r>
  <r>
    <n v="102756"/>
    <d v="2025-11-21T00:00:00"/>
    <n v="1137"/>
    <x v="2"/>
    <x v="5"/>
    <x v="3"/>
    <x v="2"/>
    <x v="0"/>
    <s v="UPI"/>
    <n v="46.58"/>
    <n v="17.100000000000001"/>
    <x v="4"/>
    <n v="39.83"/>
    <n v="756.69"/>
    <n v="368.51"/>
    <n v="1"/>
    <n v="5.58"/>
    <n v="6.79"/>
    <n v="0"/>
    <n v="0"/>
    <n v="381.88"/>
    <n v="374.81"/>
    <s v="Profit"/>
    <x v="0"/>
    <n v="11"/>
    <n v="6"/>
    <s v="0-15"/>
    <s v="No"/>
    <n v="0"/>
    <s v="Healthy"/>
    <n v="0"/>
  </r>
  <r>
    <n v="102757"/>
    <d v="2025-11-03T00:00:00"/>
    <n v="1139"/>
    <x v="3"/>
    <x v="15"/>
    <x v="3"/>
    <x v="1"/>
    <x v="0"/>
    <s v="Card"/>
    <n v="22.88"/>
    <n v="15.03"/>
    <x v="2"/>
    <n v="34.39"/>
    <n v="309.5"/>
    <n v="167.74"/>
    <n v="8.7100000000000009"/>
    <n v="5.16"/>
    <n v="9.18"/>
    <n v="0"/>
    <n v="0"/>
    <n v="190.79"/>
    <n v="118.71"/>
    <s v="Profit"/>
    <x v="0"/>
    <n v="21"/>
    <n v="1"/>
    <s v="16-30"/>
    <s v="Yes"/>
    <n v="1"/>
    <s v="At Risk"/>
    <n v="1"/>
  </r>
  <r>
    <n v="102758"/>
    <d v="2025-11-12T00:00:00"/>
    <n v="1133"/>
    <x v="0"/>
    <x v="0"/>
    <x v="4"/>
    <x v="2"/>
    <x v="0"/>
    <s v="Wallet"/>
    <n v="32.25"/>
    <n v="18.690000000000001"/>
    <x v="0"/>
    <n v="90.41"/>
    <n v="512.34"/>
    <n v="215.41"/>
    <n v="3.39"/>
    <n v="7.23"/>
    <n v="5.69"/>
    <n v="0"/>
    <n v="0"/>
    <n v="231.72"/>
    <n v="280.62"/>
    <s v="Profit"/>
    <x v="0"/>
    <n v="7"/>
    <n v="3"/>
    <s v="0-15"/>
    <s v="No"/>
    <n v="0"/>
    <s v="Healthy"/>
    <n v="0"/>
  </r>
  <r>
    <n v="102759"/>
    <d v="2025-10-23T00:00:00"/>
    <n v="1104"/>
    <x v="1"/>
    <x v="13"/>
    <x v="0"/>
    <x v="0"/>
    <x v="0"/>
    <s v="UPI"/>
    <n v="37.130000000000003"/>
    <n v="20.399999999999999"/>
    <x v="3"/>
    <n v="0"/>
    <n v="757.45"/>
    <n v="295.86"/>
    <n v="6.56"/>
    <n v="5.3"/>
    <n v="11.82"/>
    <n v="0"/>
    <n v="0"/>
    <n v="319.54000000000002"/>
    <n v="437.91"/>
    <s v="Profit"/>
    <x v="0"/>
    <n v="34"/>
    <n v="10"/>
    <s v="30+"/>
    <s v="Yes"/>
    <n v="4"/>
    <s v="At Risk"/>
    <n v="1"/>
  </r>
  <r>
    <n v="102760"/>
    <d v="2025-12-18T00:00:00"/>
    <n v="1117"/>
    <x v="3"/>
    <x v="15"/>
    <x v="1"/>
    <x v="3"/>
    <x v="2"/>
    <s v="UPI"/>
    <n v="15.21"/>
    <n v="11.54"/>
    <x v="3"/>
    <n v="0"/>
    <n v="175.52"/>
    <n v="90.05"/>
    <n v="9.67"/>
    <n v="1.23"/>
    <n v="5.42"/>
    <n v="0"/>
    <n v="0"/>
    <n v="106.37"/>
    <n v="69.150000000000006"/>
    <s v="Profit"/>
    <x v="0"/>
    <n v="11"/>
    <n v="27"/>
    <s v="0-15"/>
    <s v="Yes"/>
    <n v="2"/>
    <s v="At Risk"/>
    <n v="1"/>
  </r>
  <r>
    <n v="102761"/>
    <d v="2025-11-22T00:00:00"/>
    <n v="1140"/>
    <x v="0"/>
    <x v="6"/>
    <x v="4"/>
    <x v="2"/>
    <x v="0"/>
    <s v="UPI"/>
    <n v="22.12"/>
    <n v="17.46"/>
    <x v="4"/>
    <n v="19.309999999999999"/>
    <n v="366.91"/>
    <n v="173.7"/>
    <n v="10.27"/>
    <n v="2.7"/>
    <n v="7.73"/>
    <n v="0"/>
    <n v="0"/>
    <n v="194.4"/>
    <n v="172.51"/>
    <s v="Profit"/>
    <x v="0"/>
    <n v="23"/>
    <n v="1"/>
    <s v="16-30"/>
    <s v="Yes"/>
    <n v="2"/>
    <s v="At Risk"/>
    <n v="1"/>
  </r>
  <r>
    <n v="102762"/>
    <d v="2025-10-22T00:00:00"/>
    <n v="1101"/>
    <x v="2"/>
    <x v="10"/>
    <x v="3"/>
    <x v="3"/>
    <x v="2"/>
    <s v="Wallet"/>
    <n v="24.57"/>
    <n v="12.59"/>
    <x v="2"/>
    <n v="30.93"/>
    <n v="278.41000000000003"/>
    <n v="173.47"/>
    <n v="7.98"/>
    <n v="3.71"/>
    <n v="4.47"/>
    <n v="0"/>
    <n v="0"/>
    <n v="189.63"/>
    <n v="88.78"/>
    <s v="Profit"/>
    <x v="0"/>
    <n v="4"/>
    <n v="0"/>
    <s v="0-15"/>
    <s v="No"/>
    <n v="0"/>
    <s v="Healthy"/>
    <n v="0"/>
  </r>
  <r>
    <n v="102763"/>
    <d v="2025-11-15T00:00:00"/>
    <n v="1086"/>
    <x v="3"/>
    <x v="14"/>
    <x v="1"/>
    <x v="1"/>
    <x v="0"/>
    <s v="Fleet_Invoice"/>
    <n v="32.18"/>
    <n v="17.940000000000001"/>
    <x v="1"/>
    <n v="115.46"/>
    <n v="461.85"/>
    <n v="167.1"/>
    <n v="5.0999999999999996"/>
    <n v="2.31"/>
    <n v="3.08"/>
    <n v="0"/>
    <n v="0"/>
    <n v="177.59"/>
    <n v="284.26"/>
    <s v="Profit"/>
    <x v="0"/>
    <n v="34"/>
    <n v="1"/>
    <s v="30+"/>
    <s v="Yes"/>
    <n v="1"/>
    <s v="At Risk"/>
    <n v="1"/>
  </r>
  <r>
    <n v="102764"/>
    <d v="2025-10-16T00:00:00"/>
    <n v="1086"/>
    <x v="0"/>
    <x v="1"/>
    <x v="4"/>
    <x v="3"/>
    <x v="0"/>
    <s v="Card"/>
    <n v="29.54"/>
    <n v="12.4"/>
    <x v="3"/>
    <n v="0"/>
    <n v="366.3"/>
    <n v="159.99"/>
    <n v="10.68"/>
    <n v="5.49"/>
    <n v="1.02"/>
    <n v="165.47"/>
    <n v="0"/>
    <n v="342.65"/>
    <n v="23.65"/>
    <s v="Profit"/>
    <x v="2"/>
    <n v="8"/>
    <n v="13"/>
    <s v="0-15"/>
    <s v="No"/>
    <n v="1"/>
    <s v="At Risk"/>
    <n v="0"/>
  </r>
  <r>
    <n v="102765"/>
    <d v="2025-12-14T00:00:00"/>
    <n v="1096"/>
    <x v="3"/>
    <x v="7"/>
    <x v="1"/>
    <x v="2"/>
    <x v="1"/>
    <s v="Card"/>
    <n v="36.15"/>
    <n v="17.47"/>
    <x v="4"/>
    <n v="31.58"/>
    <n v="599.96"/>
    <n v="232.42"/>
    <n v="3.99"/>
    <n v="9.4700000000000006"/>
    <n v="5.82"/>
    <n v="0"/>
    <n v="0"/>
    <n v="251.7"/>
    <n v="348.26"/>
    <s v="Profit"/>
    <x v="0"/>
    <n v="4"/>
    <n v="10"/>
    <s v="0-15"/>
    <s v="No"/>
    <n v="0"/>
    <s v="Healthy"/>
    <n v="0"/>
  </r>
  <r>
    <n v="102766"/>
    <d v="2025-12-15T00:00:00"/>
    <n v="1055"/>
    <x v="1"/>
    <x v="13"/>
    <x v="4"/>
    <x v="3"/>
    <x v="0"/>
    <s v="UPI"/>
    <n v="20.48"/>
    <n v="13.18"/>
    <x v="4"/>
    <n v="13.5"/>
    <n v="256.43"/>
    <n v="162.46"/>
    <n v="7.46"/>
    <n v="1.89"/>
    <n v="1.66"/>
    <n v="0"/>
    <n v="0"/>
    <n v="173.47"/>
    <n v="82.96"/>
    <s v="Profit"/>
    <x v="0"/>
    <n v="3"/>
    <n v="7"/>
    <s v="0-15"/>
    <s v="No"/>
    <n v="0"/>
    <s v="Healthy"/>
    <n v="0"/>
  </r>
  <r>
    <n v="102767"/>
    <d v="2025-12-18T00:00:00"/>
    <n v="1059"/>
    <x v="1"/>
    <x v="2"/>
    <x v="4"/>
    <x v="3"/>
    <x v="0"/>
    <s v="Fleet_Invoice"/>
    <n v="8.85"/>
    <n v="14.55"/>
    <x v="0"/>
    <n v="19.32"/>
    <n v="109.45"/>
    <n v="56.72"/>
    <n v="15.72"/>
    <n v="0.52"/>
    <n v="4.51"/>
    <n v="0"/>
    <n v="0"/>
    <n v="77.47"/>
    <n v="31.98"/>
    <s v="Profit"/>
    <x v="0"/>
    <n v="15"/>
    <n v="2"/>
    <s v="0-15"/>
    <s v="No"/>
    <n v="2"/>
    <s v="Healthy"/>
    <n v="0"/>
  </r>
  <r>
    <n v="102768"/>
    <d v="2025-12-04T00:00:00"/>
    <n v="1007"/>
    <x v="2"/>
    <x v="12"/>
    <x v="0"/>
    <x v="1"/>
    <x v="0"/>
    <s v="UPI"/>
    <n v="27.71"/>
    <n v="15.9"/>
    <x v="3"/>
    <n v="0"/>
    <n v="440.59"/>
    <n v="176.89"/>
    <n v="4.1100000000000003"/>
    <n v="3.08"/>
    <n v="12.27"/>
    <n v="0"/>
    <n v="0"/>
    <n v="196.35"/>
    <n v="244.24"/>
    <s v="Profit"/>
    <x v="0"/>
    <n v="4"/>
    <n v="1"/>
    <s v="0-15"/>
    <s v="No"/>
    <n v="0"/>
    <s v="Healthy"/>
    <n v="0"/>
  </r>
  <r>
    <n v="102769"/>
    <d v="2025-10-24T00:00:00"/>
    <n v="1140"/>
    <x v="0"/>
    <x v="0"/>
    <x v="4"/>
    <x v="3"/>
    <x v="0"/>
    <s v="Fleet_Invoice"/>
    <n v="9.8699999999999992"/>
    <n v="13.59"/>
    <x v="2"/>
    <n v="13.41"/>
    <n v="120.72"/>
    <n v="59.69"/>
    <n v="10.37"/>
    <n v="0.54"/>
    <n v="4.46"/>
    <n v="0"/>
    <n v="0"/>
    <n v="75.06"/>
    <n v="45.66"/>
    <s v="Profit"/>
    <x v="0"/>
    <n v="4"/>
    <n v="4"/>
    <s v="0-15"/>
    <s v="No"/>
    <n v="0"/>
    <s v="Healthy"/>
    <n v="0"/>
  </r>
  <r>
    <n v="102770"/>
    <d v="2025-10-11T00:00:00"/>
    <n v="1057"/>
    <x v="0"/>
    <x v="6"/>
    <x v="0"/>
    <x v="1"/>
    <x v="2"/>
    <s v="Wallet"/>
    <n v="26.88"/>
    <n v="16.010000000000002"/>
    <x v="4"/>
    <n v="21.52"/>
    <n v="408.83"/>
    <n v="192.15"/>
    <n v="10.75"/>
    <n v="5.16"/>
    <n v="4.3899999999999997"/>
    <n v="0"/>
    <n v="0"/>
    <n v="212.45"/>
    <n v="196.38"/>
    <s v="Profit"/>
    <x v="0"/>
    <n v="27"/>
    <n v="32"/>
    <s v="16-30"/>
    <s v="Yes"/>
    <n v="1"/>
    <s v="At Risk"/>
    <n v="1"/>
  </r>
  <r>
    <n v="102771"/>
    <d v="2025-10-11T00:00:00"/>
    <n v="1144"/>
    <x v="1"/>
    <x v="3"/>
    <x v="1"/>
    <x v="3"/>
    <x v="0"/>
    <s v="UPI"/>
    <n v="14"/>
    <n v="13.21"/>
    <x v="0"/>
    <n v="27.74"/>
    <n v="157.19999999999999"/>
    <n v="92.6"/>
    <n v="9.6300000000000008"/>
    <n v="1.29"/>
    <n v="4.78"/>
    <n v="0"/>
    <n v="0"/>
    <n v="108.3"/>
    <n v="48.9"/>
    <s v="Profit"/>
    <x v="0"/>
    <n v="9"/>
    <n v="5"/>
    <s v="0-15"/>
    <s v="No"/>
    <n v="0"/>
    <s v="Healthy"/>
    <n v="0"/>
  </r>
  <r>
    <n v="102772"/>
    <d v="2025-11-02T00:00:00"/>
    <n v="1119"/>
    <x v="1"/>
    <x v="2"/>
    <x v="1"/>
    <x v="3"/>
    <x v="0"/>
    <s v="UPI"/>
    <n v="26.81"/>
    <n v="12.48"/>
    <x v="3"/>
    <n v="0"/>
    <n v="334.59"/>
    <n v="193.5"/>
    <n v="8.86"/>
    <n v="2.34"/>
    <n v="11.8"/>
    <n v="0"/>
    <n v="0"/>
    <n v="216.5"/>
    <n v="118.09"/>
    <s v="Profit"/>
    <x v="0"/>
    <n v="2"/>
    <n v="3"/>
    <s v="0-15"/>
    <s v="No"/>
    <n v="0"/>
    <s v="Healthy"/>
    <n v="0"/>
  </r>
  <r>
    <n v="102773"/>
    <d v="2025-11-12T00:00:00"/>
    <n v="1043"/>
    <x v="1"/>
    <x v="4"/>
    <x v="0"/>
    <x v="2"/>
    <x v="0"/>
    <s v="UPI"/>
    <n v="23.4"/>
    <n v="17.59"/>
    <x v="3"/>
    <n v="0"/>
    <n v="411.61"/>
    <n v="186.15"/>
    <n v="9.32"/>
    <n v="2.88"/>
    <n v="12.39"/>
    <n v="0"/>
    <n v="0"/>
    <n v="210.74"/>
    <n v="200.87"/>
    <s v="Profit"/>
    <x v="0"/>
    <n v="5"/>
    <n v="7"/>
    <s v="0-15"/>
    <s v="No"/>
    <n v="0"/>
    <s v="Healthy"/>
    <n v="0"/>
  </r>
  <r>
    <n v="102774"/>
    <d v="2025-11-12T00:00:00"/>
    <n v="1040"/>
    <x v="1"/>
    <x v="4"/>
    <x v="4"/>
    <x v="1"/>
    <x v="0"/>
    <s v="Card"/>
    <n v="28.48"/>
    <n v="17.28"/>
    <x v="3"/>
    <n v="0"/>
    <n v="492.13"/>
    <n v="220.8"/>
    <n v="4.38"/>
    <n v="7.38"/>
    <n v="13.03"/>
    <n v="0"/>
    <n v="0"/>
    <n v="245.59"/>
    <n v="246.54"/>
    <s v="Profit"/>
    <x v="0"/>
    <n v="6"/>
    <n v="9"/>
    <s v="0-15"/>
    <s v="No"/>
    <n v="0"/>
    <s v="Healthy"/>
    <n v="0"/>
  </r>
  <r>
    <n v="102775"/>
    <d v="2025-10-20T00:00:00"/>
    <n v="1112"/>
    <x v="0"/>
    <x v="0"/>
    <x v="2"/>
    <x v="0"/>
    <x v="0"/>
    <s v="UPI"/>
    <n v="35.119999999999997"/>
    <n v="18.329999999999998"/>
    <x v="2"/>
    <n v="64.38"/>
    <n v="579.37"/>
    <n v="229.96"/>
    <n v="8.1999999999999993"/>
    <n v="4.51"/>
    <n v="5.74"/>
    <n v="0"/>
    <n v="0"/>
    <n v="248.41"/>
    <n v="330.96"/>
    <s v="Profit"/>
    <x v="0"/>
    <n v="3"/>
    <n v="1"/>
    <s v="0-15"/>
    <s v="No"/>
    <n v="0"/>
    <s v="Healthy"/>
    <n v="0"/>
  </r>
  <r>
    <n v="102776"/>
    <d v="2025-10-06T00:00:00"/>
    <n v="1075"/>
    <x v="1"/>
    <x v="3"/>
    <x v="4"/>
    <x v="3"/>
    <x v="0"/>
    <s v="UPI"/>
    <n v="14.39"/>
    <n v="12.73"/>
    <x v="3"/>
    <n v="0"/>
    <n v="183.18"/>
    <n v="112.87"/>
    <n v="12.42"/>
    <n v="1.28"/>
    <n v="10.84"/>
    <n v="0"/>
    <n v="0"/>
    <n v="137.41"/>
    <n v="45.77"/>
    <s v="Profit"/>
    <x v="0"/>
    <n v="4"/>
    <n v="8"/>
    <s v="0-15"/>
    <s v="No"/>
    <n v="0"/>
    <s v="Healthy"/>
    <n v="0"/>
  </r>
  <r>
    <n v="102777"/>
    <d v="2025-12-21T00:00:00"/>
    <n v="1014"/>
    <x v="3"/>
    <x v="14"/>
    <x v="1"/>
    <x v="1"/>
    <x v="1"/>
    <s v="Fleet_Invoice"/>
    <n v="12.31"/>
    <n v="15.04"/>
    <x v="1"/>
    <n v="37.03"/>
    <n v="148.11000000000001"/>
    <n v="75.42"/>
    <n v="8.6"/>
    <n v="0.74"/>
    <n v="11.93"/>
    <n v="0"/>
    <n v="0"/>
    <n v="96.69"/>
    <n v="51.42"/>
    <s v="Profit"/>
    <x v="0"/>
    <n v="3"/>
    <n v="23"/>
    <s v="0-15"/>
    <s v="Yes"/>
    <n v="2"/>
    <s v="At Risk"/>
    <n v="1"/>
  </r>
  <r>
    <n v="102778"/>
    <d v="2025-10-19T00:00:00"/>
    <n v="1128"/>
    <x v="2"/>
    <x v="12"/>
    <x v="1"/>
    <x v="0"/>
    <x v="2"/>
    <s v="UPI"/>
    <n v="35.96"/>
    <n v="19.239999999999998"/>
    <x v="4"/>
    <n v="34.590000000000003"/>
    <n v="657.28"/>
    <n v="231.14"/>
    <n v="6.51"/>
    <n v="4.84"/>
    <n v="4.71"/>
    <n v="0"/>
    <n v="0"/>
    <n v="247.2"/>
    <n v="410.08"/>
    <s v="Profit"/>
    <x v="0"/>
    <n v="9"/>
    <n v="1"/>
    <s v="0-15"/>
    <s v="No"/>
    <n v="0"/>
    <s v="Healthy"/>
    <n v="0"/>
  </r>
  <r>
    <n v="102779"/>
    <d v="2025-11-11T00:00:00"/>
    <n v="1019"/>
    <x v="1"/>
    <x v="3"/>
    <x v="1"/>
    <x v="1"/>
    <x v="0"/>
    <s v="Card"/>
    <n v="26.61"/>
    <n v="15.71"/>
    <x v="3"/>
    <n v="0"/>
    <n v="418.04"/>
    <n v="199.48"/>
    <n v="8.82"/>
    <n v="6.27"/>
    <n v="8.26"/>
    <n v="0"/>
    <n v="0"/>
    <n v="222.83"/>
    <n v="195.21"/>
    <s v="Profit"/>
    <x v="0"/>
    <n v="38"/>
    <n v="11"/>
    <s v="30+"/>
    <s v="Yes"/>
    <n v="3"/>
    <s v="At Risk"/>
    <n v="1"/>
  </r>
  <r>
    <n v="102780"/>
    <d v="2025-10-08T00:00:00"/>
    <n v="1075"/>
    <x v="1"/>
    <x v="13"/>
    <x v="4"/>
    <x v="3"/>
    <x v="0"/>
    <s v="UPI"/>
    <n v="24.96"/>
    <n v="12.05"/>
    <x v="3"/>
    <n v="0"/>
    <n v="300.77"/>
    <n v="202.84"/>
    <n v="9.9600000000000009"/>
    <n v="2.11"/>
    <n v="1.72"/>
    <n v="106.3"/>
    <n v="0"/>
    <n v="322.93"/>
    <n v="-22.16"/>
    <s v="Loss"/>
    <x v="1"/>
    <n v="4"/>
    <n v="20"/>
    <s v="0-15"/>
    <s v="Yes"/>
    <n v="1"/>
    <s v="At Risk"/>
    <n v="1"/>
  </r>
  <r>
    <n v="102781"/>
    <d v="2025-11-19T00:00:00"/>
    <n v="1143"/>
    <x v="3"/>
    <x v="15"/>
    <x v="0"/>
    <x v="1"/>
    <x v="0"/>
    <s v="UPI"/>
    <n v="48.98"/>
    <n v="16.98"/>
    <x v="3"/>
    <n v="0"/>
    <n v="831.68"/>
    <n v="340.02"/>
    <n v="5.52"/>
    <n v="5.82"/>
    <n v="9.09"/>
    <n v="0"/>
    <n v="0"/>
    <n v="360.45"/>
    <n v="471.23"/>
    <s v="Profit"/>
    <x v="0"/>
    <n v="3"/>
    <n v="12"/>
    <s v="0-15"/>
    <s v="No"/>
    <n v="0"/>
    <s v="Healthy"/>
    <n v="0"/>
  </r>
  <r>
    <n v="102782"/>
    <d v="2025-11-17T00:00:00"/>
    <n v="1039"/>
    <x v="0"/>
    <x v="6"/>
    <x v="2"/>
    <x v="1"/>
    <x v="1"/>
    <s v="Wallet"/>
    <n v="37.03"/>
    <n v="16.98"/>
    <x v="2"/>
    <n v="62.88"/>
    <n v="565.89"/>
    <n v="278.51"/>
    <n v="6.87"/>
    <n v="7.55"/>
    <n v="1.56"/>
    <n v="0"/>
    <n v="0"/>
    <n v="294.49"/>
    <n v="271.39999999999998"/>
    <s v="Profit"/>
    <x v="0"/>
    <n v="16"/>
    <n v="10"/>
    <s v="16-30"/>
    <s v="No"/>
    <n v="2"/>
    <s v="Healthy"/>
    <n v="0"/>
  </r>
  <r>
    <n v="102783"/>
    <d v="2025-10-14T00:00:00"/>
    <n v="1078"/>
    <x v="0"/>
    <x v="1"/>
    <x v="1"/>
    <x v="2"/>
    <x v="0"/>
    <s v="UPI"/>
    <n v="31.01"/>
    <n v="16.79"/>
    <x v="4"/>
    <n v="26.03"/>
    <n v="494.63"/>
    <n v="289.27"/>
    <n v="10.36"/>
    <n v="3.64"/>
    <n v="3.24"/>
    <n v="0"/>
    <n v="0"/>
    <n v="306.51"/>
    <n v="188.12"/>
    <s v="Profit"/>
    <x v="0"/>
    <n v="5"/>
    <n v="9"/>
    <s v="0-15"/>
    <s v="No"/>
    <n v="0"/>
    <s v="Healthy"/>
    <n v="0"/>
  </r>
  <r>
    <n v="102784"/>
    <d v="2025-11-01T00:00:00"/>
    <n v="1107"/>
    <x v="0"/>
    <x v="11"/>
    <x v="2"/>
    <x v="3"/>
    <x v="0"/>
    <s v="UPI"/>
    <n v="20.97"/>
    <n v="11.61"/>
    <x v="3"/>
    <n v="0"/>
    <n v="243.46"/>
    <n v="138.94"/>
    <n v="3.37"/>
    <n v="1.7"/>
    <n v="9.94"/>
    <n v="0"/>
    <n v="0"/>
    <n v="153.94999999999999"/>
    <n v="89.51"/>
    <s v="Profit"/>
    <x v="0"/>
    <n v="0"/>
    <n v="9"/>
    <s v="0-15"/>
    <s v="No"/>
    <n v="0"/>
    <s v="Healthy"/>
    <n v="0"/>
  </r>
  <r>
    <n v="102785"/>
    <d v="2025-10-26T00:00:00"/>
    <n v="1039"/>
    <x v="0"/>
    <x v="0"/>
    <x v="4"/>
    <x v="1"/>
    <x v="0"/>
    <s v="UPI"/>
    <n v="32.54"/>
    <n v="16.23"/>
    <x v="3"/>
    <n v="0"/>
    <n v="528.12"/>
    <n v="234.5"/>
    <n v="4.96"/>
    <n v="3.7"/>
    <n v="10.1"/>
    <n v="0"/>
    <n v="0"/>
    <n v="253.26"/>
    <n v="274.86"/>
    <s v="Profit"/>
    <x v="0"/>
    <n v="25"/>
    <n v="3"/>
    <s v="16-30"/>
    <s v="Yes"/>
    <n v="3"/>
    <s v="At Risk"/>
    <n v="1"/>
  </r>
  <r>
    <n v="102786"/>
    <d v="2025-12-01T00:00:00"/>
    <n v="1133"/>
    <x v="1"/>
    <x v="2"/>
    <x v="1"/>
    <x v="3"/>
    <x v="0"/>
    <s v="Fleet_Invoice"/>
    <n v="15.77"/>
    <n v="12.27"/>
    <x v="0"/>
    <n v="29.02"/>
    <n v="164.48"/>
    <n v="126.68"/>
    <n v="9.91"/>
    <n v="0.77"/>
    <n v="3.78"/>
    <n v="0"/>
    <n v="0"/>
    <n v="141.13999999999999"/>
    <n v="23.34"/>
    <s v="Profit"/>
    <x v="0"/>
    <n v="4"/>
    <n v="6"/>
    <s v="0-15"/>
    <s v="No"/>
    <n v="0"/>
    <s v="Healthy"/>
    <n v="0"/>
  </r>
  <r>
    <n v="102787"/>
    <d v="2025-12-19T00:00:00"/>
    <n v="1002"/>
    <x v="1"/>
    <x v="3"/>
    <x v="2"/>
    <x v="3"/>
    <x v="0"/>
    <s v="Wallet"/>
    <n v="21.65"/>
    <n v="12.13"/>
    <x v="3"/>
    <n v="0"/>
    <n v="262.61"/>
    <n v="161.04"/>
    <n v="11.3"/>
    <n v="3.15"/>
    <n v="2.71"/>
    <n v="0"/>
    <n v="0"/>
    <n v="178.2"/>
    <n v="84.41"/>
    <s v="Profit"/>
    <x v="0"/>
    <n v="11"/>
    <n v="3"/>
    <s v="0-15"/>
    <s v="No"/>
    <n v="2"/>
    <s v="Healthy"/>
    <n v="0"/>
  </r>
  <r>
    <n v="102788"/>
    <d v="2025-10-22T00:00:00"/>
    <n v="1146"/>
    <x v="1"/>
    <x v="13"/>
    <x v="3"/>
    <x v="1"/>
    <x v="2"/>
    <s v="Card"/>
    <n v="29.46"/>
    <n v="15.2"/>
    <x v="1"/>
    <n v="89.56"/>
    <n v="358.23"/>
    <n v="234.15"/>
    <n v="4.91"/>
    <n v="6.72"/>
    <n v="0.4"/>
    <n v="0"/>
    <n v="0"/>
    <n v="246.18"/>
    <n v="112.05"/>
    <s v="Profit"/>
    <x v="0"/>
    <n v="2"/>
    <n v="8"/>
    <s v="0-15"/>
    <s v="No"/>
    <n v="0"/>
    <s v="Healthy"/>
    <n v="0"/>
  </r>
  <r>
    <n v="102789"/>
    <d v="2025-12-19T00:00:00"/>
    <n v="1149"/>
    <x v="2"/>
    <x v="9"/>
    <x v="3"/>
    <x v="3"/>
    <x v="1"/>
    <s v="UPI"/>
    <n v="12.23"/>
    <n v="12.77"/>
    <x v="1"/>
    <n v="31.24"/>
    <n v="124.94"/>
    <n v="85.33"/>
    <n v="14.69"/>
    <n v="1.0900000000000001"/>
    <n v="9.57"/>
    <n v="72.739999999999995"/>
    <n v="20.85"/>
    <n v="204.27"/>
    <n v="-79.33"/>
    <s v="Loss"/>
    <x v="1"/>
    <n v="17"/>
    <n v="8"/>
    <s v="16-30"/>
    <s v="Yes"/>
    <n v="2"/>
    <s v="At Risk"/>
    <n v="1"/>
  </r>
  <r>
    <n v="102790"/>
    <d v="2025-11-20T00:00:00"/>
    <n v="1069"/>
    <x v="3"/>
    <x v="7"/>
    <x v="2"/>
    <x v="3"/>
    <x v="2"/>
    <s v="Fleet_Invoice"/>
    <n v="16.34"/>
    <n v="13.64"/>
    <x v="4"/>
    <n v="11.14"/>
    <n v="211.74"/>
    <n v="126.26"/>
    <n v="5.31"/>
    <n v="0.89"/>
    <n v="8.91"/>
    <n v="193.8"/>
    <n v="18.88"/>
    <n v="354.05"/>
    <n v="-142.31"/>
    <s v="Loss"/>
    <x v="1"/>
    <n v="2"/>
    <n v="17"/>
    <s v="0-15"/>
    <s v="Yes"/>
    <n v="2"/>
    <s v="At Risk"/>
    <n v="1"/>
  </r>
  <r>
    <n v="102791"/>
    <d v="2025-10-09T00:00:00"/>
    <n v="1069"/>
    <x v="2"/>
    <x v="9"/>
    <x v="0"/>
    <x v="3"/>
    <x v="0"/>
    <s v="Card"/>
    <n v="12.82"/>
    <n v="13.16"/>
    <x v="0"/>
    <n v="25.31"/>
    <n v="143.4"/>
    <n v="77.97"/>
    <n v="8.11"/>
    <n v="2.5299999999999998"/>
    <n v="9.74"/>
    <n v="108.65"/>
    <n v="0"/>
    <n v="207"/>
    <n v="-63.6"/>
    <s v="Loss"/>
    <x v="1"/>
    <n v="1"/>
    <n v="20"/>
    <s v="0-15"/>
    <s v="Yes"/>
    <n v="1"/>
    <s v="At Risk"/>
    <n v="1"/>
  </r>
  <r>
    <n v="102792"/>
    <d v="2025-10-08T00:00:00"/>
    <n v="1078"/>
    <x v="2"/>
    <x v="9"/>
    <x v="2"/>
    <x v="0"/>
    <x v="0"/>
    <s v="Card"/>
    <n v="25.31"/>
    <n v="20.32"/>
    <x v="4"/>
    <n v="25.72"/>
    <n v="488.58"/>
    <n v="152.88999999999999"/>
    <n v="5.41"/>
    <n v="7.71"/>
    <n v="13.98"/>
    <n v="0"/>
    <n v="0"/>
    <n v="179.99"/>
    <n v="308.58999999999997"/>
    <s v="Profit"/>
    <x v="0"/>
    <n v="24"/>
    <n v="0"/>
    <s v="16-30"/>
    <s v="Yes"/>
    <n v="1"/>
    <s v="At Risk"/>
    <n v="1"/>
  </r>
  <r>
    <n v="102793"/>
    <d v="2025-10-02T00:00:00"/>
    <n v="1062"/>
    <x v="1"/>
    <x v="4"/>
    <x v="1"/>
    <x v="2"/>
    <x v="0"/>
    <s v="UPI"/>
    <n v="24.37"/>
    <n v="16.600000000000001"/>
    <x v="3"/>
    <n v="0"/>
    <n v="404.54"/>
    <n v="142.66"/>
    <n v="2.08"/>
    <n v="2.83"/>
    <n v="11.77"/>
    <n v="0"/>
    <n v="0"/>
    <n v="159.34"/>
    <n v="245.2"/>
    <s v="Profit"/>
    <x v="0"/>
    <n v="0"/>
    <n v="11"/>
    <s v="0-15"/>
    <s v="No"/>
    <n v="0"/>
    <s v="Healthy"/>
    <n v="0"/>
  </r>
  <r>
    <n v="102794"/>
    <d v="2025-11-10T00:00:00"/>
    <n v="1047"/>
    <x v="1"/>
    <x v="13"/>
    <x v="3"/>
    <x v="3"/>
    <x v="2"/>
    <s v="Card"/>
    <n v="15.37"/>
    <n v="12.28"/>
    <x v="3"/>
    <n v="0"/>
    <n v="188.74"/>
    <n v="105.09"/>
    <n v="9.0299999999999994"/>
    <n v="2.83"/>
    <n v="3.34"/>
    <n v="0"/>
    <n v="0"/>
    <n v="120.29"/>
    <n v="68.45"/>
    <s v="Profit"/>
    <x v="0"/>
    <n v="2"/>
    <n v="10"/>
    <s v="0-15"/>
    <s v="No"/>
    <n v="0"/>
    <s v="Healthy"/>
    <n v="0"/>
  </r>
  <r>
    <n v="102795"/>
    <d v="2025-10-25T00:00:00"/>
    <n v="1083"/>
    <x v="0"/>
    <x v="0"/>
    <x v="4"/>
    <x v="1"/>
    <x v="0"/>
    <s v="UPI"/>
    <n v="28.38"/>
    <n v="14.99"/>
    <x v="2"/>
    <n v="42.54"/>
    <n v="382.88"/>
    <n v="187.34"/>
    <n v="7.99"/>
    <n v="2.98"/>
    <n v="4.67"/>
    <n v="0"/>
    <n v="0"/>
    <n v="202.98"/>
    <n v="179.9"/>
    <s v="Profit"/>
    <x v="0"/>
    <n v="9"/>
    <n v="0"/>
    <s v="0-15"/>
    <s v="No"/>
    <n v="0"/>
    <s v="Healthy"/>
    <n v="0"/>
  </r>
  <r>
    <n v="102796"/>
    <d v="2025-11-04T00:00:00"/>
    <n v="1051"/>
    <x v="0"/>
    <x v="11"/>
    <x v="3"/>
    <x v="2"/>
    <x v="0"/>
    <s v="UPI"/>
    <n v="27.54"/>
    <n v="16.63"/>
    <x v="2"/>
    <n v="45.8"/>
    <n v="412.19"/>
    <n v="174.67"/>
    <n v="10.32"/>
    <n v="3.21"/>
    <n v="1.33"/>
    <n v="0"/>
    <n v="0"/>
    <n v="189.53"/>
    <n v="222.66"/>
    <s v="Profit"/>
    <x v="0"/>
    <n v="7"/>
    <n v="3"/>
    <s v="0-15"/>
    <s v="No"/>
    <n v="0"/>
    <s v="Healthy"/>
    <n v="0"/>
  </r>
  <r>
    <n v="102797"/>
    <d v="2025-12-06T00:00:00"/>
    <n v="1112"/>
    <x v="0"/>
    <x v="11"/>
    <x v="0"/>
    <x v="1"/>
    <x v="0"/>
    <s v="Card"/>
    <n v="32.380000000000003"/>
    <n v="15.22"/>
    <x v="2"/>
    <n v="49.28"/>
    <n v="443.54"/>
    <n v="186.4"/>
    <n v="7.01"/>
    <n v="7.39"/>
    <n v="7.59"/>
    <n v="0"/>
    <n v="0"/>
    <n v="208.39"/>
    <n v="235.15"/>
    <s v="Profit"/>
    <x v="0"/>
    <n v="11"/>
    <n v="9"/>
    <s v="0-15"/>
    <s v="No"/>
    <n v="0"/>
    <s v="Healthy"/>
    <n v="0"/>
  </r>
  <r>
    <n v="102798"/>
    <d v="2025-12-29T00:00:00"/>
    <n v="1054"/>
    <x v="1"/>
    <x v="4"/>
    <x v="3"/>
    <x v="3"/>
    <x v="2"/>
    <s v="Wallet"/>
    <n v="24.43"/>
    <n v="13.33"/>
    <x v="3"/>
    <n v="0"/>
    <n v="325.64999999999998"/>
    <n v="151.57"/>
    <n v="4.95"/>
    <n v="3.91"/>
    <n v="0"/>
    <n v="131.38999999999999"/>
    <n v="19.41"/>
    <n v="311.23"/>
    <n v="14.42"/>
    <s v="Profit"/>
    <x v="1"/>
    <n v="23"/>
    <n v="38"/>
    <s v="16-30"/>
    <s v="Yes"/>
    <n v="3"/>
    <s v="At Risk"/>
    <n v="1"/>
  </r>
  <r>
    <n v="102799"/>
    <d v="2025-10-23T00:00:00"/>
    <n v="1142"/>
    <x v="0"/>
    <x v="0"/>
    <x v="2"/>
    <x v="2"/>
    <x v="1"/>
    <s v="Wallet"/>
    <n v="35.83"/>
    <n v="18.91"/>
    <x v="3"/>
    <n v="0"/>
    <n v="677.55"/>
    <n v="286.45"/>
    <n v="13.11"/>
    <n v="8.1300000000000008"/>
    <n v="1.75"/>
    <n v="0"/>
    <n v="0"/>
    <n v="309.44"/>
    <n v="368.11"/>
    <s v="Profit"/>
    <x v="0"/>
    <n v="0"/>
    <n v="10"/>
    <s v="0-15"/>
    <s v="No"/>
    <n v="0"/>
    <s v="Healthy"/>
    <n v="0"/>
  </r>
  <r>
    <n v="102800"/>
    <d v="2025-11-19T00:00:00"/>
    <n v="1093"/>
    <x v="1"/>
    <x v="3"/>
    <x v="1"/>
    <x v="3"/>
    <x v="1"/>
    <s v="Card"/>
    <n v="30.67"/>
    <n v="13.67"/>
    <x v="3"/>
    <n v="0"/>
    <n v="419.26"/>
    <n v="254.71"/>
    <n v="3.57"/>
    <n v="6.29"/>
    <n v="3.25"/>
    <n v="0"/>
    <n v="0"/>
    <n v="267.82"/>
    <n v="151.44"/>
    <s v="Profit"/>
    <x v="0"/>
    <n v="6"/>
    <n v="25"/>
    <s v="0-15"/>
    <s v="Yes"/>
    <n v="1"/>
    <s v="At Risk"/>
    <n v="1"/>
  </r>
  <r>
    <n v="102801"/>
    <d v="2025-11-25T00:00:00"/>
    <n v="1025"/>
    <x v="1"/>
    <x v="4"/>
    <x v="4"/>
    <x v="1"/>
    <x v="0"/>
    <s v="UPI"/>
    <n v="29.66"/>
    <n v="15.19"/>
    <x v="4"/>
    <n v="22.53"/>
    <n v="428.01"/>
    <n v="197.49"/>
    <n v="9.11"/>
    <n v="3.15"/>
    <n v="0"/>
    <n v="0"/>
    <n v="0"/>
    <n v="209.75"/>
    <n v="218.26"/>
    <s v="Profit"/>
    <x v="0"/>
    <n v="7"/>
    <n v="7"/>
    <s v="0-15"/>
    <s v="No"/>
    <n v="0"/>
    <s v="Healthy"/>
    <n v="0"/>
  </r>
  <r>
    <n v="102802"/>
    <d v="2025-11-06T00:00:00"/>
    <n v="1141"/>
    <x v="0"/>
    <x v="11"/>
    <x v="2"/>
    <x v="2"/>
    <x v="2"/>
    <s v="Card"/>
    <n v="24.72"/>
    <n v="17.77"/>
    <x v="2"/>
    <n v="43.93"/>
    <n v="395.34"/>
    <n v="147.5"/>
    <n v="12.74"/>
    <n v="6.59"/>
    <n v="1.39"/>
    <n v="0"/>
    <n v="0"/>
    <n v="168.22"/>
    <n v="227.12"/>
    <s v="Profit"/>
    <x v="0"/>
    <n v="6"/>
    <n v="3"/>
    <s v="0-15"/>
    <s v="No"/>
    <n v="0"/>
    <s v="Healthy"/>
    <n v="0"/>
  </r>
  <r>
    <n v="102803"/>
    <d v="2025-12-02T00:00:00"/>
    <n v="1104"/>
    <x v="2"/>
    <x v="12"/>
    <x v="3"/>
    <x v="1"/>
    <x v="0"/>
    <s v="UPI"/>
    <n v="21.55"/>
    <n v="15.27"/>
    <x v="3"/>
    <n v="0"/>
    <n v="329.07"/>
    <n v="184.21"/>
    <n v="10.71"/>
    <n v="2.2999999999999998"/>
    <n v="1.64"/>
    <n v="0"/>
    <n v="0"/>
    <n v="198.86"/>
    <n v="130.21"/>
    <s v="Profit"/>
    <x v="0"/>
    <n v="4"/>
    <n v="6"/>
    <s v="0-15"/>
    <s v="No"/>
    <n v="1"/>
    <s v="Healthy"/>
    <n v="0"/>
  </r>
  <r>
    <n v="102804"/>
    <d v="2025-10-30T00:00:00"/>
    <n v="1128"/>
    <x v="2"/>
    <x v="5"/>
    <x v="3"/>
    <x v="2"/>
    <x v="0"/>
    <s v="UPI"/>
    <n v="38.07"/>
    <n v="17.510000000000002"/>
    <x v="3"/>
    <n v="0"/>
    <n v="666.61"/>
    <n v="300.98"/>
    <n v="12.43"/>
    <n v="4.67"/>
    <n v="5.9"/>
    <n v="0"/>
    <n v="0"/>
    <n v="323.98"/>
    <n v="342.63"/>
    <s v="Profit"/>
    <x v="0"/>
    <n v="27"/>
    <n v="10"/>
    <s v="16-30"/>
    <s v="Yes"/>
    <n v="1"/>
    <s v="At Risk"/>
    <n v="1"/>
  </r>
  <r>
    <n v="102805"/>
    <d v="2025-11-07T00:00:00"/>
    <n v="1135"/>
    <x v="2"/>
    <x v="9"/>
    <x v="4"/>
    <x v="1"/>
    <x v="0"/>
    <s v="UPI"/>
    <n v="29.44"/>
    <n v="14.26"/>
    <x v="1"/>
    <n v="83.96"/>
    <n v="335.85"/>
    <n v="181.24"/>
    <n v="11.29"/>
    <n v="2.94"/>
    <n v="7.07"/>
    <n v="0"/>
    <n v="0"/>
    <n v="202.54"/>
    <n v="133.31"/>
    <s v="Profit"/>
    <x v="0"/>
    <n v="13"/>
    <n v="14"/>
    <s v="0-15"/>
    <s v="No"/>
    <n v="0"/>
    <s v="Healthy"/>
    <n v="0"/>
  </r>
  <r>
    <n v="102806"/>
    <d v="2025-10-30T00:00:00"/>
    <n v="1109"/>
    <x v="1"/>
    <x v="3"/>
    <x v="1"/>
    <x v="3"/>
    <x v="2"/>
    <s v="UPI"/>
    <n v="23.6"/>
    <n v="15.27"/>
    <x v="2"/>
    <n v="36.04"/>
    <n v="324.33"/>
    <n v="205.75"/>
    <n v="8.31"/>
    <n v="2.52"/>
    <n v="8.69"/>
    <n v="256.62"/>
    <n v="16.690000000000001"/>
    <n v="498.58"/>
    <n v="-174.25"/>
    <s v="Loss"/>
    <x v="1"/>
    <n v="1"/>
    <n v="12"/>
    <s v="0-15"/>
    <s v="Yes"/>
    <n v="3"/>
    <s v="At Risk"/>
    <n v="1"/>
  </r>
  <r>
    <n v="102807"/>
    <d v="2025-12-22T00:00:00"/>
    <n v="1113"/>
    <x v="0"/>
    <x v="6"/>
    <x v="2"/>
    <x v="1"/>
    <x v="0"/>
    <s v="Wallet"/>
    <n v="38.299999999999997"/>
    <n v="15.1"/>
    <x v="3"/>
    <n v="0"/>
    <n v="578.33000000000004"/>
    <n v="263.23"/>
    <n v="11.32"/>
    <n v="6.94"/>
    <n v="6.37"/>
    <n v="0"/>
    <n v="0"/>
    <n v="287.86"/>
    <n v="290.47000000000003"/>
    <s v="Profit"/>
    <x v="0"/>
    <n v="12"/>
    <n v="1"/>
    <s v="0-15"/>
    <s v="No"/>
    <n v="1"/>
    <s v="Healthy"/>
    <n v="0"/>
  </r>
  <r>
    <n v="102808"/>
    <d v="2025-12-10T00:00:00"/>
    <n v="1045"/>
    <x v="3"/>
    <x v="7"/>
    <x v="4"/>
    <x v="1"/>
    <x v="0"/>
    <s v="UPI"/>
    <n v="16.649999999999999"/>
    <n v="14.83"/>
    <x v="3"/>
    <n v="0"/>
    <n v="246.92"/>
    <n v="120.25"/>
    <n v="6.63"/>
    <n v="1.73"/>
    <n v="3.93"/>
    <n v="0"/>
    <n v="0"/>
    <n v="132.54"/>
    <n v="114.38"/>
    <s v="Profit"/>
    <x v="0"/>
    <n v="10"/>
    <n v="11"/>
    <s v="0-15"/>
    <s v="No"/>
    <n v="0"/>
    <s v="Healthy"/>
    <n v="0"/>
  </r>
  <r>
    <n v="102809"/>
    <d v="2025-11-12T00:00:00"/>
    <n v="1005"/>
    <x v="0"/>
    <x v="1"/>
    <x v="1"/>
    <x v="2"/>
    <x v="0"/>
    <s v="UPI"/>
    <n v="30.92"/>
    <n v="17.64"/>
    <x v="2"/>
    <n v="54.54"/>
    <n v="490.89"/>
    <n v="218"/>
    <n v="11.36"/>
    <n v="3.82"/>
    <n v="5.25"/>
    <n v="215.67"/>
    <n v="0"/>
    <n v="454.1"/>
    <n v="36.79"/>
    <s v="Profit"/>
    <x v="1"/>
    <n v="13"/>
    <n v="13"/>
    <s v="0-15"/>
    <s v="Yes"/>
    <n v="1"/>
    <s v="At Risk"/>
    <n v="1"/>
  </r>
  <r>
    <n v="102810"/>
    <d v="2025-12-07T00:00:00"/>
    <n v="1113"/>
    <x v="1"/>
    <x v="13"/>
    <x v="1"/>
    <x v="3"/>
    <x v="0"/>
    <s v="UPI"/>
    <n v="21.55"/>
    <n v="14.58"/>
    <x v="2"/>
    <n v="31.42"/>
    <n v="282.77999999999997"/>
    <n v="166.52"/>
    <n v="6.28"/>
    <n v="2.2000000000000002"/>
    <n v="4.0999999999999996"/>
    <n v="0"/>
    <n v="0"/>
    <n v="179.1"/>
    <n v="103.68"/>
    <s v="Profit"/>
    <x v="0"/>
    <n v="2"/>
    <n v="5"/>
    <s v="0-15"/>
    <s v="No"/>
    <n v="0"/>
    <s v="Healthy"/>
    <n v="0"/>
  </r>
  <r>
    <n v="102811"/>
    <d v="2025-11-03T00:00:00"/>
    <n v="1043"/>
    <x v="2"/>
    <x v="10"/>
    <x v="4"/>
    <x v="3"/>
    <x v="0"/>
    <s v="UPI"/>
    <n v="22.6"/>
    <n v="12.54"/>
    <x v="3"/>
    <n v="0"/>
    <n v="283.39999999999998"/>
    <n v="149.38"/>
    <n v="10.3"/>
    <n v="1.98"/>
    <n v="3.92"/>
    <n v="0"/>
    <n v="0"/>
    <n v="165.58"/>
    <n v="117.82"/>
    <s v="Profit"/>
    <x v="0"/>
    <n v="15"/>
    <n v="11"/>
    <s v="0-15"/>
    <s v="No"/>
    <n v="0"/>
    <s v="Healthy"/>
    <n v="0"/>
  </r>
  <r>
    <n v="102812"/>
    <d v="2025-10-11T00:00:00"/>
    <n v="1112"/>
    <x v="2"/>
    <x v="12"/>
    <x v="3"/>
    <x v="3"/>
    <x v="0"/>
    <s v="UPI"/>
    <n v="5.26"/>
    <n v="12.27"/>
    <x v="2"/>
    <n v="6.45"/>
    <n v="58.09"/>
    <n v="43.69"/>
    <n v="6.9"/>
    <n v="0.45"/>
    <n v="7.29"/>
    <n v="0"/>
    <n v="0"/>
    <n v="58.33"/>
    <n v="-0.24"/>
    <s v="Loss"/>
    <x v="0"/>
    <n v="10"/>
    <n v="10"/>
    <s v="0-15"/>
    <s v="No"/>
    <n v="0"/>
    <s v="Healthy"/>
    <n v="0"/>
  </r>
  <r>
    <n v="102813"/>
    <d v="2025-10-07T00:00:00"/>
    <n v="1148"/>
    <x v="2"/>
    <x v="10"/>
    <x v="2"/>
    <x v="2"/>
    <x v="0"/>
    <s v="UPI"/>
    <n v="17.93"/>
    <n v="18.64"/>
    <x v="4"/>
    <n v="16.71"/>
    <n v="317.51"/>
    <n v="118.28"/>
    <n v="11.87"/>
    <n v="2.34"/>
    <n v="7.62"/>
    <n v="0"/>
    <n v="0"/>
    <n v="140.11000000000001"/>
    <n v="177.4"/>
    <s v="Profit"/>
    <x v="0"/>
    <n v="1"/>
    <n v="22"/>
    <s v="0-15"/>
    <s v="Yes"/>
    <n v="2"/>
    <s v="At Risk"/>
    <n v="1"/>
  </r>
  <r>
    <n v="102814"/>
    <d v="2025-12-17T00:00:00"/>
    <n v="1042"/>
    <x v="2"/>
    <x v="5"/>
    <x v="0"/>
    <x v="3"/>
    <x v="0"/>
    <s v="Card"/>
    <n v="6.01"/>
    <n v="12.31"/>
    <x v="2"/>
    <n v="7.4"/>
    <n v="66.58"/>
    <n v="48.2"/>
    <n v="3.92"/>
    <n v="1.1100000000000001"/>
    <n v="5.5"/>
    <n v="0"/>
    <n v="0"/>
    <n v="58.73"/>
    <n v="7.85"/>
    <s v="Profit"/>
    <x v="0"/>
    <n v="18"/>
    <n v="11"/>
    <s v="16-30"/>
    <s v="No"/>
    <n v="0"/>
    <s v="Healthy"/>
    <n v="0"/>
  </r>
  <r>
    <n v="102815"/>
    <d v="2025-10-23T00:00:00"/>
    <n v="1008"/>
    <x v="0"/>
    <x v="6"/>
    <x v="1"/>
    <x v="1"/>
    <x v="0"/>
    <s v="UPI"/>
    <n v="29.12"/>
    <n v="15.79"/>
    <x v="2"/>
    <n v="45.98"/>
    <n v="413.82"/>
    <n v="215.38"/>
    <n v="11.3"/>
    <n v="3.22"/>
    <n v="5.67"/>
    <n v="0"/>
    <n v="0"/>
    <n v="235.57"/>
    <n v="178.25"/>
    <s v="Profit"/>
    <x v="0"/>
    <n v="75"/>
    <n v="19"/>
    <s v="30+"/>
    <s v="Yes"/>
    <n v="1"/>
    <s v="At Risk"/>
    <n v="1"/>
  </r>
  <r>
    <n v="102816"/>
    <d v="2025-12-11T00:00:00"/>
    <n v="1007"/>
    <x v="1"/>
    <x v="4"/>
    <x v="2"/>
    <x v="1"/>
    <x v="0"/>
    <s v="Fleet_Invoice"/>
    <n v="33.96"/>
    <n v="15.94"/>
    <x v="3"/>
    <n v="0"/>
    <n v="541.32000000000005"/>
    <n v="209.07"/>
    <n v="7.87"/>
    <n v="2.17"/>
    <n v="5.68"/>
    <n v="418.07"/>
    <n v="0"/>
    <n v="642.86"/>
    <n v="-101.54"/>
    <s v="Loss"/>
    <x v="1"/>
    <n v="0"/>
    <n v="3"/>
    <s v="0-15"/>
    <s v="Yes"/>
    <n v="3"/>
    <s v="At Risk"/>
    <n v="1"/>
  </r>
  <r>
    <n v="102817"/>
    <d v="2025-10-04T00:00:00"/>
    <n v="1123"/>
    <x v="0"/>
    <x v="1"/>
    <x v="4"/>
    <x v="3"/>
    <x v="1"/>
    <s v="UPI"/>
    <n v="17.43"/>
    <n v="12.81"/>
    <x v="0"/>
    <n v="33.49"/>
    <n v="189.79"/>
    <n v="107.25"/>
    <n v="9.52"/>
    <n v="1.56"/>
    <n v="3.08"/>
    <n v="0"/>
    <n v="0"/>
    <n v="121.41"/>
    <n v="68.38"/>
    <s v="Profit"/>
    <x v="0"/>
    <n v="22"/>
    <n v="15"/>
    <s v="16-30"/>
    <s v="Yes"/>
    <n v="1"/>
    <s v="At Risk"/>
    <n v="1"/>
  </r>
  <r>
    <n v="102818"/>
    <d v="2025-10-11T00:00:00"/>
    <n v="1095"/>
    <x v="1"/>
    <x v="4"/>
    <x v="0"/>
    <x v="1"/>
    <x v="2"/>
    <s v="UPI"/>
    <n v="22.4"/>
    <n v="15.22"/>
    <x v="2"/>
    <n v="34.090000000000003"/>
    <n v="306.83999999999997"/>
    <n v="171.3"/>
    <n v="10.14"/>
    <n v="2.39"/>
    <n v="6.64"/>
    <n v="0"/>
    <n v="0"/>
    <n v="190.47"/>
    <n v="116.37"/>
    <s v="Profit"/>
    <x v="0"/>
    <n v="13"/>
    <n v="9"/>
    <s v="0-15"/>
    <s v="No"/>
    <n v="0"/>
    <s v="Healthy"/>
    <n v="0"/>
  </r>
  <r>
    <n v="102819"/>
    <d v="2025-10-08T00:00:00"/>
    <n v="1083"/>
    <x v="1"/>
    <x v="4"/>
    <x v="3"/>
    <x v="3"/>
    <x v="1"/>
    <s v="UPI"/>
    <n v="16.420000000000002"/>
    <n v="12.51"/>
    <x v="0"/>
    <n v="30.81"/>
    <n v="174.6"/>
    <n v="130.01"/>
    <n v="5.31"/>
    <n v="1.44"/>
    <n v="4.0599999999999996"/>
    <n v="0"/>
    <n v="0"/>
    <n v="140.82"/>
    <n v="33.78"/>
    <s v="Profit"/>
    <x v="0"/>
    <n v="2"/>
    <n v="5"/>
    <s v="0-15"/>
    <s v="No"/>
    <n v="0"/>
    <s v="Healthy"/>
    <n v="0"/>
  </r>
  <r>
    <n v="102820"/>
    <d v="2025-11-15T00:00:00"/>
    <n v="1087"/>
    <x v="2"/>
    <x v="9"/>
    <x v="4"/>
    <x v="1"/>
    <x v="0"/>
    <s v="Card"/>
    <n v="30.52"/>
    <n v="15.22"/>
    <x v="0"/>
    <n v="69.680000000000007"/>
    <n v="394.83"/>
    <n v="220.5"/>
    <n v="7.82"/>
    <n v="6.97"/>
    <n v="10.36"/>
    <n v="0"/>
    <n v="0"/>
    <n v="245.65"/>
    <n v="149.18"/>
    <s v="Profit"/>
    <x v="0"/>
    <n v="3"/>
    <n v="1"/>
    <s v="0-15"/>
    <s v="No"/>
    <n v="0"/>
    <s v="Healthy"/>
    <n v="0"/>
  </r>
  <r>
    <n v="102821"/>
    <d v="2025-10-24T00:00:00"/>
    <n v="1031"/>
    <x v="1"/>
    <x v="2"/>
    <x v="2"/>
    <x v="3"/>
    <x v="2"/>
    <s v="UPI"/>
    <n v="11.44"/>
    <n v="11.97"/>
    <x v="2"/>
    <n v="13.69"/>
    <n v="123.25"/>
    <n v="88.92"/>
    <n v="3.49"/>
    <n v="0.96"/>
    <n v="10.17"/>
    <n v="107.99"/>
    <n v="3.63"/>
    <n v="215.16"/>
    <n v="-91.91"/>
    <s v="Loss"/>
    <x v="2"/>
    <n v="12"/>
    <n v="12"/>
    <s v="0-15"/>
    <s v="No"/>
    <n v="2"/>
    <s v="At Risk"/>
    <n v="0"/>
  </r>
  <r>
    <n v="102822"/>
    <d v="2025-10-01T00:00:00"/>
    <n v="1096"/>
    <x v="3"/>
    <x v="7"/>
    <x v="2"/>
    <x v="3"/>
    <x v="0"/>
    <s v="Fleet_Invoice"/>
    <n v="5.01"/>
    <n v="12.4"/>
    <x v="4"/>
    <n v="3.11"/>
    <n v="59.01"/>
    <n v="34.99"/>
    <n v="5.92"/>
    <n v="0.25"/>
    <n v="10.67"/>
    <n v="41.77"/>
    <n v="0"/>
    <n v="93.6"/>
    <n v="-34.590000000000003"/>
    <s v="Loss"/>
    <x v="1"/>
    <n v="2"/>
    <n v="2"/>
    <s v="0-15"/>
    <s v="Yes"/>
    <n v="3"/>
    <s v="At Risk"/>
    <n v="1"/>
  </r>
  <r>
    <n v="102823"/>
    <d v="2025-11-10T00:00:00"/>
    <n v="1120"/>
    <x v="2"/>
    <x v="12"/>
    <x v="2"/>
    <x v="3"/>
    <x v="1"/>
    <s v="UPI"/>
    <n v="18.75"/>
    <n v="12.96"/>
    <x v="4"/>
    <n v="12.15"/>
    <n v="230.85"/>
    <n v="110.81"/>
    <n v="9.32"/>
    <n v="1.7"/>
    <n v="0"/>
    <n v="0"/>
    <n v="0"/>
    <n v="121.83"/>
    <n v="109.02"/>
    <s v="Profit"/>
    <x v="0"/>
    <n v="13"/>
    <n v="9"/>
    <s v="0-15"/>
    <s v="No"/>
    <n v="0"/>
    <s v="Healthy"/>
    <n v="0"/>
  </r>
  <r>
    <n v="102824"/>
    <d v="2025-11-09T00:00:00"/>
    <n v="1004"/>
    <x v="2"/>
    <x v="12"/>
    <x v="1"/>
    <x v="3"/>
    <x v="1"/>
    <s v="Wallet"/>
    <n v="22.08"/>
    <n v="14.54"/>
    <x v="4"/>
    <n v="16.05"/>
    <n v="304.99"/>
    <n v="210.99"/>
    <n v="7.41"/>
    <n v="3.85"/>
    <n v="4.51"/>
    <n v="0"/>
    <n v="0"/>
    <n v="226.76"/>
    <n v="78.23"/>
    <s v="Profit"/>
    <x v="0"/>
    <n v="4"/>
    <n v="3"/>
    <s v="0-15"/>
    <s v="No"/>
    <n v="1"/>
    <s v="Healthy"/>
    <n v="0"/>
  </r>
  <r>
    <n v="102825"/>
    <d v="2025-11-30T00:00:00"/>
    <n v="1094"/>
    <x v="1"/>
    <x v="13"/>
    <x v="1"/>
    <x v="1"/>
    <x v="0"/>
    <s v="UPI"/>
    <n v="32.340000000000003"/>
    <n v="15.13"/>
    <x v="3"/>
    <n v="0"/>
    <n v="489.3"/>
    <n v="216.93"/>
    <n v="6.9"/>
    <n v="3.43"/>
    <n v="9.56"/>
    <n v="0"/>
    <n v="0"/>
    <n v="236.82"/>
    <n v="252.48"/>
    <s v="Profit"/>
    <x v="0"/>
    <n v="7"/>
    <n v="2"/>
    <s v="0-15"/>
    <s v="No"/>
    <n v="0"/>
    <s v="Healthy"/>
    <n v="0"/>
  </r>
  <r>
    <n v="102826"/>
    <d v="2025-10-29T00:00:00"/>
    <n v="1109"/>
    <x v="0"/>
    <x v="0"/>
    <x v="0"/>
    <x v="3"/>
    <x v="0"/>
    <s v="Card"/>
    <n v="19.829999999999998"/>
    <n v="12.97"/>
    <x v="3"/>
    <n v="0"/>
    <n v="257.2"/>
    <n v="126.64"/>
    <n v="7.85"/>
    <n v="3.86"/>
    <n v="8.01"/>
    <n v="0"/>
    <n v="0"/>
    <n v="146.36000000000001"/>
    <n v="110.84"/>
    <s v="Profit"/>
    <x v="0"/>
    <n v="27"/>
    <n v="7"/>
    <s v="16-30"/>
    <s v="Yes"/>
    <n v="3"/>
    <s v="At Risk"/>
    <n v="1"/>
  </r>
  <r>
    <n v="102827"/>
    <d v="2025-12-09T00:00:00"/>
    <n v="1090"/>
    <x v="1"/>
    <x v="4"/>
    <x v="0"/>
    <x v="3"/>
    <x v="2"/>
    <s v="Wallet"/>
    <n v="29.24"/>
    <n v="14.92"/>
    <x v="3"/>
    <n v="0"/>
    <n v="436.26"/>
    <n v="225.61"/>
    <n v="10.51"/>
    <n v="5.24"/>
    <n v="4.42"/>
    <n v="0"/>
    <n v="0"/>
    <n v="245.78"/>
    <n v="190.48"/>
    <s v="Profit"/>
    <x v="0"/>
    <n v="6"/>
    <n v="33"/>
    <s v="0-15"/>
    <s v="Yes"/>
    <n v="2"/>
    <s v="At Risk"/>
    <n v="1"/>
  </r>
  <r>
    <n v="102828"/>
    <d v="2025-10-28T00:00:00"/>
    <n v="1126"/>
    <x v="1"/>
    <x v="3"/>
    <x v="3"/>
    <x v="0"/>
    <x v="2"/>
    <s v="UPI"/>
    <n v="9.36"/>
    <n v="17.48"/>
    <x v="2"/>
    <n v="16.36"/>
    <n v="147.25"/>
    <n v="63.55"/>
    <n v="7.54"/>
    <n v="1.1499999999999999"/>
    <n v="12.77"/>
    <n v="0"/>
    <n v="0"/>
    <n v="85.01"/>
    <n v="62.24"/>
    <s v="Profit"/>
    <x v="0"/>
    <n v="43"/>
    <n v="5"/>
    <s v="30+"/>
    <s v="Yes"/>
    <n v="3"/>
    <s v="At Risk"/>
    <n v="1"/>
  </r>
  <r>
    <n v="102829"/>
    <d v="2025-12-06T00:00:00"/>
    <n v="1045"/>
    <x v="0"/>
    <x v="0"/>
    <x v="4"/>
    <x v="0"/>
    <x v="0"/>
    <s v="UPI"/>
    <n v="30.15"/>
    <n v="21.35"/>
    <x v="0"/>
    <n v="96.56"/>
    <n v="547.14"/>
    <n v="205.52"/>
    <n v="1.41"/>
    <n v="4.51"/>
    <n v="11.83"/>
    <n v="0"/>
    <n v="0"/>
    <n v="223.27"/>
    <n v="323.87"/>
    <s v="Profit"/>
    <x v="0"/>
    <n v="10"/>
    <n v="9"/>
    <s v="0-15"/>
    <s v="No"/>
    <n v="0"/>
    <s v="Healthy"/>
    <n v="0"/>
  </r>
  <r>
    <n v="102830"/>
    <d v="2025-12-12T00:00:00"/>
    <n v="1118"/>
    <x v="2"/>
    <x v="10"/>
    <x v="2"/>
    <x v="0"/>
    <x v="0"/>
    <s v="UPI"/>
    <n v="34.65"/>
    <n v="20.3"/>
    <x v="3"/>
    <n v="0"/>
    <n v="703.4"/>
    <n v="253.92"/>
    <n v="12.3"/>
    <n v="4.92"/>
    <n v="2.09"/>
    <n v="0"/>
    <n v="0"/>
    <n v="273.23"/>
    <n v="430.17"/>
    <s v="Profit"/>
    <x v="0"/>
    <n v="11"/>
    <n v="17"/>
    <s v="0-15"/>
    <s v="Yes"/>
    <n v="3"/>
    <s v="At Risk"/>
    <n v="1"/>
  </r>
  <r>
    <n v="102831"/>
    <d v="2025-11-09T00:00:00"/>
    <n v="1049"/>
    <x v="2"/>
    <x v="5"/>
    <x v="2"/>
    <x v="3"/>
    <x v="0"/>
    <s v="Wallet"/>
    <n v="28.95"/>
    <n v="12.34"/>
    <x v="3"/>
    <n v="0"/>
    <n v="357.24"/>
    <n v="222.28"/>
    <n v="8.3000000000000007"/>
    <n v="4.29"/>
    <n v="4.9000000000000004"/>
    <n v="0"/>
    <n v="0"/>
    <n v="239.77"/>
    <n v="117.47"/>
    <s v="Profit"/>
    <x v="0"/>
    <n v="16"/>
    <n v="5"/>
    <s v="16-30"/>
    <s v="No"/>
    <n v="0"/>
    <s v="Healthy"/>
    <n v="0"/>
  </r>
  <r>
    <n v="102832"/>
    <d v="2025-10-16T00:00:00"/>
    <n v="1101"/>
    <x v="2"/>
    <x v="10"/>
    <x v="1"/>
    <x v="3"/>
    <x v="1"/>
    <s v="UPI"/>
    <n v="16.41"/>
    <n v="12.45"/>
    <x v="0"/>
    <n v="30.64"/>
    <n v="173.66"/>
    <n v="113.36"/>
    <n v="13.52"/>
    <n v="1.43"/>
    <n v="0.32"/>
    <n v="0"/>
    <n v="0"/>
    <n v="128.63"/>
    <n v="45.03"/>
    <s v="Profit"/>
    <x v="0"/>
    <n v="13"/>
    <n v="10"/>
    <s v="0-15"/>
    <s v="No"/>
    <n v="0"/>
    <s v="Healthy"/>
    <n v="0"/>
  </r>
  <r>
    <n v="102833"/>
    <d v="2025-11-27T00:00:00"/>
    <n v="1070"/>
    <x v="2"/>
    <x v="12"/>
    <x v="3"/>
    <x v="1"/>
    <x v="1"/>
    <s v="Wallet"/>
    <n v="22.51"/>
    <n v="14.42"/>
    <x v="3"/>
    <n v="0"/>
    <n v="324.58999999999997"/>
    <n v="170.22"/>
    <n v="3.53"/>
    <n v="3.9"/>
    <n v="2.11"/>
    <n v="0"/>
    <n v="0"/>
    <n v="179.76"/>
    <n v="144.83000000000001"/>
    <s v="Profit"/>
    <x v="0"/>
    <n v="48"/>
    <n v="4"/>
    <s v="30+"/>
    <s v="Yes"/>
    <n v="1"/>
    <s v="At Risk"/>
    <n v="1"/>
  </r>
  <r>
    <n v="102834"/>
    <d v="2025-11-28T00:00:00"/>
    <n v="1118"/>
    <x v="1"/>
    <x v="2"/>
    <x v="4"/>
    <x v="2"/>
    <x v="2"/>
    <s v="Wallet"/>
    <n v="28.24"/>
    <n v="18.27"/>
    <x v="3"/>
    <n v="0"/>
    <n v="515.94000000000005"/>
    <n v="195.98"/>
    <n v="6.22"/>
    <n v="6.19"/>
    <n v="4.57"/>
    <n v="0"/>
    <n v="0"/>
    <n v="212.96"/>
    <n v="302.98"/>
    <s v="Profit"/>
    <x v="0"/>
    <n v="1"/>
    <n v="3"/>
    <s v="0-15"/>
    <s v="No"/>
    <n v="0"/>
    <s v="Healthy"/>
    <n v="0"/>
  </r>
  <r>
    <n v="102835"/>
    <d v="2025-12-12T00:00:00"/>
    <n v="1016"/>
    <x v="1"/>
    <x v="3"/>
    <x v="0"/>
    <x v="0"/>
    <x v="2"/>
    <s v="Wallet"/>
    <n v="34.35"/>
    <n v="19.489999999999998"/>
    <x v="3"/>
    <n v="0"/>
    <n v="669.48"/>
    <n v="297.58999999999997"/>
    <n v="7.97"/>
    <n v="8.0299999999999994"/>
    <n v="11.37"/>
    <n v="593.97"/>
    <n v="17.260000000000002"/>
    <n v="936.19"/>
    <n v="-266.70999999999998"/>
    <s v="Loss"/>
    <x v="2"/>
    <n v="5"/>
    <n v="6"/>
    <s v="0-15"/>
    <s v="No"/>
    <n v="3"/>
    <s v="At Risk"/>
    <n v="0"/>
  </r>
  <r>
    <n v="102836"/>
    <d v="2025-10-30T00:00:00"/>
    <n v="1017"/>
    <x v="3"/>
    <x v="14"/>
    <x v="0"/>
    <x v="1"/>
    <x v="2"/>
    <s v="Wallet"/>
    <n v="21.05"/>
    <n v="16.989999999999998"/>
    <x v="2"/>
    <n v="35.76"/>
    <n v="321.88"/>
    <n v="167.24"/>
    <n v="7.37"/>
    <n v="4.29"/>
    <n v="8.2100000000000009"/>
    <n v="0"/>
    <n v="0"/>
    <n v="187.11"/>
    <n v="134.77000000000001"/>
    <s v="Profit"/>
    <x v="0"/>
    <n v="0"/>
    <n v="0"/>
    <s v="0-15"/>
    <s v="No"/>
    <n v="2"/>
    <s v="Healthy"/>
    <n v="0"/>
  </r>
  <r>
    <n v="102837"/>
    <d v="2025-12-11T00:00:00"/>
    <n v="1013"/>
    <x v="3"/>
    <x v="14"/>
    <x v="0"/>
    <x v="2"/>
    <x v="0"/>
    <s v="UPI"/>
    <n v="23.85"/>
    <n v="17.010000000000002"/>
    <x v="4"/>
    <n v="20.28"/>
    <n v="385.41"/>
    <n v="148.80000000000001"/>
    <n v="7.98"/>
    <n v="2.84"/>
    <n v="0.68"/>
    <n v="0"/>
    <n v="0"/>
    <n v="160.30000000000001"/>
    <n v="225.11"/>
    <s v="Profit"/>
    <x v="0"/>
    <n v="2"/>
    <n v="17"/>
    <s v="0-15"/>
    <s v="Yes"/>
    <n v="1"/>
    <s v="At Risk"/>
    <n v="1"/>
  </r>
  <r>
    <n v="102838"/>
    <d v="2025-11-21T00:00:00"/>
    <n v="1128"/>
    <x v="2"/>
    <x v="9"/>
    <x v="0"/>
    <x v="1"/>
    <x v="2"/>
    <s v="UPI"/>
    <n v="34.97"/>
    <n v="15.82"/>
    <x v="4"/>
    <n v="27.66"/>
    <n v="525.57000000000005"/>
    <n v="247.66"/>
    <n v="6.1"/>
    <n v="3.87"/>
    <n v="5.32"/>
    <n v="0"/>
    <n v="0"/>
    <n v="262.95"/>
    <n v="262.62"/>
    <s v="Profit"/>
    <x v="0"/>
    <n v="2"/>
    <n v="6"/>
    <s v="0-15"/>
    <s v="No"/>
    <n v="0"/>
    <s v="Healthy"/>
    <n v="0"/>
  </r>
  <r>
    <n v="102839"/>
    <d v="2025-12-03T00:00:00"/>
    <n v="1074"/>
    <x v="1"/>
    <x v="2"/>
    <x v="1"/>
    <x v="1"/>
    <x v="0"/>
    <s v="Wallet"/>
    <n v="26.02"/>
    <n v="16.350000000000001"/>
    <x v="2"/>
    <n v="42.54"/>
    <n v="382.89"/>
    <n v="192.86"/>
    <n v="9.48"/>
    <n v="5.1100000000000003"/>
    <n v="9.2899999999999991"/>
    <n v="0"/>
    <n v="0"/>
    <n v="216.74"/>
    <n v="166.15"/>
    <s v="Profit"/>
    <x v="0"/>
    <n v="41"/>
    <n v="16"/>
    <s v="30+"/>
    <s v="Yes"/>
    <n v="3"/>
    <s v="At Risk"/>
    <n v="1"/>
  </r>
  <r>
    <n v="102840"/>
    <d v="2025-11-05T00:00:00"/>
    <n v="1127"/>
    <x v="0"/>
    <x v="11"/>
    <x v="4"/>
    <x v="3"/>
    <x v="2"/>
    <s v="Fleet_Invoice"/>
    <n v="14.74"/>
    <n v="12.41"/>
    <x v="2"/>
    <n v="18.29"/>
    <n v="164.63"/>
    <n v="116.26"/>
    <n v="2.83"/>
    <n v="0.73"/>
    <n v="6.18"/>
    <n v="0"/>
    <n v="0"/>
    <n v="126"/>
    <n v="38.630000000000003"/>
    <s v="Profit"/>
    <x v="0"/>
    <n v="2"/>
    <n v="5"/>
    <s v="0-15"/>
    <s v="No"/>
    <n v="0"/>
    <s v="Healthy"/>
    <n v="0"/>
  </r>
  <r>
    <n v="102841"/>
    <d v="2025-11-06T00:00:00"/>
    <n v="1117"/>
    <x v="3"/>
    <x v="7"/>
    <x v="1"/>
    <x v="2"/>
    <x v="0"/>
    <s v="Card"/>
    <n v="16.38"/>
    <n v="17.68"/>
    <x v="3"/>
    <n v="0"/>
    <n v="289.60000000000002"/>
    <n v="129.18"/>
    <n v="10.06"/>
    <n v="4.34"/>
    <n v="1.45"/>
    <n v="0"/>
    <n v="0"/>
    <n v="145.03"/>
    <n v="144.57"/>
    <s v="Profit"/>
    <x v="0"/>
    <n v="18"/>
    <n v="14"/>
    <s v="16-30"/>
    <s v="No"/>
    <n v="0"/>
    <s v="Healthy"/>
    <n v="0"/>
  </r>
  <r>
    <n v="102842"/>
    <d v="2025-11-16T00:00:00"/>
    <n v="1089"/>
    <x v="1"/>
    <x v="2"/>
    <x v="2"/>
    <x v="3"/>
    <x v="0"/>
    <s v="Fleet_Invoice"/>
    <n v="3"/>
    <n v="12.12"/>
    <x v="4"/>
    <n v="1.82"/>
    <n v="34.54"/>
    <n v="23.54"/>
    <n v="8.18"/>
    <n v="0.15"/>
    <n v="4.2699999999999996"/>
    <n v="0"/>
    <n v="0"/>
    <n v="36.14"/>
    <n v="-1.6"/>
    <s v="Loss"/>
    <x v="0"/>
    <n v="6"/>
    <n v="18"/>
    <s v="0-15"/>
    <s v="Yes"/>
    <n v="1"/>
    <s v="At Risk"/>
    <n v="1"/>
  </r>
  <r>
    <n v="102843"/>
    <d v="2025-10-09T00:00:00"/>
    <n v="1139"/>
    <x v="3"/>
    <x v="15"/>
    <x v="3"/>
    <x v="3"/>
    <x v="1"/>
    <s v="UPI"/>
    <n v="20.65"/>
    <n v="15.21"/>
    <x v="0"/>
    <n v="47.11"/>
    <n v="266.98"/>
    <n v="138.58000000000001"/>
    <n v="6.88"/>
    <n v="2.2000000000000002"/>
    <n v="10.43"/>
    <n v="0"/>
    <n v="0"/>
    <n v="158.09"/>
    <n v="108.89"/>
    <s v="Profit"/>
    <x v="0"/>
    <n v="9"/>
    <n v="3"/>
    <s v="0-15"/>
    <s v="No"/>
    <n v="0"/>
    <s v="Healthy"/>
    <n v="0"/>
  </r>
  <r>
    <n v="102844"/>
    <d v="2025-10-19T00:00:00"/>
    <n v="1031"/>
    <x v="0"/>
    <x v="6"/>
    <x v="0"/>
    <x v="1"/>
    <x v="0"/>
    <s v="Wallet"/>
    <n v="14.8"/>
    <n v="15.72"/>
    <x v="3"/>
    <n v="0"/>
    <n v="232.66"/>
    <n v="108.52"/>
    <n v="9.2899999999999991"/>
    <n v="2.79"/>
    <n v="4.97"/>
    <n v="0"/>
    <n v="0"/>
    <n v="125.57"/>
    <n v="107.09"/>
    <s v="Profit"/>
    <x v="0"/>
    <n v="17"/>
    <n v="13"/>
    <s v="16-30"/>
    <s v="No"/>
    <n v="0"/>
    <s v="Healthy"/>
    <n v="0"/>
  </r>
  <r>
    <n v="102845"/>
    <d v="2025-12-10T00:00:00"/>
    <n v="1086"/>
    <x v="3"/>
    <x v="15"/>
    <x v="2"/>
    <x v="3"/>
    <x v="0"/>
    <s v="Wallet"/>
    <n v="12.79"/>
    <n v="13.24"/>
    <x v="2"/>
    <n v="16.93"/>
    <n v="152.41"/>
    <n v="86.2"/>
    <n v="5.54"/>
    <n v="2.0299999999999998"/>
    <n v="0"/>
    <n v="0"/>
    <n v="0"/>
    <n v="93.77"/>
    <n v="58.64"/>
    <s v="Profit"/>
    <x v="0"/>
    <n v="7"/>
    <n v="1"/>
    <s v="0-15"/>
    <s v="No"/>
    <n v="1"/>
    <s v="Healthy"/>
    <n v="0"/>
  </r>
  <r>
    <n v="102846"/>
    <d v="2025-10-30T00:00:00"/>
    <n v="1102"/>
    <x v="0"/>
    <x v="6"/>
    <x v="2"/>
    <x v="0"/>
    <x v="0"/>
    <s v="Card"/>
    <n v="29.39"/>
    <n v="19.239999999999998"/>
    <x v="3"/>
    <n v="0"/>
    <n v="565.46"/>
    <n v="168.48"/>
    <n v="13.51"/>
    <n v="8.48"/>
    <n v="1.23"/>
    <n v="0"/>
    <n v="0"/>
    <n v="191.7"/>
    <n v="373.76"/>
    <s v="Profit"/>
    <x v="0"/>
    <n v="5"/>
    <n v="41"/>
    <s v="0-15"/>
    <s v="Yes"/>
    <n v="1"/>
    <s v="At Risk"/>
    <n v="1"/>
  </r>
  <r>
    <n v="102847"/>
    <d v="2025-12-24T00:00:00"/>
    <n v="1124"/>
    <x v="0"/>
    <x v="1"/>
    <x v="1"/>
    <x v="1"/>
    <x v="0"/>
    <s v="UPI"/>
    <n v="21.74"/>
    <n v="15.84"/>
    <x v="3"/>
    <n v="0"/>
    <n v="344.36"/>
    <n v="189.68"/>
    <n v="2.48"/>
    <n v="2.41"/>
    <n v="0"/>
    <n v="0"/>
    <n v="0"/>
    <n v="194.57"/>
    <n v="149.79"/>
    <s v="Profit"/>
    <x v="0"/>
    <n v="26"/>
    <n v="0"/>
    <s v="16-30"/>
    <s v="Yes"/>
    <n v="3"/>
    <s v="At Risk"/>
    <n v="1"/>
  </r>
  <r>
    <n v="102848"/>
    <d v="2025-12-06T00:00:00"/>
    <n v="1137"/>
    <x v="1"/>
    <x v="2"/>
    <x v="0"/>
    <x v="3"/>
    <x v="0"/>
    <s v="Wallet"/>
    <n v="20.67"/>
    <n v="12.5"/>
    <x v="4"/>
    <n v="12.92"/>
    <n v="245.46"/>
    <n v="153.69"/>
    <n v="6.99"/>
    <n v="3.1"/>
    <n v="4.3899999999999997"/>
    <n v="0"/>
    <n v="0"/>
    <n v="168.17"/>
    <n v="77.290000000000006"/>
    <s v="Profit"/>
    <x v="0"/>
    <n v="30"/>
    <n v="0"/>
    <s v="16-30"/>
    <s v="Yes"/>
    <n v="1"/>
    <s v="At Risk"/>
    <n v="1"/>
  </r>
  <r>
    <n v="102849"/>
    <d v="2025-11-09T00:00:00"/>
    <n v="1057"/>
    <x v="1"/>
    <x v="4"/>
    <x v="4"/>
    <x v="3"/>
    <x v="0"/>
    <s v="Card"/>
    <n v="18.329999999999998"/>
    <n v="12.69"/>
    <x v="3"/>
    <n v="0"/>
    <n v="232.61"/>
    <n v="137.27000000000001"/>
    <n v="8.4499999999999993"/>
    <n v="3.49"/>
    <n v="2.33"/>
    <n v="0"/>
    <n v="0"/>
    <n v="151.54"/>
    <n v="81.069999999999993"/>
    <s v="Profit"/>
    <x v="0"/>
    <n v="15"/>
    <n v="10"/>
    <s v="0-15"/>
    <s v="No"/>
    <n v="0"/>
    <s v="Healthy"/>
    <n v="0"/>
  </r>
  <r>
    <n v="102850"/>
    <d v="2025-12-14T00:00:00"/>
    <n v="1102"/>
    <x v="0"/>
    <x v="0"/>
    <x v="3"/>
    <x v="3"/>
    <x v="2"/>
    <s v="UPI"/>
    <n v="22.39"/>
    <n v="14.27"/>
    <x v="2"/>
    <n v="31.95"/>
    <n v="287.56"/>
    <n v="159.41"/>
    <n v="6.09"/>
    <n v="2.2400000000000002"/>
    <n v="2.02"/>
    <n v="0"/>
    <n v="0"/>
    <n v="169.76"/>
    <n v="117.8"/>
    <s v="Profit"/>
    <x v="0"/>
    <n v="1"/>
    <n v="7"/>
    <s v="0-15"/>
    <s v="No"/>
    <n v="0"/>
    <s v="Healthy"/>
    <n v="0"/>
  </r>
  <r>
    <n v="102851"/>
    <d v="2025-12-09T00:00:00"/>
    <n v="1106"/>
    <x v="2"/>
    <x v="9"/>
    <x v="3"/>
    <x v="1"/>
    <x v="0"/>
    <s v="UPI"/>
    <n v="27.28"/>
    <n v="15.3"/>
    <x v="3"/>
    <n v="0"/>
    <n v="417.38"/>
    <n v="217.89"/>
    <n v="11.55"/>
    <n v="2.92"/>
    <n v="8.2100000000000009"/>
    <n v="0"/>
    <n v="0"/>
    <n v="240.57"/>
    <n v="176.81"/>
    <s v="Profit"/>
    <x v="0"/>
    <n v="5"/>
    <n v="0"/>
    <s v="0-15"/>
    <s v="No"/>
    <n v="0"/>
    <s v="Healthy"/>
    <n v="0"/>
  </r>
  <r>
    <n v="102852"/>
    <d v="2025-10-23T00:00:00"/>
    <n v="1051"/>
    <x v="0"/>
    <x v="1"/>
    <x v="2"/>
    <x v="0"/>
    <x v="0"/>
    <s v="UPI"/>
    <n v="26.54"/>
    <n v="18.82"/>
    <x v="4"/>
    <n v="24.97"/>
    <n v="474.51"/>
    <n v="215.83"/>
    <n v="10.15"/>
    <n v="3.5"/>
    <n v="14.5"/>
    <n v="0"/>
    <n v="0"/>
    <n v="243.98"/>
    <n v="230.53"/>
    <s v="Profit"/>
    <x v="0"/>
    <n v="27"/>
    <n v="2"/>
    <s v="16-30"/>
    <s v="Yes"/>
    <n v="1"/>
    <s v="At Risk"/>
    <n v="1"/>
  </r>
  <r>
    <n v="102853"/>
    <d v="2025-10-28T00:00:00"/>
    <n v="1066"/>
    <x v="3"/>
    <x v="8"/>
    <x v="3"/>
    <x v="3"/>
    <x v="0"/>
    <s v="UPI"/>
    <n v="15.02"/>
    <n v="12"/>
    <x v="3"/>
    <n v="0"/>
    <n v="180.24"/>
    <n v="79.91"/>
    <n v="7.44"/>
    <n v="1.26"/>
    <n v="13.52"/>
    <n v="66.459999999999994"/>
    <n v="0"/>
    <n v="168.59"/>
    <n v="11.65"/>
    <s v="Profit"/>
    <x v="1"/>
    <n v="4"/>
    <n v="0"/>
    <s v="0-15"/>
    <s v="Yes"/>
    <n v="1"/>
    <s v="At Risk"/>
    <n v="1"/>
  </r>
  <r>
    <n v="102854"/>
    <d v="2025-11-03T00:00:00"/>
    <n v="1069"/>
    <x v="0"/>
    <x v="11"/>
    <x v="2"/>
    <x v="3"/>
    <x v="0"/>
    <s v="UPI"/>
    <n v="21.57"/>
    <n v="12.52"/>
    <x v="4"/>
    <n v="13.5"/>
    <n v="256.56"/>
    <n v="126.8"/>
    <n v="6.65"/>
    <n v="1.89"/>
    <n v="7.19"/>
    <n v="0"/>
    <n v="0"/>
    <n v="142.53"/>
    <n v="114.03"/>
    <s v="Profit"/>
    <x v="0"/>
    <n v="1"/>
    <n v="9"/>
    <s v="0-15"/>
    <s v="No"/>
    <n v="0"/>
    <s v="Healthy"/>
    <n v="0"/>
  </r>
  <r>
    <n v="102855"/>
    <d v="2025-10-16T00:00:00"/>
    <n v="1124"/>
    <x v="3"/>
    <x v="15"/>
    <x v="4"/>
    <x v="1"/>
    <x v="2"/>
    <s v="Card"/>
    <n v="28.08"/>
    <n v="16.66"/>
    <x v="3"/>
    <n v="0"/>
    <n v="467.81"/>
    <n v="180.91"/>
    <n v="10.220000000000001"/>
    <n v="7.02"/>
    <n v="6.99"/>
    <n v="0"/>
    <n v="0"/>
    <n v="205.14"/>
    <n v="262.67"/>
    <s v="Profit"/>
    <x v="0"/>
    <n v="3"/>
    <n v="1"/>
    <s v="0-15"/>
    <s v="No"/>
    <n v="0"/>
    <s v="Healthy"/>
    <n v="0"/>
  </r>
  <r>
    <n v="102856"/>
    <d v="2025-11-22T00:00:00"/>
    <n v="1017"/>
    <x v="1"/>
    <x v="13"/>
    <x v="2"/>
    <x v="2"/>
    <x v="1"/>
    <s v="UPI"/>
    <n v="26.6"/>
    <n v="17.59"/>
    <x v="0"/>
    <n v="70.180000000000007"/>
    <n v="397.71"/>
    <n v="213.66"/>
    <n v="7.18"/>
    <n v="3.28"/>
    <n v="0"/>
    <n v="0"/>
    <n v="0"/>
    <n v="224.12"/>
    <n v="173.59"/>
    <s v="Profit"/>
    <x v="0"/>
    <n v="2"/>
    <n v="9"/>
    <s v="0-15"/>
    <s v="No"/>
    <n v="0"/>
    <s v="Healthy"/>
    <n v="0"/>
  </r>
  <r>
    <n v="102857"/>
    <d v="2025-10-23T00:00:00"/>
    <n v="1052"/>
    <x v="1"/>
    <x v="3"/>
    <x v="3"/>
    <x v="2"/>
    <x v="0"/>
    <s v="Fleet_Invoice"/>
    <n v="20.59"/>
    <n v="16.809999999999999"/>
    <x v="4"/>
    <n v="17.309999999999999"/>
    <n v="328.81"/>
    <n v="138.80000000000001"/>
    <n v="6.43"/>
    <n v="1.38"/>
    <n v="3.8"/>
    <n v="0"/>
    <n v="0"/>
    <n v="150.41"/>
    <n v="178.4"/>
    <s v="Profit"/>
    <x v="0"/>
    <n v="44"/>
    <n v="2"/>
    <s v="30+"/>
    <s v="Yes"/>
    <n v="1"/>
    <s v="At Risk"/>
    <n v="1"/>
  </r>
  <r>
    <n v="102858"/>
    <d v="2025-11-04T00:00:00"/>
    <n v="1085"/>
    <x v="1"/>
    <x v="4"/>
    <x v="4"/>
    <x v="3"/>
    <x v="0"/>
    <s v="Fleet_Invoice"/>
    <n v="10.37"/>
    <n v="13.2"/>
    <x v="3"/>
    <n v="0"/>
    <n v="136.88"/>
    <n v="78.7"/>
    <n v="6.68"/>
    <n v="0.55000000000000004"/>
    <n v="9.93"/>
    <n v="0"/>
    <n v="0"/>
    <n v="95.86"/>
    <n v="41.02"/>
    <s v="Profit"/>
    <x v="0"/>
    <n v="15"/>
    <n v="0"/>
    <s v="0-15"/>
    <s v="No"/>
    <n v="0"/>
    <s v="Healthy"/>
    <n v="0"/>
  </r>
  <r>
    <n v="102859"/>
    <d v="2025-12-31T00:00:00"/>
    <n v="1137"/>
    <x v="0"/>
    <x v="0"/>
    <x v="4"/>
    <x v="1"/>
    <x v="1"/>
    <s v="Wallet"/>
    <n v="39.14"/>
    <n v="15.22"/>
    <x v="3"/>
    <n v="0"/>
    <n v="595.71"/>
    <n v="290.97000000000003"/>
    <n v="6.72"/>
    <n v="7.15"/>
    <n v="6.75"/>
    <n v="0"/>
    <n v="0"/>
    <n v="311.58999999999997"/>
    <n v="284.12"/>
    <s v="Profit"/>
    <x v="0"/>
    <n v="4"/>
    <n v="0"/>
    <s v="0-15"/>
    <s v="No"/>
    <n v="0"/>
    <s v="Healthy"/>
    <n v="0"/>
  </r>
  <r>
    <n v="102860"/>
    <d v="2025-10-25T00:00:00"/>
    <n v="1137"/>
    <x v="0"/>
    <x v="6"/>
    <x v="0"/>
    <x v="0"/>
    <x v="0"/>
    <s v="UPI"/>
    <n v="17.78"/>
    <n v="19.87"/>
    <x v="0"/>
    <n v="52.99"/>
    <n v="300.3"/>
    <n v="132.97"/>
    <n v="8.52"/>
    <n v="2.4700000000000002"/>
    <n v="13"/>
    <n v="0"/>
    <n v="0"/>
    <n v="156.96"/>
    <n v="143.34"/>
    <s v="Profit"/>
    <x v="0"/>
    <n v="4"/>
    <n v="8"/>
    <s v="0-15"/>
    <s v="No"/>
    <n v="0"/>
    <s v="Healthy"/>
    <n v="0"/>
  </r>
  <r>
    <n v="102861"/>
    <d v="2025-12-30T00:00:00"/>
    <n v="1080"/>
    <x v="2"/>
    <x v="10"/>
    <x v="4"/>
    <x v="3"/>
    <x v="0"/>
    <s v="UPI"/>
    <n v="13.3"/>
    <n v="12.51"/>
    <x v="2"/>
    <n v="16.64"/>
    <n v="149.74"/>
    <n v="88.53"/>
    <n v="9.6300000000000008"/>
    <n v="1.1599999999999999"/>
    <n v="4.33"/>
    <n v="0"/>
    <n v="0"/>
    <n v="103.65"/>
    <n v="46.09"/>
    <s v="Profit"/>
    <x v="0"/>
    <n v="14"/>
    <n v="5"/>
    <s v="0-15"/>
    <s v="No"/>
    <n v="0"/>
    <s v="Healthy"/>
    <n v="0"/>
  </r>
  <r>
    <n v="102862"/>
    <d v="2025-11-07T00:00:00"/>
    <n v="1119"/>
    <x v="1"/>
    <x v="2"/>
    <x v="2"/>
    <x v="3"/>
    <x v="1"/>
    <s v="Fleet_Invoice"/>
    <n v="16.579999999999998"/>
    <n v="12.04"/>
    <x v="2"/>
    <n v="19.96"/>
    <n v="179.66"/>
    <n v="127.35"/>
    <n v="7.78"/>
    <n v="0.8"/>
    <n v="2.2599999999999998"/>
    <n v="0"/>
    <n v="0"/>
    <n v="138.19"/>
    <n v="41.47"/>
    <s v="Profit"/>
    <x v="0"/>
    <n v="2"/>
    <n v="1"/>
    <s v="0-15"/>
    <s v="No"/>
    <n v="0"/>
    <s v="Healthy"/>
    <n v="0"/>
  </r>
  <r>
    <n v="102863"/>
    <d v="2025-10-08T00:00:00"/>
    <n v="1127"/>
    <x v="3"/>
    <x v="15"/>
    <x v="3"/>
    <x v="1"/>
    <x v="2"/>
    <s v="UPI"/>
    <n v="40"/>
    <n v="15.53"/>
    <x v="0"/>
    <n v="93.18"/>
    <n v="528.02"/>
    <n v="290.33"/>
    <n v="6.84"/>
    <n v="4.3499999999999996"/>
    <n v="6.72"/>
    <n v="0"/>
    <n v="0"/>
    <n v="308.24"/>
    <n v="219.78"/>
    <s v="Profit"/>
    <x v="0"/>
    <n v="24"/>
    <n v="5"/>
    <s v="16-30"/>
    <s v="Yes"/>
    <n v="2"/>
    <s v="At Risk"/>
    <n v="1"/>
  </r>
  <r>
    <n v="102864"/>
    <d v="2025-11-19T00:00:00"/>
    <n v="1033"/>
    <x v="3"/>
    <x v="14"/>
    <x v="4"/>
    <x v="3"/>
    <x v="0"/>
    <s v="UPI"/>
    <n v="6.12"/>
    <n v="12.91"/>
    <x v="4"/>
    <n v="3.95"/>
    <n v="75.06"/>
    <n v="39.75"/>
    <n v="12.13"/>
    <n v="0.55000000000000004"/>
    <n v="6.72"/>
    <n v="0"/>
    <n v="0"/>
    <n v="59.15"/>
    <n v="15.91"/>
    <s v="Profit"/>
    <x v="0"/>
    <n v="3"/>
    <n v="11"/>
    <s v="0-15"/>
    <s v="No"/>
    <n v="0"/>
    <s v="Healthy"/>
    <n v="0"/>
  </r>
  <r>
    <n v="102865"/>
    <d v="2025-12-25T00:00:00"/>
    <n v="1105"/>
    <x v="1"/>
    <x v="13"/>
    <x v="1"/>
    <x v="3"/>
    <x v="0"/>
    <s v="UPI"/>
    <n v="18.13"/>
    <n v="12.95"/>
    <x v="4"/>
    <n v="11.74"/>
    <n v="223.04"/>
    <n v="121.35"/>
    <n v="7.01"/>
    <n v="1.64"/>
    <n v="9.06"/>
    <n v="0"/>
    <n v="0"/>
    <n v="139.06"/>
    <n v="83.98"/>
    <s v="Profit"/>
    <x v="0"/>
    <n v="6"/>
    <n v="6"/>
    <s v="0-15"/>
    <s v="No"/>
    <n v="0"/>
    <s v="Healthy"/>
    <n v="0"/>
  </r>
  <r>
    <n v="102866"/>
    <d v="2025-11-16T00:00:00"/>
    <n v="1021"/>
    <x v="2"/>
    <x v="12"/>
    <x v="2"/>
    <x v="3"/>
    <x v="2"/>
    <s v="UPI"/>
    <n v="15.32"/>
    <n v="11.99"/>
    <x v="3"/>
    <n v="0"/>
    <n v="183.69"/>
    <n v="123.32"/>
    <n v="10.83"/>
    <n v="1.29"/>
    <n v="3.65"/>
    <n v="0"/>
    <n v="0"/>
    <n v="139.09"/>
    <n v="44.6"/>
    <s v="Profit"/>
    <x v="0"/>
    <n v="15"/>
    <n v="5"/>
    <s v="0-15"/>
    <s v="No"/>
    <n v="0"/>
    <s v="Healthy"/>
    <n v="0"/>
  </r>
  <r>
    <n v="102867"/>
    <d v="2025-10-15T00:00:00"/>
    <n v="1142"/>
    <x v="2"/>
    <x v="9"/>
    <x v="4"/>
    <x v="0"/>
    <x v="0"/>
    <s v="UPI"/>
    <n v="32.74"/>
    <n v="19.440000000000001"/>
    <x v="0"/>
    <n v="95.47"/>
    <n v="541"/>
    <n v="207.54"/>
    <n v="14.72"/>
    <n v="4.46"/>
    <n v="2.76"/>
    <n v="0"/>
    <n v="0"/>
    <n v="229.48"/>
    <n v="311.52"/>
    <s v="Profit"/>
    <x v="0"/>
    <n v="2"/>
    <n v="0"/>
    <s v="0-15"/>
    <s v="No"/>
    <n v="0"/>
    <s v="Healthy"/>
    <n v="0"/>
  </r>
  <r>
    <n v="102868"/>
    <d v="2025-12-22T00:00:00"/>
    <n v="1108"/>
    <x v="0"/>
    <x v="11"/>
    <x v="1"/>
    <x v="1"/>
    <x v="0"/>
    <s v="UPI"/>
    <n v="31.06"/>
    <n v="14.95"/>
    <x v="4"/>
    <n v="23.22"/>
    <n v="441.13"/>
    <n v="216.43"/>
    <n v="7.63"/>
    <n v="3.25"/>
    <n v="5.33"/>
    <n v="411.74"/>
    <n v="0"/>
    <n v="644.38"/>
    <n v="-203.25"/>
    <s v="Loss"/>
    <x v="1"/>
    <n v="3"/>
    <n v="2"/>
    <s v="0-15"/>
    <s v="Yes"/>
    <n v="1"/>
    <s v="At Risk"/>
    <n v="1"/>
  </r>
  <r>
    <n v="102869"/>
    <d v="2025-10-21T00:00:00"/>
    <n v="1073"/>
    <x v="1"/>
    <x v="4"/>
    <x v="3"/>
    <x v="0"/>
    <x v="0"/>
    <s v="Wallet"/>
    <n v="26.08"/>
    <n v="21.49"/>
    <x v="4"/>
    <n v="28.02"/>
    <n v="532.44000000000005"/>
    <n v="191.8"/>
    <n v="9.25"/>
    <n v="6.73"/>
    <n v="7.57"/>
    <n v="0"/>
    <n v="0"/>
    <n v="215.35"/>
    <n v="317.08999999999997"/>
    <s v="Profit"/>
    <x v="0"/>
    <n v="9"/>
    <n v="3"/>
    <s v="0-15"/>
    <s v="No"/>
    <n v="0"/>
    <s v="Healthy"/>
    <n v="0"/>
  </r>
  <r>
    <n v="102870"/>
    <d v="2025-12-08T00:00:00"/>
    <n v="1062"/>
    <x v="1"/>
    <x v="4"/>
    <x v="2"/>
    <x v="3"/>
    <x v="0"/>
    <s v="UPI"/>
    <n v="18.52"/>
    <n v="12.92"/>
    <x v="3"/>
    <n v="0"/>
    <n v="239.28"/>
    <n v="125.21"/>
    <n v="10.8"/>
    <n v="1.67"/>
    <n v="0"/>
    <n v="0"/>
    <n v="0"/>
    <n v="137.68"/>
    <n v="101.6"/>
    <s v="Profit"/>
    <x v="0"/>
    <n v="9"/>
    <n v="1"/>
    <s v="0-15"/>
    <s v="No"/>
    <n v="0"/>
    <s v="Healthy"/>
    <n v="0"/>
  </r>
  <r>
    <n v="102871"/>
    <d v="2025-12-24T00:00:00"/>
    <n v="1145"/>
    <x v="2"/>
    <x v="9"/>
    <x v="4"/>
    <x v="0"/>
    <x v="2"/>
    <s v="Fleet_Invoice"/>
    <n v="24.98"/>
    <n v="18.82"/>
    <x v="4"/>
    <n v="23.51"/>
    <n v="446.61"/>
    <n v="200.88"/>
    <n v="7.22"/>
    <n v="1.88"/>
    <n v="8.39"/>
    <n v="0"/>
    <n v="0"/>
    <n v="218.37"/>
    <n v="228.24"/>
    <s v="Profit"/>
    <x v="0"/>
    <n v="7"/>
    <n v="3"/>
    <s v="0-15"/>
    <s v="No"/>
    <n v="0"/>
    <s v="Healthy"/>
    <n v="0"/>
  </r>
  <r>
    <n v="102872"/>
    <d v="2025-10-10T00:00:00"/>
    <n v="1023"/>
    <x v="1"/>
    <x v="4"/>
    <x v="3"/>
    <x v="0"/>
    <x v="0"/>
    <s v="Fleet_Invoice"/>
    <n v="15.93"/>
    <n v="19.64"/>
    <x v="3"/>
    <n v="0"/>
    <n v="312.87"/>
    <n v="118.6"/>
    <n v="4.3600000000000003"/>
    <n v="1.25"/>
    <n v="2.85"/>
    <n v="296.51"/>
    <n v="0"/>
    <n v="423.57"/>
    <n v="-110.7"/>
    <s v="Loss"/>
    <x v="1"/>
    <n v="6"/>
    <n v="0"/>
    <s v="0-15"/>
    <s v="Yes"/>
    <n v="1"/>
    <s v="At Risk"/>
    <n v="1"/>
  </r>
  <r>
    <n v="102873"/>
    <d v="2025-10-20T00:00:00"/>
    <n v="1121"/>
    <x v="1"/>
    <x v="3"/>
    <x v="1"/>
    <x v="3"/>
    <x v="1"/>
    <s v="Card"/>
    <n v="3"/>
    <n v="13.65"/>
    <x v="4"/>
    <n v="2.0499999999999998"/>
    <n v="38.9"/>
    <n v="21.34"/>
    <n v="8.66"/>
    <n v="0.61"/>
    <n v="8.59"/>
    <n v="0"/>
    <n v="0"/>
    <n v="39.200000000000003"/>
    <n v="-0.3"/>
    <s v="Loss"/>
    <x v="0"/>
    <n v="12"/>
    <n v="4"/>
    <s v="0-15"/>
    <s v="No"/>
    <n v="0"/>
    <s v="Healthy"/>
    <n v="0"/>
  </r>
  <r>
    <n v="102874"/>
    <d v="2025-10-22T00:00:00"/>
    <n v="1070"/>
    <x v="2"/>
    <x v="10"/>
    <x v="0"/>
    <x v="3"/>
    <x v="0"/>
    <s v="Card"/>
    <n v="16.670000000000002"/>
    <n v="12.34"/>
    <x v="2"/>
    <n v="20.57"/>
    <n v="185.14"/>
    <n v="128.93"/>
    <n v="3.93"/>
    <n v="3.09"/>
    <n v="0"/>
    <n v="0"/>
    <n v="0"/>
    <n v="135.94999999999999"/>
    <n v="49.19"/>
    <s v="Profit"/>
    <x v="0"/>
    <n v="2"/>
    <n v="4"/>
    <s v="0-15"/>
    <s v="No"/>
    <n v="0"/>
    <s v="Healthy"/>
    <n v="0"/>
  </r>
  <r>
    <n v="102875"/>
    <d v="2025-10-11T00:00:00"/>
    <n v="1141"/>
    <x v="1"/>
    <x v="2"/>
    <x v="4"/>
    <x v="1"/>
    <x v="0"/>
    <s v="Wallet"/>
    <n v="22.37"/>
    <n v="16.13"/>
    <x v="2"/>
    <n v="36.08"/>
    <n v="324.75"/>
    <n v="173.34"/>
    <n v="9.1199999999999992"/>
    <n v="4.33"/>
    <n v="11.18"/>
    <n v="0"/>
    <n v="0"/>
    <n v="197.97"/>
    <n v="126.78"/>
    <s v="Profit"/>
    <x v="0"/>
    <n v="18"/>
    <n v="17"/>
    <s v="16-30"/>
    <s v="Yes"/>
    <n v="3"/>
    <s v="At Risk"/>
    <n v="1"/>
  </r>
  <r>
    <n v="102876"/>
    <d v="2025-11-15T00:00:00"/>
    <n v="1030"/>
    <x v="0"/>
    <x v="6"/>
    <x v="4"/>
    <x v="3"/>
    <x v="2"/>
    <s v="UPI"/>
    <n v="5.71"/>
    <n v="13.41"/>
    <x v="3"/>
    <n v="0"/>
    <n v="76.569999999999993"/>
    <n v="37.57"/>
    <n v="7.25"/>
    <n v="0.54"/>
    <n v="9.4"/>
    <n v="0"/>
    <n v="0"/>
    <n v="54.76"/>
    <n v="21.81"/>
    <s v="Profit"/>
    <x v="0"/>
    <n v="43"/>
    <n v="8"/>
    <s v="30+"/>
    <s v="Yes"/>
    <n v="1"/>
    <s v="At Risk"/>
    <n v="1"/>
  </r>
  <r>
    <n v="102877"/>
    <d v="2025-10-14T00:00:00"/>
    <n v="1129"/>
    <x v="3"/>
    <x v="14"/>
    <x v="2"/>
    <x v="3"/>
    <x v="2"/>
    <s v="UPI"/>
    <n v="26.05"/>
    <n v="13.08"/>
    <x v="3"/>
    <n v="0"/>
    <n v="340.73"/>
    <n v="181.8"/>
    <n v="13.26"/>
    <n v="2.39"/>
    <n v="2.81"/>
    <n v="0"/>
    <n v="0"/>
    <n v="200.26"/>
    <n v="140.47"/>
    <s v="Profit"/>
    <x v="0"/>
    <n v="54"/>
    <n v="9"/>
    <s v="30+"/>
    <s v="Yes"/>
    <n v="1"/>
    <s v="At Risk"/>
    <n v="1"/>
  </r>
  <r>
    <n v="102878"/>
    <d v="2025-11-18T00:00:00"/>
    <n v="1024"/>
    <x v="2"/>
    <x v="9"/>
    <x v="1"/>
    <x v="3"/>
    <x v="0"/>
    <s v="UPI"/>
    <n v="6.6"/>
    <n v="13.29"/>
    <x v="4"/>
    <n v="4.3899999999999997"/>
    <n v="83.32"/>
    <n v="48.27"/>
    <n v="10.19"/>
    <n v="0.61"/>
    <n v="4.41"/>
    <n v="0"/>
    <n v="0"/>
    <n v="63.48"/>
    <n v="19.84"/>
    <s v="Profit"/>
    <x v="0"/>
    <n v="13"/>
    <n v="4"/>
    <s v="0-15"/>
    <s v="No"/>
    <n v="0"/>
    <s v="Healthy"/>
    <n v="0"/>
  </r>
  <r>
    <n v="102879"/>
    <d v="2025-11-09T00:00:00"/>
    <n v="1140"/>
    <x v="2"/>
    <x v="12"/>
    <x v="1"/>
    <x v="3"/>
    <x v="0"/>
    <s v="Card"/>
    <n v="12.19"/>
    <n v="11.32"/>
    <x v="3"/>
    <n v="0"/>
    <n v="137.99"/>
    <n v="78.31"/>
    <n v="5.26"/>
    <n v="2.0699999999999998"/>
    <n v="7.12"/>
    <n v="0"/>
    <n v="0"/>
    <n v="92.76"/>
    <n v="45.23"/>
    <s v="Profit"/>
    <x v="0"/>
    <n v="9"/>
    <n v="0"/>
    <s v="0-15"/>
    <s v="No"/>
    <n v="0"/>
    <s v="Healthy"/>
    <n v="0"/>
  </r>
  <r>
    <n v="102880"/>
    <d v="2025-11-02T00:00:00"/>
    <n v="1055"/>
    <x v="1"/>
    <x v="13"/>
    <x v="4"/>
    <x v="3"/>
    <x v="0"/>
    <s v="UPI"/>
    <n v="5.84"/>
    <n v="14.83"/>
    <x v="3"/>
    <n v="0"/>
    <n v="86.61"/>
    <n v="38.68"/>
    <n v="3.9"/>
    <n v="0.61"/>
    <n v="10.61"/>
    <n v="0"/>
    <n v="0"/>
    <n v="53.8"/>
    <n v="32.81"/>
    <s v="Profit"/>
    <x v="0"/>
    <n v="1"/>
    <n v="9"/>
    <s v="0-15"/>
    <s v="No"/>
    <n v="0"/>
    <s v="Healthy"/>
    <n v="0"/>
  </r>
  <r>
    <n v="102881"/>
    <d v="2025-10-27T00:00:00"/>
    <n v="1015"/>
    <x v="3"/>
    <x v="8"/>
    <x v="3"/>
    <x v="1"/>
    <x v="2"/>
    <s v="UPI"/>
    <n v="32.36"/>
    <n v="15.3"/>
    <x v="4"/>
    <n v="24.76"/>
    <n v="470.35"/>
    <n v="223.54"/>
    <n v="5.64"/>
    <n v="3.47"/>
    <n v="11.66"/>
    <n v="0"/>
    <n v="0"/>
    <n v="244.31"/>
    <n v="226.04"/>
    <s v="Profit"/>
    <x v="0"/>
    <n v="3"/>
    <n v="1"/>
    <s v="0-15"/>
    <s v="No"/>
    <n v="0"/>
    <s v="Healthy"/>
    <n v="0"/>
  </r>
  <r>
    <n v="102882"/>
    <d v="2025-12-23T00:00:00"/>
    <n v="1117"/>
    <x v="1"/>
    <x v="13"/>
    <x v="3"/>
    <x v="2"/>
    <x v="1"/>
    <s v="UPI"/>
    <n v="41.82"/>
    <n v="17.829999999999998"/>
    <x v="4"/>
    <n v="37.28"/>
    <n v="708.37"/>
    <n v="321.44"/>
    <n v="7.27"/>
    <n v="5.22"/>
    <n v="6.5"/>
    <n v="0"/>
    <n v="0"/>
    <n v="340.43"/>
    <n v="367.94"/>
    <s v="Profit"/>
    <x v="0"/>
    <n v="4"/>
    <n v="9"/>
    <s v="0-15"/>
    <s v="No"/>
    <n v="0"/>
    <s v="Healthy"/>
    <n v="0"/>
  </r>
  <r>
    <n v="102883"/>
    <d v="2025-11-08T00:00:00"/>
    <n v="1053"/>
    <x v="3"/>
    <x v="15"/>
    <x v="1"/>
    <x v="1"/>
    <x v="0"/>
    <s v="UPI"/>
    <n v="27.85"/>
    <n v="15.78"/>
    <x v="3"/>
    <n v="0"/>
    <n v="439.47"/>
    <n v="250.72"/>
    <n v="9.1300000000000008"/>
    <n v="3.08"/>
    <n v="1.5"/>
    <n v="0"/>
    <n v="0"/>
    <n v="264.43"/>
    <n v="175.04"/>
    <s v="Profit"/>
    <x v="0"/>
    <n v="9"/>
    <n v="23"/>
    <s v="0-15"/>
    <s v="Yes"/>
    <n v="1"/>
    <s v="At Risk"/>
    <n v="1"/>
  </r>
  <r>
    <n v="102884"/>
    <d v="2025-11-25T00:00:00"/>
    <n v="1045"/>
    <x v="3"/>
    <x v="8"/>
    <x v="2"/>
    <x v="3"/>
    <x v="2"/>
    <s v="Wallet"/>
    <n v="7.65"/>
    <n v="12.63"/>
    <x v="3"/>
    <n v="0"/>
    <n v="96.62"/>
    <n v="68.849999999999994"/>
    <n v="8.99"/>
    <n v="1.1599999999999999"/>
    <n v="10.49"/>
    <n v="0"/>
    <n v="0"/>
    <n v="89.49"/>
    <n v="7.13"/>
    <s v="Profit"/>
    <x v="0"/>
    <n v="19"/>
    <n v="10"/>
    <s v="16-30"/>
    <s v="No"/>
    <n v="0"/>
    <s v="Healthy"/>
    <n v="0"/>
  </r>
  <r>
    <n v="102885"/>
    <d v="2025-11-23T00:00:00"/>
    <n v="1112"/>
    <x v="2"/>
    <x v="9"/>
    <x v="4"/>
    <x v="3"/>
    <x v="0"/>
    <s v="Fleet_Invoice"/>
    <n v="6.55"/>
    <n v="12.9"/>
    <x v="0"/>
    <n v="12.68"/>
    <n v="71.819999999999993"/>
    <n v="39.049999999999997"/>
    <n v="9.89"/>
    <n v="0.34"/>
    <n v="6.47"/>
    <n v="0"/>
    <n v="0"/>
    <n v="55.75"/>
    <n v="16.07"/>
    <s v="Profit"/>
    <x v="0"/>
    <n v="1"/>
    <n v="3"/>
    <s v="0-15"/>
    <s v="No"/>
    <n v="0"/>
    <s v="Healthy"/>
    <n v="0"/>
  </r>
  <r>
    <n v="102886"/>
    <d v="2025-11-24T00:00:00"/>
    <n v="1097"/>
    <x v="2"/>
    <x v="9"/>
    <x v="1"/>
    <x v="3"/>
    <x v="2"/>
    <s v="Wallet"/>
    <n v="25.8"/>
    <n v="12.14"/>
    <x v="4"/>
    <n v="15.66"/>
    <n v="297.55"/>
    <n v="168.35"/>
    <n v="12.1"/>
    <n v="3.76"/>
    <n v="1.79"/>
    <n v="0"/>
    <n v="0"/>
    <n v="186"/>
    <n v="111.55"/>
    <s v="Profit"/>
    <x v="0"/>
    <n v="6"/>
    <n v="12"/>
    <s v="0-15"/>
    <s v="No"/>
    <n v="0"/>
    <s v="Healthy"/>
    <n v="0"/>
  </r>
  <r>
    <n v="102887"/>
    <d v="2025-12-12T00:00:00"/>
    <n v="1012"/>
    <x v="0"/>
    <x v="11"/>
    <x v="0"/>
    <x v="3"/>
    <x v="0"/>
    <s v="UPI"/>
    <n v="17.52"/>
    <n v="12.98"/>
    <x v="2"/>
    <n v="22.74"/>
    <n v="204.67"/>
    <n v="118.11"/>
    <n v="10.050000000000001"/>
    <n v="1.59"/>
    <n v="7.63"/>
    <n v="0"/>
    <n v="0"/>
    <n v="137.38"/>
    <n v="67.290000000000006"/>
    <s v="Profit"/>
    <x v="0"/>
    <n v="0"/>
    <n v="1"/>
    <s v="0-15"/>
    <s v="No"/>
    <n v="0"/>
    <s v="Healthy"/>
    <n v="0"/>
  </r>
  <r>
    <n v="102888"/>
    <d v="2025-10-04T00:00:00"/>
    <n v="1040"/>
    <x v="3"/>
    <x v="8"/>
    <x v="2"/>
    <x v="1"/>
    <x v="0"/>
    <s v="Wallet"/>
    <n v="24.13"/>
    <n v="13.9"/>
    <x v="3"/>
    <n v="0"/>
    <n v="335.41"/>
    <n v="154.52000000000001"/>
    <n v="13.08"/>
    <n v="4.0199999999999996"/>
    <n v="8.26"/>
    <n v="0"/>
    <n v="0"/>
    <n v="179.88"/>
    <n v="155.53"/>
    <s v="Profit"/>
    <x v="0"/>
    <n v="2"/>
    <n v="1"/>
    <s v="0-15"/>
    <s v="No"/>
    <n v="0"/>
    <s v="Healthy"/>
    <n v="0"/>
  </r>
  <r>
    <n v="102889"/>
    <d v="2025-10-06T00:00:00"/>
    <n v="1035"/>
    <x v="2"/>
    <x v="10"/>
    <x v="0"/>
    <x v="1"/>
    <x v="0"/>
    <s v="Fleet_Invoice"/>
    <n v="24.32"/>
    <n v="16.61"/>
    <x v="3"/>
    <n v="0"/>
    <n v="403.96"/>
    <n v="194.34"/>
    <n v="8.59"/>
    <n v="1.62"/>
    <n v="6.18"/>
    <n v="0"/>
    <n v="0"/>
    <n v="210.73"/>
    <n v="193.23"/>
    <s v="Profit"/>
    <x v="0"/>
    <n v="6"/>
    <n v="14"/>
    <s v="0-15"/>
    <s v="No"/>
    <n v="1"/>
    <s v="Healthy"/>
    <n v="0"/>
  </r>
  <r>
    <n v="102890"/>
    <d v="2025-12-16T00:00:00"/>
    <n v="1065"/>
    <x v="0"/>
    <x v="6"/>
    <x v="1"/>
    <x v="2"/>
    <x v="1"/>
    <s v="UPI"/>
    <n v="35.090000000000003"/>
    <n v="18.37"/>
    <x v="2"/>
    <n v="64.459999999999994"/>
    <n v="580.14"/>
    <n v="266.13"/>
    <n v="7.49"/>
    <n v="4.51"/>
    <n v="0"/>
    <n v="0"/>
    <n v="0"/>
    <n v="278.13"/>
    <n v="302.01"/>
    <s v="Profit"/>
    <x v="0"/>
    <n v="15"/>
    <n v="23"/>
    <s v="0-15"/>
    <s v="Yes"/>
    <n v="1"/>
    <s v="At Risk"/>
    <n v="1"/>
  </r>
  <r>
    <n v="102891"/>
    <d v="2025-11-03T00:00:00"/>
    <n v="1053"/>
    <x v="1"/>
    <x v="3"/>
    <x v="1"/>
    <x v="2"/>
    <x v="0"/>
    <s v="UPI"/>
    <n v="27.91"/>
    <n v="17.100000000000001"/>
    <x v="3"/>
    <n v="0"/>
    <n v="477.26"/>
    <n v="204.33"/>
    <n v="13.76"/>
    <n v="3.34"/>
    <n v="4.09"/>
    <n v="182"/>
    <n v="0"/>
    <n v="407.52"/>
    <n v="69.739999999999995"/>
    <s v="Profit"/>
    <x v="2"/>
    <n v="8"/>
    <n v="6"/>
    <s v="0-15"/>
    <s v="No"/>
    <n v="1"/>
    <s v="At Risk"/>
    <n v="0"/>
  </r>
  <r>
    <n v="102892"/>
    <d v="2025-11-06T00:00:00"/>
    <n v="1080"/>
    <x v="1"/>
    <x v="4"/>
    <x v="3"/>
    <x v="2"/>
    <x v="0"/>
    <s v="UPI"/>
    <n v="35.81"/>
    <n v="17.98"/>
    <x v="3"/>
    <n v="0"/>
    <n v="643.86"/>
    <n v="276.5"/>
    <n v="8.0500000000000007"/>
    <n v="4.51"/>
    <n v="7.0000000000000007E-2"/>
    <n v="0"/>
    <n v="0"/>
    <n v="289.13"/>
    <n v="354.73"/>
    <s v="Profit"/>
    <x v="0"/>
    <n v="2"/>
    <n v="0"/>
    <s v="0-15"/>
    <s v="No"/>
    <n v="0"/>
    <s v="Healthy"/>
    <n v="0"/>
  </r>
  <r>
    <n v="102893"/>
    <d v="2025-12-26T00:00:00"/>
    <n v="1150"/>
    <x v="0"/>
    <x v="11"/>
    <x v="3"/>
    <x v="3"/>
    <x v="2"/>
    <s v="Fleet_Invoice"/>
    <n v="17.07"/>
    <n v="12.16"/>
    <x v="3"/>
    <n v="0"/>
    <n v="207.57"/>
    <n v="101.68"/>
    <n v="7.38"/>
    <n v="0.83"/>
    <n v="9.58"/>
    <n v="123.05"/>
    <n v="10.55"/>
    <n v="253.07"/>
    <n v="-45.5"/>
    <s v="Loss"/>
    <x v="2"/>
    <n v="19"/>
    <n v="0"/>
    <s v="16-30"/>
    <s v="No"/>
    <n v="3"/>
    <s v="At Risk"/>
    <n v="0"/>
  </r>
  <r>
    <n v="102894"/>
    <d v="2025-10-06T00:00:00"/>
    <n v="1132"/>
    <x v="0"/>
    <x v="0"/>
    <x v="1"/>
    <x v="1"/>
    <x v="0"/>
    <s v="Card"/>
    <n v="38.61"/>
    <n v="15.72"/>
    <x v="2"/>
    <n v="60.7"/>
    <n v="546.25"/>
    <n v="237.25"/>
    <n v="11.48"/>
    <n v="9.1"/>
    <n v="2"/>
    <n v="0"/>
    <n v="0"/>
    <n v="259.83"/>
    <n v="286.42"/>
    <s v="Profit"/>
    <x v="0"/>
    <n v="1"/>
    <n v="8"/>
    <s v="0-15"/>
    <s v="No"/>
    <n v="0"/>
    <s v="Healthy"/>
    <n v="0"/>
  </r>
  <r>
    <n v="102895"/>
    <d v="2025-12-25T00:00:00"/>
    <n v="1139"/>
    <x v="0"/>
    <x v="0"/>
    <x v="4"/>
    <x v="3"/>
    <x v="2"/>
    <s v="Card"/>
    <n v="23.34"/>
    <n v="12.27"/>
    <x v="3"/>
    <n v="0"/>
    <n v="286.38"/>
    <n v="152.97999999999999"/>
    <n v="7.68"/>
    <n v="4.3"/>
    <n v="11.61"/>
    <n v="0"/>
    <n v="0"/>
    <n v="176.57"/>
    <n v="109.81"/>
    <s v="Profit"/>
    <x v="0"/>
    <n v="7"/>
    <n v="8"/>
    <s v="0-15"/>
    <s v="No"/>
    <n v="0"/>
    <s v="Healthy"/>
    <n v="0"/>
  </r>
  <r>
    <n v="102896"/>
    <d v="2025-12-05T00:00:00"/>
    <n v="1054"/>
    <x v="0"/>
    <x v="0"/>
    <x v="1"/>
    <x v="1"/>
    <x v="0"/>
    <s v="Fleet_Invoice"/>
    <n v="29.64"/>
    <n v="14.97"/>
    <x v="4"/>
    <n v="22.19"/>
    <n v="421.52"/>
    <n v="174.96"/>
    <n v="6.58"/>
    <n v="1.77"/>
    <n v="7.61"/>
    <n v="0"/>
    <n v="0"/>
    <n v="190.92"/>
    <n v="230.6"/>
    <s v="Profit"/>
    <x v="0"/>
    <n v="0"/>
    <n v="0"/>
    <s v="0-15"/>
    <s v="No"/>
    <n v="0"/>
    <s v="Healthy"/>
    <n v="0"/>
  </r>
  <r>
    <n v="102897"/>
    <d v="2025-10-10T00:00:00"/>
    <n v="1011"/>
    <x v="0"/>
    <x v="11"/>
    <x v="0"/>
    <x v="1"/>
    <x v="0"/>
    <s v="Card"/>
    <n v="13.4"/>
    <n v="17.18"/>
    <x v="2"/>
    <n v="23.02"/>
    <n v="207.19"/>
    <n v="87.14"/>
    <n v="12.14"/>
    <n v="3.45"/>
    <n v="11.25"/>
    <n v="0"/>
    <n v="0"/>
    <n v="113.98"/>
    <n v="93.21"/>
    <s v="Profit"/>
    <x v="0"/>
    <n v="3"/>
    <n v="19"/>
    <s v="0-15"/>
    <s v="Yes"/>
    <n v="1"/>
    <s v="At Risk"/>
    <n v="1"/>
  </r>
  <r>
    <n v="102898"/>
    <d v="2025-10-07T00:00:00"/>
    <n v="1067"/>
    <x v="0"/>
    <x v="11"/>
    <x v="1"/>
    <x v="1"/>
    <x v="0"/>
    <s v="Card"/>
    <n v="34.78"/>
    <n v="15.15"/>
    <x v="2"/>
    <n v="52.69"/>
    <n v="474.23"/>
    <n v="265.58"/>
    <n v="8.7200000000000006"/>
    <n v="7.9"/>
    <n v="6.63"/>
    <n v="0"/>
    <n v="0"/>
    <n v="288.83"/>
    <n v="185.4"/>
    <s v="Profit"/>
    <x v="0"/>
    <n v="16"/>
    <n v="28"/>
    <s v="16-30"/>
    <s v="Yes"/>
    <n v="2"/>
    <s v="At Risk"/>
    <n v="1"/>
  </r>
  <r>
    <n v="102899"/>
    <d v="2025-11-12T00:00:00"/>
    <n v="1005"/>
    <x v="3"/>
    <x v="15"/>
    <x v="1"/>
    <x v="0"/>
    <x v="0"/>
    <s v="Fleet_Invoice"/>
    <n v="23.37"/>
    <n v="18.09"/>
    <x v="3"/>
    <n v="0"/>
    <n v="422.76"/>
    <n v="165.69"/>
    <n v="8.11"/>
    <n v="1.69"/>
    <n v="7.29"/>
    <n v="0"/>
    <n v="0"/>
    <n v="182.78"/>
    <n v="239.98"/>
    <s v="Profit"/>
    <x v="0"/>
    <n v="1"/>
    <n v="7"/>
    <s v="0-15"/>
    <s v="No"/>
    <n v="0"/>
    <s v="Healthy"/>
    <n v="0"/>
  </r>
  <r>
    <n v="102900"/>
    <d v="2025-12-10T00:00:00"/>
    <n v="1018"/>
    <x v="1"/>
    <x v="2"/>
    <x v="1"/>
    <x v="0"/>
    <x v="0"/>
    <s v="Wallet"/>
    <n v="28.58"/>
    <n v="18.649999999999999"/>
    <x v="2"/>
    <n v="53.3"/>
    <n v="479.72"/>
    <n v="220.64"/>
    <n v="3.3"/>
    <n v="6.4"/>
    <n v="10.42"/>
    <n v="0"/>
    <n v="0"/>
    <n v="240.76"/>
    <n v="238.96"/>
    <s v="Profit"/>
    <x v="0"/>
    <n v="8"/>
    <n v="13"/>
    <s v="0-15"/>
    <s v="No"/>
    <n v="0"/>
    <s v="Healthy"/>
    <n v="0"/>
  </r>
  <r>
    <n v="102901"/>
    <d v="2025-12-22T00:00:00"/>
    <n v="1006"/>
    <x v="3"/>
    <x v="7"/>
    <x v="0"/>
    <x v="3"/>
    <x v="1"/>
    <s v="Wallet"/>
    <n v="32.28"/>
    <n v="12.36"/>
    <x v="2"/>
    <n v="39.9"/>
    <n v="359.08"/>
    <n v="248.72"/>
    <n v="7.26"/>
    <n v="4.79"/>
    <n v="11.76"/>
    <n v="0"/>
    <n v="0"/>
    <n v="272.52999999999997"/>
    <n v="86.55"/>
    <s v="Profit"/>
    <x v="0"/>
    <n v="12"/>
    <n v="31"/>
    <s v="0-15"/>
    <s v="Yes"/>
    <n v="3"/>
    <s v="At Risk"/>
    <n v="1"/>
  </r>
  <r>
    <n v="102902"/>
    <d v="2025-12-15T00:00:00"/>
    <n v="1019"/>
    <x v="1"/>
    <x v="4"/>
    <x v="0"/>
    <x v="3"/>
    <x v="2"/>
    <s v="Card"/>
    <n v="30.97"/>
    <n v="12.09"/>
    <x v="3"/>
    <n v="0"/>
    <n v="374.43"/>
    <n v="215.72"/>
    <n v="8.6300000000000008"/>
    <n v="5.62"/>
    <n v="2.35"/>
    <n v="0"/>
    <n v="0"/>
    <n v="232.32"/>
    <n v="142.11000000000001"/>
    <s v="Profit"/>
    <x v="0"/>
    <n v="13"/>
    <n v="20"/>
    <s v="0-15"/>
    <s v="Yes"/>
    <n v="1"/>
    <s v="At Risk"/>
    <n v="1"/>
  </r>
  <r>
    <n v="102903"/>
    <d v="2025-12-31T00:00:00"/>
    <n v="1094"/>
    <x v="2"/>
    <x v="5"/>
    <x v="0"/>
    <x v="2"/>
    <x v="2"/>
    <s v="Wallet"/>
    <n v="30.65"/>
    <n v="19.23"/>
    <x v="3"/>
    <n v="0"/>
    <n v="589.4"/>
    <n v="221.02"/>
    <n v="5.9"/>
    <n v="7.07"/>
    <n v="0"/>
    <n v="0"/>
    <n v="0"/>
    <n v="233.99"/>
    <n v="355.41"/>
    <s v="Profit"/>
    <x v="0"/>
    <n v="30"/>
    <n v="21"/>
    <s v="16-30"/>
    <s v="Yes"/>
    <n v="4"/>
    <s v="At Risk"/>
    <n v="1"/>
  </r>
  <r>
    <n v="102904"/>
    <d v="2025-11-08T00:00:00"/>
    <n v="1142"/>
    <x v="0"/>
    <x v="11"/>
    <x v="1"/>
    <x v="1"/>
    <x v="1"/>
    <s v="UPI"/>
    <n v="35.36"/>
    <n v="15.98"/>
    <x v="2"/>
    <n v="56.5"/>
    <n v="508.55"/>
    <n v="229.36"/>
    <n v="5.0199999999999996"/>
    <n v="3.96"/>
    <n v="9.39"/>
    <n v="0"/>
    <n v="0"/>
    <n v="247.73"/>
    <n v="260.82"/>
    <s v="Profit"/>
    <x v="0"/>
    <n v="0"/>
    <n v="6"/>
    <s v="0-15"/>
    <s v="No"/>
    <n v="0"/>
    <s v="Healthy"/>
    <n v="0"/>
  </r>
  <r>
    <n v="102905"/>
    <d v="2025-11-13T00:00:00"/>
    <n v="1096"/>
    <x v="3"/>
    <x v="15"/>
    <x v="1"/>
    <x v="3"/>
    <x v="2"/>
    <s v="Card"/>
    <n v="23.4"/>
    <n v="12.68"/>
    <x v="3"/>
    <n v="0"/>
    <n v="296.70999999999998"/>
    <n v="125.7"/>
    <n v="3.04"/>
    <n v="4.45"/>
    <n v="8.2200000000000006"/>
    <n v="0"/>
    <n v="0"/>
    <n v="141.41"/>
    <n v="155.30000000000001"/>
    <s v="Profit"/>
    <x v="0"/>
    <n v="6"/>
    <n v="37"/>
    <s v="0-15"/>
    <s v="Yes"/>
    <n v="2"/>
    <s v="At Risk"/>
    <n v="1"/>
  </r>
  <r>
    <n v="102906"/>
    <d v="2025-12-29T00:00:00"/>
    <n v="1070"/>
    <x v="1"/>
    <x v="3"/>
    <x v="3"/>
    <x v="3"/>
    <x v="0"/>
    <s v="UPI"/>
    <n v="27.69"/>
    <n v="14.26"/>
    <x v="0"/>
    <n v="59.23"/>
    <n v="335.63"/>
    <n v="171.31"/>
    <n v="7.6"/>
    <n v="2.76"/>
    <n v="0"/>
    <n v="304.27999999999997"/>
    <n v="0"/>
    <n v="485.95"/>
    <n v="-150.32"/>
    <s v="Loss"/>
    <x v="1"/>
    <n v="4"/>
    <n v="5"/>
    <s v="0-15"/>
    <s v="Yes"/>
    <n v="1"/>
    <s v="At Risk"/>
    <n v="1"/>
  </r>
  <r>
    <n v="102907"/>
    <d v="2025-11-21T00:00:00"/>
    <n v="1130"/>
    <x v="1"/>
    <x v="4"/>
    <x v="3"/>
    <x v="2"/>
    <x v="0"/>
    <s v="UPI"/>
    <n v="31.28"/>
    <n v="19.29"/>
    <x v="3"/>
    <n v="0"/>
    <n v="603.39"/>
    <n v="199.64"/>
    <n v="6.32"/>
    <n v="4.22"/>
    <n v="4.0199999999999996"/>
    <n v="514.5"/>
    <n v="0"/>
    <n v="728.7"/>
    <n v="-125.31"/>
    <s v="Loss"/>
    <x v="2"/>
    <n v="20"/>
    <n v="13"/>
    <s v="16-30"/>
    <s v="No"/>
    <n v="1"/>
    <s v="At Risk"/>
    <n v="0"/>
  </r>
  <r>
    <n v="102908"/>
    <d v="2025-11-16T00:00:00"/>
    <n v="1056"/>
    <x v="0"/>
    <x v="11"/>
    <x v="3"/>
    <x v="2"/>
    <x v="1"/>
    <s v="UPI"/>
    <n v="10.55"/>
    <n v="18.420000000000002"/>
    <x v="0"/>
    <n v="29.15"/>
    <n v="165.18"/>
    <n v="82.3"/>
    <n v="9.14"/>
    <n v="1.36"/>
    <n v="5.19"/>
    <n v="170.96"/>
    <n v="17.649999999999999"/>
    <n v="286.60000000000002"/>
    <n v="-121.42"/>
    <s v="Loss"/>
    <x v="1"/>
    <n v="7"/>
    <n v="4"/>
    <s v="0-15"/>
    <s v="Yes"/>
    <n v="1"/>
    <s v="At Risk"/>
    <n v="1"/>
  </r>
  <r>
    <n v="102909"/>
    <d v="2025-12-14T00:00:00"/>
    <n v="1134"/>
    <x v="0"/>
    <x v="6"/>
    <x v="3"/>
    <x v="3"/>
    <x v="2"/>
    <s v="Card"/>
    <n v="18.32"/>
    <n v="13.31"/>
    <x v="0"/>
    <n v="36.58"/>
    <n v="207.26"/>
    <n v="150.19"/>
    <n v="8.11"/>
    <n v="3.66"/>
    <n v="0.7"/>
    <n v="0"/>
    <n v="0"/>
    <n v="162.66"/>
    <n v="44.6"/>
    <s v="Profit"/>
    <x v="0"/>
    <n v="0"/>
    <n v="4"/>
    <s v="0-15"/>
    <s v="No"/>
    <n v="0"/>
    <s v="Healthy"/>
    <n v="0"/>
  </r>
  <r>
    <n v="102910"/>
    <d v="2025-11-16T00:00:00"/>
    <n v="1055"/>
    <x v="1"/>
    <x v="3"/>
    <x v="0"/>
    <x v="3"/>
    <x v="0"/>
    <s v="UPI"/>
    <n v="20.67"/>
    <n v="13.81"/>
    <x v="0"/>
    <n v="42.82"/>
    <n v="242.63"/>
    <n v="108.87"/>
    <n v="8.6"/>
    <n v="2"/>
    <n v="4.95"/>
    <n v="266.38"/>
    <n v="0"/>
    <n v="390.8"/>
    <n v="-148.16999999999999"/>
    <s v="Loss"/>
    <x v="1"/>
    <n v="28"/>
    <n v="18"/>
    <s v="16-30"/>
    <s v="Yes"/>
    <n v="1"/>
    <s v="At Risk"/>
    <n v="1"/>
  </r>
  <r>
    <n v="102911"/>
    <d v="2025-12-05T00:00:00"/>
    <n v="1075"/>
    <x v="0"/>
    <x v="11"/>
    <x v="4"/>
    <x v="3"/>
    <x v="0"/>
    <s v="UPI"/>
    <n v="28.71"/>
    <n v="12.05"/>
    <x v="3"/>
    <n v="0"/>
    <n v="345.96"/>
    <n v="193.3"/>
    <n v="6.19"/>
    <n v="2.42"/>
    <n v="2.0099999999999998"/>
    <n v="0"/>
    <n v="0"/>
    <n v="203.92"/>
    <n v="142.04"/>
    <s v="Profit"/>
    <x v="0"/>
    <n v="18"/>
    <n v="7"/>
    <s v="16-30"/>
    <s v="No"/>
    <n v="0"/>
    <s v="Healthy"/>
    <n v="0"/>
  </r>
  <r>
    <n v="102912"/>
    <d v="2025-10-17T00:00:00"/>
    <n v="1125"/>
    <x v="2"/>
    <x v="12"/>
    <x v="1"/>
    <x v="1"/>
    <x v="1"/>
    <s v="UPI"/>
    <n v="34.07"/>
    <n v="15.41"/>
    <x v="4"/>
    <n v="26.25"/>
    <n v="498.77"/>
    <n v="253.62"/>
    <n v="7.59"/>
    <n v="3.68"/>
    <n v="0"/>
    <n v="0"/>
    <n v="0"/>
    <n v="264.89"/>
    <n v="233.88"/>
    <s v="Profit"/>
    <x v="0"/>
    <n v="0"/>
    <n v="15"/>
    <s v="0-15"/>
    <s v="No"/>
    <n v="0"/>
    <s v="Healthy"/>
    <n v="0"/>
  </r>
  <r>
    <n v="102913"/>
    <d v="2025-11-25T00:00:00"/>
    <n v="1084"/>
    <x v="1"/>
    <x v="13"/>
    <x v="3"/>
    <x v="1"/>
    <x v="2"/>
    <s v="Wallet"/>
    <n v="35.340000000000003"/>
    <n v="15.68"/>
    <x v="4"/>
    <n v="27.71"/>
    <n v="526.41999999999996"/>
    <n v="217.32"/>
    <n v="5.86"/>
    <n v="6.65"/>
    <n v="7.76"/>
    <n v="0"/>
    <n v="0"/>
    <n v="237.59"/>
    <n v="288.83"/>
    <s v="Profit"/>
    <x v="0"/>
    <n v="9"/>
    <n v="36"/>
    <s v="0-15"/>
    <s v="Yes"/>
    <n v="1"/>
    <s v="At Risk"/>
    <n v="1"/>
  </r>
  <r>
    <n v="102914"/>
    <d v="2025-12-24T00:00:00"/>
    <n v="1097"/>
    <x v="3"/>
    <x v="15"/>
    <x v="4"/>
    <x v="3"/>
    <x v="1"/>
    <s v="UPI"/>
    <n v="18.260000000000002"/>
    <n v="13.65"/>
    <x v="0"/>
    <n v="37.39"/>
    <n v="211.86"/>
    <n v="122.44"/>
    <n v="5.04"/>
    <n v="1.74"/>
    <n v="5.39"/>
    <n v="0"/>
    <n v="0"/>
    <n v="134.61000000000001"/>
    <n v="77.25"/>
    <s v="Profit"/>
    <x v="0"/>
    <n v="5"/>
    <n v="9"/>
    <s v="0-15"/>
    <s v="No"/>
    <n v="1"/>
    <s v="Healthy"/>
    <n v="0"/>
  </r>
  <r>
    <n v="102915"/>
    <d v="2025-10-04T00:00:00"/>
    <n v="1071"/>
    <x v="1"/>
    <x v="13"/>
    <x v="4"/>
    <x v="1"/>
    <x v="2"/>
    <s v="UPI"/>
    <n v="34.61"/>
    <n v="15.74"/>
    <x v="3"/>
    <n v="0"/>
    <n v="544.76"/>
    <n v="240.39"/>
    <n v="10.64"/>
    <n v="3.81"/>
    <n v="9.98"/>
    <n v="0"/>
    <n v="0"/>
    <n v="264.82"/>
    <n v="279.94"/>
    <s v="Profit"/>
    <x v="0"/>
    <n v="5"/>
    <n v="4"/>
    <s v="0-15"/>
    <s v="No"/>
    <n v="0"/>
    <s v="Healthy"/>
    <n v="0"/>
  </r>
  <r>
    <n v="102916"/>
    <d v="2025-11-08T00:00:00"/>
    <n v="1034"/>
    <x v="2"/>
    <x v="12"/>
    <x v="2"/>
    <x v="2"/>
    <x v="0"/>
    <s v="UPI"/>
    <n v="13.88"/>
    <n v="17.239999999999998"/>
    <x v="3"/>
    <n v="0"/>
    <n v="239.29"/>
    <n v="113.77"/>
    <n v="13.36"/>
    <n v="1.68"/>
    <n v="4.41"/>
    <n v="0"/>
    <n v="0"/>
    <n v="133.22"/>
    <n v="106.07"/>
    <s v="Profit"/>
    <x v="0"/>
    <n v="1"/>
    <n v="2"/>
    <s v="0-15"/>
    <s v="No"/>
    <n v="0"/>
    <s v="Healthy"/>
    <n v="0"/>
  </r>
  <r>
    <n v="102917"/>
    <d v="2025-11-02T00:00:00"/>
    <n v="1032"/>
    <x v="0"/>
    <x v="6"/>
    <x v="4"/>
    <x v="1"/>
    <x v="1"/>
    <s v="Card"/>
    <n v="25.29"/>
    <n v="15.58"/>
    <x v="3"/>
    <n v="0"/>
    <n v="394.02"/>
    <n v="173.69"/>
    <n v="4.53"/>
    <n v="5.91"/>
    <n v="11.39"/>
    <n v="0"/>
    <n v="0"/>
    <n v="195.52"/>
    <n v="198.5"/>
    <s v="Profit"/>
    <x v="0"/>
    <n v="0"/>
    <n v="1"/>
    <s v="0-15"/>
    <s v="No"/>
    <n v="0"/>
    <s v="Healthy"/>
    <n v="0"/>
  </r>
  <r>
    <n v="102918"/>
    <d v="2025-10-06T00:00:00"/>
    <n v="1091"/>
    <x v="0"/>
    <x v="6"/>
    <x v="2"/>
    <x v="3"/>
    <x v="1"/>
    <s v="Fleet_Invoice"/>
    <n v="11.08"/>
    <n v="12.11"/>
    <x v="3"/>
    <n v="0"/>
    <n v="134.18"/>
    <n v="65.89"/>
    <n v="7.61"/>
    <n v="0.54"/>
    <n v="4.01"/>
    <n v="0"/>
    <n v="0"/>
    <n v="78.05"/>
    <n v="56.13"/>
    <s v="Profit"/>
    <x v="0"/>
    <n v="18"/>
    <n v="20"/>
    <s v="16-30"/>
    <s v="Yes"/>
    <n v="2"/>
    <s v="At Risk"/>
    <n v="1"/>
  </r>
  <r>
    <n v="102919"/>
    <d v="2025-12-17T00:00:00"/>
    <n v="1104"/>
    <x v="2"/>
    <x v="5"/>
    <x v="1"/>
    <x v="3"/>
    <x v="0"/>
    <s v="UPI"/>
    <n v="12.89"/>
    <n v="12.43"/>
    <x v="3"/>
    <n v="0"/>
    <n v="160.22"/>
    <n v="84.03"/>
    <n v="5.65"/>
    <n v="1.1200000000000001"/>
    <n v="3.55"/>
    <n v="0"/>
    <n v="0"/>
    <n v="94.35"/>
    <n v="65.87"/>
    <s v="Profit"/>
    <x v="0"/>
    <n v="1"/>
    <n v="7"/>
    <s v="0-15"/>
    <s v="No"/>
    <n v="0"/>
    <s v="Healthy"/>
    <n v="0"/>
  </r>
  <r>
    <n v="102920"/>
    <d v="2025-10-17T00:00:00"/>
    <n v="1059"/>
    <x v="2"/>
    <x v="9"/>
    <x v="4"/>
    <x v="0"/>
    <x v="2"/>
    <s v="UPI"/>
    <n v="34.229999999999997"/>
    <n v="19.59"/>
    <x v="2"/>
    <n v="67.06"/>
    <n v="603.51"/>
    <n v="210.89"/>
    <n v="10.16"/>
    <n v="4.6900000000000004"/>
    <n v="6.79"/>
    <n v="0"/>
    <n v="0"/>
    <n v="232.53"/>
    <n v="370.98"/>
    <s v="Profit"/>
    <x v="0"/>
    <n v="3"/>
    <n v="6"/>
    <s v="0-15"/>
    <s v="No"/>
    <n v="0"/>
    <s v="Healthy"/>
    <n v="0"/>
  </r>
  <r>
    <n v="102921"/>
    <d v="2025-10-19T00:00:00"/>
    <n v="1083"/>
    <x v="2"/>
    <x v="10"/>
    <x v="3"/>
    <x v="3"/>
    <x v="0"/>
    <s v="UPI"/>
    <n v="18.690000000000001"/>
    <n v="13.23"/>
    <x v="3"/>
    <n v="0"/>
    <n v="247.27"/>
    <n v="118.02"/>
    <n v="12.35"/>
    <n v="1.73"/>
    <n v="12.53"/>
    <n v="0"/>
    <n v="0"/>
    <n v="144.63"/>
    <n v="102.64"/>
    <s v="Profit"/>
    <x v="0"/>
    <n v="18"/>
    <n v="5"/>
    <s v="16-30"/>
    <s v="No"/>
    <n v="0"/>
    <s v="Healthy"/>
    <n v="0"/>
  </r>
  <r>
    <n v="102922"/>
    <d v="2025-12-26T00:00:00"/>
    <n v="1038"/>
    <x v="2"/>
    <x v="5"/>
    <x v="2"/>
    <x v="1"/>
    <x v="0"/>
    <s v="UPI"/>
    <n v="31.23"/>
    <n v="18.7"/>
    <x v="3"/>
    <n v="0"/>
    <n v="584"/>
    <n v="208.46"/>
    <n v="6.53"/>
    <n v="4.09"/>
    <n v="6.07"/>
    <n v="0"/>
    <n v="0"/>
    <n v="225.15"/>
    <n v="358.85"/>
    <s v="Profit"/>
    <x v="0"/>
    <n v="2"/>
    <n v="8"/>
    <s v="0-15"/>
    <s v="No"/>
    <n v="0"/>
    <s v="Healthy"/>
    <n v="0"/>
  </r>
  <r>
    <n v="102923"/>
    <d v="2025-10-15T00:00:00"/>
    <n v="1004"/>
    <x v="1"/>
    <x v="2"/>
    <x v="3"/>
    <x v="0"/>
    <x v="0"/>
    <s v="Fleet_Invoice"/>
    <n v="12.94"/>
    <n v="18.809999999999999"/>
    <x v="3"/>
    <n v="0"/>
    <n v="243.4"/>
    <n v="89.3"/>
    <n v="5.71"/>
    <n v="0.97"/>
    <n v="3.93"/>
    <n v="0"/>
    <n v="0"/>
    <n v="99.91"/>
    <n v="143.49"/>
    <s v="Profit"/>
    <x v="0"/>
    <n v="24"/>
    <n v="5"/>
    <s v="16-30"/>
    <s v="Yes"/>
    <n v="3"/>
    <s v="At Risk"/>
    <n v="1"/>
  </r>
  <r>
    <n v="102924"/>
    <d v="2025-11-16T00:00:00"/>
    <n v="1001"/>
    <x v="1"/>
    <x v="3"/>
    <x v="4"/>
    <x v="2"/>
    <x v="0"/>
    <s v="Card"/>
    <n v="22.85"/>
    <n v="18.399999999999999"/>
    <x v="4"/>
    <n v="21.02"/>
    <n v="399.42"/>
    <n v="132.65"/>
    <n v="4.3600000000000003"/>
    <n v="6.31"/>
    <n v="14.21"/>
    <n v="0"/>
    <n v="0"/>
    <n v="157.53"/>
    <n v="241.89"/>
    <s v="Profit"/>
    <x v="0"/>
    <n v="22"/>
    <n v="7"/>
    <s v="16-30"/>
    <s v="Yes"/>
    <n v="3"/>
    <s v="At Risk"/>
    <n v="1"/>
  </r>
  <r>
    <n v="102925"/>
    <d v="2025-10-27T00:00:00"/>
    <n v="1009"/>
    <x v="3"/>
    <x v="8"/>
    <x v="0"/>
    <x v="3"/>
    <x v="2"/>
    <s v="UPI"/>
    <n v="9.66"/>
    <n v="12.75"/>
    <x v="2"/>
    <n v="12.32"/>
    <n v="110.84"/>
    <n v="65.38"/>
    <n v="10.35"/>
    <n v="0.86"/>
    <n v="7.36"/>
    <n v="0"/>
    <n v="0"/>
    <n v="83.95"/>
    <n v="26.89"/>
    <s v="Profit"/>
    <x v="0"/>
    <n v="11"/>
    <n v="1"/>
    <s v="0-15"/>
    <s v="No"/>
    <n v="0"/>
    <s v="Healthy"/>
    <n v="0"/>
  </r>
  <r>
    <n v="102926"/>
    <d v="2025-11-01T00:00:00"/>
    <n v="1068"/>
    <x v="0"/>
    <x v="0"/>
    <x v="2"/>
    <x v="2"/>
    <x v="0"/>
    <s v="UPI"/>
    <n v="33.6"/>
    <n v="17.14"/>
    <x v="2"/>
    <n v="57.59"/>
    <n v="518.30999999999995"/>
    <n v="223.68"/>
    <n v="8.7799999999999994"/>
    <n v="4.03"/>
    <n v="1.39"/>
    <n v="0"/>
    <n v="0"/>
    <n v="237.88"/>
    <n v="280.43"/>
    <s v="Profit"/>
    <x v="0"/>
    <n v="16"/>
    <n v="4"/>
    <s v="16-30"/>
    <s v="No"/>
    <n v="1"/>
    <s v="Healthy"/>
    <n v="0"/>
  </r>
  <r>
    <n v="102927"/>
    <d v="2025-11-20T00:00:00"/>
    <n v="1028"/>
    <x v="2"/>
    <x v="5"/>
    <x v="1"/>
    <x v="3"/>
    <x v="0"/>
    <s v="UPI"/>
    <n v="22.01"/>
    <n v="12.58"/>
    <x v="2"/>
    <n v="27.69"/>
    <n v="249.2"/>
    <n v="166.2"/>
    <n v="7.65"/>
    <n v="1.94"/>
    <n v="13.54"/>
    <n v="0"/>
    <n v="0"/>
    <n v="189.33"/>
    <n v="59.87"/>
    <s v="Profit"/>
    <x v="0"/>
    <n v="6"/>
    <n v="2"/>
    <s v="0-15"/>
    <s v="No"/>
    <n v="0"/>
    <s v="Healthy"/>
    <n v="0"/>
  </r>
  <r>
    <n v="102928"/>
    <d v="2025-10-12T00:00:00"/>
    <n v="1008"/>
    <x v="2"/>
    <x v="5"/>
    <x v="1"/>
    <x v="2"/>
    <x v="1"/>
    <s v="UPI"/>
    <n v="5.79"/>
    <n v="19.100000000000001"/>
    <x v="3"/>
    <n v="0"/>
    <n v="110.59"/>
    <n v="38.15"/>
    <n v="3.48"/>
    <n v="0.77"/>
    <n v="4.8"/>
    <n v="0"/>
    <n v="0"/>
    <n v="47.2"/>
    <n v="63.39"/>
    <s v="Profit"/>
    <x v="0"/>
    <n v="44"/>
    <n v="33"/>
    <s v="30+"/>
    <s v="Yes"/>
    <n v="1"/>
    <s v="At Risk"/>
    <n v="1"/>
  </r>
  <r>
    <n v="102929"/>
    <d v="2025-11-28T00:00:00"/>
    <n v="1008"/>
    <x v="2"/>
    <x v="12"/>
    <x v="4"/>
    <x v="1"/>
    <x v="0"/>
    <s v="Card"/>
    <n v="21.84"/>
    <n v="14.96"/>
    <x v="3"/>
    <n v="0"/>
    <n v="326.73"/>
    <n v="155.96"/>
    <n v="5.73"/>
    <n v="4.9000000000000004"/>
    <n v="6.39"/>
    <n v="0"/>
    <n v="0"/>
    <n v="172.98"/>
    <n v="153.75"/>
    <s v="Profit"/>
    <x v="0"/>
    <n v="3"/>
    <n v="1"/>
    <s v="0-15"/>
    <s v="No"/>
    <n v="0"/>
    <s v="Healthy"/>
    <n v="0"/>
  </r>
  <r>
    <n v="102930"/>
    <d v="2025-11-29T00:00:00"/>
    <n v="1117"/>
    <x v="2"/>
    <x v="12"/>
    <x v="3"/>
    <x v="2"/>
    <x v="0"/>
    <s v="UPI"/>
    <n v="13.57"/>
    <n v="17.579999999999998"/>
    <x v="3"/>
    <n v="0"/>
    <n v="238.56"/>
    <n v="75.86"/>
    <n v="11.43"/>
    <n v="1.67"/>
    <n v="6.18"/>
    <n v="0"/>
    <n v="0"/>
    <n v="95.14"/>
    <n v="143.41999999999999"/>
    <s v="Profit"/>
    <x v="0"/>
    <n v="10"/>
    <n v="3"/>
    <s v="0-15"/>
    <s v="No"/>
    <n v="0"/>
    <s v="Healthy"/>
    <n v="0"/>
  </r>
  <r>
    <n v="102931"/>
    <d v="2025-10-27T00:00:00"/>
    <n v="1138"/>
    <x v="1"/>
    <x v="13"/>
    <x v="4"/>
    <x v="1"/>
    <x v="2"/>
    <s v="UPI"/>
    <n v="26.91"/>
    <n v="15.69"/>
    <x v="3"/>
    <n v="0"/>
    <n v="422.22"/>
    <n v="182.74"/>
    <n v="7.3"/>
    <n v="2.96"/>
    <n v="1.25"/>
    <n v="0"/>
    <n v="0"/>
    <n v="194.25"/>
    <n v="227.97"/>
    <s v="Profit"/>
    <x v="0"/>
    <n v="1"/>
    <n v="5"/>
    <s v="0-15"/>
    <s v="No"/>
    <n v="0"/>
    <s v="Healthy"/>
    <n v="0"/>
  </r>
  <r>
    <n v="102932"/>
    <d v="2025-11-05T00:00:00"/>
    <n v="1119"/>
    <x v="2"/>
    <x v="10"/>
    <x v="2"/>
    <x v="0"/>
    <x v="1"/>
    <s v="Fleet_Invoice"/>
    <n v="34.39"/>
    <n v="19.27"/>
    <x v="3"/>
    <n v="0"/>
    <n v="662.7"/>
    <n v="257.72000000000003"/>
    <n v="6.35"/>
    <n v="2.65"/>
    <n v="7.78"/>
    <n v="0"/>
    <n v="0"/>
    <n v="274.5"/>
    <n v="388.2"/>
    <s v="Profit"/>
    <x v="0"/>
    <n v="10"/>
    <n v="4"/>
    <s v="0-15"/>
    <s v="No"/>
    <n v="0"/>
    <s v="Healthy"/>
    <n v="0"/>
  </r>
  <r>
    <n v="102933"/>
    <d v="2025-11-12T00:00:00"/>
    <n v="1106"/>
    <x v="1"/>
    <x v="13"/>
    <x v="4"/>
    <x v="3"/>
    <x v="0"/>
    <s v="UPI"/>
    <n v="25.24"/>
    <n v="11.67"/>
    <x v="3"/>
    <n v="0"/>
    <n v="294.55"/>
    <n v="181.48"/>
    <n v="13.32"/>
    <n v="2.06"/>
    <n v="0"/>
    <n v="0"/>
    <n v="0"/>
    <n v="196.86"/>
    <n v="97.69"/>
    <s v="Profit"/>
    <x v="0"/>
    <n v="3"/>
    <n v="2"/>
    <s v="0-15"/>
    <s v="No"/>
    <n v="0"/>
    <s v="Healthy"/>
    <n v="0"/>
  </r>
  <r>
    <n v="102934"/>
    <d v="2025-10-05T00:00:00"/>
    <n v="1050"/>
    <x v="1"/>
    <x v="2"/>
    <x v="3"/>
    <x v="3"/>
    <x v="0"/>
    <s v="Wallet"/>
    <n v="29.19"/>
    <n v="12.58"/>
    <x v="3"/>
    <n v="0"/>
    <n v="367.21"/>
    <n v="174.24"/>
    <n v="6.75"/>
    <n v="4.41"/>
    <n v="9.19"/>
    <n v="0"/>
    <n v="0"/>
    <n v="194.59"/>
    <n v="172.62"/>
    <s v="Profit"/>
    <x v="0"/>
    <n v="15"/>
    <n v="15"/>
    <s v="0-15"/>
    <s v="No"/>
    <n v="0"/>
    <s v="Healthy"/>
    <n v="0"/>
  </r>
  <r>
    <n v="102935"/>
    <d v="2025-10-02T00:00:00"/>
    <n v="1001"/>
    <x v="3"/>
    <x v="15"/>
    <x v="1"/>
    <x v="3"/>
    <x v="0"/>
    <s v="UPI"/>
    <n v="19.600000000000001"/>
    <n v="11.17"/>
    <x v="4"/>
    <n v="10.95"/>
    <n v="207.98"/>
    <n v="121.13"/>
    <n v="8.24"/>
    <n v="1.53"/>
    <n v="3.44"/>
    <n v="0"/>
    <n v="0"/>
    <n v="134.34"/>
    <n v="73.64"/>
    <s v="Profit"/>
    <x v="0"/>
    <n v="9"/>
    <n v="18"/>
    <s v="0-15"/>
    <s v="Yes"/>
    <n v="4"/>
    <s v="At Risk"/>
    <n v="1"/>
  </r>
  <r>
    <n v="102936"/>
    <d v="2025-12-15T00:00:00"/>
    <n v="1050"/>
    <x v="1"/>
    <x v="3"/>
    <x v="1"/>
    <x v="1"/>
    <x v="2"/>
    <s v="UPI"/>
    <n v="18.760000000000002"/>
    <n v="15.47"/>
    <x v="3"/>
    <n v="0"/>
    <n v="290.22000000000003"/>
    <n v="139.27000000000001"/>
    <n v="7.39"/>
    <n v="2.0299999999999998"/>
    <n v="1.27"/>
    <n v="0"/>
    <n v="0"/>
    <n v="149.96"/>
    <n v="140.26"/>
    <s v="Profit"/>
    <x v="0"/>
    <n v="39"/>
    <n v="1"/>
    <s v="30+"/>
    <s v="Yes"/>
    <n v="3"/>
    <s v="At Risk"/>
    <n v="1"/>
  </r>
  <r>
    <n v="102937"/>
    <d v="2025-10-05T00:00:00"/>
    <n v="1138"/>
    <x v="0"/>
    <x v="0"/>
    <x v="1"/>
    <x v="1"/>
    <x v="0"/>
    <s v="UPI"/>
    <n v="26.32"/>
    <n v="17.09"/>
    <x v="3"/>
    <n v="0"/>
    <n v="449.81"/>
    <n v="197.29"/>
    <n v="7.14"/>
    <n v="3.15"/>
    <n v="0.18"/>
    <n v="0"/>
    <n v="0"/>
    <n v="207.76"/>
    <n v="242.05"/>
    <s v="Profit"/>
    <x v="0"/>
    <n v="15"/>
    <n v="8"/>
    <s v="0-15"/>
    <s v="No"/>
    <n v="0"/>
    <s v="Healthy"/>
    <n v="0"/>
  </r>
  <r>
    <n v="102938"/>
    <d v="2025-11-08T00:00:00"/>
    <n v="1048"/>
    <x v="3"/>
    <x v="15"/>
    <x v="1"/>
    <x v="0"/>
    <x v="0"/>
    <s v="UPI"/>
    <n v="24.91"/>
    <n v="20.78"/>
    <x v="0"/>
    <n v="77.64"/>
    <n v="439.99"/>
    <n v="197.49"/>
    <n v="7.75"/>
    <n v="3.62"/>
    <n v="8.69"/>
    <n v="0"/>
    <n v="0"/>
    <n v="217.55"/>
    <n v="222.44"/>
    <s v="Profit"/>
    <x v="0"/>
    <n v="14"/>
    <n v="15"/>
    <s v="0-15"/>
    <s v="No"/>
    <n v="1"/>
    <s v="Healthy"/>
    <n v="0"/>
  </r>
  <r>
    <n v="102939"/>
    <d v="2025-12-26T00:00:00"/>
    <n v="1064"/>
    <x v="0"/>
    <x v="0"/>
    <x v="1"/>
    <x v="3"/>
    <x v="1"/>
    <s v="Card"/>
    <n v="13.9"/>
    <n v="11.82"/>
    <x v="4"/>
    <n v="8.2200000000000006"/>
    <n v="156.08000000000001"/>
    <n v="94.81"/>
    <n v="5.05"/>
    <n v="2.46"/>
    <n v="10.87"/>
    <n v="0"/>
    <n v="0"/>
    <n v="113.19"/>
    <n v="42.89"/>
    <s v="Profit"/>
    <x v="0"/>
    <n v="11"/>
    <n v="10"/>
    <s v="0-15"/>
    <s v="No"/>
    <n v="0"/>
    <s v="Healthy"/>
    <n v="0"/>
  </r>
  <r>
    <n v="102940"/>
    <d v="2025-12-21T00:00:00"/>
    <n v="1027"/>
    <x v="2"/>
    <x v="10"/>
    <x v="1"/>
    <x v="0"/>
    <x v="2"/>
    <s v="Fleet_Invoice"/>
    <n v="32.58"/>
    <n v="19.88"/>
    <x v="3"/>
    <n v="0"/>
    <n v="647.69000000000005"/>
    <n v="236.64"/>
    <n v="7.17"/>
    <n v="2.59"/>
    <n v="3.9"/>
    <n v="0"/>
    <n v="0"/>
    <n v="250.3"/>
    <n v="397.39"/>
    <s v="Profit"/>
    <x v="0"/>
    <n v="15"/>
    <n v="0"/>
    <s v="0-15"/>
    <s v="No"/>
    <n v="0"/>
    <s v="Healthy"/>
    <n v="0"/>
  </r>
  <r>
    <n v="102941"/>
    <d v="2025-11-29T00:00:00"/>
    <n v="1010"/>
    <x v="3"/>
    <x v="14"/>
    <x v="1"/>
    <x v="3"/>
    <x v="2"/>
    <s v="Wallet"/>
    <n v="26.76"/>
    <n v="13.03"/>
    <x v="2"/>
    <n v="34.869999999999997"/>
    <n v="313.81"/>
    <n v="175.22"/>
    <n v="3.48"/>
    <n v="4.18"/>
    <n v="4.01"/>
    <n v="0"/>
    <n v="0"/>
    <n v="186.89"/>
    <n v="126.92"/>
    <s v="Profit"/>
    <x v="0"/>
    <n v="8"/>
    <n v="1"/>
    <s v="0-15"/>
    <s v="No"/>
    <n v="0"/>
    <s v="Healthy"/>
    <n v="0"/>
  </r>
  <r>
    <n v="102942"/>
    <d v="2025-10-22T00:00:00"/>
    <n v="1060"/>
    <x v="0"/>
    <x v="6"/>
    <x v="3"/>
    <x v="3"/>
    <x v="0"/>
    <s v="UPI"/>
    <n v="10.37"/>
    <n v="11.98"/>
    <x v="0"/>
    <n v="18.63"/>
    <n v="105.6"/>
    <n v="83.33"/>
    <n v="9.32"/>
    <n v="0.87"/>
    <n v="2.0099999999999998"/>
    <n v="0"/>
    <n v="0"/>
    <n v="95.53"/>
    <n v="10.07"/>
    <s v="Profit"/>
    <x v="0"/>
    <n v="6"/>
    <n v="15"/>
    <s v="0-15"/>
    <s v="No"/>
    <n v="0"/>
    <s v="Healthy"/>
    <n v="0"/>
  </r>
  <r>
    <n v="102943"/>
    <d v="2025-10-25T00:00:00"/>
    <n v="1025"/>
    <x v="0"/>
    <x v="6"/>
    <x v="3"/>
    <x v="0"/>
    <x v="1"/>
    <s v="UPI"/>
    <n v="27.47"/>
    <n v="19.32"/>
    <x v="3"/>
    <n v="0"/>
    <n v="530.72"/>
    <n v="201.2"/>
    <n v="8.27"/>
    <n v="3.72"/>
    <n v="1.74"/>
    <n v="0"/>
    <n v="0"/>
    <n v="214.93"/>
    <n v="315.79000000000002"/>
    <s v="Profit"/>
    <x v="0"/>
    <n v="2"/>
    <n v="4"/>
    <s v="0-15"/>
    <s v="No"/>
    <n v="0"/>
    <s v="Healthy"/>
    <n v="0"/>
  </r>
  <r>
    <n v="102944"/>
    <d v="2025-10-18T00:00:00"/>
    <n v="1138"/>
    <x v="2"/>
    <x v="12"/>
    <x v="1"/>
    <x v="3"/>
    <x v="1"/>
    <s v="UPI"/>
    <n v="29.16"/>
    <n v="14.31"/>
    <x v="3"/>
    <n v="0"/>
    <n v="417.28"/>
    <n v="195.54"/>
    <n v="8.81"/>
    <n v="2.92"/>
    <n v="0"/>
    <n v="0"/>
    <n v="0"/>
    <n v="207.27"/>
    <n v="210.01"/>
    <s v="Profit"/>
    <x v="0"/>
    <n v="7"/>
    <n v="11"/>
    <s v="0-15"/>
    <s v="No"/>
    <n v="0"/>
    <s v="Healthy"/>
    <n v="0"/>
  </r>
  <r>
    <n v="102945"/>
    <d v="2025-12-01T00:00:00"/>
    <n v="1106"/>
    <x v="1"/>
    <x v="3"/>
    <x v="1"/>
    <x v="1"/>
    <x v="2"/>
    <s v="UPI"/>
    <n v="26.53"/>
    <n v="15.94"/>
    <x v="1"/>
    <n v="84.58"/>
    <n v="338.31"/>
    <n v="161.44999999999999"/>
    <n v="2.0299999999999998"/>
    <n v="2.96"/>
    <n v="5.57"/>
    <n v="0"/>
    <n v="0"/>
    <n v="172.01"/>
    <n v="166.3"/>
    <s v="Profit"/>
    <x v="0"/>
    <n v="5"/>
    <n v="12"/>
    <s v="0-15"/>
    <s v="No"/>
    <n v="0"/>
    <s v="Healthy"/>
    <n v="0"/>
  </r>
  <r>
    <n v="102946"/>
    <d v="2025-10-06T00:00:00"/>
    <n v="1142"/>
    <x v="1"/>
    <x v="2"/>
    <x v="1"/>
    <x v="0"/>
    <x v="1"/>
    <s v="Wallet"/>
    <n v="10.83"/>
    <n v="18.850000000000001"/>
    <x v="3"/>
    <n v="0"/>
    <n v="204.15"/>
    <n v="78.930000000000007"/>
    <n v="9.84"/>
    <n v="2.4500000000000002"/>
    <n v="10.64"/>
    <n v="0"/>
    <n v="0"/>
    <n v="101.86"/>
    <n v="102.29"/>
    <s v="Profit"/>
    <x v="0"/>
    <n v="24"/>
    <n v="5"/>
    <s v="16-30"/>
    <s v="Yes"/>
    <n v="2"/>
    <s v="At Risk"/>
    <n v="1"/>
  </r>
  <r>
    <n v="102947"/>
    <d v="2025-12-19T00:00:00"/>
    <n v="1023"/>
    <x v="1"/>
    <x v="13"/>
    <x v="1"/>
    <x v="3"/>
    <x v="2"/>
    <s v="Wallet"/>
    <n v="14.76"/>
    <n v="12.56"/>
    <x v="4"/>
    <n v="9.27"/>
    <n v="176.12"/>
    <n v="118.88"/>
    <n v="9.7899999999999991"/>
    <n v="2.2200000000000002"/>
    <n v="8.4600000000000009"/>
    <n v="0"/>
    <n v="0"/>
    <n v="139.35"/>
    <n v="36.770000000000003"/>
    <s v="Profit"/>
    <x v="0"/>
    <n v="26"/>
    <n v="0"/>
    <s v="16-30"/>
    <s v="Yes"/>
    <n v="2"/>
    <s v="At Risk"/>
    <n v="1"/>
  </r>
  <r>
    <n v="102948"/>
    <d v="2025-10-24T00:00:00"/>
    <n v="1057"/>
    <x v="0"/>
    <x v="1"/>
    <x v="0"/>
    <x v="3"/>
    <x v="0"/>
    <s v="Fleet_Invoice"/>
    <n v="13.68"/>
    <n v="13.04"/>
    <x v="4"/>
    <n v="8.92"/>
    <n v="169.47"/>
    <n v="92.61"/>
    <n v="8.86"/>
    <n v="0.71"/>
    <n v="0"/>
    <n v="0"/>
    <n v="0"/>
    <n v="102.18"/>
    <n v="67.290000000000006"/>
    <s v="Profit"/>
    <x v="0"/>
    <n v="11"/>
    <n v="5"/>
    <s v="0-15"/>
    <s v="No"/>
    <n v="0"/>
    <s v="Healthy"/>
    <n v="0"/>
  </r>
  <r>
    <n v="102949"/>
    <d v="2025-10-29T00:00:00"/>
    <n v="1012"/>
    <x v="2"/>
    <x v="10"/>
    <x v="2"/>
    <x v="3"/>
    <x v="0"/>
    <s v="UPI"/>
    <n v="18.329999999999998"/>
    <n v="14.48"/>
    <x v="0"/>
    <n v="39.81"/>
    <n v="225.61"/>
    <n v="128.94"/>
    <n v="7.5"/>
    <n v="1.86"/>
    <n v="7.14"/>
    <n v="0"/>
    <n v="0"/>
    <n v="145.44"/>
    <n v="80.17"/>
    <s v="Profit"/>
    <x v="0"/>
    <n v="3"/>
    <n v="2"/>
    <s v="0-15"/>
    <s v="No"/>
    <n v="0"/>
    <s v="Healthy"/>
    <n v="0"/>
  </r>
  <r>
    <n v="102950"/>
    <d v="2025-10-31T00:00:00"/>
    <n v="1093"/>
    <x v="2"/>
    <x v="10"/>
    <x v="2"/>
    <x v="1"/>
    <x v="0"/>
    <s v="Card"/>
    <n v="6.72"/>
    <n v="16.899999999999999"/>
    <x v="2"/>
    <n v="11.36"/>
    <n v="102.21"/>
    <n v="53.59"/>
    <n v="9.0299999999999994"/>
    <n v="1.7"/>
    <n v="5.28"/>
    <n v="0"/>
    <n v="0"/>
    <n v="69.599999999999994"/>
    <n v="32.61"/>
    <s v="Profit"/>
    <x v="0"/>
    <n v="1"/>
    <n v="4"/>
    <s v="0-15"/>
    <s v="No"/>
    <n v="0"/>
    <s v="Healthy"/>
    <n v="0"/>
  </r>
  <r>
    <n v="102951"/>
    <d v="2025-12-20T00:00:00"/>
    <n v="1120"/>
    <x v="1"/>
    <x v="4"/>
    <x v="2"/>
    <x v="1"/>
    <x v="2"/>
    <s v="UPI"/>
    <n v="28.25"/>
    <n v="15.09"/>
    <x v="2"/>
    <n v="42.63"/>
    <n v="383.66"/>
    <n v="216.75"/>
    <n v="2.98"/>
    <n v="2.98"/>
    <n v="10.56"/>
    <n v="0"/>
    <n v="0"/>
    <n v="233.27"/>
    <n v="150.38999999999999"/>
    <s v="Profit"/>
    <x v="0"/>
    <n v="5"/>
    <n v="16"/>
    <s v="0-15"/>
    <s v="Yes"/>
    <n v="1"/>
    <s v="At Risk"/>
    <n v="1"/>
  </r>
  <r>
    <n v="102952"/>
    <d v="2025-12-18T00:00:00"/>
    <n v="1094"/>
    <x v="1"/>
    <x v="4"/>
    <x v="1"/>
    <x v="3"/>
    <x v="0"/>
    <s v="Fleet_Invoice"/>
    <n v="27.07"/>
    <n v="12.13"/>
    <x v="3"/>
    <n v="0"/>
    <n v="328.36"/>
    <n v="172.77"/>
    <n v="3.23"/>
    <n v="1.31"/>
    <n v="5.24"/>
    <n v="0"/>
    <n v="0"/>
    <n v="182.55"/>
    <n v="145.81"/>
    <s v="Profit"/>
    <x v="0"/>
    <n v="13"/>
    <n v="21"/>
    <s v="0-15"/>
    <s v="Yes"/>
    <n v="3"/>
    <s v="At Risk"/>
    <n v="1"/>
  </r>
  <r>
    <n v="102953"/>
    <d v="2025-11-26T00:00:00"/>
    <n v="1105"/>
    <x v="1"/>
    <x v="13"/>
    <x v="4"/>
    <x v="1"/>
    <x v="0"/>
    <s v="UPI"/>
    <n v="27.19"/>
    <n v="17.45"/>
    <x v="2"/>
    <n v="47.45"/>
    <n v="427.02"/>
    <n v="174.49"/>
    <n v="11.93"/>
    <n v="3.32"/>
    <n v="9.56"/>
    <n v="0"/>
    <n v="0"/>
    <n v="199.3"/>
    <n v="227.72"/>
    <s v="Profit"/>
    <x v="0"/>
    <n v="35"/>
    <n v="4"/>
    <s v="30+"/>
    <s v="Yes"/>
    <n v="2"/>
    <s v="At Risk"/>
    <n v="1"/>
  </r>
  <r>
    <n v="102954"/>
    <d v="2025-10-03T00:00:00"/>
    <n v="1108"/>
    <x v="0"/>
    <x v="0"/>
    <x v="3"/>
    <x v="0"/>
    <x v="0"/>
    <s v="UPI"/>
    <n v="20.63"/>
    <n v="19.100000000000001"/>
    <x v="4"/>
    <n v="19.7"/>
    <n v="374.33"/>
    <n v="130.28"/>
    <n v="10.84"/>
    <n v="2.76"/>
    <n v="3.06"/>
    <n v="390.27"/>
    <n v="0"/>
    <n v="537.21"/>
    <n v="-162.88"/>
    <s v="Loss"/>
    <x v="1"/>
    <n v="28"/>
    <n v="1"/>
    <s v="16-30"/>
    <s v="Yes"/>
    <n v="2"/>
    <s v="At Risk"/>
    <n v="1"/>
  </r>
  <r>
    <n v="102955"/>
    <d v="2025-12-09T00:00:00"/>
    <n v="1140"/>
    <x v="1"/>
    <x v="2"/>
    <x v="1"/>
    <x v="3"/>
    <x v="0"/>
    <s v="Fleet_Invoice"/>
    <n v="25.65"/>
    <n v="13.43"/>
    <x v="4"/>
    <n v="17.22"/>
    <n v="327.26"/>
    <n v="207.3"/>
    <n v="6.92"/>
    <n v="1.38"/>
    <n v="6.07"/>
    <n v="0"/>
    <n v="0"/>
    <n v="221.67"/>
    <n v="105.59"/>
    <s v="Profit"/>
    <x v="0"/>
    <n v="14"/>
    <n v="13"/>
    <s v="0-15"/>
    <s v="No"/>
    <n v="0"/>
    <s v="Healthy"/>
    <n v="0"/>
  </r>
  <r>
    <n v="102956"/>
    <d v="2025-12-05T00:00:00"/>
    <n v="1108"/>
    <x v="1"/>
    <x v="4"/>
    <x v="3"/>
    <x v="1"/>
    <x v="2"/>
    <s v="Wallet"/>
    <n v="25.29"/>
    <n v="15.68"/>
    <x v="2"/>
    <n v="39.659999999999997"/>
    <n v="356.89"/>
    <n v="207.42"/>
    <n v="10.43"/>
    <n v="4.76"/>
    <n v="0.21"/>
    <n v="0"/>
    <n v="0"/>
    <n v="222.82"/>
    <n v="134.07"/>
    <s v="Profit"/>
    <x v="0"/>
    <n v="29"/>
    <n v="0"/>
    <s v="16-30"/>
    <s v="Yes"/>
    <n v="2"/>
    <s v="At Risk"/>
    <n v="1"/>
  </r>
  <r>
    <n v="102957"/>
    <d v="2025-11-25T00:00:00"/>
    <n v="1028"/>
    <x v="3"/>
    <x v="14"/>
    <x v="0"/>
    <x v="3"/>
    <x v="0"/>
    <s v="UPI"/>
    <n v="14.62"/>
    <n v="12.31"/>
    <x v="3"/>
    <n v="0"/>
    <n v="179.97"/>
    <n v="113.71"/>
    <n v="9.1"/>
    <n v="1.26"/>
    <n v="9.83"/>
    <n v="0"/>
    <n v="0"/>
    <n v="133.9"/>
    <n v="46.07"/>
    <s v="Profit"/>
    <x v="0"/>
    <n v="8"/>
    <n v="14"/>
    <s v="0-15"/>
    <s v="No"/>
    <n v="0"/>
    <s v="Healthy"/>
    <n v="0"/>
  </r>
  <r>
    <n v="102958"/>
    <d v="2025-12-09T00:00:00"/>
    <n v="1072"/>
    <x v="0"/>
    <x v="11"/>
    <x v="3"/>
    <x v="3"/>
    <x v="2"/>
    <s v="Wallet"/>
    <n v="15.04"/>
    <n v="15.25"/>
    <x v="0"/>
    <n v="34.4"/>
    <n v="194.96"/>
    <n v="90.14"/>
    <n v="9.65"/>
    <n v="2.75"/>
    <n v="4.79"/>
    <n v="0"/>
    <n v="0"/>
    <n v="107.33"/>
    <n v="87.63"/>
    <s v="Profit"/>
    <x v="0"/>
    <n v="10"/>
    <n v="5"/>
    <s v="0-15"/>
    <s v="No"/>
    <n v="1"/>
    <s v="Healthy"/>
    <n v="0"/>
  </r>
  <r>
    <n v="102959"/>
    <d v="2025-11-01T00:00:00"/>
    <n v="1079"/>
    <x v="3"/>
    <x v="7"/>
    <x v="3"/>
    <x v="1"/>
    <x v="0"/>
    <s v="Fleet_Invoice"/>
    <n v="21.81"/>
    <n v="15.47"/>
    <x v="3"/>
    <n v="0"/>
    <n v="337.4"/>
    <n v="160.34"/>
    <n v="10.31"/>
    <n v="1.35"/>
    <n v="2.04"/>
    <n v="0"/>
    <n v="0"/>
    <n v="174.04"/>
    <n v="163.36000000000001"/>
    <s v="Profit"/>
    <x v="0"/>
    <n v="3"/>
    <n v="1"/>
    <s v="0-15"/>
    <s v="No"/>
    <n v="0"/>
    <s v="Healthy"/>
    <n v="0"/>
  </r>
  <r>
    <n v="102960"/>
    <d v="2025-12-19T00:00:00"/>
    <n v="1121"/>
    <x v="0"/>
    <x v="1"/>
    <x v="4"/>
    <x v="1"/>
    <x v="0"/>
    <s v="Fleet_Invoice"/>
    <n v="8.7200000000000006"/>
    <n v="15.84"/>
    <x v="3"/>
    <n v="0"/>
    <n v="138.12"/>
    <n v="44.15"/>
    <n v="8.49"/>
    <n v="0.55000000000000004"/>
    <n v="0"/>
    <n v="0"/>
    <n v="0"/>
    <n v="53.19"/>
    <n v="84.93"/>
    <s v="Profit"/>
    <x v="0"/>
    <n v="63"/>
    <n v="4"/>
    <s v="30+"/>
    <s v="Yes"/>
    <n v="1"/>
    <s v="At Risk"/>
    <n v="1"/>
  </r>
  <r>
    <n v="102961"/>
    <d v="2025-10-23T00:00:00"/>
    <n v="1106"/>
    <x v="2"/>
    <x v="5"/>
    <x v="1"/>
    <x v="0"/>
    <x v="0"/>
    <s v="Wallet"/>
    <n v="41.61"/>
    <n v="19.32"/>
    <x v="4"/>
    <n v="40.200000000000003"/>
    <n v="763.71"/>
    <n v="259"/>
    <n v="9.8800000000000008"/>
    <n v="9.65"/>
    <n v="2.54"/>
    <n v="0"/>
    <n v="0"/>
    <n v="281.07"/>
    <n v="482.64"/>
    <s v="Profit"/>
    <x v="0"/>
    <n v="10"/>
    <n v="19"/>
    <s v="0-15"/>
    <s v="Yes"/>
    <n v="1"/>
    <s v="At Risk"/>
    <n v="1"/>
  </r>
  <r>
    <n v="102962"/>
    <d v="2025-12-24T00:00:00"/>
    <n v="1060"/>
    <x v="2"/>
    <x v="12"/>
    <x v="4"/>
    <x v="1"/>
    <x v="0"/>
    <s v="Card"/>
    <n v="23.15"/>
    <n v="15.73"/>
    <x v="3"/>
    <n v="0"/>
    <n v="364.15"/>
    <n v="164.67"/>
    <n v="4.57"/>
    <n v="5.46"/>
    <n v="11.4"/>
    <n v="0"/>
    <n v="0"/>
    <n v="186.1"/>
    <n v="178.05"/>
    <s v="Profit"/>
    <x v="0"/>
    <n v="9"/>
    <n v="1"/>
    <s v="0-15"/>
    <s v="No"/>
    <n v="0"/>
    <s v="Healthy"/>
    <n v="0"/>
  </r>
  <r>
    <n v="102963"/>
    <d v="2025-12-16T00:00:00"/>
    <n v="1029"/>
    <x v="3"/>
    <x v="7"/>
    <x v="1"/>
    <x v="2"/>
    <x v="0"/>
    <s v="UPI"/>
    <n v="39.08"/>
    <n v="15.99"/>
    <x v="4"/>
    <n v="31.24"/>
    <n v="593.65"/>
    <n v="294.95"/>
    <n v="6.65"/>
    <n v="4.37"/>
    <n v="3.75"/>
    <n v="315.63"/>
    <n v="0"/>
    <n v="625.35"/>
    <n v="-31.7"/>
    <s v="Loss"/>
    <x v="2"/>
    <n v="1"/>
    <n v="1"/>
    <s v="0-15"/>
    <s v="No"/>
    <n v="1"/>
    <s v="At Risk"/>
    <n v="0"/>
  </r>
  <r>
    <n v="102964"/>
    <d v="2025-10-16T00:00:00"/>
    <n v="1056"/>
    <x v="0"/>
    <x v="11"/>
    <x v="0"/>
    <x v="1"/>
    <x v="0"/>
    <s v="Fleet_Invoice"/>
    <n v="34.46"/>
    <n v="16.170000000000002"/>
    <x v="3"/>
    <n v="0"/>
    <n v="557.22"/>
    <n v="286.73"/>
    <n v="9.39"/>
    <n v="2.23"/>
    <n v="4.72"/>
    <n v="0"/>
    <n v="0"/>
    <n v="303.07"/>
    <n v="254.15"/>
    <s v="Profit"/>
    <x v="0"/>
    <n v="6"/>
    <n v="43"/>
    <s v="0-15"/>
    <s v="Yes"/>
    <n v="1"/>
    <s v="At Risk"/>
    <n v="1"/>
  </r>
  <r>
    <n v="102965"/>
    <d v="2025-10-21T00:00:00"/>
    <n v="1091"/>
    <x v="2"/>
    <x v="10"/>
    <x v="2"/>
    <x v="3"/>
    <x v="2"/>
    <s v="UPI"/>
    <n v="35.86"/>
    <n v="12.12"/>
    <x v="3"/>
    <n v="0"/>
    <n v="434.62"/>
    <n v="214.96"/>
    <n v="9.1"/>
    <n v="3.04"/>
    <n v="11.5"/>
    <n v="0"/>
    <n v="0"/>
    <n v="238.6"/>
    <n v="196.02"/>
    <s v="Profit"/>
    <x v="0"/>
    <n v="0"/>
    <n v="15"/>
    <s v="0-15"/>
    <s v="No"/>
    <n v="0"/>
    <s v="Healthy"/>
    <n v="0"/>
  </r>
  <r>
    <n v="102966"/>
    <d v="2025-12-21T00:00:00"/>
    <n v="1032"/>
    <x v="0"/>
    <x v="0"/>
    <x v="4"/>
    <x v="1"/>
    <x v="0"/>
    <s v="Wallet"/>
    <n v="27.42"/>
    <n v="17.920000000000002"/>
    <x v="3"/>
    <n v="0"/>
    <n v="491.37"/>
    <n v="249.04"/>
    <n v="2.48"/>
    <n v="5.9"/>
    <n v="5.98"/>
    <n v="0"/>
    <n v="0"/>
    <n v="263.39999999999998"/>
    <n v="227.97"/>
    <s v="Profit"/>
    <x v="0"/>
    <n v="10"/>
    <n v="2"/>
    <s v="0-15"/>
    <s v="No"/>
    <n v="0"/>
    <s v="Healthy"/>
    <n v="0"/>
  </r>
  <r>
    <n v="102967"/>
    <d v="2025-10-17T00:00:00"/>
    <n v="1027"/>
    <x v="3"/>
    <x v="8"/>
    <x v="0"/>
    <x v="3"/>
    <x v="0"/>
    <s v="UPI"/>
    <n v="8.49"/>
    <n v="13.05"/>
    <x v="4"/>
    <n v="5.54"/>
    <n v="105.25"/>
    <n v="60.14"/>
    <n v="7.06"/>
    <n v="0.78"/>
    <n v="11.92"/>
    <n v="0"/>
    <n v="0"/>
    <n v="79.900000000000006"/>
    <n v="25.35"/>
    <s v="Profit"/>
    <x v="0"/>
    <n v="3"/>
    <n v="3"/>
    <s v="0-15"/>
    <s v="No"/>
    <n v="0"/>
    <s v="Healthy"/>
    <n v="0"/>
  </r>
  <r>
    <n v="102968"/>
    <d v="2025-10-17T00:00:00"/>
    <n v="1018"/>
    <x v="0"/>
    <x v="11"/>
    <x v="1"/>
    <x v="1"/>
    <x v="2"/>
    <s v="UPI"/>
    <n v="41.21"/>
    <n v="15.2"/>
    <x v="3"/>
    <n v="0"/>
    <n v="626.39"/>
    <n v="292.64999999999998"/>
    <n v="7.63"/>
    <n v="4.38"/>
    <n v="5.7"/>
    <n v="0"/>
    <n v="0"/>
    <n v="310.36"/>
    <n v="316.02999999999997"/>
    <s v="Profit"/>
    <x v="0"/>
    <n v="5"/>
    <n v="3"/>
    <s v="0-15"/>
    <s v="No"/>
    <n v="0"/>
    <s v="Healthy"/>
    <n v="0"/>
  </r>
  <r>
    <n v="102969"/>
    <d v="2025-12-24T00:00:00"/>
    <n v="1143"/>
    <x v="2"/>
    <x v="10"/>
    <x v="4"/>
    <x v="3"/>
    <x v="0"/>
    <s v="UPI"/>
    <n v="41.01"/>
    <n v="11.49"/>
    <x v="1"/>
    <n v="94.24"/>
    <n v="376.96"/>
    <n v="289.12"/>
    <n v="10.26"/>
    <n v="3.3"/>
    <n v="4.4000000000000004"/>
    <n v="266.99"/>
    <n v="0"/>
    <n v="574.07000000000005"/>
    <n v="-197.11"/>
    <s v="Loss"/>
    <x v="2"/>
    <n v="27"/>
    <n v="41"/>
    <s v="16-30"/>
    <s v="Yes"/>
    <n v="1"/>
    <s v="At Risk"/>
    <n v="1"/>
  </r>
  <r>
    <n v="102970"/>
    <d v="2025-10-22T00:00:00"/>
    <n v="1089"/>
    <x v="1"/>
    <x v="4"/>
    <x v="3"/>
    <x v="3"/>
    <x v="0"/>
    <s v="Card"/>
    <n v="17.84"/>
    <n v="13.61"/>
    <x v="0"/>
    <n v="36.42"/>
    <n v="206.38"/>
    <n v="115.32"/>
    <n v="8.82"/>
    <n v="3.64"/>
    <n v="0"/>
    <n v="0"/>
    <n v="0"/>
    <n v="127.78"/>
    <n v="78.599999999999994"/>
    <s v="Profit"/>
    <x v="0"/>
    <n v="5"/>
    <n v="7"/>
    <s v="0-15"/>
    <s v="No"/>
    <n v="0"/>
    <s v="Healthy"/>
    <n v="0"/>
  </r>
  <r>
    <n v="102971"/>
    <d v="2025-12-20T00:00:00"/>
    <n v="1022"/>
    <x v="0"/>
    <x v="6"/>
    <x v="1"/>
    <x v="2"/>
    <x v="0"/>
    <s v="Wallet"/>
    <n v="25.88"/>
    <n v="16.98"/>
    <x v="3"/>
    <n v="0"/>
    <n v="439.44"/>
    <n v="166.39"/>
    <n v="8.6999999999999993"/>
    <n v="5.27"/>
    <n v="0"/>
    <n v="0"/>
    <n v="0"/>
    <n v="180.36"/>
    <n v="259.08"/>
    <s v="Profit"/>
    <x v="0"/>
    <n v="44"/>
    <n v="3"/>
    <s v="30+"/>
    <s v="Yes"/>
    <n v="2"/>
    <s v="At Risk"/>
    <n v="1"/>
  </r>
  <r>
    <n v="102972"/>
    <d v="2025-12-07T00:00:00"/>
    <n v="1057"/>
    <x v="1"/>
    <x v="3"/>
    <x v="1"/>
    <x v="2"/>
    <x v="0"/>
    <s v="UPI"/>
    <n v="16.84"/>
    <n v="16.72"/>
    <x v="2"/>
    <n v="28.16"/>
    <n v="253.4"/>
    <n v="115.49"/>
    <n v="13"/>
    <n v="1.97"/>
    <n v="7.56"/>
    <n v="0"/>
    <n v="0"/>
    <n v="138.02000000000001"/>
    <n v="115.38"/>
    <s v="Profit"/>
    <x v="0"/>
    <n v="5"/>
    <n v="3"/>
    <s v="0-15"/>
    <s v="No"/>
    <n v="0"/>
    <s v="Healthy"/>
    <n v="0"/>
  </r>
  <r>
    <n v="102973"/>
    <d v="2025-10-22T00:00:00"/>
    <n v="1137"/>
    <x v="3"/>
    <x v="8"/>
    <x v="3"/>
    <x v="1"/>
    <x v="0"/>
    <s v="Fleet_Invoice"/>
    <n v="28.93"/>
    <n v="15.81"/>
    <x v="3"/>
    <n v="0"/>
    <n v="457.38"/>
    <n v="236.65"/>
    <n v="9.5500000000000007"/>
    <n v="1.83"/>
    <n v="3.79"/>
    <n v="0"/>
    <n v="0"/>
    <n v="251.82"/>
    <n v="205.56"/>
    <s v="Profit"/>
    <x v="0"/>
    <n v="1"/>
    <n v="3"/>
    <s v="0-15"/>
    <s v="No"/>
    <n v="0"/>
    <s v="Healthy"/>
    <n v="0"/>
  </r>
  <r>
    <n v="102974"/>
    <d v="2025-12-02T00:00:00"/>
    <n v="1047"/>
    <x v="1"/>
    <x v="4"/>
    <x v="0"/>
    <x v="2"/>
    <x v="2"/>
    <s v="UPI"/>
    <n v="19.55"/>
    <n v="17.72"/>
    <x v="0"/>
    <n v="51.96"/>
    <n v="294.47000000000003"/>
    <n v="109.58"/>
    <n v="8.6199999999999992"/>
    <n v="2.4300000000000002"/>
    <n v="10.69"/>
    <n v="0"/>
    <n v="0"/>
    <n v="131.32"/>
    <n v="163.15"/>
    <s v="Profit"/>
    <x v="0"/>
    <n v="0"/>
    <n v="26"/>
    <s v="0-15"/>
    <s v="Yes"/>
    <n v="1"/>
    <s v="At Risk"/>
    <n v="1"/>
  </r>
  <r>
    <n v="102975"/>
    <d v="2025-12-20T00:00:00"/>
    <n v="1038"/>
    <x v="3"/>
    <x v="14"/>
    <x v="4"/>
    <x v="3"/>
    <x v="2"/>
    <s v="Wallet"/>
    <n v="18.14"/>
    <n v="12.65"/>
    <x v="3"/>
    <n v="0"/>
    <n v="229.47"/>
    <n v="132.97999999999999"/>
    <n v="13.69"/>
    <n v="2.75"/>
    <n v="8.89"/>
    <n v="0"/>
    <n v="0"/>
    <n v="158.31"/>
    <n v="71.16"/>
    <s v="Profit"/>
    <x v="0"/>
    <n v="3"/>
    <n v="10"/>
    <s v="0-15"/>
    <s v="No"/>
    <n v="0"/>
    <s v="Healthy"/>
    <n v="0"/>
  </r>
  <r>
    <n v="102976"/>
    <d v="2025-10-19T00:00:00"/>
    <n v="1119"/>
    <x v="3"/>
    <x v="8"/>
    <x v="3"/>
    <x v="1"/>
    <x v="0"/>
    <s v="UPI"/>
    <n v="26.11"/>
    <n v="15.78"/>
    <x v="3"/>
    <n v="0"/>
    <n v="412.02"/>
    <n v="180.54"/>
    <n v="10.32"/>
    <n v="2.88"/>
    <n v="5.66"/>
    <n v="0"/>
    <n v="0"/>
    <n v="199.4"/>
    <n v="212.62"/>
    <s v="Profit"/>
    <x v="0"/>
    <n v="2"/>
    <n v="0"/>
    <s v="0-15"/>
    <s v="No"/>
    <n v="0"/>
    <s v="Healthy"/>
    <n v="0"/>
  </r>
  <r>
    <n v="102977"/>
    <d v="2025-10-14T00:00:00"/>
    <n v="1128"/>
    <x v="1"/>
    <x v="3"/>
    <x v="1"/>
    <x v="3"/>
    <x v="0"/>
    <s v="UPI"/>
    <n v="7.79"/>
    <n v="12.1"/>
    <x v="3"/>
    <n v="0"/>
    <n v="94.26"/>
    <n v="60.5"/>
    <n v="11.26"/>
    <n v="0.66"/>
    <n v="6.68"/>
    <n v="0"/>
    <n v="0"/>
    <n v="79.099999999999994"/>
    <n v="15.16"/>
    <s v="Profit"/>
    <x v="0"/>
    <n v="1"/>
    <n v="3"/>
    <s v="0-15"/>
    <s v="No"/>
    <n v="0"/>
    <s v="Healthy"/>
    <n v="0"/>
  </r>
  <r>
    <n v="102978"/>
    <d v="2025-10-22T00:00:00"/>
    <n v="1049"/>
    <x v="2"/>
    <x v="9"/>
    <x v="3"/>
    <x v="0"/>
    <x v="1"/>
    <s v="UPI"/>
    <n v="21.75"/>
    <n v="19.739999999999998"/>
    <x v="2"/>
    <n v="42.93"/>
    <n v="386.41"/>
    <n v="160.22"/>
    <n v="10.14"/>
    <n v="3.01"/>
    <n v="2.4500000000000002"/>
    <n v="200.97"/>
    <n v="11.01"/>
    <n v="387.8"/>
    <n v="-1.39"/>
    <s v="Loss"/>
    <x v="2"/>
    <n v="20"/>
    <n v="8"/>
    <s v="16-30"/>
    <s v="No"/>
    <n v="3"/>
    <s v="At Risk"/>
    <n v="0"/>
  </r>
  <r>
    <n v="102979"/>
    <d v="2025-12-11T00:00:00"/>
    <n v="1113"/>
    <x v="3"/>
    <x v="15"/>
    <x v="4"/>
    <x v="1"/>
    <x v="0"/>
    <s v="Card"/>
    <n v="28.26"/>
    <n v="15.3"/>
    <x v="2"/>
    <n v="43.24"/>
    <n v="389.14"/>
    <n v="209.44"/>
    <n v="11.47"/>
    <n v="6.49"/>
    <n v="1.25"/>
    <n v="0"/>
    <n v="0"/>
    <n v="228.65"/>
    <n v="160.49"/>
    <s v="Profit"/>
    <x v="0"/>
    <n v="4"/>
    <n v="8"/>
    <s v="0-15"/>
    <s v="No"/>
    <n v="0"/>
    <s v="Healthy"/>
    <n v="0"/>
  </r>
  <r>
    <n v="102980"/>
    <d v="2025-11-02T00:00:00"/>
    <n v="1110"/>
    <x v="3"/>
    <x v="8"/>
    <x v="1"/>
    <x v="2"/>
    <x v="2"/>
    <s v="Wallet"/>
    <n v="25.1"/>
    <n v="16.29"/>
    <x v="4"/>
    <n v="20.440000000000001"/>
    <n v="388.44"/>
    <n v="207.98"/>
    <n v="2.5499999999999998"/>
    <n v="4.91"/>
    <n v="7.64"/>
    <n v="0"/>
    <n v="0"/>
    <n v="223.08"/>
    <n v="165.36"/>
    <s v="Profit"/>
    <x v="0"/>
    <n v="30"/>
    <n v="6"/>
    <s v="16-30"/>
    <s v="Yes"/>
    <n v="3"/>
    <s v="At Risk"/>
    <n v="1"/>
  </r>
  <r>
    <n v="102981"/>
    <d v="2025-10-11T00:00:00"/>
    <n v="1064"/>
    <x v="0"/>
    <x v="1"/>
    <x v="1"/>
    <x v="3"/>
    <x v="2"/>
    <s v="UPI"/>
    <n v="17.43"/>
    <n v="13.61"/>
    <x v="0"/>
    <n v="35.58"/>
    <n v="201.64"/>
    <n v="118.19"/>
    <n v="7.77"/>
    <n v="1.66"/>
    <n v="10.46"/>
    <n v="0"/>
    <n v="0"/>
    <n v="138.08000000000001"/>
    <n v="63.56"/>
    <s v="Profit"/>
    <x v="0"/>
    <n v="10"/>
    <n v="22"/>
    <s v="0-15"/>
    <s v="Yes"/>
    <n v="2"/>
    <s v="At Risk"/>
    <n v="1"/>
  </r>
  <r>
    <n v="102982"/>
    <d v="2025-12-11T00:00:00"/>
    <n v="1026"/>
    <x v="3"/>
    <x v="7"/>
    <x v="3"/>
    <x v="1"/>
    <x v="0"/>
    <s v="Card"/>
    <n v="34.590000000000003"/>
    <n v="15.62"/>
    <x v="0"/>
    <n v="81.040000000000006"/>
    <n v="459.26"/>
    <n v="287.13"/>
    <n v="8.31"/>
    <n v="8.1"/>
    <n v="8.32"/>
    <n v="0"/>
    <n v="0"/>
    <n v="311.86"/>
    <n v="147.4"/>
    <s v="Profit"/>
    <x v="0"/>
    <n v="4"/>
    <n v="1"/>
    <s v="0-15"/>
    <s v="No"/>
    <n v="0"/>
    <s v="Healthy"/>
    <n v="0"/>
  </r>
  <r>
    <n v="102983"/>
    <d v="2025-11-26T00:00:00"/>
    <n v="1015"/>
    <x v="3"/>
    <x v="15"/>
    <x v="4"/>
    <x v="0"/>
    <x v="2"/>
    <s v="UPI"/>
    <n v="38.340000000000003"/>
    <n v="19.309999999999999"/>
    <x v="2"/>
    <n v="74.040000000000006"/>
    <n v="666.31"/>
    <n v="245.4"/>
    <n v="8.9700000000000006"/>
    <n v="5.18"/>
    <n v="8.99"/>
    <n v="0"/>
    <n v="0"/>
    <n v="268.54000000000002"/>
    <n v="397.77"/>
    <s v="Profit"/>
    <x v="0"/>
    <n v="20"/>
    <n v="2"/>
    <s v="16-30"/>
    <s v="No"/>
    <n v="0"/>
    <s v="Healthy"/>
    <n v="0"/>
  </r>
  <r>
    <n v="102984"/>
    <d v="2025-10-06T00:00:00"/>
    <n v="1105"/>
    <x v="2"/>
    <x v="5"/>
    <x v="3"/>
    <x v="3"/>
    <x v="0"/>
    <s v="Fleet_Invoice"/>
    <n v="25.68"/>
    <n v="11.07"/>
    <x v="3"/>
    <n v="0"/>
    <n v="284.27999999999997"/>
    <n v="178.34"/>
    <n v="5.97"/>
    <n v="1.1399999999999999"/>
    <n v="0"/>
    <n v="0"/>
    <n v="0"/>
    <n v="185.45"/>
    <n v="98.83"/>
    <s v="Profit"/>
    <x v="0"/>
    <n v="31"/>
    <n v="1"/>
    <s v="30+"/>
    <s v="Yes"/>
    <n v="1"/>
    <s v="At Risk"/>
    <n v="1"/>
  </r>
  <r>
    <n v="102985"/>
    <d v="2025-12-23T00:00:00"/>
    <n v="1121"/>
    <x v="1"/>
    <x v="2"/>
    <x v="2"/>
    <x v="2"/>
    <x v="0"/>
    <s v="Card"/>
    <n v="20.68"/>
    <n v="17.22"/>
    <x v="3"/>
    <n v="0"/>
    <n v="356.11"/>
    <n v="155.97999999999999"/>
    <n v="9.1999999999999993"/>
    <n v="5.34"/>
    <n v="10.28"/>
    <n v="182.01"/>
    <n v="0"/>
    <n v="362.81"/>
    <n v="-6.7"/>
    <s v="Loss"/>
    <x v="2"/>
    <n v="5"/>
    <n v="19"/>
    <s v="0-15"/>
    <s v="Yes"/>
    <n v="1"/>
    <s v="At Risk"/>
    <n v="1"/>
  </r>
  <r>
    <n v="102986"/>
    <d v="2025-12-24T00:00:00"/>
    <n v="1137"/>
    <x v="3"/>
    <x v="15"/>
    <x v="1"/>
    <x v="2"/>
    <x v="2"/>
    <s v="Card"/>
    <n v="15.76"/>
    <n v="17.11"/>
    <x v="0"/>
    <n v="40.450000000000003"/>
    <n v="229.2"/>
    <n v="104.29"/>
    <n v="6.55"/>
    <n v="4.04"/>
    <n v="10.75"/>
    <n v="0"/>
    <n v="0"/>
    <n v="125.63"/>
    <n v="103.57"/>
    <s v="Profit"/>
    <x v="0"/>
    <n v="3"/>
    <n v="14"/>
    <s v="0-15"/>
    <s v="No"/>
    <n v="0"/>
    <s v="Healthy"/>
    <n v="0"/>
  </r>
  <r>
    <n v="102987"/>
    <d v="2025-12-22T00:00:00"/>
    <n v="1037"/>
    <x v="0"/>
    <x v="1"/>
    <x v="2"/>
    <x v="3"/>
    <x v="1"/>
    <s v="Wallet"/>
    <n v="24.8"/>
    <n v="12.6"/>
    <x v="3"/>
    <n v="0"/>
    <n v="312.48"/>
    <n v="153.99"/>
    <n v="6.92"/>
    <n v="3.75"/>
    <n v="5.25"/>
    <n v="0"/>
    <n v="0"/>
    <n v="169.91"/>
    <n v="142.57"/>
    <s v="Profit"/>
    <x v="0"/>
    <n v="4"/>
    <n v="7"/>
    <s v="0-15"/>
    <s v="No"/>
    <n v="0"/>
    <s v="Healthy"/>
    <n v="0"/>
  </r>
  <r>
    <n v="102988"/>
    <d v="2025-12-02T00:00:00"/>
    <n v="1051"/>
    <x v="1"/>
    <x v="4"/>
    <x v="2"/>
    <x v="0"/>
    <x v="0"/>
    <s v="Wallet"/>
    <n v="29.1"/>
    <n v="18.73"/>
    <x v="4"/>
    <n v="27.25"/>
    <n v="517.79"/>
    <n v="228.4"/>
    <n v="3.11"/>
    <n v="6.54"/>
    <n v="5.64"/>
    <n v="0"/>
    <n v="0"/>
    <n v="243.69"/>
    <n v="274.10000000000002"/>
    <s v="Profit"/>
    <x v="0"/>
    <n v="2"/>
    <n v="9"/>
    <s v="0-15"/>
    <s v="No"/>
    <n v="0"/>
    <s v="Healthy"/>
    <n v="0"/>
  </r>
  <r>
    <n v="102989"/>
    <d v="2025-10-09T00:00:00"/>
    <n v="1142"/>
    <x v="0"/>
    <x v="11"/>
    <x v="4"/>
    <x v="3"/>
    <x v="0"/>
    <s v="UPI"/>
    <n v="8.8699999999999992"/>
    <n v="12.14"/>
    <x v="4"/>
    <n v="5.38"/>
    <n v="102.3"/>
    <n v="58.14"/>
    <n v="5.99"/>
    <n v="0.75"/>
    <n v="10.83"/>
    <n v="0"/>
    <n v="0"/>
    <n v="75.709999999999994"/>
    <n v="26.59"/>
    <s v="Profit"/>
    <x v="0"/>
    <n v="28"/>
    <n v="5"/>
    <s v="16-30"/>
    <s v="Yes"/>
    <n v="1"/>
    <s v="At Risk"/>
    <n v="1"/>
  </r>
  <r>
    <n v="102990"/>
    <d v="2025-11-17T00:00:00"/>
    <n v="1078"/>
    <x v="0"/>
    <x v="11"/>
    <x v="3"/>
    <x v="0"/>
    <x v="2"/>
    <s v="Wallet"/>
    <n v="27.76"/>
    <n v="18.93"/>
    <x v="4"/>
    <n v="26.28"/>
    <n v="499.22"/>
    <n v="211.26"/>
    <n v="6.43"/>
    <n v="6.31"/>
    <n v="3.69"/>
    <n v="0"/>
    <n v="0"/>
    <n v="227.69"/>
    <n v="271.52999999999997"/>
    <s v="Profit"/>
    <x v="0"/>
    <n v="17"/>
    <n v="6"/>
    <s v="16-30"/>
    <s v="No"/>
    <n v="0"/>
    <s v="Healthy"/>
    <n v="0"/>
  </r>
  <r>
    <n v="102991"/>
    <d v="2025-11-25T00:00:00"/>
    <n v="1078"/>
    <x v="3"/>
    <x v="8"/>
    <x v="1"/>
    <x v="3"/>
    <x v="0"/>
    <s v="Card"/>
    <n v="29.23"/>
    <n v="12.57"/>
    <x v="0"/>
    <n v="55.11"/>
    <n v="312.31"/>
    <n v="209.13"/>
    <n v="10.77"/>
    <n v="5.51"/>
    <n v="7.16"/>
    <n v="0"/>
    <n v="0"/>
    <n v="232.57"/>
    <n v="79.739999999999995"/>
    <s v="Profit"/>
    <x v="0"/>
    <n v="35"/>
    <n v="22"/>
    <s v="30+"/>
    <s v="Yes"/>
    <n v="1"/>
    <s v="At Risk"/>
    <n v="1"/>
  </r>
  <r>
    <n v="102992"/>
    <d v="2025-12-07T00:00:00"/>
    <n v="1023"/>
    <x v="3"/>
    <x v="8"/>
    <x v="3"/>
    <x v="1"/>
    <x v="1"/>
    <s v="UPI"/>
    <n v="27.48"/>
    <n v="15.4"/>
    <x v="3"/>
    <n v="0"/>
    <n v="423.19"/>
    <n v="179.42"/>
    <n v="5.14"/>
    <n v="2.96"/>
    <n v="6.17"/>
    <n v="0"/>
    <n v="0"/>
    <n v="193.69"/>
    <n v="229.5"/>
    <s v="Profit"/>
    <x v="0"/>
    <n v="1"/>
    <n v="28"/>
    <s v="0-15"/>
    <s v="Yes"/>
    <n v="1"/>
    <s v="At Risk"/>
    <n v="1"/>
  </r>
  <r>
    <n v="102993"/>
    <d v="2025-12-14T00:00:00"/>
    <n v="1019"/>
    <x v="2"/>
    <x v="5"/>
    <x v="0"/>
    <x v="3"/>
    <x v="2"/>
    <s v="Fleet_Invoice"/>
    <n v="3"/>
    <n v="12.8"/>
    <x v="3"/>
    <n v="0"/>
    <n v="38.4"/>
    <n v="19.72"/>
    <n v="8.0399999999999991"/>
    <n v="0.15"/>
    <n v="9.39"/>
    <n v="0"/>
    <n v="0"/>
    <n v="37.299999999999997"/>
    <n v="1.1000000000000001"/>
    <s v="Profit"/>
    <x v="0"/>
    <n v="0"/>
    <n v="11"/>
    <s v="0-15"/>
    <s v="No"/>
    <n v="0"/>
    <s v="Healthy"/>
    <n v="0"/>
  </r>
  <r>
    <n v="102994"/>
    <d v="2025-12-09T00:00:00"/>
    <n v="1101"/>
    <x v="0"/>
    <x v="11"/>
    <x v="4"/>
    <x v="2"/>
    <x v="2"/>
    <s v="UPI"/>
    <n v="35.56"/>
    <n v="16.32"/>
    <x v="0"/>
    <n v="87.05"/>
    <n v="493.29"/>
    <n v="278.81"/>
    <n v="7.44"/>
    <n v="4.0599999999999996"/>
    <n v="11.19"/>
    <n v="0"/>
    <n v="0"/>
    <n v="301.5"/>
    <n v="191.79"/>
    <s v="Profit"/>
    <x v="0"/>
    <n v="15"/>
    <n v="10"/>
    <s v="0-15"/>
    <s v="No"/>
    <n v="0"/>
    <s v="Healthy"/>
    <n v="0"/>
  </r>
  <r>
    <n v="102995"/>
    <d v="2025-11-02T00:00:00"/>
    <n v="1092"/>
    <x v="2"/>
    <x v="12"/>
    <x v="4"/>
    <x v="3"/>
    <x v="0"/>
    <s v="UPI"/>
    <n v="15.84"/>
    <n v="11.6"/>
    <x v="2"/>
    <n v="18.37"/>
    <n v="165.37"/>
    <n v="107.39"/>
    <n v="3.94"/>
    <n v="1.29"/>
    <n v="2.5299999999999998"/>
    <n v="0"/>
    <n v="0"/>
    <n v="115.15"/>
    <n v="50.22"/>
    <s v="Profit"/>
    <x v="0"/>
    <n v="15"/>
    <n v="2"/>
    <s v="0-15"/>
    <s v="No"/>
    <n v="0"/>
    <s v="Healthy"/>
    <n v="0"/>
  </r>
  <r>
    <n v="102996"/>
    <d v="2025-12-14T00:00:00"/>
    <n v="1086"/>
    <x v="0"/>
    <x v="1"/>
    <x v="0"/>
    <x v="3"/>
    <x v="0"/>
    <s v="Wallet"/>
    <n v="24.58"/>
    <n v="11.52"/>
    <x v="3"/>
    <n v="0"/>
    <n v="283.16000000000003"/>
    <n v="177.96"/>
    <n v="6.36"/>
    <n v="3.4"/>
    <n v="10.17"/>
    <n v="0"/>
    <n v="0"/>
    <n v="197.89"/>
    <n v="85.27"/>
    <s v="Profit"/>
    <x v="0"/>
    <n v="7"/>
    <n v="2"/>
    <s v="0-15"/>
    <s v="No"/>
    <n v="0"/>
    <s v="Healthy"/>
    <n v="0"/>
  </r>
  <r>
    <n v="102997"/>
    <d v="2025-11-04T00:00:00"/>
    <n v="1070"/>
    <x v="3"/>
    <x v="7"/>
    <x v="3"/>
    <x v="3"/>
    <x v="2"/>
    <s v="UPI"/>
    <n v="19.22"/>
    <n v="13.88"/>
    <x v="0"/>
    <n v="40.020000000000003"/>
    <n v="226.75"/>
    <n v="155.12"/>
    <n v="8.6999999999999993"/>
    <n v="1.87"/>
    <n v="6.89"/>
    <n v="0"/>
    <n v="0"/>
    <n v="172.58"/>
    <n v="54.17"/>
    <s v="Profit"/>
    <x v="0"/>
    <n v="6"/>
    <n v="16"/>
    <s v="0-15"/>
    <s v="Yes"/>
    <n v="1"/>
    <s v="At Risk"/>
    <n v="1"/>
  </r>
  <r>
    <n v="102998"/>
    <d v="2025-12-02T00:00:00"/>
    <n v="1123"/>
    <x v="3"/>
    <x v="15"/>
    <x v="1"/>
    <x v="0"/>
    <x v="0"/>
    <s v="UPI"/>
    <n v="29.98"/>
    <n v="20.23"/>
    <x v="4"/>
    <n v="30.33"/>
    <n v="576.16999999999996"/>
    <n v="213.38"/>
    <n v="2.29"/>
    <n v="4.25"/>
    <n v="2.19"/>
    <n v="0"/>
    <n v="0"/>
    <n v="222.11"/>
    <n v="354.06"/>
    <s v="Profit"/>
    <x v="0"/>
    <n v="20"/>
    <n v="12"/>
    <s v="16-30"/>
    <s v="No"/>
    <n v="0"/>
    <s v="Healthy"/>
    <n v="0"/>
  </r>
  <r>
    <n v="102999"/>
    <d v="2025-11-27T00:00:00"/>
    <n v="1041"/>
    <x v="1"/>
    <x v="4"/>
    <x v="1"/>
    <x v="3"/>
    <x v="0"/>
    <s v="Card"/>
    <n v="17.68"/>
    <n v="14.08"/>
    <x v="3"/>
    <n v="0"/>
    <n v="248.93"/>
    <n v="116.1"/>
    <n v="5.44"/>
    <n v="3.73"/>
    <n v="6.69"/>
    <n v="0"/>
    <n v="0"/>
    <n v="131.96"/>
    <n v="116.97"/>
    <s v="Profit"/>
    <x v="0"/>
    <n v="4"/>
    <n v="7"/>
    <s v="0-15"/>
    <s v="No"/>
    <n v="0"/>
    <s v="Healthy"/>
    <n v="0"/>
  </r>
  <r>
    <n v="103000"/>
    <d v="2025-10-30T00:00:00"/>
    <n v="1082"/>
    <x v="3"/>
    <x v="14"/>
    <x v="3"/>
    <x v="0"/>
    <x v="2"/>
    <s v="UPI"/>
    <n v="26.4"/>
    <n v="18.670000000000002"/>
    <x v="3"/>
    <n v="0"/>
    <n v="492.89"/>
    <n v="210.95"/>
    <n v="4.93"/>
    <n v="3.45"/>
    <n v="7.1"/>
    <n v="0"/>
    <n v="0"/>
    <n v="226.43"/>
    <n v="266.45999999999998"/>
    <s v="Profit"/>
    <x v="0"/>
    <n v="1"/>
    <n v="1"/>
    <s v="0-15"/>
    <s v="No"/>
    <n v="0"/>
    <s v="Healthy"/>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CC8061-EA97-4497-840A-B3D7FB24CF7C}" name="station_slabreach"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ion_type">
  <location ref="F15:G21"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axis="axisRow"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5"/>
  </rowFields>
  <rowItems count="6">
    <i>
      <x/>
    </i>
    <i>
      <x v="1"/>
    </i>
    <i>
      <x v="2"/>
    </i>
    <i>
      <x v="3"/>
    </i>
    <i>
      <x v="4"/>
    </i>
    <i t="grand">
      <x/>
    </i>
  </rowItems>
  <colItems count="1">
    <i/>
  </colItems>
  <dataFields count="1">
    <dataField name="Sum of % SLA_Breached" fld="33" baseField="0" baseItem="0" numFmtId="1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CAC457-12CD-4095-B53F-C51040E6077A}" name="Station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ion_type">
  <location ref="F7:G13"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axis="axisRow"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Sum of Profit" fld="21"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581379-4930-4BE2-A453-C8577493EC35}" name="Discount_sessionCount/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count %">
  <location ref="L7:M13" firstHeaderRow="1" firstDataRow="1" firstDataCol="1"/>
  <pivotFields count="34">
    <pivotField dataField="1"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axis="axisRow" showAll="0">
      <items count="6">
        <item x="3"/>
        <item x="4"/>
        <item x="2"/>
        <item x="0"/>
        <item x="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i>
    <i>
      <x v="1"/>
    </i>
    <i>
      <x v="2"/>
    </i>
    <i>
      <x v="3"/>
    </i>
    <i>
      <x v="4"/>
    </i>
    <i t="grand">
      <x/>
    </i>
  </rowItems>
  <colItems count="1">
    <i/>
  </colItems>
  <dataFields count="1">
    <dataField name="Count of Session_ID" fld="0" subtotal="count" baseField="11" baseItem="0"/>
  </dataFields>
  <formats count="1">
    <format dxfId="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E174FF-809C-44B7-AD70-3BB3410AC35B}" name="session_revenu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ssion_status">
  <location ref="T7:U11"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axis="axisRow"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23"/>
  </rowFields>
  <rowItems count="4">
    <i>
      <x/>
    </i>
    <i>
      <x v="1"/>
    </i>
    <i>
      <x v="2"/>
    </i>
    <i t="grand">
      <x/>
    </i>
  </rowItems>
  <colItems count="1">
    <i/>
  </colItems>
  <dataFields count="1">
    <dataField name="Sum of Revenue" fld="13"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955022-077A-486D-88C7-C54F1A376D6D}" name="station_downti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tation_type">
  <location ref="F23:G29"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axis="axisRow"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dataField="1"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Items count="1">
    <i/>
  </colItems>
  <dataFields count="1">
    <dataField name="Sum of Downtime_Min" fld="24" baseField="5" baseItem="0" numFmtId="164"/>
  </dataFields>
  <formats count="1">
    <format dxfId="4">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2FDB1F-FF7E-46E8-8857-55433DD6A799}" name="City_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P7:R24" firstHeaderRow="0" firstDataRow="1" firstDataCol="1"/>
  <pivotFields count="34">
    <pivotField showAll="0"/>
    <pivotField numFmtId="14" showAll="0"/>
    <pivotField showAll="0"/>
    <pivotField showAll="0">
      <items count="5">
        <item x="3"/>
        <item x="0"/>
        <item x="1"/>
        <item x="2"/>
        <item t="default"/>
      </items>
    </pivotField>
    <pivotField axis="axisRow"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pivotField showAll="0">
      <items count="4">
        <item x="2"/>
        <item x="0"/>
        <item x="1"/>
        <item t="default"/>
      </items>
    </pivotField>
    <pivotField showAll="0"/>
    <pivotField numFmtId="2" showAll="0"/>
    <pivotField numFmtId="2"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Revenue" fld="13" baseField="0" baseItem="0" numFmtId="164"/>
    <dataField name="Sum of Profit" fld="21" baseField="0" baseItem="0" numFmtId="164"/>
  </dataFields>
  <formats count="2">
    <format dxfId="6">
      <pivotArea outline="0" collapsedLevelsAreSubtotals="1" fieldPosition="0">
        <references count="1">
          <reference field="4294967294" count="1" selected="0">
            <x v="0"/>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2F1489C-471E-40FA-A7FA-51F0601EC09A}"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iscount %">
  <location ref="L21:M27"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axis="axisRow" showAll="0">
      <items count="6">
        <item x="3"/>
        <item x="4"/>
        <item x="2"/>
        <item x="0"/>
        <item x="1"/>
        <item t="default"/>
      </items>
    </pivotField>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6">
    <i>
      <x/>
    </i>
    <i>
      <x v="1"/>
    </i>
    <i>
      <x v="2"/>
    </i>
    <i>
      <x v="3"/>
    </i>
    <i>
      <x v="4"/>
    </i>
    <i t="grand">
      <x/>
    </i>
  </rowItems>
  <colItems count="1">
    <i/>
  </colItems>
  <dataFields count="1">
    <dataField name="Sum of Profit" fld="21" baseField="0" baseItem="0" numFmtId="164"/>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300BFB9-17BA-41EF-B188-BC3A4E10FADD}" name="City_slabreached"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ity">
  <location ref="P26:Q43" firstHeaderRow="1" firstDataRow="1" firstDataCol="1"/>
  <pivotFields count="34">
    <pivotField showAll="0"/>
    <pivotField numFmtId="14" showAll="0"/>
    <pivotField showAll="0"/>
    <pivotField showAll="0">
      <items count="5">
        <item x="3"/>
        <item x="0"/>
        <item x="1"/>
        <item x="2"/>
        <item t="default"/>
      </items>
    </pivotField>
    <pivotField axis="axisRow" showAll="0">
      <items count="17">
        <item x="5"/>
        <item x="3"/>
        <item x="7"/>
        <item x="6"/>
        <item x="13"/>
        <item x="1"/>
        <item x="11"/>
        <item x="8"/>
        <item x="2"/>
        <item x="9"/>
        <item x="4"/>
        <item x="14"/>
        <item x="10"/>
        <item x="0"/>
        <item x="15"/>
        <item x="12"/>
        <item t="default"/>
      </items>
    </pivotField>
    <pivotField showAll="0"/>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4"/>
  </rowFields>
  <rowItems count="17">
    <i>
      <x/>
    </i>
    <i>
      <x v="1"/>
    </i>
    <i>
      <x v="2"/>
    </i>
    <i>
      <x v="3"/>
    </i>
    <i>
      <x v="4"/>
    </i>
    <i>
      <x v="5"/>
    </i>
    <i>
      <x v="6"/>
    </i>
    <i>
      <x v="7"/>
    </i>
    <i>
      <x v="8"/>
    </i>
    <i>
      <x v="9"/>
    </i>
    <i>
      <x v="10"/>
    </i>
    <i>
      <x v="11"/>
    </i>
    <i>
      <x v="12"/>
    </i>
    <i>
      <x v="13"/>
    </i>
    <i>
      <x v="14"/>
    </i>
    <i>
      <x v="15"/>
    </i>
    <i t="grand">
      <x/>
    </i>
  </rowItems>
  <colItems count="1">
    <i/>
  </colItems>
  <dataFields count="1">
    <dataField name="Sum of % SLA_Breached" fld="33" baseField="0" baseItem="0" numFmtId="10"/>
  </dataFields>
  <formats count="1">
    <format dxfId="8">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673264-27AA-4016-9148-78F2CB1445FA}" name="Region_revenue/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egion">
  <location ref="B7:C12" firstHeaderRow="1" firstDataRow="1" firstDataCol="1"/>
  <pivotFields count="34">
    <pivotField showAll="0"/>
    <pivotField numFmtId="14" showAll="0"/>
    <pivotField showAll="0"/>
    <pivotField axis="axisRow"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Sum of Profit" fld="21" baseField="0" baseItem="0" numFmtId="164"/>
  </dataFields>
  <formats count="1">
    <format dxfId="9">
      <pivotArea outline="0" collapsedLevelsAreSubtotals="1" fieldPosition="0">
        <references count="1">
          <reference field="4294967294" count="1" selected="0">
            <x v="0"/>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9151D2-8D0B-4B85-8B83-F1D66D852739}" name="charger_profit/cos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harger_type">
  <location ref="I7:J12"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axis="axisRow"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Profit" fld="21" baseField="0" baseItem="0" numFmtId="164"/>
  </dataFields>
  <formats count="1">
    <format dxfId="10">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602E2F9-1373-47E1-ACB6-67D90F0BDF67}" name="KPI_Pivo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G3" firstHeaderRow="0" firstDataRow="1" firstDataCol="0"/>
  <pivotFields count="34">
    <pivotField dataField="1"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dataField="1"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ataField="1" dragToRow="0" dragToCol="0" dragToPage="0" showAll="0" defaultSubtotal="0"/>
    <pivotField dataField="1" dragToRow="0" dragToCol="0" dragToPage="0" showAll="0" defaultSubtotal="0"/>
  </pivotFields>
  <rowItems count="1">
    <i/>
  </rowItems>
  <colFields count="1">
    <field x="-2"/>
  </colFields>
  <colItems count="6">
    <i>
      <x/>
    </i>
    <i i="1">
      <x v="1"/>
    </i>
    <i i="2">
      <x v="2"/>
    </i>
    <i i="3">
      <x v="3"/>
    </i>
    <i i="4">
      <x v="4"/>
    </i>
    <i i="5">
      <x v="5"/>
    </i>
  </colItems>
  <dataFields count="6">
    <dataField name="Count of Session_ID" fld="0" subtotal="count" baseField="0" baseItem="0"/>
    <dataField name="Sum of Revenue" fld="13" baseField="0" baseItem="0" numFmtId="164"/>
    <dataField name="Sum of Total_Cost" fld="20" baseField="0" baseItem="0" numFmtId="164"/>
    <dataField name="Sum of Profit" fld="21" baseField="0" baseItem="0" numFmtId="164"/>
    <dataField name="Sum of Profit_Margin %" fld="32" baseField="0" baseItem="0" numFmtId="10"/>
    <dataField name="Sum of % SLA_Breached" fld="33" baseField="0" baseItem="0" numFmtId="10"/>
  </dataFields>
  <formats count="5">
    <format dxfId="15">
      <pivotArea outline="0" collapsedLevelsAreSubtotals="1" fieldPosition="0">
        <references count="1">
          <reference field="4294967294" count="1" selected="0">
            <x v="4"/>
          </reference>
        </references>
      </pivotArea>
    </format>
    <format dxfId="14">
      <pivotArea outline="0" collapsedLevelsAreSubtotals="1" fieldPosition="0">
        <references count="1">
          <reference field="4294967294" count="1" selected="0">
            <x v="5"/>
          </reference>
        </references>
      </pivotArea>
    </format>
    <format dxfId="13">
      <pivotArea outline="0" collapsedLevelsAreSubtotals="1" fieldPosition="0">
        <references count="1">
          <reference field="4294967294" count="1" selected="0">
            <x v="1"/>
          </reference>
        </references>
      </pivotArea>
    </format>
    <format dxfId="12">
      <pivotArea outline="0" collapsedLevelsAreSubtotals="1" fieldPosition="0">
        <references count="1">
          <reference field="4294967294" count="1" selected="0">
            <x v="2"/>
          </reference>
        </references>
      </pivotArea>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2E437D2-6715-4276-B09D-CBF66D496F26}" name="Charger_Slabreach %"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rger_type">
  <location ref="I14:J19"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axis="axisRow"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6"/>
  </rowFields>
  <rowItems count="5">
    <i>
      <x/>
    </i>
    <i>
      <x v="1"/>
    </i>
    <i>
      <x v="2"/>
    </i>
    <i>
      <x v="3"/>
    </i>
    <i t="grand">
      <x/>
    </i>
  </rowItems>
  <colItems count="1">
    <i/>
  </colItems>
  <dataFields count="1">
    <dataField name="Sum of % SLA_Breached" fld="33" baseField="0" baseItem="0" numFmtId="1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8B7C568-71D1-4A33-84BE-1238870CE84A}" name="Charger_downtime"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rger_type">
  <location ref="I21:J26" firstHeaderRow="1"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items count="6">
        <item x="4"/>
        <item x="3"/>
        <item x="0"/>
        <item x="2"/>
        <item x="1"/>
        <item t="default"/>
      </items>
    </pivotField>
    <pivotField axis="axisRow" showAll="0">
      <items count="5">
        <item x="3"/>
        <item x="0"/>
        <item x="1"/>
        <item x="2"/>
        <item t="default"/>
      </items>
    </pivotField>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dataField="1"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6"/>
  </rowFields>
  <rowItems count="5">
    <i>
      <x/>
    </i>
    <i>
      <x v="1"/>
    </i>
    <i>
      <x v="2"/>
    </i>
    <i>
      <x v="3"/>
    </i>
    <i t="grand">
      <x/>
    </i>
  </rowItems>
  <colItems count="1">
    <i/>
  </colItems>
  <dataFields count="1">
    <dataField name="Sum of Downtime_Min" fld="24" baseField="6" baseItem="0" numFmtId="164"/>
  </dataFields>
  <formats count="6">
    <format dxfId="22">
      <pivotArea type="all" dataOnly="0" outline="0" fieldPosition="0"/>
    </format>
    <format dxfId="21">
      <pivotArea outline="0" collapsedLevelsAreSubtotals="1" fieldPosition="0"/>
    </format>
    <format dxfId="20">
      <pivotArea field="6" type="button" dataOnly="0" labelOnly="1" outline="0" axis="axisRow" fieldPosition="0"/>
    </format>
    <format dxfId="19">
      <pivotArea dataOnly="0" labelOnly="1" fieldPosition="0">
        <references count="1">
          <reference field="6" count="0"/>
        </references>
      </pivotArea>
    </format>
    <format dxfId="18">
      <pivotArea dataOnly="0" labelOnly="1" grandRow="1" outline="0" fieldPosition="0"/>
    </format>
    <format dxfId="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53029BA-A10B-4944-8967-11090E78BA2D}" name="customer_revenue/profi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_type">
  <location ref="L15:N19" firstHeaderRow="0" firstDataRow="1" firstDataCol="1"/>
  <pivotFields count="34">
    <pivotField showAll="0"/>
    <pivotField numFmtId="14" showAll="0"/>
    <pivotField showAll="0"/>
    <pivotField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pivotField showAll="0">
      <items count="5">
        <item x="3"/>
        <item x="0"/>
        <item x="1"/>
        <item x="2"/>
        <item t="default"/>
      </items>
    </pivotField>
    <pivotField axis="axisRow" showAll="0">
      <items count="4">
        <item x="2"/>
        <item x="0"/>
        <item x="1"/>
        <item t="default"/>
      </items>
    </pivotField>
    <pivotField showAll="0"/>
    <pivotField numFmtId="2" showAll="0"/>
    <pivotField numFmtId="2" showAll="0"/>
    <pivotField showAll="0"/>
    <pivotField numFmtId="2" showAll="0"/>
    <pivotField dataField="1" numFmtId="2" showAll="0"/>
    <pivotField numFmtId="2" showAll="0"/>
    <pivotField numFmtId="2" showAll="0"/>
    <pivotField numFmtId="2" showAll="0"/>
    <pivotField numFmtId="2" showAll="0"/>
    <pivotField numFmtId="2" showAll="0"/>
    <pivotField numFmtId="2" showAll="0"/>
    <pivotField numFmtId="2" showAll="0"/>
    <pivotField dataField="1"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7"/>
  </rowFields>
  <rowItems count="4">
    <i>
      <x/>
    </i>
    <i>
      <x v="1"/>
    </i>
    <i>
      <x v="2"/>
    </i>
    <i t="grand">
      <x/>
    </i>
  </rowItems>
  <colFields count="1">
    <field x="-2"/>
  </colFields>
  <colItems count="2">
    <i>
      <x/>
    </i>
    <i i="1">
      <x v="1"/>
    </i>
  </colItems>
  <dataFields count="2">
    <dataField name="Sum of Revenue" fld="13" baseField="0" baseItem="0" numFmtId="2"/>
    <dataField name="Sum of Profit" fld="21" baseField="0" baseItem="0" numFmtId="164"/>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49024B0-04BB-40C2-B879-0066459AC174}" name="CIty_slabreach %"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B14:C19" firstHeaderRow="1" firstDataRow="1" firstDataCol="1"/>
  <pivotFields count="34">
    <pivotField showAll="0"/>
    <pivotField numFmtId="14" showAll="0"/>
    <pivotField showAll="0"/>
    <pivotField axis="axisRow" showAll="0">
      <items count="5">
        <item x="3"/>
        <item x="0"/>
        <item x="1"/>
        <item x="2"/>
        <item t="default"/>
      </items>
    </pivotField>
    <pivotField showAll="0">
      <items count="17">
        <item x="5"/>
        <item x="3"/>
        <item x="7"/>
        <item x="6"/>
        <item x="13"/>
        <item x="1"/>
        <item x="11"/>
        <item x="8"/>
        <item x="2"/>
        <item x="9"/>
        <item x="4"/>
        <item x="14"/>
        <item x="10"/>
        <item x="0"/>
        <item x="15"/>
        <item x="12"/>
        <item t="default"/>
      </items>
    </pivotField>
    <pivotField showAll="0"/>
    <pivotField showAll="0"/>
    <pivotField showAll="0">
      <items count="4">
        <item x="2"/>
        <item x="0"/>
        <item x="1"/>
        <item t="default"/>
      </items>
    </pivotField>
    <pivotField showAll="0"/>
    <pivotField numFmtId="2" showAll="0"/>
    <pivotField numFmtId="2" showAll="0"/>
    <pivotField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numFmtId="2" showAll="0"/>
    <pivotField showAll="0"/>
    <pivotField showAll="0">
      <items count="4">
        <item x="2"/>
        <item x="0"/>
        <item x="1"/>
        <item t="default"/>
      </items>
    </pivotField>
    <pivotField numFmtId="2" showAll="0"/>
    <pivotField numFmtId="2" showAll="0"/>
    <pivotField showAll="0"/>
    <pivotField showAll="0"/>
    <pivotField numFmtId="1" showAll="0"/>
    <pivotField showAll="0"/>
    <pivotField showAll="0"/>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5">
    <i>
      <x/>
    </i>
    <i>
      <x v="1"/>
    </i>
    <i>
      <x v="2"/>
    </i>
    <i>
      <x v="3"/>
    </i>
    <i t="grand">
      <x/>
    </i>
  </rowItems>
  <colItems count="1">
    <i/>
  </colItems>
  <dataFields count="1">
    <dataField name="Sum of % SLA_Breached" fld="33" baseField="0" baseItem="0" numFmtId="10"/>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ion_Type" xr10:uid="{AAF0A297-48C7-4145-989F-622B09D7D283}" sourceName="Station_Type">
  <pivotTables>
    <pivotTable tabId="3" name="KPI_Pivot"/>
    <pivotTable tabId="3" name="Charger_downtime"/>
    <pivotTable tabId="3" name="charger_profit/cost"/>
    <pivotTable tabId="3" name="Charger_Slabreach %"/>
    <pivotTable tabId="3" name="City_profit"/>
    <pivotTable tabId="3" name="Discount_sessionCount/Profit"/>
    <pivotTable tabId="3" name="Region_revenue/profit"/>
    <pivotTable tabId="3" name="station_downtime"/>
    <pivotTable tabId="3" name="Station_profit"/>
    <pivotTable tabId="3" name="station_slabreach"/>
    <pivotTable tabId="3" name="session_revenue"/>
    <pivotTable tabId="3" name="PivotTable2"/>
  </pivotTables>
  <data>
    <tabular pivotCacheId="837111355">
      <items count="5">
        <i x="4" s="1"/>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r_Type" xr10:uid="{16E441DB-DD31-420A-B6BB-EFBE604704A5}" sourceName="Charger_Type">
  <pivotTables>
    <pivotTable tabId="3" name="KPI_Pivot"/>
    <pivotTable tabId="3" name="Charger_downtime"/>
    <pivotTable tabId="3" name="charger_profit/cost"/>
    <pivotTable tabId="3" name="Charger_Slabreach %"/>
    <pivotTable tabId="3" name="City_slabreached"/>
    <pivotTable tabId="3" name="customer_revenue/profit"/>
    <pivotTable tabId="3" name="Discount_sessionCount/Profit"/>
    <pivotTable tabId="3" name="Region_revenue/profit"/>
    <pivotTable tabId="3" name="station_downtime"/>
    <pivotTable tabId="3" name="Station_profit"/>
    <pivotTable tabId="3" name="station_slabreach"/>
    <pivotTable tabId="3" name="session_revenue"/>
    <pivotTable tabId="3" name="PivotTable2"/>
  </pivotTables>
  <data>
    <tabular pivotCacheId="837111355">
      <items count="4">
        <i x="3" s="1"/>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5696D3F-B701-4620-B432-BE06B7864AFF}" sourceName="Customer_Type">
  <pivotTables>
    <pivotTable tabId="3" name="KPI_Pivot"/>
    <pivotTable tabId="3" name="Charger_downtime"/>
    <pivotTable tabId="3" name="charger_profit/cost"/>
    <pivotTable tabId="3" name="Charger_Slabreach %"/>
    <pivotTable tabId="3" name="City_profit"/>
    <pivotTable tabId="3" name="CIty_slabreach %"/>
    <pivotTable tabId="3" name="City_slabreached"/>
    <pivotTable tabId="3" name="customer_revenue/profit"/>
    <pivotTable tabId="3" name="Discount_sessionCount/Profit"/>
    <pivotTable tabId="3" name="Region_revenue/profit"/>
    <pivotTable tabId="3" name="station_downtime"/>
    <pivotTable tabId="3" name="Station_profit"/>
    <pivotTable tabId="3" name="station_slabreach"/>
    <pivotTable tabId="3" name="session_revenue"/>
    <pivotTable tabId="3" name="PivotTable2"/>
  </pivotTables>
  <data>
    <tabular pivotCacheId="837111355">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F1F5EC1-7E01-466A-82EC-36551A8716E4}" sourceName="Region">
  <pivotTables>
    <pivotTable tabId="3" name="KPI_Pivot"/>
    <pivotTable tabId="3" name="Charger_downtime"/>
    <pivotTable tabId="3" name="charger_profit/cost"/>
    <pivotTable tabId="3" name="Charger_Slabreach %"/>
    <pivotTable tabId="3" name="City_profit"/>
    <pivotTable tabId="3" name="CIty_slabreach %"/>
    <pivotTable tabId="3" name="customer_revenue/profit"/>
    <pivotTable tabId="3" name="Region_revenue/profit"/>
    <pivotTable tabId="3" name="station_downtime"/>
    <pivotTable tabId="3" name="Station_profit"/>
    <pivotTable tabId="3" name="station_slabreach"/>
    <pivotTable tabId="3" name="City_slabreached"/>
    <pivotTable tabId="3" name="Discount_sessionCount/Profit"/>
    <pivotTable tabId="3" name="session_revenue"/>
    <pivotTable tabId="3" name="PivotTable2"/>
  </pivotTables>
  <data>
    <tabular pivotCacheId="837111355">
      <items count="4">
        <i x="3" s="1"/>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0F0D830-46C6-453A-97B6-BB6E41A7FCA8}" sourceName="City">
  <pivotTables>
    <pivotTable tabId="3" name="KPI_Pivot"/>
    <pivotTable tabId="3" name="Charger_downtime"/>
    <pivotTable tabId="3" name="charger_profit/cost"/>
    <pivotTable tabId="3" name="Charger_Slabreach %"/>
    <pivotTable tabId="3" name="City_profit"/>
    <pivotTable tabId="3" name="CIty_slabreach %"/>
    <pivotTable tabId="3" name="customer_revenue/profit"/>
    <pivotTable tabId="3" name="City_slabreached"/>
    <pivotTable tabId="3" name="Region_revenue/profit"/>
    <pivotTable tabId="3" name="station_downtime"/>
    <pivotTable tabId="3" name="Station_profit"/>
    <pivotTable tabId="3" name="station_slabreach"/>
    <pivotTable tabId="3" name="session_revenue"/>
    <pivotTable tabId="3" name="PivotTable2"/>
    <pivotTable tabId="3" name="Discount_sessionCount/Profit"/>
  </pivotTables>
  <data>
    <tabular pivotCacheId="837111355">
      <items count="16">
        <i x="5" s="1"/>
        <i x="3" s="1"/>
        <i x="7" s="1"/>
        <i x="6" s="1"/>
        <i x="13" s="1"/>
        <i x="1" s="1"/>
        <i x="11" s="1"/>
        <i x="8" s="1"/>
        <i x="2" s="1"/>
        <i x="9" s="1"/>
        <i x="4" s="1"/>
        <i x="14" s="1"/>
        <i x="10" s="1"/>
        <i x="0" s="1"/>
        <i x="15"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ion_Type" xr10:uid="{8516D904-855B-47D0-9555-39CA554815BA}" cache="Slicer_Station_Type" caption="Station_Type" rowHeight="241300"/>
  <slicer name="Charger_Type" xr10:uid="{5F0B2E93-4A30-40E7-9B16-880AB1C8F469}" cache="Slicer_Charger_Type" caption="Charger_Type" rowHeight="241300"/>
  <slicer name="Customer_Type" xr10:uid="{171C014C-9003-4325-8C42-FE99F6F731EF}" cache="Slicer_Customer_Type" caption="Customer_Type" rowHeight="241300"/>
  <slicer name="Region" xr10:uid="{5FD8D687-B0EA-4BD8-8421-2EAAAEB935FB}" cache="Slicer_Region" caption="Region" rowHeight="241300"/>
  <slicer name="City" xr10:uid="{209AC596-A7C8-4646-A2E8-13CBE0F81EAD}" cache="Slicer_City" caption="City"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3001"/>
  <sheetViews>
    <sheetView topLeftCell="R1" workbookViewId="0">
      <selection activeCell="G17" sqref="G17"/>
    </sheetView>
  </sheetViews>
  <sheetFormatPr defaultRowHeight="14.5" x14ac:dyDescent="0.35"/>
  <cols>
    <col min="1" max="1" width="9.81640625" bestFit="1" customWidth="1"/>
    <col min="2" max="2" width="12" style="3" bestFit="1" customWidth="1"/>
    <col min="3" max="3" width="9.6328125" bestFit="1" customWidth="1"/>
    <col min="4" max="4" width="6.453125" bestFit="1" customWidth="1"/>
    <col min="5" max="5" width="12.26953125" bestFit="1" customWidth="1"/>
    <col min="6" max="6" width="11.81640625" bestFit="1" customWidth="1"/>
    <col min="7" max="7" width="12.36328125" bestFit="1" customWidth="1"/>
    <col min="8" max="8" width="14.08984375" bestFit="1" customWidth="1"/>
    <col min="9" max="9" width="14.26953125" bestFit="1" customWidth="1"/>
    <col min="10" max="10" width="11.36328125" style="4" bestFit="1" customWidth="1"/>
    <col min="11" max="11" width="13.7265625" style="4" bestFit="1" customWidth="1"/>
    <col min="12" max="12" width="10.6328125" bestFit="1" customWidth="1"/>
    <col min="13" max="13" width="16.08984375" style="4" bestFit="1" customWidth="1"/>
    <col min="14" max="14" width="8" style="4" bestFit="1" customWidth="1"/>
    <col min="15" max="15" width="13.7265625" style="4" bestFit="1" customWidth="1"/>
    <col min="16" max="16" width="12.90625" style="4" bestFit="1" customWidth="1"/>
    <col min="17" max="17" width="12.1796875" style="4" bestFit="1" customWidth="1"/>
    <col min="18" max="18" width="16.6328125" style="4" bestFit="1" customWidth="1"/>
    <col min="19" max="19" width="14.7265625" style="4" bestFit="1" customWidth="1"/>
    <col min="20" max="20" width="11" style="4" bestFit="1" customWidth="1"/>
    <col min="21" max="21" width="9.81640625" style="4" bestFit="1" customWidth="1"/>
    <col min="22" max="22" width="7.453125" style="4" bestFit="1" customWidth="1"/>
    <col min="23" max="23" width="9.81640625" bestFit="1" customWidth="1"/>
    <col min="24" max="24" width="13.36328125" bestFit="1" customWidth="1"/>
    <col min="25" max="25" width="13.90625" style="4" bestFit="1" customWidth="1"/>
    <col min="26" max="26" width="10.6328125" style="4" bestFit="1" customWidth="1"/>
    <col min="27" max="27" width="16.36328125" bestFit="1" customWidth="1"/>
    <col min="28" max="28" width="12.54296875" bestFit="1" customWidth="1"/>
    <col min="29" max="29" width="14.453125" style="7" bestFit="1" customWidth="1"/>
    <col min="30" max="30" width="8.453125" bestFit="1" customWidth="1"/>
    <col min="31" max="31" width="17" bestFit="1" customWidth="1"/>
  </cols>
  <sheetData>
    <row r="1" spans="1:31" x14ac:dyDescent="0.35">
      <c r="A1" s="1" t="s">
        <v>0</v>
      </c>
      <c r="B1" s="2" t="s">
        <v>1</v>
      </c>
      <c r="C1" s="1" t="s">
        <v>2</v>
      </c>
      <c r="D1" s="1" t="s">
        <v>3</v>
      </c>
      <c r="E1" s="1" t="s">
        <v>4</v>
      </c>
      <c r="F1" s="1" t="s">
        <v>5</v>
      </c>
      <c r="G1" s="1" t="s">
        <v>6</v>
      </c>
      <c r="H1" s="1" t="s">
        <v>7</v>
      </c>
      <c r="I1" s="1" t="s">
        <v>8</v>
      </c>
      <c r="J1" s="5" t="s">
        <v>9</v>
      </c>
      <c r="K1" s="5" t="s">
        <v>10</v>
      </c>
      <c r="L1" s="1" t="s">
        <v>11</v>
      </c>
      <c r="M1" s="5" t="s">
        <v>12</v>
      </c>
      <c r="N1" s="5" t="s">
        <v>13</v>
      </c>
      <c r="O1" s="5" t="s">
        <v>14</v>
      </c>
      <c r="P1" s="5" t="s">
        <v>15</v>
      </c>
      <c r="Q1" s="5" t="s">
        <v>16</v>
      </c>
      <c r="R1" s="5" t="s">
        <v>17</v>
      </c>
      <c r="S1" s="5" t="s">
        <v>18</v>
      </c>
      <c r="T1" s="5" t="s">
        <v>19</v>
      </c>
      <c r="U1" s="5" t="s">
        <v>20</v>
      </c>
      <c r="V1" s="5" t="s">
        <v>21</v>
      </c>
      <c r="W1" s="1" t="s">
        <v>22</v>
      </c>
      <c r="X1" s="1" t="s">
        <v>23</v>
      </c>
      <c r="Y1" s="5" t="s">
        <v>24</v>
      </c>
      <c r="Z1" s="5" t="s">
        <v>25</v>
      </c>
      <c r="AA1" s="1" t="s">
        <v>26</v>
      </c>
      <c r="AB1" s="1" t="s">
        <v>27</v>
      </c>
      <c r="AC1" s="6" t="s">
        <v>28</v>
      </c>
      <c r="AD1" s="1" t="s">
        <v>29</v>
      </c>
      <c r="AE1" s="12" t="s">
        <v>121</v>
      </c>
    </row>
    <row r="2" spans="1:31" x14ac:dyDescent="0.35">
      <c r="A2">
        <v>100001</v>
      </c>
      <c r="B2" s="3">
        <v>45954</v>
      </c>
      <c r="C2">
        <v>1073</v>
      </c>
      <c r="D2" t="s">
        <v>30</v>
      </c>
      <c r="E2" t="s">
        <v>31</v>
      </c>
      <c r="F2" t="s">
        <v>32</v>
      </c>
      <c r="G2" t="s">
        <v>33</v>
      </c>
      <c r="H2" t="s">
        <v>34</v>
      </c>
      <c r="I2" t="s">
        <v>35</v>
      </c>
      <c r="J2" s="4">
        <v>26.73</v>
      </c>
      <c r="K2" s="4">
        <v>18.510000000000002</v>
      </c>
      <c r="L2">
        <v>15</v>
      </c>
      <c r="M2" s="4">
        <v>74.22</v>
      </c>
      <c r="N2" s="4">
        <v>420.55</v>
      </c>
      <c r="O2" s="4">
        <v>215.87</v>
      </c>
      <c r="P2" s="4">
        <v>8.25</v>
      </c>
      <c r="Q2" s="4">
        <v>3.46</v>
      </c>
      <c r="R2" s="4">
        <v>1.91</v>
      </c>
      <c r="S2" s="4">
        <v>0</v>
      </c>
      <c r="T2" s="4">
        <v>0</v>
      </c>
      <c r="U2" s="4">
        <v>229.49</v>
      </c>
      <c r="V2" s="4">
        <v>191.06</v>
      </c>
      <c r="W2" t="s">
        <v>21</v>
      </c>
      <c r="X2" t="s">
        <v>36</v>
      </c>
      <c r="Y2" s="4">
        <v>13</v>
      </c>
      <c r="Z2" s="4">
        <v>10</v>
      </c>
      <c r="AA2" t="s">
        <v>37</v>
      </c>
      <c r="AB2" t="s">
        <v>38</v>
      </c>
      <c r="AC2" s="7">
        <v>0</v>
      </c>
      <c r="AD2" t="s">
        <v>39</v>
      </c>
      <c r="AE2">
        <f>IF(AB2="Yes",1,0)</f>
        <v>0</v>
      </c>
    </row>
    <row r="3" spans="1:31" x14ac:dyDescent="0.35">
      <c r="A3">
        <v>100002</v>
      </c>
      <c r="B3" s="3">
        <v>45935</v>
      </c>
      <c r="C3">
        <v>1138</v>
      </c>
      <c r="D3" t="s">
        <v>30</v>
      </c>
      <c r="E3" t="s">
        <v>40</v>
      </c>
      <c r="F3" t="s">
        <v>41</v>
      </c>
      <c r="G3" t="s">
        <v>33</v>
      </c>
      <c r="H3" t="s">
        <v>34</v>
      </c>
      <c r="I3" t="s">
        <v>42</v>
      </c>
      <c r="J3" s="4">
        <v>15.07</v>
      </c>
      <c r="K3" s="4">
        <v>18.07</v>
      </c>
      <c r="L3">
        <v>20</v>
      </c>
      <c r="M3" s="4">
        <v>54.46</v>
      </c>
      <c r="N3" s="4">
        <v>217.85</v>
      </c>
      <c r="O3" s="4">
        <v>93.31</v>
      </c>
      <c r="P3" s="4">
        <v>15.19</v>
      </c>
      <c r="Q3" s="4">
        <v>4.08</v>
      </c>
      <c r="R3" s="4">
        <v>4.54</v>
      </c>
      <c r="S3" s="4">
        <v>0</v>
      </c>
      <c r="T3" s="4">
        <v>0</v>
      </c>
      <c r="U3" s="4">
        <v>117.12</v>
      </c>
      <c r="V3" s="4">
        <v>100.73</v>
      </c>
      <c r="W3" t="s">
        <v>21</v>
      </c>
      <c r="X3" t="s">
        <v>36</v>
      </c>
      <c r="Y3" s="4">
        <v>36</v>
      </c>
      <c r="Z3" s="4">
        <v>3</v>
      </c>
      <c r="AA3" t="s">
        <v>43</v>
      </c>
      <c r="AB3" t="s">
        <v>44</v>
      </c>
      <c r="AC3" s="7">
        <v>1</v>
      </c>
      <c r="AD3" t="s">
        <v>45</v>
      </c>
      <c r="AE3">
        <f t="shared" ref="AE3:AE66" si="0">IF(AB3="Yes",1,0)</f>
        <v>1</v>
      </c>
    </row>
    <row r="4" spans="1:31" x14ac:dyDescent="0.35">
      <c r="A4">
        <v>100003</v>
      </c>
      <c r="B4" s="3">
        <v>45950</v>
      </c>
      <c r="C4">
        <v>1005</v>
      </c>
      <c r="D4" t="s">
        <v>30</v>
      </c>
      <c r="E4" t="s">
        <v>40</v>
      </c>
      <c r="F4" t="s">
        <v>32</v>
      </c>
      <c r="G4" t="s">
        <v>46</v>
      </c>
      <c r="H4" t="s">
        <v>34</v>
      </c>
      <c r="I4" t="s">
        <v>42</v>
      </c>
      <c r="J4" s="4">
        <v>12.55</v>
      </c>
      <c r="K4" s="4">
        <v>16.55</v>
      </c>
      <c r="L4">
        <v>10</v>
      </c>
      <c r="M4" s="4">
        <v>20.77</v>
      </c>
      <c r="N4" s="4">
        <v>186.93</v>
      </c>
      <c r="O4" s="4">
        <v>84.33</v>
      </c>
      <c r="P4" s="4">
        <v>11.38</v>
      </c>
      <c r="Q4" s="4">
        <v>3.12</v>
      </c>
      <c r="R4" s="4">
        <v>6.15</v>
      </c>
      <c r="S4" s="4">
        <v>0</v>
      </c>
      <c r="T4" s="4">
        <v>0</v>
      </c>
      <c r="U4" s="4">
        <v>104.98</v>
      </c>
      <c r="V4" s="4">
        <v>81.95</v>
      </c>
      <c r="W4" t="s">
        <v>21</v>
      </c>
      <c r="X4" t="s">
        <v>36</v>
      </c>
      <c r="Y4" s="4">
        <v>11</v>
      </c>
      <c r="Z4" s="4">
        <v>9</v>
      </c>
      <c r="AA4" t="s">
        <v>37</v>
      </c>
      <c r="AB4" t="s">
        <v>38</v>
      </c>
      <c r="AC4" s="7">
        <v>0</v>
      </c>
      <c r="AD4" t="s">
        <v>39</v>
      </c>
      <c r="AE4">
        <f t="shared" si="0"/>
        <v>0</v>
      </c>
    </row>
    <row r="5" spans="1:31" x14ac:dyDescent="0.35">
      <c r="A5">
        <v>100004</v>
      </c>
      <c r="B5" s="3">
        <v>45946</v>
      </c>
      <c r="C5">
        <v>1060</v>
      </c>
      <c r="D5" t="s">
        <v>47</v>
      </c>
      <c r="E5" t="s">
        <v>48</v>
      </c>
      <c r="F5" t="s">
        <v>49</v>
      </c>
      <c r="G5" t="s">
        <v>50</v>
      </c>
      <c r="H5" t="s">
        <v>51</v>
      </c>
      <c r="I5" t="s">
        <v>42</v>
      </c>
      <c r="J5" s="4">
        <v>12.67</v>
      </c>
      <c r="K5" s="4">
        <v>16.64</v>
      </c>
      <c r="L5">
        <v>10</v>
      </c>
      <c r="M5" s="4">
        <v>21.08</v>
      </c>
      <c r="N5" s="4">
        <v>189.75</v>
      </c>
      <c r="O5" s="4">
        <v>96.31</v>
      </c>
      <c r="P5" s="4">
        <v>7.72</v>
      </c>
      <c r="Q5" s="4">
        <v>3.16</v>
      </c>
      <c r="R5" s="4">
        <v>10.77</v>
      </c>
      <c r="S5" s="4">
        <v>0</v>
      </c>
      <c r="T5" s="4">
        <v>0</v>
      </c>
      <c r="U5" s="4">
        <v>117.96</v>
      </c>
      <c r="V5" s="4">
        <v>71.790000000000006</v>
      </c>
      <c r="W5" t="s">
        <v>21</v>
      </c>
      <c r="X5" t="s">
        <v>36</v>
      </c>
      <c r="Y5" s="4">
        <v>22</v>
      </c>
      <c r="Z5" s="4">
        <v>1</v>
      </c>
      <c r="AA5" t="s">
        <v>52</v>
      </c>
      <c r="AB5" t="s">
        <v>44</v>
      </c>
      <c r="AC5" s="7">
        <v>2</v>
      </c>
      <c r="AD5" t="s">
        <v>45</v>
      </c>
      <c r="AE5">
        <f t="shared" si="0"/>
        <v>1</v>
      </c>
    </row>
    <row r="6" spans="1:31" x14ac:dyDescent="0.35">
      <c r="A6">
        <v>100005</v>
      </c>
      <c r="B6" s="3">
        <v>45972</v>
      </c>
      <c r="C6">
        <v>1030</v>
      </c>
      <c r="D6" t="s">
        <v>47</v>
      </c>
      <c r="E6" t="s">
        <v>53</v>
      </c>
      <c r="F6" t="s">
        <v>41</v>
      </c>
      <c r="G6" t="s">
        <v>46</v>
      </c>
      <c r="H6" t="s">
        <v>34</v>
      </c>
      <c r="I6" t="s">
        <v>54</v>
      </c>
      <c r="J6" s="4">
        <v>39.979999999999997</v>
      </c>
      <c r="K6" s="4">
        <v>15.33</v>
      </c>
      <c r="L6">
        <v>0</v>
      </c>
      <c r="M6" s="4">
        <v>0</v>
      </c>
      <c r="N6" s="4">
        <v>612.89</v>
      </c>
      <c r="O6" s="4">
        <v>201.69</v>
      </c>
      <c r="P6" s="4">
        <v>12.6</v>
      </c>
      <c r="Q6" s="4">
        <v>7.35</v>
      </c>
      <c r="R6" s="4">
        <v>7.41</v>
      </c>
      <c r="S6" s="4">
        <v>230.71</v>
      </c>
      <c r="T6" s="4">
        <v>0</v>
      </c>
      <c r="U6" s="4">
        <v>459.76</v>
      </c>
      <c r="V6" s="4">
        <v>153.13</v>
      </c>
      <c r="W6" t="s">
        <v>21</v>
      </c>
      <c r="X6" t="s">
        <v>55</v>
      </c>
      <c r="Y6" s="4">
        <v>13</v>
      </c>
      <c r="Z6" s="4">
        <v>14</v>
      </c>
      <c r="AA6" t="s">
        <v>37</v>
      </c>
      <c r="AB6" t="s">
        <v>44</v>
      </c>
      <c r="AC6" s="7">
        <v>3</v>
      </c>
      <c r="AD6" t="s">
        <v>45</v>
      </c>
      <c r="AE6">
        <f t="shared" si="0"/>
        <v>1</v>
      </c>
    </row>
    <row r="7" spans="1:31" x14ac:dyDescent="0.35">
      <c r="A7">
        <v>100006</v>
      </c>
      <c r="B7" s="3">
        <v>46006</v>
      </c>
      <c r="C7">
        <v>1007</v>
      </c>
      <c r="D7" t="s">
        <v>47</v>
      </c>
      <c r="E7" t="s">
        <v>56</v>
      </c>
      <c r="F7" t="s">
        <v>32</v>
      </c>
      <c r="G7" t="s">
        <v>50</v>
      </c>
      <c r="H7" t="s">
        <v>57</v>
      </c>
      <c r="I7" t="s">
        <v>42</v>
      </c>
      <c r="J7" s="4">
        <v>30.03</v>
      </c>
      <c r="K7" s="4">
        <v>17.91</v>
      </c>
      <c r="L7">
        <v>5</v>
      </c>
      <c r="M7" s="4">
        <v>26.89</v>
      </c>
      <c r="N7" s="4">
        <v>510.95</v>
      </c>
      <c r="O7" s="4">
        <v>215.26</v>
      </c>
      <c r="P7" s="4">
        <v>8.25</v>
      </c>
      <c r="Q7" s="4">
        <v>8.07</v>
      </c>
      <c r="R7" s="4">
        <v>12.5</v>
      </c>
      <c r="S7" s="4">
        <v>262.68</v>
      </c>
      <c r="T7" s="4">
        <v>20.329999999999998</v>
      </c>
      <c r="U7" s="4">
        <v>527.09</v>
      </c>
      <c r="V7" s="4">
        <v>-16.14</v>
      </c>
      <c r="W7" t="s">
        <v>58</v>
      </c>
      <c r="X7" t="s">
        <v>55</v>
      </c>
      <c r="Y7" s="4">
        <v>2</v>
      </c>
      <c r="Z7" s="4">
        <v>4</v>
      </c>
      <c r="AA7" t="s">
        <v>37</v>
      </c>
      <c r="AB7" t="s">
        <v>44</v>
      </c>
      <c r="AC7" s="7">
        <v>1</v>
      </c>
      <c r="AD7" t="s">
        <v>45</v>
      </c>
      <c r="AE7">
        <f t="shared" si="0"/>
        <v>1</v>
      </c>
    </row>
    <row r="8" spans="1:31" x14ac:dyDescent="0.35">
      <c r="A8">
        <v>100007</v>
      </c>
      <c r="B8" s="3">
        <v>46022</v>
      </c>
      <c r="C8">
        <v>1143</v>
      </c>
      <c r="D8" t="s">
        <v>30</v>
      </c>
      <c r="E8" t="s">
        <v>31</v>
      </c>
      <c r="F8" t="s">
        <v>32</v>
      </c>
      <c r="G8" t="s">
        <v>46</v>
      </c>
      <c r="H8" t="s">
        <v>34</v>
      </c>
      <c r="I8" t="s">
        <v>35</v>
      </c>
      <c r="J8" s="4">
        <v>31.89</v>
      </c>
      <c r="K8" s="4">
        <v>16.16</v>
      </c>
      <c r="L8">
        <v>10</v>
      </c>
      <c r="M8" s="4">
        <v>51.53</v>
      </c>
      <c r="N8" s="4">
        <v>463.81</v>
      </c>
      <c r="O8" s="4">
        <v>230.53</v>
      </c>
      <c r="P8" s="4">
        <v>6.45</v>
      </c>
      <c r="Q8" s="4">
        <v>3.61</v>
      </c>
      <c r="R8" s="4">
        <v>2.89</v>
      </c>
      <c r="S8" s="4">
        <v>0</v>
      </c>
      <c r="T8" s="4">
        <v>0</v>
      </c>
      <c r="U8" s="4">
        <v>243.48</v>
      </c>
      <c r="V8" s="4">
        <v>220.33</v>
      </c>
      <c r="W8" t="s">
        <v>21</v>
      </c>
      <c r="X8" t="s">
        <v>36</v>
      </c>
      <c r="Y8" s="4">
        <v>25</v>
      </c>
      <c r="Z8" s="4">
        <v>21</v>
      </c>
      <c r="AA8" t="s">
        <v>52</v>
      </c>
      <c r="AB8" t="s">
        <v>44</v>
      </c>
      <c r="AC8" s="7">
        <v>1</v>
      </c>
      <c r="AD8" t="s">
        <v>45</v>
      </c>
      <c r="AE8">
        <f t="shared" si="0"/>
        <v>1</v>
      </c>
    </row>
    <row r="9" spans="1:31" x14ac:dyDescent="0.35">
      <c r="A9">
        <v>100008</v>
      </c>
      <c r="B9" s="3">
        <v>46020</v>
      </c>
      <c r="C9">
        <v>1055</v>
      </c>
      <c r="D9" t="s">
        <v>59</v>
      </c>
      <c r="E9" t="s">
        <v>60</v>
      </c>
      <c r="F9" t="s">
        <v>61</v>
      </c>
      <c r="G9" t="s">
        <v>46</v>
      </c>
      <c r="H9" t="s">
        <v>51</v>
      </c>
      <c r="I9" t="s">
        <v>35</v>
      </c>
      <c r="J9" s="4">
        <v>23.75</v>
      </c>
      <c r="K9" s="4">
        <v>15.51</v>
      </c>
      <c r="L9">
        <v>20</v>
      </c>
      <c r="M9" s="4">
        <v>73.67</v>
      </c>
      <c r="N9" s="4">
        <v>294.69</v>
      </c>
      <c r="O9" s="4">
        <v>162.85</v>
      </c>
      <c r="P9" s="4">
        <v>6.06</v>
      </c>
      <c r="Q9" s="4">
        <v>2.58</v>
      </c>
      <c r="R9" s="4">
        <v>12.99</v>
      </c>
      <c r="S9" s="4">
        <v>0</v>
      </c>
      <c r="T9" s="4">
        <v>0</v>
      </c>
      <c r="U9" s="4">
        <v>184.48</v>
      </c>
      <c r="V9" s="4">
        <v>110.21</v>
      </c>
      <c r="W9" t="s">
        <v>21</v>
      </c>
      <c r="X9" t="s">
        <v>36</v>
      </c>
      <c r="Y9" s="4">
        <v>1</v>
      </c>
      <c r="Z9" s="4">
        <v>3</v>
      </c>
      <c r="AA9" t="s">
        <v>37</v>
      </c>
      <c r="AB9" t="s">
        <v>38</v>
      </c>
      <c r="AC9" s="7">
        <v>1</v>
      </c>
      <c r="AD9" t="s">
        <v>39</v>
      </c>
      <c r="AE9">
        <f t="shared" si="0"/>
        <v>0</v>
      </c>
    </row>
    <row r="10" spans="1:31" x14ac:dyDescent="0.35">
      <c r="A10">
        <v>100009</v>
      </c>
      <c r="B10" s="3">
        <v>45938</v>
      </c>
      <c r="C10">
        <v>1093</v>
      </c>
      <c r="D10" t="s">
        <v>30</v>
      </c>
      <c r="E10" t="s">
        <v>62</v>
      </c>
      <c r="F10" t="s">
        <v>61</v>
      </c>
      <c r="G10" t="s">
        <v>63</v>
      </c>
      <c r="H10" t="s">
        <v>34</v>
      </c>
      <c r="I10" t="s">
        <v>35</v>
      </c>
      <c r="J10" s="4">
        <v>9.25</v>
      </c>
      <c r="K10" s="4">
        <v>13.19</v>
      </c>
      <c r="L10">
        <v>0</v>
      </c>
      <c r="M10" s="4">
        <v>0</v>
      </c>
      <c r="N10" s="4">
        <v>122.01</v>
      </c>
      <c r="O10" s="4">
        <v>64.459999999999994</v>
      </c>
      <c r="P10" s="4">
        <v>11.1</v>
      </c>
      <c r="Q10" s="4">
        <v>0.85</v>
      </c>
      <c r="R10" s="4">
        <v>0</v>
      </c>
      <c r="S10" s="4">
        <v>0</v>
      </c>
      <c r="T10" s="4">
        <v>0</v>
      </c>
      <c r="U10" s="4">
        <v>76.41</v>
      </c>
      <c r="V10" s="4">
        <v>45.6</v>
      </c>
      <c r="W10" t="s">
        <v>21</v>
      </c>
      <c r="X10" t="s">
        <v>36</v>
      </c>
      <c r="Y10" s="4">
        <v>14</v>
      </c>
      <c r="Z10" s="4">
        <v>2</v>
      </c>
      <c r="AA10" t="s">
        <v>37</v>
      </c>
      <c r="AB10" t="s">
        <v>38</v>
      </c>
      <c r="AC10" s="7">
        <v>0</v>
      </c>
      <c r="AD10" t="s">
        <v>39</v>
      </c>
      <c r="AE10">
        <f t="shared" si="0"/>
        <v>0</v>
      </c>
    </row>
    <row r="11" spans="1:31" x14ac:dyDescent="0.35">
      <c r="A11">
        <v>100010</v>
      </c>
      <c r="B11" s="3">
        <v>45957</v>
      </c>
      <c r="C11">
        <v>1125</v>
      </c>
      <c r="D11" t="s">
        <v>64</v>
      </c>
      <c r="E11" t="s">
        <v>65</v>
      </c>
      <c r="F11" t="s">
        <v>49</v>
      </c>
      <c r="G11" t="s">
        <v>46</v>
      </c>
      <c r="H11" t="s">
        <v>34</v>
      </c>
      <c r="I11" t="s">
        <v>54</v>
      </c>
      <c r="J11" s="4">
        <v>43.43</v>
      </c>
      <c r="K11" s="4">
        <v>14.75</v>
      </c>
      <c r="L11">
        <v>15</v>
      </c>
      <c r="M11" s="4">
        <v>96.09</v>
      </c>
      <c r="N11" s="4">
        <v>544.5</v>
      </c>
      <c r="O11" s="4">
        <v>294.81</v>
      </c>
      <c r="P11" s="4">
        <v>7.18</v>
      </c>
      <c r="Q11" s="4">
        <v>7.69</v>
      </c>
      <c r="R11" s="4">
        <v>2.71</v>
      </c>
      <c r="S11" s="4">
        <v>0</v>
      </c>
      <c r="T11" s="4">
        <v>0</v>
      </c>
      <c r="U11" s="4">
        <v>312.39</v>
      </c>
      <c r="V11" s="4">
        <v>232.11</v>
      </c>
      <c r="W11" t="s">
        <v>21</v>
      </c>
      <c r="X11" t="s">
        <v>36</v>
      </c>
      <c r="Y11" s="4">
        <v>3</v>
      </c>
      <c r="Z11" s="4">
        <v>5</v>
      </c>
      <c r="AA11" t="s">
        <v>37</v>
      </c>
      <c r="AB11" t="s">
        <v>38</v>
      </c>
      <c r="AC11" s="7">
        <v>0</v>
      </c>
      <c r="AD11" t="s">
        <v>39</v>
      </c>
      <c r="AE11">
        <f t="shared" si="0"/>
        <v>0</v>
      </c>
    </row>
    <row r="12" spans="1:31" x14ac:dyDescent="0.35">
      <c r="A12">
        <v>100011</v>
      </c>
      <c r="B12" s="3">
        <v>45977</v>
      </c>
      <c r="C12">
        <v>1069</v>
      </c>
      <c r="D12" t="s">
        <v>47</v>
      </c>
      <c r="E12" t="s">
        <v>56</v>
      </c>
      <c r="F12" t="s">
        <v>61</v>
      </c>
      <c r="G12" t="s">
        <v>46</v>
      </c>
      <c r="H12" t="s">
        <v>34</v>
      </c>
      <c r="I12" t="s">
        <v>35</v>
      </c>
      <c r="J12" s="4">
        <v>15.55</v>
      </c>
      <c r="K12" s="4">
        <v>15.96</v>
      </c>
      <c r="L12">
        <v>10</v>
      </c>
      <c r="M12" s="4">
        <v>24.82</v>
      </c>
      <c r="N12" s="4">
        <v>223.36</v>
      </c>
      <c r="O12" s="4">
        <v>123.78</v>
      </c>
      <c r="P12" s="4">
        <v>11.86</v>
      </c>
      <c r="Q12" s="4">
        <v>1.74</v>
      </c>
      <c r="R12" s="4">
        <v>5.63</v>
      </c>
      <c r="S12" s="4">
        <v>218.94</v>
      </c>
      <c r="T12" s="4">
        <v>0</v>
      </c>
      <c r="U12" s="4">
        <v>361.95</v>
      </c>
      <c r="V12" s="4">
        <v>-138.59</v>
      </c>
      <c r="W12" t="s">
        <v>58</v>
      </c>
      <c r="X12" t="s">
        <v>66</v>
      </c>
      <c r="Y12" s="4">
        <v>10</v>
      </c>
      <c r="Z12" s="4">
        <v>0</v>
      </c>
      <c r="AA12" t="s">
        <v>37</v>
      </c>
      <c r="AB12" t="s">
        <v>38</v>
      </c>
      <c r="AC12" s="7">
        <v>2</v>
      </c>
      <c r="AD12" t="s">
        <v>45</v>
      </c>
      <c r="AE12">
        <f t="shared" si="0"/>
        <v>0</v>
      </c>
    </row>
    <row r="13" spans="1:31" x14ac:dyDescent="0.35">
      <c r="A13">
        <v>100012</v>
      </c>
      <c r="B13" s="3">
        <v>45952</v>
      </c>
      <c r="C13">
        <v>1067</v>
      </c>
      <c r="D13" t="s">
        <v>30</v>
      </c>
      <c r="E13" t="s">
        <v>40</v>
      </c>
      <c r="F13" t="s">
        <v>61</v>
      </c>
      <c r="G13" t="s">
        <v>63</v>
      </c>
      <c r="H13" t="s">
        <v>57</v>
      </c>
      <c r="I13" t="s">
        <v>35</v>
      </c>
      <c r="J13" s="4">
        <v>22.46</v>
      </c>
      <c r="K13" s="4">
        <v>12.49</v>
      </c>
      <c r="L13">
        <v>5</v>
      </c>
      <c r="M13" s="4">
        <v>14.03</v>
      </c>
      <c r="N13" s="4">
        <v>266.5</v>
      </c>
      <c r="O13" s="4">
        <v>198.46</v>
      </c>
      <c r="P13" s="4">
        <v>9.0399999999999991</v>
      </c>
      <c r="Q13" s="4">
        <v>1.96</v>
      </c>
      <c r="R13" s="4">
        <v>11.88</v>
      </c>
      <c r="S13" s="4">
        <v>0</v>
      </c>
      <c r="T13" s="4">
        <v>0</v>
      </c>
      <c r="U13" s="4">
        <v>221.34</v>
      </c>
      <c r="V13" s="4">
        <v>45.16</v>
      </c>
      <c r="W13" t="s">
        <v>21</v>
      </c>
      <c r="X13" t="s">
        <v>36</v>
      </c>
      <c r="Y13" s="4">
        <v>4</v>
      </c>
      <c r="Z13" s="4">
        <v>5</v>
      </c>
      <c r="AA13" t="s">
        <v>37</v>
      </c>
      <c r="AB13" t="s">
        <v>38</v>
      </c>
      <c r="AC13" s="7">
        <v>0</v>
      </c>
      <c r="AD13" t="s">
        <v>39</v>
      </c>
      <c r="AE13">
        <f t="shared" si="0"/>
        <v>0</v>
      </c>
    </row>
    <row r="14" spans="1:31" x14ac:dyDescent="0.35">
      <c r="A14">
        <v>100013</v>
      </c>
      <c r="B14" s="3">
        <v>45998</v>
      </c>
      <c r="C14">
        <v>1125</v>
      </c>
      <c r="D14" t="s">
        <v>59</v>
      </c>
      <c r="E14" t="s">
        <v>60</v>
      </c>
      <c r="F14" t="s">
        <v>49</v>
      </c>
      <c r="G14" t="s">
        <v>33</v>
      </c>
      <c r="H14" t="s">
        <v>57</v>
      </c>
      <c r="I14" t="s">
        <v>35</v>
      </c>
      <c r="J14" s="4">
        <v>36.659999999999997</v>
      </c>
      <c r="K14" s="4">
        <v>18.52</v>
      </c>
      <c r="L14">
        <v>15</v>
      </c>
      <c r="M14" s="4">
        <v>101.84</v>
      </c>
      <c r="N14" s="4">
        <v>577.1</v>
      </c>
      <c r="O14" s="4">
        <v>291.87</v>
      </c>
      <c r="P14" s="4">
        <v>7.69</v>
      </c>
      <c r="Q14" s="4">
        <v>4.75</v>
      </c>
      <c r="R14" s="4">
        <v>6.35</v>
      </c>
      <c r="S14" s="4">
        <v>0</v>
      </c>
      <c r="T14" s="4">
        <v>0</v>
      </c>
      <c r="U14" s="4">
        <v>310.66000000000003</v>
      </c>
      <c r="V14" s="4">
        <v>266.44</v>
      </c>
      <c r="W14" t="s">
        <v>21</v>
      </c>
      <c r="X14" t="s">
        <v>36</v>
      </c>
      <c r="Y14" s="4">
        <v>4</v>
      </c>
      <c r="Z14" s="4">
        <v>0</v>
      </c>
      <c r="AA14" t="s">
        <v>37</v>
      </c>
      <c r="AB14" t="s">
        <v>38</v>
      </c>
      <c r="AC14" s="7">
        <v>0</v>
      </c>
      <c r="AD14" t="s">
        <v>39</v>
      </c>
      <c r="AE14">
        <f t="shared" si="0"/>
        <v>0</v>
      </c>
    </row>
    <row r="15" spans="1:31" x14ac:dyDescent="0.35">
      <c r="A15">
        <v>100014</v>
      </c>
      <c r="B15" s="3">
        <v>45984</v>
      </c>
      <c r="C15">
        <v>1080</v>
      </c>
      <c r="D15" t="s">
        <v>64</v>
      </c>
      <c r="E15" t="s">
        <v>67</v>
      </c>
      <c r="F15" t="s">
        <v>32</v>
      </c>
      <c r="G15" t="s">
        <v>50</v>
      </c>
      <c r="H15" t="s">
        <v>51</v>
      </c>
      <c r="I15" t="s">
        <v>35</v>
      </c>
      <c r="J15" s="4">
        <v>22.66</v>
      </c>
      <c r="K15" s="4">
        <v>18.23</v>
      </c>
      <c r="L15">
        <v>5</v>
      </c>
      <c r="M15" s="4">
        <v>20.65</v>
      </c>
      <c r="N15" s="4">
        <v>392.44</v>
      </c>
      <c r="O15" s="4">
        <v>200.03</v>
      </c>
      <c r="P15" s="4">
        <v>12.46</v>
      </c>
      <c r="Q15" s="4">
        <v>2.89</v>
      </c>
      <c r="R15" s="4">
        <v>9.85</v>
      </c>
      <c r="S15" s="4">
        <v>0</v>
      </c>
      <c r="T15" s="4">
        <v>0</v>
      </c>
      <c r="U15" s="4">
        <v>225.23</v>
      </c>
      <c r="V15" s="4">
        <v>167.21</v>
      </c>
      <c r="W15" t="s">
        <v>21</v>
      </c>
      <c r="X15" t="s">
        <v>36</v>
      </c>
      <c r="Y15" s="4">
        <v>6</v>
      </c>
      <c r="Z15" s="4">
        <v>1</v>
      </c>
      <c r="AA15" t="s">
        <v>37</v>
      </c>
      <c r="AB15" t="s">
        <v>38</v>
      </c>
      <c r="AC15" s="7">
        <v>0</v>
      </c>
      <c r="AD15" t="s">
        <v>39</v>
      </c>
      <c r="AE15">
        <f t="shared" si="0"/>
        <v>0</v>
      </c>
    </row>
    <row r="16" spans="1:31" x14ac:dyDescent="0.35">
      <c r="A16">
        <v>100015</v>
      </c>
      <c r="B16" s="3">
        <v>45942</v>
      </c>
      <c r="C16">
        <v>1027</v>
      </c>
      <c r="D16" t="s">
        <v>59</v>
      </c>
      <c r="E16" t="s">
        <v>68</v>
      </c>
      <c r="F16" t="s">
        <v>32</v>
      </c>
      <c r="G16" t="s">
        <v>33</v>
      </c>
      <c r="H16" t="s">
        <v>34</v>
      </c>
      <c r="I16" t="s">
        <v>54</v>
      </c>
      <c r="J16" s="4">
        <v>28.29</v>
      </c>
      <c r="K16" s="4">
        <v>19.329999999999998</v>
      </c>
      <c r="L16">
        <v>0</v>
      </c>
      <c r="M16" s="4">
        <v>0</v>
      </c>
      <c r="N16" s="4">
        <v>546.85</v>
      </c>
      <c r="O16" s="4">
        <v>199.28</v>
      </c>
      <c r="P16" s="4">
        <v>9.7799999999999994</v>
      </c>
      <c r="Q16" s="4">
        <v>6.56</v>
      </c>
      <c r="R16" s="4">
        <v>6.71</v>
      </c>
      <c r="S16" s="4">
        <v>0</v>
      </c>
      <c r="T16" s="4">
        <v>0</v>
      </c>
      <c r="U16" s="4">
        <v>222.33</v>
      </c>
      <c r="V16" s="4">
        <v>324.52</v>
      </c>
      <c r="W16" t="s">
        <v>21</v>
      </c>
      <c r="X16" t="s">
        <v>36</v>
      </c>
      <c r="Y16" s="4">
        <v>1</v>
      </c>
      <c r="Z16" s="4">
        <v>1</v>
      </c>
      <c r="AA16" t="s">
        <v>37</v>
      </c>
      <c r="AB16" t="s">
        <v>38</v>
      </c>
      <c r="AC16" s="7">
        <v>0</v>
      </c>
      <c r="AD16" t="s">
        <v>39</v>
      </c>
      <c r="AE16">
        <f t="shared" si="0"/>
        <v>0</v>
      </c>
    </row>
    <row r="17" spans="1:31" x14ac:dyDescent="0.35">
      <c r="A17">
        <v>100016</v>
      </c>
      <c r="B17" s="3">
        <v>45953</v>
      </c>
      <c r="C17">
        <v>1115</v>
      </c>
      <c r="D17" t="s">
        <v>30</v>
      </c>
      <c r="E17" t="s">
        <v>31</v>
      </c>
      <c r="F17" t="s">
        <v>61</v>
      </c>
      <c r="G17" t="s">
        <v>46</v>
      </c>
      <c r="H17" t="s">
        <v>51</v>
      </c>
      <c r="I17" t="s">
        <v>69</v>
      </c>
      <c r="J17" s="4">
        <v>41.92</v>
      </c>
      <c r="K17" s="4">
        <v>15.42</v>
      </c>
      <c r="L17">
        <v>15</v>
      </c>
      <c r="M17" s="4">
        <v>96.96</v>
      </c>
      <c r="N17" s="4">
        <v>549.45000000000005</v>
      </c>
      <c r="O17" s="4">
        <v>284.41000000000003</v>
      </c>
      <c r="P17" s="4">
        <v>10.92</v>
      </c>
      <c r="Q17" s="4">
        <v>2.59</v>
      </c>
      <c r="R17" s="4">
        <v>6.39</v>
      </c>
      <c r="S17" s="4">
        <v>0</v>
      </c>
      <c r="T17" s="4">
        <v>0</v>
      </c>
      <c r="U17" s="4">
        <v>304.31</v>
      </c>
      <c r="V17" s="4">
        <v>245.14</v>
      </c>
      <c r="W17" t="s">
        <v>21</v>
      </c>
      <c r="X17" t="s">
        <v>36</v>
      </c>
      <c r="Y17" s="4">
        <v>20</v>
      </c>
      <c r="Z17" s="4">
        <v>8</v>
      </c>
      <c r="AA17" t="s">
        <v>52</v>
      </c>
      <c r="AB17" t="s">
        <v>38</v>
      </c>
      <c r="AC17" s="7">
        <v>0</v>
      </c>
      <c r="AD17" t="s">
        <v>39</v>
      </c>
      <c r="AE17">
        <f t="shared" si="0"/>
        <v>0</v>
      </c>
    </row>
    <row r="18" spans="1:31" x14ac:dyDescent="0.35">
      <c r="A18">
        <v>100017</v>
      </c>
      <c r="B18" s="3">
        <v>45985</v>
      </c>
      <c r="C18">
        <v>1137</v>
      </c>
      <c r="D18" t="s">
        <v>59</v>
      </c>
      <c r="E18" t="s">
        <v>70</v>
      </c>
      <c r="F18" t="s">
        <v>71</v>
      </c>
      <c r="G18" t="s">
        <v>63</v>
      </c>
      <c r="H18" t="s">
        <v>34</v>
      </c>
      <c r="I18" t="s">
        <v>35</v>
      </c>
      <c r="J18" s="4">
        <v>8.8800000000000008</v>
      </c>
      <c r="K18" s="4">
        <v>13.39</v>
      </c>
      <c r="L18">
        <v>10</v>
      </c>
      <c r="M18" s="4">
        <v>11.89</v>
      </c>
      <c r="N18" s="4">
        <v>107.01</v>
      </c>
      <c r="O18" s="4">
        <v>63.17</v>
      </c>
      <c r="P18" s="4">
        <v>3.8</v>
      </c>
      <c r="Q18" s="4">
        <v>0.83</v>
      </c>
      <c r="R18" s="4">
        <v>5.33</v>
      </c>
      <c r="S18" s="4">
        <v>82.14</v>
      </c>
      <c r="T18" s="4">
        <v>0</v>
      </c>
      <c r="U18" s="4">
        <v>155.27000000000001</v>
      </c>
      <c r="V18" s="4">
        <v>-48.26</v>
      </c>
      <c r="W18" t="s">
        <v>58</v>
      </c>
      <c r="X18" t="s">
        <v>55</v>
      </c>
      <c r="Y18" s="4">
        <v>32</v>
      </c>
      <c r="Z18" s="4">
        <v>3</v>
      </c>
      <c r="AA18" t="s">
        <v>43</v>
      </c>
      <c r="AB18" t="s">
        <v>44</v>
      </c>
      <c r="AC18" s="7">
        <v>1</v>
      </c>
      <c r="AD18" t="s">
        <v>45</v>
      </c>
      <c r="AE18">
        <f t="shared" si="0"/>
        <v>1</v>
      </c>
    </row>
    <row r="19" spans="1:31" x14ac:dyDescent="0.35">
      <c r="A19">
        <v>100018</v>
      </c>
      <c r="B19" s="3">
        <v>46020</v>
      </c>
      <c r="C19">
        <v>1123</v>
      </c>
      <c r="D19" t="s">
        <v>30</v>
      </c>
      <c r="E19" t="s">
        <v>62</v>
      </c>
      <c r="F19" t="s">
        <v>49</v>
      </c>
      <c r="G19" t="s">
        <v>46</v>
      </c>
      <c r="H19" t="s">
        <v>57</v>
      </c>
      <c r="I19" t="s">
        <v>35</v>
      </c>
      <c r="J19" s="4">
        <v>26.16</v>
      </c>
      <c r="K19" s="4">
        <v>16.25</v>
      </c>
      <c r="L19">
        <v>10</v>
      </c>
      <c r="M19" s="4">
        <v>42.51</v>
      </c>
      <c r="N19" s="4">
        <v>382.59</v>
      </c>
      <c r="O19" s="4">
        <v>205.39</v>
      </c>
      <c r="P19" s="4">
        <v>2.7</v>
      </c>
      <c r="Q19" s="4">
        <v>2.98</v>
      </c>
      <c r="R19" s="4">
        <v>7.51</v>
      </c>
      <c r="S19" s="4">
        <v>0</v>
      </c>
      <c r="T19" s="4">
        <v>0</v>
      </c>
      <c r="U19" s="4">
        <v>218.58</v>
      </c>
      <c r="V19" s="4">
        <v>164.01</v>
      </c>
      <c r="W19" t="s">
        <v>21</v>
      </c>
      <c r="X19" t="s">
        <v>36</v>
      </c>
      <c r="Y19" s="4">
        <v>16</v>
      </c>
      <c r="Z19" s="4">
        <v>0</v>
      </c>
      <c r="AA19" t="s">
        <v>52</v>
      </c>
      <c r="AB19" t="s">
        <v>38</v>
      </c>
      <c r="AC19" s="7">
        <v>0</v>
      </c>
      <c r="AD19" t="s">
        <v>39</v>
      </c>
      <c r="AE19">
        <f t="shared" si="0"/>
        <v>0</v>
      </c>
    </row>
    <row r="20" spans="1:31" x14ac:dyDescent="0.35">
      <c r="A20">
        <v>100019</v>
      </c>
      <c r="B20" s="3">
        <v>45949</v>
      </c>
      <c r="C20">
        <v>1085</v>
      </c>
      <c r="D20" t="s">
        <v>30</v>
      </c>
      <c r="E20" t="s">
        <v>72</v>
      </c>
      <c r="F20" t="s">
        <v>71</v>
      </c>
      <c r="G20" t="s">
        <v>46</v>
      </c>
      <c r="H20" t="s">
        <v>34</v>
      </c>
      <c r="I20" t="s">
        <v>35</v>
      </c>
      <c r="J20" s="4">
        <v>32.840000000000003</v>
      </c>
      <c r="K20" s="4">
        <v>18.059999999999999</v>
      </c>
      <c r="L20">
        <v>0</v>
      </c>
      <c r="M20" s="4">
        <v>0</v>
      </c>
      <c r="N20" s="4">
        <v>593.09</v>
      </c>
      <c r="O20" s="4">
        <v>214.28</v>
      </c>
      <c r="P20" s="4">
        <v>5.66</v>
      </c>
      <c r="Q20" s="4">
        <v>4.1500000000000004</v>
      </c>
      <c r="R20" s="4">
        <v>6.52</v>
      </c>
      <c r="S20" s="4">
        <v>0</v>
      </c>
      <c r="T20" s="4">
        <v>0</v>
      </c>
      <c r="U20" s="4">
        <v>230.61</v>
      </c>
      <c r="V20" s="4">
        <v>362.48</v>
      </c>
      <c r="W20" t="s">
        <v>21</v>
      </c>
      <c r="X20" t="s">
        <v>36</v>
      </c>
      <c r="Y20" s="4">
        <v>6</v>
      </c>
      <c r="Z20" s="4">
        <v>3</v>
      </c>
      <c r="AA20" t="s">
        <v>37</v>
      </c>
      <c r="AB20" t="s">
        <v>38</v>
      </c>
      <c r="AC20" s="7">
        <v>0</v>
      </c>
      <c r="AD20" t="s">
        <v>39</v>
      </c>
      <c r="AE20">
        <f t="shared" si="0"/>
        <v>0</v>
      </c>
    </row>
    <row r="21" spans="1:31" x14ac:dyDescent="0.35">
      <c r="A21">
        <v>100020</v>
      </c>
      <c r="B21" s="3">
        <v>45956</v>
      </c>
      <c r="C21">
        <v>1031</v>
      </c>
      <c r="D21" t="s">
        <v>47</v>
      </c>
      <c r="E21" t="s">
        <v>56</v>
      </c>
      <c r="F21" t="s">
        <v>71</v>
      </c>
      <c r="G21" t="s">
        <v>63</v>
      </c>
      <c r="H21" t="s">
        <v>34</v>
      </c>
      <c r="I21" t="s">
        <v>35</v>
      </c>
      <c r="J21" s="4">
        <v>8.69</v>
      </c>
      <c r="K21" s="4">
        <v>12.8</v>
      </c>
      <c r="L21">
        <v>10</v>
      </c>
      <c r="M21" s="4">
        <v>11.12</v>
      </c>
      <c r="N21" s="4">
        <v>100.11</v>
      </c>
      <c r="O21" s="4">
        <v>62.36</v>
      </c>
      <c r="P21" s="4">
        <v>11.85</v>
      </c>
      <c r="Q21" s="4">
        <v>0.78</v>
      </c>
      <c r="R21" s="4">
        <v>2.2000000000000002</v>
      </c>
      <c r="S21" s="4">
        <v>84.18</v>
      </c>
      <c r="T21" s="4">
        <v>0</v>
      </c>
      <c r="U21" s="4">
        <v>161.37</v>
      </c>
      <c r="V21" s="4">
        <v>-61.26</v>
      </c>
      <c r="W21" t="s">
        <v>58</v>
      </c>
      <c r="X21" t="s">
        <v>66</v>
      </c>
      <c r="Y21" s="4">
        <v>22</v>
      </c>
      <c r="Z21" s="4">
        <v>4</v>
      </c>
      <c r="AA21" t="s">
        <v>52</v>
      </c>
      <c r="AB21" t="s">
        <v>44</v>
      </c>
      <c r="AC21" s="7">
        <v>2</v>
      </c>
      <c r="AD21" t="s">
        <v>45</v>
      </c>
      <c r="AE21">
        <f t="shared" si="0"/>
        <v>1</v>
      </c>
    </row>
    <row r="22" spans="1:31" x14ac:dyDescent="0.35">
      <c r="A22">
        <v>100021</v>
      </c>
      <c r="B22" s="3">
        <v>45993</v>
      </c>
      <c r="C22">
        <v>1001</v>
      </c>
      <c r="D22" t="s">
        <v>47</v>
      </c>
      <c r="E22" t="s">
        <v>56</v>
      </c>
      <c r="F22" t="s">
        <v>32</v>
      </c>
      <c r="G22" t="s">
        <v>46</v>
      </c>
      <c r="H22" t="s">
        <v>34</v>
      </c>
      <c r="I22" t="s">
        <v>54</v>
      </c>
      <c r="J22" s="4">
        <v>29.73</v>
      </c>
      <c r="K22" s="4">
        <v>15.05</v>
      </c>
      <c r="L22">
        <v>15</v>
      </c>
      <c r="M22" s="4">
        <v>67.12</v>
      </c>
      <c r="N22" s="4">
        <v>380.32</v>
      </c>
      <c r="O22" s="4">
        <v>216.48</v>
      </c>
      <c r="P22" s="4">
        <v>1</v>
      </c>
      <c r="Q22" s="4">
        <v>5.37</v>
      </c>
      <c r="R22" s="4">
        <v>6.25</v>
      </c>
      <c r="S22" s="4">
        <v>390.89</v>
      </c>
      <c r="T22" s="4">
        <v>0</v>
      </c>
      <c r="U22" s="4">
        <v>619.99</v>
      </c>
      <c r="V22" s="4">
        <v>-239.67</v>
      </c>
      <c r="W22" t="s">
        <v>58</v>
      </c>
      <c r="X22" t="s">
        <v>55</v>
      </c>
      <c r="Y22" s="4">
        <v>37</v>
      </c>
      <c r="Z22" s="4">
        <v>9</v>
      </c>
      <c r="AA22" t="s">
        <v>43</v>
      </c>
      <c r="AB22" t="s">
        <v>44</v>
      </c>
      <c r="AC22" s="7">
        <v>2</v>
      </c>
      <c r="AD22" t="s">
        <v>45</v>
      </c>
      <c r="AE22">
        <f t="shared" si="0"/>
        <v>1</v>
      </c>
    </row>
    <row r="23" spans="1:31" x14ac:dyDescent="0.35">
      <c r="A23">
        <v>100022</v>
      </c>
      <c r="B23" s="3">
        <v>45968</v>
      </c>
      <c r="C23">
        <v>1045</v>
      </c>
      <c r="D23" t="s">
        <v>59</v>
      </c>
      <c r="E23" t="s">
        <v>60</v>
      </c>
      <c r="F23" t="s">
        <v>41</v>
      </c>
      <c r="G23" t="s">
        <v>63</v>
      </c>
      <c r="H23" t="s">
        <v>57</v>
      </c>
      <c r="I23" t="s">
        <v>69</v>
      </c>
      <c r="J23" s="4">
        <v>13.98</v>
      </c>
      <c r="K23" s="4">
        <v>13.37</v>
      </c>
      <c r="L23">
        <v>15</v>
      </c>
      <c r="M23" s="4">
        <v>28.04</v>
      </c>
      <c r="N23" s="4">
        <v>158.87</v>
      </c>
      <c r="O23" s="4">
        <v>105.12</v>
      </c>
      <c r="P23" s="4">
        <v>6.65</v>
      </c>
      <c r="Q23" s="4">
        <v>0.75</v>
      </c>
      <c r="R23" s="4">
        <v>0</v>
      </c>
      <c r="S23" s="4">
        <v>0</v>
      </c>
      <c r="T23" s="4">
        <v>0</v>
      </c>
      <c r="U23" s="4">
        <v>112.52</v>
      </c>
      <c r="V23" s="4">
        <v>46.35</v>
      </c>
      <c r="W23" t="s">
        <v>21</v>
      </c>
      <c r="X23" t="s">
        <v>36</v>
      </c>
      <c r="Y23" s="4">
        <v>37</v>
      </c>
      <c r="Z23" s="4">
        <v>8</v>
      </c>
      <c r="AA23" t="s">
        <v>43</v>
      </c>
      <c r="AB23" t="s">
        <v>44</v>
      </c>
      <c r="AC23" s="7">
        <v>1</v>
      </c>
      <c r="AD23" t="s">
        <v>45</v>
      </c>
      <c r="AE23">
        <f t="shared" si="0"/>
        <v>1</v>
      </c>
    </row>
    <row r="24" spans="1:31" x14ac:dyDescent="0.35">
      <c r="A24">
        <v>100023</v>
      </c>
      <c r="B24" s="3">
        <v>46004</v>
      </c>
      <c r="C24">
        <v>1087</v>
      </c>
      <c r="D24" t="s">
        <v>59</v>
      </c>
      <c r="E24" t="s">
        <v>73</v>
      </c>
      <c r="F24" t="s">
        <v>32</v>
      </c>
      <c r="G24" t="s">
        <v>63</v>
      </c>
      <c r="H24" t="s">
        <v>57</v>
      </c>
      <c r="I24" t="s">
        <v>35</v>
      </c>
      <c r="J24" s="4">
        <v>23.52</v>
      </c>
      <c r="K24" s="4">
        <v>13.57</v>
      </c>
      <c r="L24">
        <v>15</v>
      </c>
      <c r="M24" s="4">
        <v>47.88</v>
      </c>
      <c r="N24" s="4">
        <v>271.29000000000002</v>
      </c>
      <c r="O24" s="4">
        <v>167.48</v>
      </c>
      <c r="P24" s="4">
        <v>7.59</v>
      </c>
      <c r="Q24" s="4">
        <v>2.23</v>
      </c>
      <c r="R24" s="4">
        <v>13.13</v>
      </c>
      <c r="S24" s="4">
        <v>0</v>
      </c>
      <c r="T24" s="4">
        <v>0</v>
      </c>
      <c r="U24" s="4">
        <v>190.43</v>
      </c>
      <c r="V24" s="4">
        <v>80.86</v>
      </c>
      <c r="W24" t="s">
        <v>21</v>
      </c>
      <c r="X24" t="s">
        <v>36</v>
      </c>
      <c r="Y24" s="4">
        <v>5</v>
      </c>
      <c r="Z24" s="4">
        <v>2</v>
      </c>
      <c r="AA24" t="s">
        <v>37</v>
      </c>
      <c r="AB24" t="s">
        <v>38</v>
      </c>
      <c r="AC24" s="7">
        <v>0</v>
      </c>
      <c r="AD24" t="s">
        <v>39</v>
      </c>
      <c r="AE24">
        <f t="shared" si="0"/>
        <v>0</v>
      </c>
    </row>
    <row r="25" spans="1:31" x14ac:dyDescent="0.35">
      <c r="A25">
        <v>100024</v>
      </c>
      <c r="B25" s="3">
        <v>46021</v>
      </c>
      <c r="C25">
        <v>1133</v>
      </c>
      <c r="D25" t="s">
        <v>64</v>
      </c>
      <c r="E25" t="s">
        <v>65</v>
      </c>
      <c r="F25" t="s">
        <v>32</v>
      </c>
      <c r="G25" t="s">
        <v>33</v>
      </c>
      <c r="H25" t="s">
        <v>34</v>
      </c>
      <c r="I25" t="s">
        <v>35</v>
      </c>
      <c r="J25" s="4">
        <v>19.48</v>
      </c>
      <c r="K25" s="4">
        <v>18.95</v>
      </c>
      <c r="L25">
        <v>10</v>
      </c>
      <c r="M25" s="4">
        <v>36.92</v>
      </c>
      <c r="N25" s="4">
        <v>332.23</v>
      </c>
      <c r="O25" s="4">
        <v>141.38999999999999</v>
      </c>
      <c r="P25" s="4">
        <v>1.1000000000000001</v>
      </c>
      <c r="Q25" s="4">
        <v>2.58</v>
      </c>
      <c r="R25" s="4">
        <v>6.3</v>
      </c>
      <c r="S25" s="4">
        <v>0</v>
      </c>
      <c r="T25" s="4">
        <v>0</v>
      </c>
      <c r="U25" s="4">
        <v>151.37</v>
      </c>
      <c r="V25" s="4">
        <v>180.86</v>
      </c>
      <c r="W25" t="s">
        <v>21</v>
      </c>
      <c r="X25" t="s">
        <v>36</v>
      </c>
      <c r="Y25" s="4">
        <v>1</v>
      </c>
      <c r="Z25" s="4">
        <v>4</v>
      </c>
      <c r="AA25" t="s">
        <v>37</v>
      </c>
      <c r="AB25" t="s">
        <v>38</v>
      </c>
      <c r="AC25" s="7">
        <v>0</v>
      </c>
      <c r="AD25" t="s">
        <v>39</v>
      </c>
      <c r="AE25">
        <f t="shared" si="0"/>
        <v>0</v>
      </c>
    </row>
    <row r="26" spans="1:31" x14ac:dyDescent="0.35">
      <c r="A26">
        <v>100025</v>
      </c>
      <c r="B26" s="3">
        <v>45981</v>
      </c>
      <c r="C26">
        <v>1036</v>
      </c>
      <c r="D26" t="s">
        <v>64</v>
      </c>
      <c r="E26" t="s">
        <v>67</v>
      </c>
      <c r="F26" t="s">
        <v>41</v>
      </c>
      <c r="G26" t="s">
        <v>33</v>
      </c>
      <c r="H26" t="s">
        <v>57</v>
      </c>
      <c r="I26" t="s">
        <v>54</v>
      </c>
      <c r="J26" s="4">
        <v>26.83</v>
      </c>
      <c r="K26" s="4">
        <v>19.12</v>
      </c>
      <c r="L26">
        <v>15</v>
      </c>
      <c r="M26" s="4">
        <v>76.95</v>
      </c>
      <c r="N26" s="4">
        <v>436.04</v>
      </c>
      <c r="O26" s="4">
        <v>194.88</v>
      </c>
      <c r="P26" s="4">
        <v>9.57</v>
      </c>
      <c r="Q26" s="4">
        <v>6.16</v>
      </c>
      <c r="R26" s="4">
        <v>3.75</v>
      </c>
      <c r="S26" s="4">
        <v>0</v>
      </c>
      <c r="T26" s="4">
        <v>0</v>
      </c>
      <c r="U26" s="4">
        <v>214.36</v>
      </c>
      <c r="V26" s="4">
        <v>221.68</v>
      </c>
      <c r="W26" t="s">
        <v>21</v>
      </c>
      <c r="X26" t="s">
        <v>36</v>
      </c>
      <c r="Y26" s="4">
        <v>3</v>
      </c>
      <c r="Z26" s="4">
        <v>7</v>
      </c>
      <c r="AA26" t="s">
        <v>37</v>
      </c>
      <c r="AB26" t="s">
        <v>38</v>
      </c>
      <c r="AC26" s="7">
        <v>0</v>
      </c>
      <c r="AD26" t="s">
        <v>39</v>
      </c>
      <c r="AE26">
        <f t="shared" si="0"/>
        <v>0</v>
      </c>
    </row>
    <row r="27" spans="1:31" x14ac:dyDescent="0.35">
      <c r="A27">
        <v>100026</v>
      </c>
      <c r="B27" s="3">
        <v>45962</v>
      </c>
      <c r="C27">
        <v>1034</v>
      </c>
      <c r="D27" t="s">
        <v>30</v>
      </c>
      <c r="E27" t="s">
        <v>40</v>
      </c>
      <c r="F27" t="s">
        <v>41</v>
      </c>
      <c r="G27" t="s">
        <v>33</v>
      </c>
      <c r="H27" t="s">
        <v>34</v>
      </c>
      <c r="I27" t="s">
        <v>35</v>
      </c>
      <c r="J27" s="4">
        <v>10.29</v>
      </c>
      <c r="K27" s="4">
        <v>19.3</v>
      </c>
      <c r="L27">
        <v>20</v>
      </c>
      <c r="M27" s="4">
        <v>39.72</v>
      </c>
      <c r="N27" s="4">
        <v>158.88</v>
      </c>
      <c r="O27" s="4">
        <v>58.07</v>
      </c>
      <c r="P27" s="4">
        <v>7.32</v>
      </c>
      <c r="Q27" s="4">
        <v>1.39</v>
      </c>
      <c r="R27" s="4">
        <v>0</v>
      </c>
      <c r="S27" s="4">
        <v>0</v>
      </c>
      <c r="T27" s="4">
        <v>0</v>
      </c>
      <c r="U27" s="4">
        <v>66.78</v>
      </c>
      <c r="V27" s="4">
        <v>92.1</v>
      </c>
      <c r="W27" t="s">
        <v>21</v>
      </c>
      <c r="X27" t="s">
        <v>36</v>
      </c>
      <c r="Y27" s="4">
        <v>7</v>
      </c>
      <c r="Z27" s="4">
        <v>0</v>
      </c>
      <c r="AA27" t="s">
        <v>37</v>
      </c>
      <c r="AB27" t="s">
        <v>38</v>
      </c>
      <c r="AC27" s="7">
        <v>0</v>
      </c>
      <c r="AD27" t="s">
        <v>39</v>
      </c>
      <c r="AE27">
        <f t="shared" si="0"/>
        <v>0</v>
      </c>
    </row>
    <row r="28" spans="1:31" x14ac:dyDescent="0.35">
      <c r="A28">
        <v>100027</v>
      </c>
      <c r="B28" s="3">
        <v>46019</v>
      </c>
      <c r="C28">
        <v>1055</v>
      </c>
      <c r="D28" t="s">
        <v>59</v>
      </c>
      <c r="E28" t="s">
        <v>70</v>
      </c>
      <c r="F28" t="s">
        <v>61</v>
      </c>
      <c r="G28" t="s">
        <v>50</v>
      </c>
      <c r="H28" t="s">
        <v>34</v>
      </c>
      <c r="I28" t="s">
        <v>35</v>
      </c>
      <c r="J28" s="4">
        <v>29.05</v>
      </c>
      <c r="K28" s="4">
        <v>17.170000000000002</v>
      </c>
      <c r="L28">
        <v>0</v>
      </c>
      <c r="M28" s="4">
        <v>0</v>
      </c>
      <c r="N28" s="4">
        <v>498.79</v>
      </c>
      <c r="O28" s="4">
        <v>217.42</v>
      </c>
      <c r="P28" s="4">
        <v>1.8</v>
      </c>
      <c r="Q28" s="4">
        <v>3.49</v>
      </c>
      <c r="R28" s="4">
        <v>1.05</v>
      </c>
      <c r="S28" s="4">
        <v>0</v>
      </c>
      <c r="T28" s="4">
        <v>0</v>
      </c>
      <c r="U28" s="4">
        <v>223.76</v>
      </c>
      <c r="V28" s="4">
        <v>275.02999999999997</v>
      </c>
      <c r="W28" t="s">
        <v>21</v>
      </c>
      <c r="X28" t="s">
        <v>36</v>
      </c>
      <c r="Y28" s="4">
        <v>6</v>
      </c>
      <c r="Z28" s="4">
        <v>7</v>
      </c>
      <c r="AA28" t="s">
        <v>37</v>
      </c>
      <c r="AB28" t="s">
        <v>38</v>
      </c>
      <c r="AC28" s="7">
        <v>2</v>
      </c>
      <c r="AD28" t="s">
        <v>39</v>
      </c>
      <c r="AE28">
        <f t="shared" si="0"/>
        <v>0</v>
      </c>
    </row>
    <row r="29" spans="1:31" x14ac:dyDescent="0.35">
      <c r="A29">
        <v>100028</v>
      </c>
      <c r="B29" s="3">
        <v>46019</v>
      </c>
      <c r="C29">
        <v>1033</v>
      </c>
      <c r="D29" t="s">
        <v>47</v>
      </c>
      <c r="E29" t="s">
        <v>53</v>
      </c>
      <c r="F29" t="s">
        <v>61</v>
      </c>
      <c r="G29" t="s">
        <v>63</v>
      </c>
      <c r="H29" t="s">
        <v>57</v>
      </c>
      <c r="I29" t="s">
        <v>35</v>
      </c>
      <c r="J29" s="4">
        <v>3</v>
      </c>
      <c r="K29" s="4">
        <v>12.96</v>
      </c>
      <c r="L29">
        <v>0</v>
      </c>
      <c r="M29" s="4">
        <v>0</v>
      </c>
      <c r="N29" s="4">
        <v>38.880000000000003</v>
      </c>
      <c r="O29" s="4">
        <v>22.32</v>
      </c>
      <c r="P29" s="4">
        <v>7.01</v>
      </c>
      <c r="Q29" s="4">
        <v>0.27</v>
      </c>
      <c r="R29" s="4">
        <v>3.5</v>
      </c>
      <c r="S29" s="4">
        <v>0</v>
      </c>
      <c r="T29" s="4">
        <v>0</v>
      </c>
      <c r="U29" s="4">
        <v>33.1</v>
      </c>
      <c r="V29" s="4">
        <v>5.78</v>
      </c>
      <c r="W29" t="s">
        <v>21</v>
      </c>
      <c r="X29" t="s">
        <v>36</v>
      </c>
      <c r="Y29" s="4">
        <v>5</v>
      </c>
      <c r="Z29" s="4">
        <v>21</v>
      </c>
      <c r="AA29" t="s">
        <v>37</v>
      </c>
      <c r="AB29" t="s">
        <v>44</v>
      </c>
      <c r="AC29" s="7">
        <v>1</v>
      </c>
      <c r="AD29" t="s">
        <v>45</v>
      </c>
      <c r="AE29">
        <f t="shared" si="0"/>
        <v>1</v>
      </c>
    </row>
    <row r="30" spans="1:31" x14ac:dyDescent="0.35">
      <c r="A30">
        <v>100029</v>
      </c>
      <c r="B30" s="3">
        <v>46019</v>
      </c>
      <c r="C30">
        <v>1122</v>
      </c>
      <c r="D30" t="s">
        <v>30</v>
      </c>
      <c r="E30" t="s">
        <v>72</v>
      </c>
      <c r="F30" t="s">
        <v>61</v>
      </c>
      <c r="G30" t="s">
        <v>50</v>
      </c>
      <c r="H30" t="s">
        <v>57</v>
      </c>
      <c r="I30" t="s">
        <v>54</v>
      </c>
      <c r="J30" s="4">
        <v>29.29</v>
      </c>
      <c r="K30" s="4">
        <v>18.920000000000002</v>
      </c>
      <c r="L30">
        <v>5</v>
      </c>
      <c r="M30" s="4">
        <v>27.71</v>
      </c>
      <c r="N30" s="4">
        <v>526.46</v>
      </c>
      <c r="O30" s="4">
        <v>246.23</v>
      </c>
      <c r="P30" s="4">
        <v>5.42</v>
      </c>
      <c r="Q30" s="4">
        <v>6.65</v>
      </c>
      <c r="R30" s="4">
        <v>3.96</v>
      </c>
      <c r="S30" s="4">
        <v>0</v>
      </c>
      <c r="T30" s="4">
        <v>0</v>
      </c>
      <c r="U30" s="4">
        <v>262.26</v>
      </c>
      <c r="V30" s="4">
        <v>264.2</v>
      </c>
      <c r="W30" t="s">
        <v>21</v>
      </c>
      <c r="X30" t="s">
        <v>36</v>
      </c>
      <c r="Y30" s="4">
        <v>33</v>
      </c>
      <c r="Z30" s="4">
        <v>0</v>
      </c>
      <c r="AA30" t="s">
        <v>43</v>
      </c>
      <c r="AB30" t="s">
        <v>44</v>
      </c>
      <c r="AC30" s="7">
        <v>1</v>
      </c>
      <c r="AD30" t="s">
        <v>45</v>
      </c>
      <c r="AE30">
        <f t="shared" si="0"/>
        <v>1</v>
      </c>
    </row>
    <row r="31" spans="1:31" x14ac:dyDescent="0.35">
      <c r="A31">
        <v>100030</v>
      </c>
      <c r="B31" s="3">
        <v>45962</v>
      </c>
      <c r="C31">
        <v>1024</v>
      </c>
      <c r="D31" t="s">
        <v>64</v>
      </c>
      <c r="E31" t="s">
        <v>65</v>
      </c>
      <c r="F31" t="s">
        <v>71</v>
      </c>
      <c r="G31" t="s">
        <v>63</v>
      </c>
      <c r="H31" t="s">
        <v>34</v>
      </c>
      <c r="I31" t="s">
        <v>42</v>
      </c>
      <c r="J31" s="4">
        <v>3</v>
      </c>
      <c r="K31" s="4">
        <v>13.97</v>
      </c>
      <c r="L31">
        <v>0</v>
      </c>
      <c r="M31" s="4">
        <v>0</v>
      </c>
      <c r="N31" s="4">
        <v>41.91</v>
      </c>
      <c r="O31" s="4">
        <v>22.65</v>
      </c>
      <c r="P31" s="4">
        <v>11.18</v>
      </c>
      <c r="Q31" s="4">
        <v>0.63</v>
      </c>
      <c r="R31" s="4">
        <v>0</v>
      </c>
      <c r="S31" s="4">
        <v>0</v>
      </c>
      <c r="T31" s="4">
        <v>0</v>
      </c>
      <c r="U31" s="4">
        <v>34.46</v>
      </c>
      <c r="V31" s="4">
        <v>7.45</v>
      </c>
      <c r="W31" t="s">
        <v>21</v>
      </c>
      <c r="X31" t="s">
        <v>36</v>
      </c>
      <c r="Y31" s="4">
        <v>2</v>
      </c>
      <c r="Z31" s="4">
        <v>3</v>
      </c>
      <c r="AA31" t="s">
        <v>37</v>
      </c>
      <c r="AB31" t="s">
        <v>38</v>
      </c>
      <c r="AC31" s="7">
        <v>1</v>
      </c>
      <c r="AD31" t="s">
        <v>39</v>
      </c>
      <c r="AE31">
        <f t="shared" si="0"/>
        <v>0</v>
      </c>
    </row>
    <row r="32" spans="1:31" x14ac:dyDescent="0.35">
      <c r="A32">
        <v>100031</v>
      </c>
      <c r="B32" s="3">
        <v>46013</v>
      </c>
      <c r="C32">
        <v>1088</v>
      </c>
      <c r="D32" t="s">
        <v>30</v>
      </c>
      <c r="E32" t="s">
        <v>40</v>
      </c>
      <c r="F32" t="s">
        <v>41</v>
      </c>
      <c r="G32" t="s">
        <v>46</v>
      </c>
      <c r="H32" t="s">
        <v>51</v>
      </c>
      <c r="I32" t="s">
        <v>35</v>
      </c>
      <c r="J32" s="4">
        <v>25.52</v>
      </c>
      <c r="K32" s="4">
        <v>15.69</v>
      </c>
      <c r="L32">
        <v>15</v>
      </c>
      <c r="M32" s="4">
        <v>60.06</v>
      </c>
      <c r="N32" s="4">
        <v>340.35</v>
      </c>
      <c r="O32" s="4">
        <v>138.35</v>
      </c>
      <c r="P32" s="4">
        <v>8.31</v>
      </c>
      <c r="Q32" s="4">
        <v>2.8</v>
      </c>
      <c r="R32" s="4">
        <v>9.91</v>
      </c>
      <c r="S32" s="4">
        <v>0</v>
      </c>
      <c r="T32" s="4">
        <v>0</v>
      </c>
      <c r="U32" s="4">
        <v>159.37</v>
      </c>
      <c r="V32" s="4">
        <v>180.98</v>
      </c>
      <c r="W32" t="s">
        <v>21</v>
      </c>
      <c r="X32" t="s">
        <v>36</v>
      </c>
      <c r="Y32" s="4">
        <v>13</v>
      </c>
      <c r="Z32" s="4">
        <v>0</v>
      </c>
      <c r="AA32" t="s">
        <v>37</v>
      </c>
      <c r="AB32" t="s">
        <v>38</v>
      </c>
      <c r="AC32" s="7">
        <v>0</v>
      </c>
      <c r="AD32" t="s">
        <v>39</v>
      </c>
      <c r="AE32">
        <f t="shared" si="0"/>
        <v>0</v>
      </c>
    </row>
    <row r="33" spans="1:31" x14ac:dyDescent="0.35">
      <c r="A33">
        <v>100032</v>
      </c>
      <c r="B33" s="3">
        <v>45969</v>
      </c>
      <c r="C33">
        <v>1032</v>
      </c>
      <c r="D33" t="s">
        <v>30</v>
      </c>
      <c r="E33" t="s">
        <v>31</v>
      </c>
      <c r="F33" t="s">
        <v>49</v>
      </c>
      <c r="G33" t="s">
        <v>46</v>
      </c>
      <c r="H33" t="s">
        <v>34</v>
      </c>
      <c r="I33" t="s">
        <v>54</v>
      </c>
      <c r="J33" s="4">
        <v>22.03</v>
      </c>
      <c r="K33" s="4">
        <v>15.05</v>
      </c>
      <c r="L33">
        <v>0</v>
      </c>
      <c r="M33" s="4">
        <v>0</v>
      </c>
      <c r="N33" s="4">
        <v>331.55</v>
      </c>
      <c r="O33" s="4">
        <v>150.19999999999999</v>
      </c>
      <c r="P33" s="4">
        <v>9.11</v>
      </c>
      <c r="Q33" s="4">
        <v>3.98</v>
      </c>
      <c r="R33" s="4">
        <v>2.11</v>
      </c>
      <c r="S33" s="4">
        <v>174.77</v>
      </c>
      <c r="T33" s="4">
        <v>0</v>
      </c>
      <c r="U33" s="4">
        <v>340.17</v>
      </c>
      <c r="V33" s="4">
        <v>-8.6199999999999992</v>
      </c>
      <c r="W33" t="s">
        <v>58</v>
      </c>
      <c r="X33" t="s">
        <v>55</v>
      </c>
      <c r="Y33" s="4">
        <v>3</v>
      </c>
      <c r="Z33" s="4">
        <v>15</v>
      </c>
      <c r="AA33" t="s">
        <v>37</v>
      </c>
      <c r="AB33" t="s">
        <v>44</v>
      </c>
      <c r="AC33" s="7">
        <v>2</v>
      </c>
      <c r="AD33" t="s">
        <v>45</v>
      </c>
      <c r="AE33">
        <f t="shared" si="0"/>
        <v>1</v>
      </c>
    </row>
    <row r="34" spans="1:31" x14ac:dyDescent="0.35">
      <c r="A34">
        <v>100033</v>
      </c>
      <c r="B34" s="3">
        <v>45987</v>
      </c>
      <c r="C34">
        <v>1121</v>
      </c>
      <c r="D34" t="s">
        <v>30</v>
      </c>
      <c r="E34" t="s">
        <v>62</v>
      </c>
      <c r="F34" t="s">
        <v>49</v>
      </c>
      <c r="G34" t="s">
        <v>63</v>
      </c>
      <c r="H34" t="s">
        <v>34</v>
      </c>
      <c r="I34" t="s">
        <v>35</v>
      </c>
      <c r="J34" s="4">
        <v>15.41</v>
      </c>
      <c r="K34" s="4">
        <v>12.59</v>
      </c>
      <c r="L34">
        <v>20</v>
      </c>
      <c r="M34" s="4">
        <v>38.799999999999997</v>
      </c>
      <c r="N34" s="4">
        <v>155.21</v>
      </c>
      <c r="O34" s="4">
        <v>101.2</v>
      </c>
      <c r="P34" s="4">
        <v>4.3099999999999996</v>
      </c>
      <c r="Q34" s="4">
        <v>1.36</v>
      </c>
      <c r="R34" s="4">
        <v>7.66</v>
      </c>
      <c r="S34" s="4">
        <v>0</v>
      </c>
      <c r="T34" s="4">
        <v>0</v>
      </c>
      <c r="U34" s="4">
        <v>114.53</v>
      </c>
      <c r="V34" s="4">
        <v>40.68</v>
      </c>
      <c r="W34" t="s">
        <v>21</v>
      </c>
      <c r="X34" t="s">
        <v>36</v>
      </c>
      <c r="Y34" s="4">
        <v>3</v>
      </c>
      <c r="Z34" s="4">
        <v>5</v>
      </c>
      <c r="AA34" t="s">
        <v>37</v>
      </c>
      <c r="AB34" t="s">
        <v>38</v>
      </c>
      <c r="AC34" s="7">
        <v>0</v>
      </c>
      <c r="AD34" t="s">
        <v>39</v>
      </c>
      <c r="AE34">
        <f t="shared" si="0"/>
        <v>0</v>
      </c>
    </row>
    <row r="35" spans="1:31" x14ac:dyDescent="0.35">
      <c r="A35">
        <v>100034</v>
      </c>
      <c r="B35" s="3">
        <v>46007</v>
      </c>
      <c r="C35">
        <v>1050</v>
      </c>
      <c r="D35" t="s">
        <v>64</v>
      </c>
      <c r="E35" t="s">
        <v>67</v>
      </c>
      <c r="F35" t="s">
        <v>61</v>
      </c>
      <c r="G35" t="s">
        <v>63</v>
      </c>
      <c r="H35" t="s">
        <v>34</v>
      </c>
      <c r="I35" t="s">
        <v>35</v>
      </c>
      <c r="J35" s="4">
        <v>27.08</v>
      </c>
      <c r="K35" s="4">
        <v>12.99</v>
      </c>
      <c r="L35">
        <v>0</v>
      </c>
      <c r="M35" s="4">
        <v>0</v>
      </c>
      <c r="N35" s="4">
        <v>351.77</v>
      </c>
      <c r="O35" s="4">
        <v>205.77</v>
      </c>
      <c r="P35" s="4">
        <v>4.0999999999999996</v>
      </c>
      <c r="Q35" s="4">
        <v>2.46</v>
      </c>
      <c r="R35" s="4">
        <v>7.19</v>
      </c>
      <c r="S35" s="4">
        <v>149.72</v>
      </c>
      <c r="T35" s="4">
        <v>0</v>
      </c>
      <c r="U35" s="4">
        <v>369.24</v>
      </c>
      <c r="V35" s="4">
        <v>-17.47</v>
      </c>
      <c r="W35" t="s">
        <v>58</v>
      </c>
      <c r="X35" t="s">
        <v>55</v>
      </c>
      <c r="Y35" s="4">
        <v>9</v>
      </c>
      <c r="Z35" s="4">
        <v>15</v>
      </c>
      <c r="AA35" t="s">
        <v>37</v>
      </c>
      <c r="AB35" t="s">
        <v>44</v>
      </c>
      <c r="AC35" s="7">
        <v>1</v>
      </c>
      <c r="AD35" t="s">
        <v>45</v>
      </c>
      <c r="AE35">
        <f t="shared" si="0"/>
        <v>1</v>
      </c>
    </row>
    <row r="36" spans="1:31" x14ac:dyDescent="0.35">
      <c r="A36">
        <v>100035</v>
      </c>
      <c r="B36" s="3">
        <v>46011</v>
      </c>
      <c r="C36">
        <v>1037</v>
      </c>
      <c r="D36" t="s">
        <v>47</v>
      </c>
      <c r="E36" t="s">
        <v>74</v>
      </c>
      <c r="F36" t="s">
        <v>61</v>
      </c>
      <c r="G36" t="s">
        <v>46</v>
      </c>
      <c r="H36" t="s">
        <v>57</v>
      </c>
      <c r="I36" t="s">
        <v>35</v>
      </c>
      <c r="J36" s="4">
        <v>34.97</v>
      </c>
      <c r="K36" s="4">
        <v>17.82</v>
      </c>
      <c r="L36">
        <v>0</v>
      </c>
      <c r="M36" s="4">
        <v>0</v>
      </c>
      <c r="N36" s="4">
        <v>623.16999999999996</v>
      </c>
      <c r="O36" s="4">
        <v>240.55</v>
      </c>
      <c r="P36" s="4">
        <v>9.4700000000000006</v>
      </c>
      <c r="Q36" s="4">
        <v>4.3600000000000003</v>
      </c>
      <c r="R36" s="4">
        <v>12.97</v>
      </c>
      <c r="S36" s="4">
        <v>0</v>
      </c>
      <c r="T36" s="4">
        <v>0</v>
      </c>
      <c r="U36" s="4">
        <v>267.35000000000002</v>
      </c>
      <c r="V36" s="4">
        <v>355.82</v>
      </c>
      <c r="W36" t="s">
        <v>21</v>
      </c>
      <c r="X36" t="s">
        <v>36</v>
      </c>
      <c r="Y36" s="4">
        <v>19</v>
      </c>
      <c r="Z36" s="4">
        <v>5</v>
      </c>
      <c r="AA36" t="s">
        <v>52</v>
      </c>
      <c r="AB36" t="s">
        <v>38</v>
      </c>
      <c r="AC36" s="7">
        <v>0</v>
      </c>
      <c r="AD36" t="s">
        <v>39</v>
      </c>
      <c r="AE36">
        <f t="shared" si="0"/>
        <v>0</v>
      </c>
    </row>
    <row r="37" spans="1:31" x14ac:dyDescent="0.35">
      <c r="A37">
        <v>100036</v>
      </c>
      <c r="B37" s="3">
        <v>45956</v>
      </c>
      <c r="C37">
        <v>1087</v>
      </c>
      <c r="D37" t="s">
        <v>59</v>
      </c>
      <c r="E37" t="s">
        <v>68</v>
      </c>
      <c r="F37" t="s">
        <v>41</v>
      </c>
      <c r="G37" t="s">
        <v>33</v>
      </c>
      <c r="H37" t="s">
        <v>57</v>
      </c>
      <c r="I37" t="s">
        <v>69</v>
      </c>
      <c r="J37" s="4">
        <v>29.38</v>
      </c>
      <c r="K37" s="4">
        <v>18.48</v>
      </c>
      <c r="L37">
        <v>20</v>
      </c>
      <c r="M37" s="4">
        <v>108.59</v>
      </c>
      <c r="N37" s="4">
        <v>434.35</v>
      </c>
      <c r="O37" s="4">
        <v>184.11</v>
      </c>
      <c r="P37" s="4">
        <v>5.2</v>
      </c>
      <c r="Q37" s="4">
        <v>2.17</v>
      </c>
      <c r="R37" s="4">
        <v>7.85</v>
      </c>
      <c r="S37" s="4">
        <v>0</v>
      </c>
      <c r="T37" s="4">
        <v>0</v>
      </c>
      <c r="U37" s="4">
        <v>199.33</v>
      </c>
      <c r="V37" s="4">
        <v>235.02</v>
      </c>
      <c r="W37" t="s">
        <v>21</v>
      </c>
      <c r="X37" t="s">
        <v>36</v>
      </c>
      <c r="Y37" s="4">
        <v>12</v>
      </c>
      <c r="Z37" s="4">
        <v>1</v>
      </c>
      <c r="AA37" t="s">
        <v>37</v>
      </c>
      <c r="AB37" t="s">
        <v>38</v>
      </c>
      <c r="AC37" s="7">
        <v>0</v>
      </c>
      <c r="AD37" t="s">
        <v>39</v>
      </c>
      <c r="AE37">
        <f t="shared" si="0"/>
        <v>0</v>
      </c>
    </row>
    <row r="38" spans="1:31" x14ac:dyDescent="0.35">
      <c r="A38">
        <v>100037</v>
      </c>
      <c r="B38" s="3">
        <v>45937</v>
      </c>
      <c r="C38">
        <v>1051</v>
      </c>
      <c r="D38" t="s">
        <v>59</v>
      </c>
      <c r="E38" t="s">
        <v>70</v>
      </c>
      <c r="F38" t="s">
        <v>32</v>
      </c>
      <c r="G38" t="s">
        <v>50</v>
      </c>
      <c r="H38" t="s">
        <v>34</v>
      </c>
      <c r="I38" t="s">
        <v>35</v>
      </c>
      <c r="J38" s="4">
        <v>23.67</v>
      </c>
      <c r="K38" s="4">
        <v>16.87</v>
      </c>
      <c r="L38">
        <v>10</v>
      </c>
      <c r="M38" s="4">
        <v>39.93</v>
      </c>
      <c r="N38" s="4">
        <v>359.38</v>
      </c>
      <c r="O38" s="4">
        <v>167.05</v>
      </c>
      <c r="P38" s="4">
        <v>11.44</v>
      </c>
      <c r="Q38" s="4">
        <v>2.8</v>
      </c>
      <c r="R38" s="4">
        <v>8.0399999999999991</v>
      </c>
      <c r="S38" s="4">
        <v>0</v>
      </c>
      <c r="T38" s="4">
        <v>0</v>
      </c>
      <c r="U38" s="4">
        <v>189.33</v>
      </c>
      <c r="V38" s="4">
        <v>170.05</v>
      </c>
      <c r="W38" t="s">
        <v>21</v>
      </c>
      <c r="X38" t="s">
        <v>36</v>
      </c>
      <c r="Y38" s="4">
        <v>8</v>
      </c>
      <c r="Z38" s="4">
        <v>10</v>
      </c>
      <c r="AA38" t="s">
        <v>37</v>
      </c>
      <c r="AB38" t="s">
        <v>38</v>
      </c>
      <c r="AC38" s="7">
        <v>0</v>
      </c>
      <c r="AD38" t="s">
        <v>39</v>
      </c>
      <c r="AE38">
        <f t="shared" si="0"/>
        <v>0</v>
      </c>
    </row>
    <row r="39" spans="1:31" x14ac:dyDescent="0.35">
      <c r="A39">
        <v>100038</v>
      </c>
      <c r="B39" s="3">
        <v>45991</v>
      </c>
      <c r="C39">
        <v>1086</v>
      </c>
      <c r="D39" t="s">
        <v>47</v>
      </c>
      <c r="E39" t="s">
        <v>74</v>
      </c>
      <c r="F39" t="s">
        <v>61</v>
      </c>
      <c r="G39" t="s">
        <v>46</v>
      </c>
      <c r="H39" t="s">
        <v>34</v>
      </c>
      <c r="I39" t="s">
        <v>42</v>
      </c>
      <c r="J39" s="4">
        <v>44.52</v>
      </c>
      <c r="K39" s="4">
        <v>16.05</v>
      </c>
      <c r="L39">
        <v>15</v>
      </c>
      <c r="M39" s="4">
        <v>107.18</v>
      </c>
      <c r="N39" s="4">
        <v>607.37</v>
      </c>
      <c r="O39" s="4">
        <v>323.43</v>
      </c>
      <c r="P39" s="4">
        <v>7.94</v>
      </c>
      <c r="Q39" s="4">
        <v>10.72</v>
      </c>
      <c r="R39" s="4">
        <v>0</v>
      </c>
      <c r="S39" s="4">
        <v>0</v>
      </c>
      <c r="T39" s="4">
        <v>0</v>
      </c>
      <c r="U39" s="4">
        <v>342.09</v>
      </c>
      <c r="V39" s="4">
        <v>265.27999999999997</v>
      </c>
      <c r="W39" t="s">
        <v>21</v>
      </c>
      <c r="X39" t="s">
        <v>36</v>
      </c>
      <c r="Y39" s="4">
        <v>3</v>
      </c>
      <c r="Z39" s="4">
        <v>10</v>
      </c>
      <c r="AA39" t="s">
        <v>37</v>
      </c>
      <c r="AB39" t="s">
        <v>38</v>
      </c>
      <c r="AC39" s="7">
        <v>0</v>
      </c>
      <c r="AD39" t="s">
        <v>39</v>
      </c>
      <c r="AE39">
        <f t="shared" si="0"/>
        <v>0</v>
      </c>
    </row>
    <row r="40" spans="1:31" x14ac:dyDescent="0.35">
      <c r="A40">
        <v>100039</v>
      </c>
      <c r="B40" s="3">
        <v>45993</v>
      </c>
      <c r="C40">
        <v>1119</v>
      </c>
      <c r="D40" t="s">
        <v>59</v>
      </c>
      <c r="E40" t="s">
        <v>73</v>
      </c>
      <c r="F40" t="s">
        <v>41</v>
      </c>
      <c r="G40" t="s">
        <v>63</v>
      </c>
      <c r="H40" t="s">
        <v>34</v>
      </c>
      <c r="I40" t="s">
        <v>42</v>
      </c>
      <c r="J40" s="4">
        <v>28.12</v>
      </c>
      <c r="K40" s="4">
        <v>12.68</v>
      </c>
      <c r="L40">
        <v>0</v>
      </c>
      <c r="M40" s="4">
        <v>0</v>
      </c>
      <c r="N40" s="4">
        <v>356.56</v>
      </c>
      <c r="O40" s="4">
        <v>225.55</v>
      </c>
      <c r="P40" s="4">
        <v>2.38</v>
      </c>
      <c r="Q40" s="4">
        <v>5.35</v>
      </c>
      <c r="R40" s="4">
        <v>8.6300000000000008</v>
      </c>
      <c r="S40" s="4">
        <v>0</v>
      </c>
      <c r="T40" s="4">
        <v>0</v>
      </c>
      <c r="U40" s="4">
        <v>241.91</v>
      </c>
      <c r="V40" s="4">
        <v>114.65</v>
      </c>
      <c r="W40" t="s">
        <v>21</v>
      </c>
      <c r="X40" t="s">
        <v>36</v>
      </c>
      <c r="Y40" s="4">
        <v>8</v>
      </c>
      <c r="Z40" s="4">
        <v>18</v>
      </c>
      <c r="AA40" t="s">
        <v>37</v>
      </c>
      <c r="AB40" t="s">
        <v>44</v>
      </c>
      <c r="AC40" s="7">
        <v>1</v>
      </c>
      <c r="AD40" t="s">
        <v>45</v>
      </c>
      <c r="AE40">
        <f t="shared" si="0"/>
        <v>1</v>
      </c>
    </row>
    <row r="41" spans="1:31" x14ac:dyDescent="0.35">
      <c r="A41">
        <v>100040</v>
      </c>
      <c r="B41" s="3">
        <v>45948</v>
      </c>
      <c r="C41">
        <v>1023</v>
      </c>
      <c r="D41" t="s">
        <v>64</v>
      </c>
      <c r="E41" t="s">
        <v>75</v>
      </c>
      <c r="F41" t="s">
        <v>32</v>
      </c>
      <c r="G41" t="s">
        <v>33</v>
      </c>
      <c r="H41" t="s">
        <v>34</v>
      </c>
      <c r="I41" t="s">
        <v>54</v>
      </c>
      <c r="J41" s="4">
        <v>31.08</v>
      </c>
      <c r="K41" s="4">
        <v>19.28</v>
      </c>
      <c r="L41">
        <v>15</v>
      </c>
      <c r="M41" s="4">
        <v>89.88</v>
      </c>
      <c r="N41" s="4">
        <v>509.34</v>
      </c>
      <c r="O41" s="4">
        <v>194.52</v>
      </c>
      <c r="P41" s="4">
        <v>11.38</v>
      </c>
      <c r="Q41" s="4">
        <v>7.19</v>
      </c>
      <c r="R41" s="4">
        <v>11.69</v>
      </c>
      <c r="S41" s="4">
        <v>0</v>
      </c>
      <c r="T41" s="4">
        <v>0</v>
      </c>
      <c r="U41" s="4">
        <v>224.78</v>
      </c>
      <c r="V41" s="4">
        <v>284.56</v>
      </c>
      <c r="W41" t="s">
        <v>21</v>
      </c>
      <c r="X41" t="s">
        <v>36</v>
      </c>
      <c r="Y41" s="4">
        <v>16</v>
      </c>
      <c r="Z41" s="4">
        <v>5</v>
      </c>
      <c r="AA41" t="s">
        <v>52</v>
      </c>
      <c r="AB41" t="s">
        <v>38</v>
      </c>
      <c r="AC41" s="7">
        <v>0</v>
      </c>
      <c r="AD41" t="s">
        <v>39</v>
      </c>
      <c r="AE41">
        <f t="shared" si="0"/>
        <v>0</v>
      </c>
    </row>
    <row r="42" spans="1:31" x14ac:dyDescent="0.35">
      <c r="A42">
        <v>100041</v>
      </c>
      <c r="B42" s="3">
        <v>45979</v>
      </c>
      <c r="C42">
        <v>1040</v>
      </c>
      <c r="D42" t="s">
        <v>47</v>
      </c>
      <c r="E42" t="s">
        <v>56</v>
      </c>
      <c r="F42" t="s">
        <v>41</v>
      </c>
      <c r="G42" t="s">
        <v>63</v>
      </c>
      <c r="H42" t="s">
        <v>57</v>
      </c>
      <c r="I42" t="s">
        <v>42</v>
      </c>
      <c r="J42" s="4">
        <v>8.7100000000000009</v>
      </c>
      <c r="K42" s="4">
        <v>11.87</v>
      </c>
      <c r="L42">
        <v>5</v>
      </c>
      <c r="M42" s="4">
        <v>5.17</v>
      </c>
      <c r="N42" s="4">
        <v>98.22</v>
      </c>
      <c r="O42" s="4">
        <v>44.17</v>
      </c>
      <c r="P42" s="4">
        <v>6.53</v>
      </c>
      <c r="Q42" s="4">
        <v>1.55</v>
      </c>
      <c r="R42" s="4">
        <v>10.77</v>
      </c>
      <c r="S42" s="4">
        <v>0</v>
      </c>
      <c r="T42" s="4">
        <v>0</v>
      </c>
      <c r="U42" s="4">
        <v>63.02</v>
      </c>
      <c r="V42" s="4">
        <v>35.200000000000003</v>
      </c>
      <c r="W42" t="s">
        <v>21</v>
      </c>
      <c r="X42" t="s">
        <v>36</v>
      </c>
      <c r="Y42" s="4">
        <v>0</v>
      </c>
      <c r="Z42" s="4">
        <v>11</v>
      </c>
      <c r="AA42" t="s">
        <v>37</v>
      </c>
      <c r="AB42" t="s">
        <v>38</v>
      </c>
      <c r="AC42" s="7">
        <v>0</v>
      </c>
      <c r="AD42" t="s">
        <v>39</v>
      </c>
      <c r="AE42">
        <f t="shared" si="0"/>
        <v>0</v>
      </c>
    </row>
    <row r="43" spans="1:31" x14ac:dyDescent="0.35">
      <c r="A43">
        <v>100042</v>
      </c>
      <c r="B43" s="3">
        <v>46001</v>
      </c>
      <c r="C43">
        <v>1122</v>
      </c>
      <c r="D43" t="s">
        <v>30</v>
      </c>
      <c r="E43" t="s">
        <v>31</v>
      </c>
      <c r="F43" t="s">
        <v>41</v>
      </c>
      <c r="G43" t="s">
        <v>63</v>
      </c>
      <c r="H43" t="s">
        <v>34</v>
      </c>
      <c r="I43" t="s">
        <v>54</v>
      </c>
      <c r="J43" s="4">
        <v>20.2</v>
      </c>
      <c r="K43" s="4">
        <v>12.21</v>
      </c>
      <c r="L43">
        <v>10</v>
      </c>
      <c r="M43" s="4">
        <v>24.66</v>
      </c>
      <c r="N43" s="4">
        <v>221.98</v>
      </c>
      <c r="O43" s="4">
        <v>123.46</v>
      </c>
      <c r="P43" s="4">
        <v>9.3800000000000008</v>
      </c>
      <c r="Q43" s="4">
        <v>2.96</v>
      </c>
      <c r="R43" s="4">
        <v>7.64</v>
      </c>
      <c r="S43" s="4">
        <v>0</v>
      </c>
      <c r="T43" s="4">
        <v>0</v>
      </c>
      <c r="U43" s="4">
        <v>143.44</v>
      </c>
      <c r="V43" s="4">
        <v>78.540000000000006</v>
      </c>
      <c r="W43" t="s">
        <v>21</v>
      </c>
      <c r="X43" t="s">
        <v>36</v>
      </c>
      <c r="Y43" s="4">
        <v>2</v>
      </c>
      <c r="Z43" s="4">
        <v>5</v>
      </c>
      <c r="AA43" t="s">
        <v>37</v>
      </c>
      <c r="AB43" t="s">
        <v>38</v>
      </c>
      <c r="AC43" s="7">
        <v>0</v>
      </c>
      <c r="AD43" t="s">
        <v>39</v>
      </c>
      <c r="AE43">
        <f t="shared" si="0"/>
        <v>0</v>
      </c>
    </row>
    <row r="44" spans="1:31" x14ac:dyDescent="0.35">
      <c r="A44">
        <v>100043</v>
      </c>
      <c r="B44" s="3">
        <v>45969</v>
      </c>
      <c r="C44">
        <v>1001</v>
      </c>
      <c r="D44" t="s">
        <v>47</v>
      </c>
      <c r="E44" t="s">
        <v>48</v>
      </c>
      <c r="F44" t="s">
        <v>71</v>
      </c>
      <c r="G44" t="s">
        <v>46</v>
      </c>
      <c r="H44" t="s">
        <v>51</v>
      </c>
      <c r="I44" t="s">
        <v>42</v>
      </c>
      <c r="J44" s="4">
        <v>26.13</v>
      </c>
      <c r="K44" s="4">
        <v>14.41</v>
      </c>
      <c r="L44">
        <v>5</v>
      </c>
      <c r="M44" s="4">
        <v>18.829999999999998</v>
      </c>
      <c r="N44" s="4">
        <v>357.7</v>
      </c>
      <c r="O44" s="4">
        <v>197.93</v>
      </c>
      <c r="P44" s="4">
        <v>6.44</v>
      </c>
      <c r="Q44" s="4">
        <v>5.65</v>
      </c>
      <c r="R44" s="4">
        <v>4.25</v>
      </c>
      <c r="S44" s="4">
        <v>0</v>
      </c>
      <c r="T44" s="4">
        <v>0</v>
      </c>
      <c r="U44" s="4">
        <v>214.27</v>
      </c>
      <c r="V44" s="4">
        <v>143.43</v>
      </c>
      <c r="W44" t="s">
        <v>21</v>
      </c>
      <c r="X44" t="s">
        <v>36</v>
      </c>
      <c r="Y44" s="4">
        <v>15</v>
      </c>
      <c r="Z44" s="4">
        <v>10</v>
      </c>
      <c r="AA44" t="s">
        <v>37</v>
      </c>
      <c r="AB44" t="s">
        <v>38</v>
      </c>
      <c r="AC44" s="7">
        <v>0</v>
      </c>
      <c r="AD44" t="s">
        <v>39</v>
      </c>
      <c r="AE44">
        <f t="shared" si="0"/>
        <v>0</v>
      </c>
    </row>
    <row r="45" spans="1:31" x14ac:dyDescent="0.35">
      <c r="A45">
        <v>100044</v>
      </c>
      <c r="B45" s="3">
        <v>46017</v>
      </c>
      <c r="C45">
        <v>1068</v>
      </c>
      <c r="D45" t="s">
        <v>64</v>
      </c>
      <c r="E45" t="s">
        <v>65</v>
      </c>
      <c r="F45" t="s">
        <v>41</v>
      </c>
      <c r="G45" t="s">
        <v>63</v>
      </c>
      <c r="H45" t="s">
        <v>34</v>
      </c>
      <c r="I45" t="s">
        <v>35</v>
      </c>
      <c r="J45" s="4">
        <v>24.24</v>
      </c>
      <c r="K45" s="4">
        <v>12.39</v>
      </c>
      <c r="L45">
        <v>5</v>
      </c>
      <c r="M45" s="4">
        <v>15.02</v>
      </c>
      <c r="N45" s="4">
        <v>285.31</v>
      </c>
      <c r="O45" s="4">
        <v>201.27</v>
      </c>
      <c r="P45" s="4">
        <v>2.21</v>
      </c>
      <c r="Q45" s="4">
        <v>2.1</v>
      </c>
      <c r="R45" s="4">
        <v>7.47</v>
      </c>
      <c r="S45" s="4">
        <v>0</v>
      </c>
      <c r="T45" s="4">
        <v>0</v>
      </c>
      <c r="U45" s="4">
        <v>213.05</v>
      </c>
      <c r="V45" s="4">
        <v>72.260000000000005</v>
      </c>
      <c r="W45" t="s">
        <v>21</v>
      </c>
      <c r="X45" t="s">
        <v>36</v>
      </c>
      <c r="Y45" s="4">
        <v>4</v>
      </c>
      <c r="Z45" s="4">
        <v>7</v>
      </c>
      <c r="AA45" t="s">
        <v>37</v>
      </c>
      <c r="AB45" t="s">
        <v>38</v>
      </c>
      <c r="AC45" s="7">
        <v>0</v>
      </c>
      <c r="AD45" t="s">
        <v>39</v>
      </c>
      <c r="AE45">
        <f t="shared" si="0"/>
        <v>0</v>
      </c>
    </row>
    <row r="46" spans="1:31" x14ac:dyDescent="0.35">
      <c r="A46">
        <v>100045</v>
      </c>
      <c r="B46" s="3">
        <v>45960</v>
      </c>
      <c r="C46">
        <v>1028</v>
      </c>
      <c r="D46" t="s">
        <v>64</v>
      </c>
      <c r="E46" t="s">
        <v>65</v>
      </c>
      <c r="F46" t="s">
        <v>32</v>
      </c>
      <c r="G46" t="s">
        <v>50</v>
      </c>
      <c r="H46" t="s">
        <v>34</v>
      </c>
      <c r="I46" t="s">
        <v>54</v>
      </c>
      <c r="J46" s="4">
        <v>19.739999999999998</v>
      </c>
      <c r="K46" s="4">
        <v>17.47</v>
      </c>
      <c r="L46">
        <v>10</v>
      </c>
      <c r="M46" s="4">
        <v>34.49</v>
      </c>
      <c r="N46" s="4">
        <v>310.37</v>
      </c>
      <c r="O46" s="4">
        <v>142.79</v>
      </c>
      <c r="P46" s="4">
        <v>9.4</v>
      </c>
      <c r="Q46" s="4">
        <v>4.1399999999999997</v>
      </c>
      <c r="R46" s="4">
        <v>3.3</v>
      </c>
      <c r="S46" s="4">
        <v>0</v>
      </c>
      <c r="T46" s="4">
        <v>0</v>
      </c>
      <c r="U46" s="4">
        <v>159.63</v>
      </c>
      <c r="V46" s="4">
        <v>150.74</v>
      </c>
      <c r="W46" t="s">
        <v>21</v>
      </c>
      <c r="X46" t="s">
        <v>36</v>
      </c>
      <c r="Y46" s="4">
        <v>11</v>
      </c>
      <c r="Z46" s="4">
        <v>17</v>
      </c>
      <c r="AA46" t="s">
        <v>37</v>
      </c>
      <c r="AB46" t="s">
        <v>44</v>
      </c>
      <c r="AC46" s="7">
        <v>2</v>
      </c>
      <c r="AD46" t="s">
        <v>45</v>
      </c>
      <c r="AE46">
        <f t="shared" si="0"/>
        <v>1</v>
      </c>
    </row>
    <row r="47" spans="1:31" x14ac:dyDescent="0.35">
      <c r="A47">
        <v>100046</v>
      </c>
      <c r="B47" s="3">
        <v>46019</v>
      </c>
      <c r="C47">
        <v>1050</v>
      </c>
      <c r="D47" t="s">
        <v>30</v>
      </c>
      <c r="E47" t="s">
        <v>72</v>
      </c>
      <c r="F47" t="s">
        <v>32</v>
      </c>
      <c r="G47" t="s">
        <v>46</v>
      </c>
      <c r="H47" t="s">
        <v>34</v>
      </c>
      <c r="I47" t="s">
        <v>69</v>
      </c>
      <c r="J47" s="4">
        <v>19.82</v>
      </c>
      <c r="K47" s="4">
        <v>17.13</v>
      </c>
      <c r="L47">
        <v>10</v>
      </c>
      <c r="M47" s="4">
        <v>33.950000000000003</v>
      </c>
      <c r="N47" s="4">
        <v>305.57</v>
      </c>
      <c r="O47" s="4">
        <v>114.41</v>
      </c>
      <c r="P47" s="4">
        <v>9.75</v>
      </c>
      <c r="Q47" s="4">
        <v>1.36</v>
      </c>
      <c r="R47" s="4">
        <v>5.29</v>
      </c>
      <c r="S47" s="4">
        <v>218.81</v>
      </c>
      <c r="T47" s="4">
        <v>0</v>
      </c>
      <c r="U47" s="4">
        <v>349.62</v>
      </c>
      <c r="V47" s="4">
        <v>-44.05</v>
      </c>
      <c r="W47" t="s">
        <v>58</v>
      </c>
      <c r="X47" t="s">
        <v>55</v>
      </c>
      <c r="Y47" s="4">
        <v>11</v>
      </c>
      <c r="Z47" s="4">
        <v>11</v>
      </c>
      <c r="AA47" t="s">
        <v>37</v>
      </c>
      <c r="AB47" t="s">
        <v>44</v>
      </c>
      <c r="AC47" s="7">
        <v>2</v>
      </c>
      <c r="AD47" t="s">
        <v>45</v>
      </c>
      <c r="AE47">
        <f t="shared" si="0"/>
        <v>1</v>
      </c>
    </row>
    <row r="48" spans="1:31" x14ac:dyDescent="0.35">
      <c r="A48">
        <v>100047</v>
      </c>
      <c r="B48" s="3">
        <v>45953</v>
      </c>
      <c r="C48">
        <v>1071</v>
      </c>
      <c r="D48" t="s">
        <v>30</v>
      </c>
      <c r="E48" t="s">
        <v>62</v>
      </c>
      <c r="F48" t="s">
        <v>61</v>
      </c>
      <c r="G48" t="s">
        <v>50</v>
      </c>
      <c r="H48" t="s">
        <v>57</v>
      </c>
      <c r="I48" t="s">
        <v>54</v>
      </c>
      <c r="J48" s="4">
        <v>51.53</v>
      </c>
      <c r="K48" s="4">
        <v>17.21</v>
      </c>
      <c r="L48">
        <v>10</v>
      </c>
      <c r="M48" s="4">
        <v>88.68</v>
      </c>
      <c r="N48" s="4">
        <v>798.15</v>
      </c>
      <c r="O48" s="4">
        <v>420.62</v>
      </c>
      <c r="P48" s="4">
        <v>3.85</v>
      </c>
      <c r="Q48" s="4">
        <v>10.64</v>
      </c>
      <c r="R48" s="4">
        <v>12.1</v>
      </c>
      <c r="S48" s="4">
        <v>0</v>
      </c>
      <c r="T48" s="4">
        <v>0</v>
      </c>
      <c r="U48" s="4">
        <v>447.21</v>
      </c>
      <c r="V48" s="4">
        <v>350.94</v>
      </c>
      <c r="W48" t="s">
        <v>21</v>
      </c>
      <c r="X48" t="s">
        <v>36</v>
      </c>
      <c r="Y48" s="4">
        <v>3</v>
      </c>
      <c r="Z48" s="4">
        <v>0</v>
      </c>
      <c r="AA48" t="s">
        <v>37</v>
      </c>
      <c r="AB48" t="s">
        <v>38</v>
      </c>
      <c r="AC48" s="7">
        <v>2</v>
      </c>
      <c r="AD48" t="s">
        <v>39</v>
      </c>
      <c r="AE48">
        <f t="shared" si="0"/>
        <v>0</v>
      </c>
    </row>
    <row r="49" spans="1:31" x14ac:dyDescent="0.35">
      <c r="A49">
        <v>100048</v>
      </c>
      <c r="B49" s="3">
        <v>45980</v>
      </c>
      <c r="C49">
        <v>1120</v>
      </c>
      <c r="D49" t="s">
        <v>47</v>
      </c>
      <c r="E49" t="s">
        <v>53</v>
      </c>
      <c r="F49" t="s">
        <v>32</v>
      </c>
      <c r="G49" t="s">
        <v>50</v>
      </c>
      <c r="H49" t="s">
        <v>57</v>
      </c>
      <c r="I49" t="s">
        <v>35</v>
      </c>
      <c r="J49" s="4">
        <v>25.47</v>
      </c>
      <c r="K49" s="4">
        <v>16.82</v>
      </c>
      <c r="L49">
        <v>10</v>
      </c>
      <c r="M49" s="4">
        <v>42.84</v>
      </c>
      <c r="N49" s="4">
        <v>385.57</v>
      </c>
      <c r="O49" s="4">
        <v>193.54</v>
      </c>
      <c r="P49" s="4">
        <v>5.01</v>
      </c>
      <c r="Q49" s="4">
        <v>3</v>
      </c>
      <c r="R49" s="4">
        <v>0</v>
      </c>
      <c r="S49" s="4">
        <v>0</v>
      </c>
      <c r="T49" s="4">
        <v>0</v>
      </c>
      <c r="U49" s="4">
        <v>201.55</v>
      </c>
      <c r="V49" s="4">
        <v>184.02</v>
      </c>
      <c r="W49" t="s">
        <v>21</v>
      </c>
      <c r="X49" t="s">
        <v>36</v>
      </c>
      <c r="Y49" s="4">
        <v>17</v>
      </c>
      <c r="Z49" s="4">
        <v>23</v>
      </c>
      <c r="AA49" t="s">
        <v>52</v>
      </c>
      <c r="AB49" t="s">
        <v>44</v>
      </c>
      <c r="AC49" s="7">
        <v>1</v>
      </c>
      <c r="AD49" t="s">
        <v>45</v>
      </c>
      <c r="AE49">
        <f t="shared" si="0"/>
        <v>1</v>
      </c>
    </row>
    <row r="50" spans="1:31" x14ac:dyDescent="0.35">
      <c r="A50">
        <v>100049</v>
      </c>
      <c r="B50" s="3">
        <v>45936</v>
      </c>
      <c r="C50">
        <v>1140</v>
      </c>
      <c r="D50" t="s">
        <v>47</v>
      </c>
      <c r="E50" t="s">
        <v>48</v>
      </c>
      <c r="F50" t="s">
        <v>32</v>
      </c>
      <c r="G50" t="s">
        <v>46</v>
      </c>
      <c r="H50" t="s">
        <v>34</v>
      </c>
      <c r="I50" t="s">
        <v>54</v>
      </c>
      <c r="J50" s="4">
        <v>23.89</v>
      </c>
      <c r="K50" s="4">
        <v>14.9</v>
      </c>
      <c r="L50">
        <v>0</v>
      </c>
      <c r="M50" s="4">
        <v>0</v>
      </c>
      <c r="N50" s="4">
        <v>355.96</v>
      </c>
      <c r="O50" s="4">
        <v>175.13</v>
      </c>
      <c r="P50" s="4">
        <v>11.31</v>
      </c>
      <c r="Q50" s="4">
        <v>4.2699999999999996</v>
      </c>
      <c r="R50" s="4">
        <v>0</v>
      </c>
      <c r="S50" s="4">
        <v>0</v>
      </c>
      <c r="T50" s="4">
        <v>0</v>
      </c>
      <c r="U50" s="4">
        <v>190.71</v>
      </c>
      <c r="V50" s="4">
        <v>165.25</v>
      </c>
      <c r="W50" t="s">
        <v>21</v>
      </c>
      <c r="X50" t="s">
        <v>36</v>
      </c>
      <c r="Y50" s="4">
        <v>5</v>
      </c>
      <c r="Z50" s="4">
        <v>0</v>
      </c>
      <c r="AA50" t="s">
        <v>37</v>
      </c>
      <c r="AB50" t="s">
        <v>38</v>
      </c>
      <c r="AC50" s="7">
        <v>0</v>
      </c>
      <c r="AD50" t="s">
        <v>39</v>
      </c>
      <c r="AE50">
        <f t="shared" si="0"/>
        <v>0</v>
      </c>
    </row>
    <row r="51" spans="1:31" x14ac:dyDescent="0.35">
      <c r="A51">
        <v>100050</v>
      </c>
      <c r="B51" s="3">
        <v>45983</v>
      </c>
      <c r="C51">
        <v>1090</v>
      </c>
      <c r="D51" t="s">
        <v>59</v>
      </c>
      <c r="E51" t="s">
        <v>70</v>
      </c>
      <c r="F51" t="s">
        <v>71</v>
      </c>
      <c r="G51" t="s">
        <v>50</v>
      </c>
      <c r="H51" t="s">
        <v>34</v>
      </c>
      <c r="I51" t="s">
        <v>35</v>
      </c>
      <c r="J51" s="4">
        <v>26.88</v>
      </c>
      <c r="K51" s="4">
        <v>17.850000000000001</v>
      </c>
      <c r="L51">
        <v>10</v>
      </c>
      <c r="M51" s="4">
        <v>47.98</v>
      </c>
      <c r="N51" s="4">
        <v>431.83</v>
      </c>
      <c r="O51" s="4">
        <v>182.58</v>
      </c>
      <c r="P51" s="4">
        <v>9.2899999999999991</v>
      </c>
      <c r="Q51" s="4">
        <v>3.36</v>
      </c>
      <c r="R51" s="4">
        <v>8.7799999999999994</v>
      </c>
      <c r="S51" s="4">
        <v>0</v>
      </c>
      <c r="T51" s="4">
        <v>0</v>
      </c>
      <c r="U51" s="4">
        <v>204.01</v>
      </c>
      <c r="V51" s="4">
        <v>227.82</v>
      </c>
      <c r="W51" t="s">
        <v>21</v>
      </c>
      <c r="X51" t="s">
        <v>36</v>
      </c>
      <c r="Y51" s="4">
        <v>2</v>
      </c>
      <c r="Z51" s="4">
        <v>2</v>
      </c>
      <c r="AA51" t="s">
        <v>37</v>
      </c>
      <c r="AB51" t="s">
        <v>38</v>
      </c>
      <c r="AC51" s="7">
        <v>0</v>
      </c>
      <c r="AD51" t="s">
        <v>39</v>
      </c>
      <c r="AE51">
        <f t="shared" si="0"/>
        <v>0</v>
      </c>
    </row>
    <row r="52" spans="1:31" x14ac:dyDescent="0.35">
      <c r="A52">
        <v>100051</v>
      </c>
      <c r="B52" s="3">
        <v>46022</v>
      </c>
      <c r="C52">
        <v>1101</v>
      </c>
      <c r="D52" t="s">
        <v>47</v>
      </c>
      <c r="E52" t="s">
        <v>48</v>
      </c>
      <c r="F52" t="s">
        <v>41</v>
      </c>
      <c r="G52" t="s">
        <v>50</v>
      </c>
      <c r="H52" t="s">
        <v>34</v>
      </c>
      <c r="I52" t="s">
        <v>69</v>
      </c>
      <c r="J52" s="4">
        <v>14.23</v>
      </c>
      <c r="K52" s="4">
        <v>16.96</v>
      </c>
      <c r="L52">
        <v>10</v>
      </c>
      <c r="M52" s="4">
        <v>24.13</v>
      </c>
      <c r="N52" s="4">
        <v>217.21</v>
      </c>
      <c r="O52" s="4">
        <v>105.08</v>
      </c>
      <c r="P52" s="4">
        <v>6.56</v>
      </c>
      <c r="Q52" s="4">
        <v>0.97</v>
      </c>
      <c r="R52" s="4">
        <v>1.1499999999999999</v>
      </c>
      <c r="S52" s="4">
        <v>0</v>
      </c>
      <c r="T52" s="4">
        <v>0</v>
      </c>
      <c r="U52" s="4">
        <v>113.76</v>
      </c>
      <c r="V52" s="4">
        <v>103.45</v>
      </c>
      <c r="W52" t="s">
        <v>21</v>
      </c>
      <c r="X52" t="s">
        <v>36</v>
      </c>
      <c r="Y52" s="4">
        <v>0</v>
      </c>
      <c r="Z52" s="4">
        <v>1</v>
      </c>
      <c r="AA52" t="s">
        <v>37</v>
      </c>
      <c r="AB52" t="s">
        <v>38</v>
      </c>
      <c r="AC52" s="7">
        <v>0</v>
      </c>
      <c r="AD52" t="s">
        <v>39</v>
      </c>
      <c r="AE52">
        <f t="shared" si="0"/>
        <v>0</v>
      </c>
    </row>
    <row r="53" spans="1:31" x14ac:dyDescent="0.35">
      <c r="A53">
        <v>100052</v>
      </c>
      <c r="B53" s="3">
        <v>45931</v>
      </c>
      <c r="C53">
        <v>1025</v>
      </c>
      <c r="D53" t="s">
        <v>59</v>
      </c>
      <c r="E53" t="s">
        <v>60</v>
      </c>
      <c r="F53" t="s">
        <v>41</v>
      </c>
      <c r="G53" t="s">
        <v>63</v>
      </c>
      <c r="H53" t="s">
        <v>34</v>
      </c>
      <c r="I53" t="s">
        <v>42</v>
      </c>
      <c r="J53" s="4">
        <v>8.8800000000000008</v>
      </c>
      <c r="K53" s="4">
        <v>12.5</v>
      </c>
      <c r="L53">
        <v>15</v>
      </c>
      <c r="M53" s="4">
        <v>16.649999999999999</v>
      </c>
      <c r="N53" s="4">
        <v>94.35</v>
      </c>
      <c r="O53" s="4">
        <v>56.49</v>
      </c>
      <c r="P53" s="4">
        <v>6.44</v>
      </c>
      <c r="Q53" s="4">
        <v>1.66</v>
      </c>
      <c r="R53" s="4">
        <v>7.8</v>
      </c>
      <c r="S53" s="4">
        <v>0</v>
      </c>
      <c r="T53" s="4">
        <v>0</v>
      </c>
      <c r="U53" s="4">
        <v>72.39</v>
      </c>
      <c r="V53" s="4">
        <v>21.96</v>
      </c>
      <c r="W53" t="s">
        <v>21</v>
      </c>
      <c r="X53" t="s">
        <v>36</v>
      </c>
      <c r="Y53" s="4">
        <v>26</v>
      </c>
      <c r="Z53" s="4">
        <v>6</v>
      </c>
      <c r="AA53" t="s">
        <v>52</v>
      </c>
      <c r="AB53" t="s">
        <v>44</v>
      </c>
      <c r="AC53" s="7">
        <v>3</v>
      </c>
      <c r="AD53" t="s">
        <v>45</v>
      </c>
      <c r="AE53">
        <f t="shared" si="0"/>
        <v>1</v>
      </c>
    </row>
    <row r="54" spans="1:31" x14ac:dyDescent="0.35">
      <c r="A54">
        <v>100053</v>
      </c>
      <c r="B54" s="3">
        <v>45978</v>
      </c>
      <c r="C54">
        <v>1024</v>
      </c>
      <c r="D54" t="s">
        <v>30</v>
      </c>
      <c r="E54" t="s">
        <v>40</v>
      </c>
      <c r="F54" t="s">
        <v>61</v>
      </c>
      <c r="G54" t="s">
        <v>46</v>
      </c>
      <c r="H54" t="s">
        <v>34</v>
      </c>
      <c r="I54" t="s">
        <v>35</v>
      </c>
      <c r="J54" s="4">
        <v>32.380000000000003</v>
      </c>
      <c r="K54" s="4">
        <v>18.07</v>
      </c>
      <c r="L54">
        <v>5</v>
      </c>
      <c r="M54" s="4">
        <v>29.26</v>
      </c>
      <c r="N54" s="4">
        <v>555.85</v>
      </c>
      <c r="O54" s="4">
        <v>189.72</v>
      </c>
      <c r="P54" s="4">
        <v>9.41</v>
      </c>
      <c r="Q54" s="4">
        <v>4.0999999999999996</v>
      </c>
      <c r="R54" s="4">
        <v>0</v>
      </c>
      <c r="S54" s="4">
        <v>0</v>
      </c>
      <c r="T54" s="4">
        <v>0</v>
      </c>
      <c r="U54" s="4">
        <v>203.23</v>
      </c>
      <c r="V54" s="4">
        <v>352.62</v>
      </c>
      <c r="W54" t="s">
        <v>21</v>
      </c>
      <c r="X54" t="s">
        <v>36</v>
      </c>
      <c r="Y54" s="4">
        <v>14</v>
      </c>
      <c r="Z54" s="4">
        <v>21</v>
      </c>
      <c r="AA54" t="s">
        <v>37</v>
      </c>
      <c r="AB54" t="s">
        <v>44</v>
      </c>
      <c r="AC54" s="7">
        <v>3</v>
      </c>
      <c r="AD54" t="s">
        <v>45</v>
      </c>
      <c r="AE54">
        <f t="shared" si="0"/>
        <v>1</v>
      </c>
    </row>
    <row r="55" spans="1:31" x14ac:dyDescent="0.35">
      <c r="A55">
        <v>100054</v>
      </c>
      <c r="B55" s="3">
        <v>45978</v>
      </c>
      <c r="C55">
        <v>1070</v>
      </c>
      <c r="D55" t="s">
        <v>47</v>
      </c>
      <c r="E55" t="s">
        <v>56</v>
      </c>
      <c r="F55" t="s">
        <v>41</v>
      </c>
      <c r="G55" t="s">
        <v>50</v>
      </c>
      <c r="H55" t="s">
        <v>57</v>
      </c>
      <c r="I55" t="s">
        <v>35</v>
      </c>
      <c r="J55" s="4">
        <v>35.97</v>
      </c>
      <c r="K55" s="4">
        <v>17.68</v>
      </c>
      <c r="L55">
        <v>5</v>
      </c>
      <c r="M55" s="4">
        <v>31.8</v>
      </c>
      <c r="N55" s="4">
        <v>604.15</v>
      </c>
      <c r="O55" s="4">
        <v>262.22000000000003</v>
      </c>
      <c r="P55" s="4">
        <v>12.94</v>
      </c>
      <c r="Q55" s="4">
        <v>4.45</v>
      </c>
      <c r="R55" s="4">
        <v>2.79</v>
      </c>
      <c r="S55" s="4">
        <v>0</v>
      </c>
      <c r="T55" s="4">
        <v>0</v>
      </c>
      <c r="U55" s="4">
        <v>282.39999999999998</v>
      </c>
      <c r="V55" s="4">
        <v>321.75</v>
      </c>
      <c r="W55" t="s">
        <v>21</v>
      </c>
      <c r="X55" t="s">
        <v>36</v>
      </c>
      <c r="Y55" s="4">
        <v>3</v>
      </c>
      <c r="Z55" s="4">
        <v>6</v>
      </c>
      <c r="AA55" t="s">
        <v>37</v>
      </c>
      <c r="AB55" t="s">
        <v>38</v>
      </c>
      <c r="AC55" s="7">
        <v>0</v>
      </c>
      <c r="AD55" t="s">
        <v>39</v>
      </c>
      <c r="AE55">
        <f t="shared" si="0"/>
        <v>0</v>
      </c>
    </row>
    <row r="56" spans="1:31" x14ac:dyDescent="0.35">
      <c r="A56">
        <v>100055</v>
      </c>
      <c r="B56" s="3">
        <v>46000</v>
      </c>
      <c r="C56">
        <v>1047</v>
      </c>
      <c r="D56" t="s">
        <v>47</v>
      </c>
      <c r="E56" t="s">
        <v>56</v>
      </c>
      <c r="F56" t="s">
        <v>49</v>
      </c>
      <c r="G56" t="s">
        <v>63</v>
      </c>
      <c r="H56" t="s">
        <v>34</v>
      </c>
      <c r="I56" t="s">
        <v>42</v>
      </c>
      <c r="J56" s="4">
        <v>16.25</v>
      </c>
      <c r="K56" s="4">
        <v>12.24</v>
      </c>
      <c r="L56">
        <v>10</v>
      </c>
      <c r="M56" s="4">
        <v>19.89</v>
      </c>
      <c r="N56" s="4">
        <v>179.01</v>
      </c>
      <c r="O56" s="4">
        <v>117.44</v>
      </c>
      <c r="P56" s="4">
        <v>12.86</v>
      </c>
      <c r="Q56" s="4">
        <v>2.98</v>
      </c>
      <c r="R56" s="4">
        <v>8.2200000000000006</v>
      </c>
      <c r="S56" s="4">
        <v>0</v>
      </c>
      <c r="T56" s="4">
        <v>0</v>
      </c>
      <c r="U56" s="4">
        <v>141.5</v>
      </c>
      <c r="V56" s="4">
        <v>37.51</v>
      </c>
      <c r="W56" t="s">
        <v>21</v>
      </c>
      <c r="X56" t="s">
        <v>36</v>
      </c>
      <c r="Y56" s="4">
        <v>2</v>
      </c>
      <c r="Z56" s="4">
        <v>12</v>
      </c>
      <c r="AA56" t="s">
        <v>37</v>
      </c>
      <c r="AB56" t="s">
        <v>38</v>
      </c>
      <c r="AC56" s="7">
        <v>1</v>
      </c>
      <c r="AD56" t="s">
        <v>39</v>
      </c>
      <c r="AE56">
        <f t="shared" si="0"/>
        <v>0</v>
      </c>
    </row>
    <row r="57" spans="1:31" x14ac:dyDescent="0.35">
      <c r="A57">
        <v>100056</v>
      </c>
      <c r="B57" s="3">
        <v>45957</v>
      </c>
      <c r="C57">
        <v>1118</v>
      </c>
      <c r="D57" t="s">
        <v>47</v>
      </c>
      <c r="E57" t="s">
        <v>48</v>
      </c>
      <c r="F57" t="s">
        <v>71</v>
      </c>
      <c r="G57" t="s">
        <v>63</v>
      </c>
      <c r="H57" t="s">
        <v>51</v>
      </c>
      <c r="I57" t="s">
        <v>35</v>
      </c>
      <c r="J57" s="4">
        <v>14.35</v>
      </c>
      <c r="K57" s="4">
        <v>12.27</v>
      </c>
      <c r="L57">
        <v>10</v>
      </c>
      <c r="M57" s="4">
        <v>17.61</v>
      </c>
      <c r="N57" s="4">
        <v>158.46</v>
      </c>
      <c r="O57" s="4">
        <v>121.31</v>
      </c>
      <c r="P57" s="4">
        <v>8.1</v>
      </c>
      <c r="Q57" s="4">
        <v>1.23</v>
      </c>
      <c r="R57" s="4">
        <v>7.92</v>
      </c>
      <c r="S57" s="4">
        <v>0</v>
      </c>
      <c r="T57" s="4">
        <v>0</v>
      </c>
      <c r="U57" s="4">
        <v>138.56</v>
      </c>
      <c r="V57" s="4">
        <v>19.899999999999999</v>
      </c>
      <c r="W57" t="s">
        <v>21</v>
      </c>
      <c r="X57" t="s">
        <v>36</v>
      </c>
      <c r="Y57" s="4">
        <v>4</v>
      </c>
      <c r="Z57" s="4">
        <v>20</v>
      </c>
      <c r="AA57" t="s">
        <v>37</v>
      </c>
      <c r="AB57" t="s">
        <v>44</v>
      </c>
      <c r="AC57" s="7">
        <v>2</v>
      </c>
      <c r="AD57" t="s">
        <v>45</v>
      </c>
      <c r="AE57">
        <f t="shared" si="0"/>
        <v>1</v>
      </c>
    </row>
    <row r="58" spans="1:31" x14ac:dyDescent="0.35">
      <c r="A58">
        <v>100057</v>
      </c>
      <c r="B58" s="3">
        <v>46004</v>
      </c>
      <c r="C58">
        <v>1113</v>
      </c>
      <c r="D58" t="s">
        <v>59</v>
      </c>
      <c r="E58" t="s">
        <v>70</v>
      </c>
      <c r="F58" t="s">
        <v>49</v>
      </c>
      <c r="G58" t="s">
        <v>63</v>
      </c>
      <c r="H58" t="s">
        <v>34</v>
      </c>
      <c r="I58" t="s">
        <v>54</v>
      </c>
      <c r="J58" s="4">
        <v>14.67</v>
      </c>
      <c r="K58" s="4">
        <v>12.43</v>
      </c>
      <c r="L58">
        <v>0</v>
      </c>
      <c r="M58" s="4">
        <v>0</v>
      </c>
      <c r="N58" s="4">
        <v>182.35</v>
      </c>
      <c r="O58" s="4">
        <v>91.81</v>
      </c>
      <c r="P58" s="4">
        <v>3.81</v>
      </c>
      <c r="Q58" s="4">
        <v>2.19</v>
      </c>
      <c r="R58" s="4">
        <v>0</v>
      </c>
      <c r="S58" s="4">
        <v>0</v>
      </c>
      <c r="T58" s="4">
        <v>0</v>
      </c>
      <c r="U58" s="4">
        <v>97.81</v>
      </c>
      <c r="V58" s="4">
        <v>84.54</v>
      </c>
      <c r="W58" t="s">
        <v>21</v>
      </c>
      <c r="X58" t="s">
        <v>36</v>
      </c>
      <c r="Y58" s="4">
        <v>37</v>
      </c>
      <c r="Z58" s="4">
        <v>1</v>
      </c>
      <c r="AA58" t="s">
        <v>43</v>
      </c>
      <c r="AB58" t="s">
        <v>44</v>
      </c>
      <c r="AC58" s="7">
        <v>3</v>
      </c>
      <c r="AD58" t="s">
        <v>45</v>
      </c>
      <c r="AE58">
        <f t="shared" si="0"/>
        <v>1</v>
      </c>
    </row>
    <row r="59" spans="1:31" x14ac:dyDescent="0.35">
      <c r="A59">
        <v>100058</v>
      </c>
      <c r="B59" s="3">
        <v>45981</v>
      </c>
      <c r="C59">
        <v>1137</v>
      </c>
      <c r="D59" t="s">
        <v>59</v>
      </c>
      <c r="E59" t="s">
        <v>60</v>
      </c>
      <c r="F59" t="s">
        <v>61</v>
      </c>
      <c r="G59" t="s">
        <v>46</v>
      </c>
      <c r="H59" t="s">
        <v>57</v>
      </c>
      <c r="I59" t="s">
        <v>35</v>
      </c>
      <c r="J59" s="4">
        <v>39.369999999999997</v>
      </c>
      <c r="K59" s="4">
        <v>15.77</v>
      </c>
      <c r="L59">
        <v>5</v>
      </c>
      <c r="M59" s="4">
        <v>31.04</v>
      </c>
      <c r="N59" s="4">
        <v>589.82000000000005</v>
      </c>
      <c r="O59" s="4">
        <v>292.76</v>
      </c>
      <c r="P59" s="4">
        <v>10.16</v>
      </c>
      <c r="Q59" s="4">
        <v>4.3499999999999996</v>
      </c>
      <c r="R59" s="4">
        <v>12.34</v>
      </c>
      <c r="S59" s="4">
        <v>0</v>
      </c>
      <c r="T59" s="4">
        <v>0</v>
      </c>
      <c r="U59" s="4">
        <v>319.61</v>
      </c>
      <c r="V59" s="4">
        <v>270.20999999999998</v>
      </c>
      <c r="W59" t="s">
        <v>21</v>
      </c>
      <c r="X59" t="s">
        <v>36</v>
      </c>
      <c r="Y59" s="4">
        <v>5</v>
      </c>
      <c r="Z59" s="4">
        <v>2</v>
      </c>
      <c r="AA59" t="s">
        <v>37</v>
      </c>
      <c r="AB59" t="s">
        <v>38</v>
      </c>
      <c r="AC59" s="7">
        <v>0</v>
      </c>
      <c r="AD59" t="s">
        <v>39</v>
      </c>
      <c r="AE59">
        <f t="shared" si="0"/>
        <v>0</v>
      </c>
    </row>
    <row r="60" spans="1:31" x14ac:dyDescent="0.35">
      <c r="A60">
        <v>100059</v>
      </c>
      <c r="B60" s="3">
        <v>46009</v>
      </c>
      <c r="C60">
        <v>1011</v>
      </c>
      <c r="D60" t="s">
        <v>47</v>
      </c>
      <c r="E60" t="s">
        <v>53</v>
      </c>
      <c r="F60" t="s">
        <v>61</v>
      </c>
      <c r="G60" t="s">
        <v>63</v>
      </c>
      <c r="H60" t="s">
        <v>34</v>
      </c>
      <c r="I60" t="s">
        <v>35</v>
      </c>
      <c r="J60" s="4">
        <v>15.63</v>
      </c>
      <c r="K60" s="4">
        <v>12.96</v>
      </c>
      <c r="L60">
        <v>10</v>
      </c>
      <c r="M60" s="4">
        <v>20.260000000000002</v>
      </c>
      <c r="N60" s="4">
        <v>182.3</v>
      </c>
      <c r="O60" s="4">
        <v>107.66</v>
      </c>
      <c r="P60" s="4">
        <v>2.75</v>
      </c>
      <c r="Q60" s="4">
        <v>1.42</v>
      </c>
      <c r="R60" s="4">
        <v>7.74</v>
      </c>
      <c r="S60" s="4">
        <v>0</v>
      </c>
      <c r="T60" s="4">
        <v>0</v>
      </c>
      <c r="U60" s="4">
        <v>119.57</v>
      </c>
      <c r="V60" s="4">
        <v>62.73</v>
      </c>
      <c r="W60" t="s">
        <v>21</v>
      </c>
      <c r="X60" t="s">
        <v>36</v>
      </c>
      <c r="Y60" s="4">
        <v>23</v>
      </c>
      <c r="Z60" s="4">
        <v>13</v>
      </c>
      <c r="AA60" t="s">
        <v>52</v>
      </c>
      <c r="AB60" t="s">
        <v>44</v>
      </c>
      <c r="AC60" s="7">
        <v>1</v>
      </c>
      <c r="AD60" t="s">
        <v>45</v>
      </c>
      <c r="AE60">
        <f t="shared" si="0"/>
        <v>1</v>
      </c>
    </row>
    <row r="61" spans="1:31" x14ac:dyDescent="0.35">
      <c r="A61">
        <v>100060</v>
      </c>
      <c r="B61" s="3">
        <v>45993</v>
      </c>
      <c r="C61">
        <v>1135</v>
      </c>
      <c r="D61" t="s">
        <v>59</v>
      </c>
      <c r="E61" t="s">
        <v>68</v>
      </c>
      <c r="F61" t="s">
        <v>71</v>
      </c>
      <c r="G61" t="s">
        <v>46</v>
      </c>
      <c r="H61" t="s">
        <v>34</v>
      </c>
      <c r="I61" t="s">
        <v>42</v>
      </c>
      <c r="J61" s="4">
        <v>30.13</v>
      </c>
      <c r="K61" s="4">
        <v>14.59</v>
      </c>
      <c r="L61">
        <v>0</v>
      </c>
      <c r="M61" s="4">
        <v>0</v>
      </c>
      <c r="N61" s="4">
        <v>439.6</v>
      </c>
      <c r="O61" s="4">
        <v>170.34</v>
      </c>
      <c r="P61" s="4">
        <v>7.81</v>
      </c>
      <c r="Q61" s="4">
        <v>6.59</v>
      </c>
      <c r="R61" s="4">
        <v>4.5599999999999996</v>
      </c>
      <c r="S61" s="4">
        <v>0</v>
      </c>
      <c r="T61" s="4">
        <v>0</v>
      </c>
      <c r="U61" s="4">
        <v>189.3</v>
      </c>
      <c r="V61" s="4">
        <v>250.3</v>
      </c>
      <c r="W61" t="s">
        <v>21</v>
      </c>
      <c r="X61" t="s">
        <v>36</v>
      </c>
      <c r="Y61" s="4">
        <v>2</v>
      </c>
      <c r="Z61" s="4">
        <v>1</v>
      </c>
      <c r="AA61" t="s">
        <v>37</v>
      </c>
      <c r="AB61" t="s">
        <v>38</v>
      </c>
      <c r="AC61" s="7">
        <v>0</v>
      </c>
      <c r="AD61" t="s">
        <v>39</v>
      </c>
      <c r="AE61">
        <f t="shared" si="0"/>
        <v>0</v>
      </c>
    </row>
    <row r="62" spans="1:31" x14ac:dyDescent="0.35">
      <c r="A62">
        <v>100061</v>
      </c>
      <c r="B62" s="3">
        <v>46016</v>
      </c>
      <c r="C62">
        <v>1068</v>
      </c>
      <c r="D62" t="s">
        <v>64</v>
      </c>
      <c r="E62" t="s">
        <v>67</v>
      </c>
      <c r="F62" t="s">
        <v>61</v>
      </c>
      <c r="G62" t="s">
        <v>46</v>
      </c>
      <c r="H62" t="s">
        <v>34</v>
      </c>
      <c r="I62" t="s">
        <v>42</v>
      </c>
      <c r="J62" s="4">
        <v>24.33</v>
      </c>
      <c r="K62" s="4">
        <v>16.27</v>
      </c>
      <c r="L62">
        <v>15</v>
      </c>
      <c r="M62" s="4">
        <v>59.38</v>
      </c>
      <c r="N62" s="4">
        <v>336.47</v>
      </c>
      <c r="O62" s="4">
        <v>176.77</v>
      </c>
      <c r="P62" s="4">
        <v>8.06</v>
      </c>
      <c r="Q62" s="4">
        <v>5.94</v>
      </c>
      <c r="R62" s="4">
        <v>9.49</v>
      </c>
      <c r="S62" s="4">
        <v>0</v>
      </c>
      <c r="T62" s="4">
        <v>0</v>
      </c>
      <c r="U62" s="4">
        <v>200.26</v>
      </c>
      <c r="V62" s="4">
        <v>136.21</v>
      </c>
      <c r="W62" t="s">
        <v>21</v>
      </c>
      <c r="X62" t="s">
        <v>36</v>
      </c>
      <c r="Y62" s="4">
        <v>28</v>
      </c>
      <c r="Z62" s="4">
        <v>9</v>
      </c>
      <c r="AA62" t="s">
        <v>52</v>
      </c>
      <c r="AB62" t="s">
        <v>44</v>
      </c>
      <c r="AC62" s="7">
        <v>2</v>
      </c>
      <c r="AD62" t="s">
        <v>45</v>
      </c>
      <c r="AE62">
        <f t="shared" si="0"/>
        <v>1</v>
      </c>
    </row>
    <row r="63" spans="1:31" x14ac:dyDescent="0.35">
      <c r="A63">
        <v>100062</v>
      </c>
      <c r="B63" s="3">
        <v>45967</v>
      </c>
      <c r="C63">
        <v>1089</v>
      </c>
      <c r="D63" t="s">
        <v>47</v>
      </c>
      <c r="E63" t="s">
        <v>74</v>
      </c>
      <c r="F63" t="s">
        <v>61</v>
      </c>
      <c r="G63" t="s">
        <v>50</v>
      </c>
      <c r="H63" t="s">
        <v>34</v>
      </c>
      <c r="I63" t="s">
        <v>35</v>
      </c>
      <c r="J63" s="4">
        <v>38.89</v>
      </c>
      <c r="K63" s="4">
        <v>18.14</v>
      </c>
      <c r="L63">
        <v>20</v>
      </c>
      <c r="M63" s="4">
        <v>141.09</v>
      </c>
      <c r="N63" s="4">
        <v>564.37</v>
      </c>
      <c r="O63" s="4">
        <v>313.85000000000002</v>
      </c>
      <c r="P63" s="4">
        <v>11.32</v>
      </c>
      <c r="Q63" s="4">
        <v>4.9400000000000004</v>
      </c>
      <c r="R63" s="4">
        <v>8.9499999999999993</v>
      </c>
      <c r="S63" s="4">
        <v>0</v>
      </c>
      <c r="T63" s="4">
        <v>0</v>
      </c>
      <c r="U63" s="4">
        <v>339.06</v>
      </c>
      <c r="V63" s="4">
        <v>225.31</v>
      </c>
      <c r="W63" t="s">
        <v>21</v>
      </c>
      <c r="X63" t="s">
        <v>36</v>
      </c>
      <c r="Y63" s="4">
        <v>5</v>
      </c>
      <c r="Z63" s="4">
        <v>28</v>
      </c>
      <c r="AA63" t="s">
        <v>37</v>
      </c>
      <c r="AB63" t="s">
        <v>44</v>
      </c>
      <c r="AC63" s="7">
        <v>1</v>
      </c>
      <c r="AD63" t="s">
        <v>45</v>
      </c>
      <c r="AE63">
        <f t="shared" si="0"/>
        <v>1</v>
      </c>
    </row>
    <row r="64" spans="1:31" x14ac:dyDescent="0.35">
      <c r="A64">
        <v>100063</v>
      </c>
      <c r="B64" s="3">
        <v>45999</v>
      </c>
      <c r="C64">
        <v>1030</v>
      </c>
      <c r="D64" t="s">
        <v>47</v>
      </c>
      <c r="E64" t="s">
        <v>48</v>
      </c>
      <c r="F64" t="s">
        <v>61</v>
      </c>
      <c r="G64" t="s">
        <v>46</v>
      </c>
      <c r="H64" t="s">
        <v>34</v>
      </c>
      <c r="I64" t="s">
        <v>69</v>
      </c>
      <c r="J64" s="4">
        <v>21.2</v>
      </c>
      <c r="K64" s="4">
        <v>15.35</v>
      </c>
      <c r="L64">
        <v>15</v>
      </c>
      <c r="M64" s="4">
        <v>48.81</v>
      </c>
      <c r="N64" s="4">
        <v>276.61</v>
      </c>
      <c r="O64" s="4">
        <v>130.97</v>
      </c>
      <c r="P64" s="4">
        <v>6.71</v>
      </c>
      <c r="Q64" s="4">
        <v>1.3</v>
      </c>
      <c r="R64" s="4">
        <v>4.87</v>
      </c>
      <c r="S64" s="4">
        <v>0</v>
      </c>
      <c r="T64" s="4">
        <v>0</v>
      </c>
      <c r="U64" s="4">
        <v>143.85</v>
      </c>
      <c r="V64" s="4">
        <v>132.76</v>
      </c>
      <c r="W64" t="s">
        <v>21</v>
      </c>
      <c r="X64" t="s">
        <v>36</v>
      </c>
      <c r="Y64" s="4">
        <v>29</v>
      </c>
      <c r="Z64" s="4">
        <v>18</v>
      </c>
      <c r="AA64" t="s">
        <v>52</v>
      </c>
      <c r="AB64" t="s">
        <v>44</v>
      </c>
      <c r="AC64" s="7">
        <v>1</v>
      </c>
      <c r="AD64" t="s">
        <v>45</v>
      </c>
      <c r="AE64">
        <f t="shared" si="0"/>
        <v>1</v>
      </c>
    </row>
    <row r="65" spans="1:31" x14ac:dyDescent="0.35">
      <c r="A65">
        <v>100064</v>
      </c>
      <c r="B65" s="3">
        <v>46006</v>
      </c>
      <c r="C65">
        <v>1117</v>
      </c>
      <c r="D65" t="s">
        <v>59</v>
      </c>
      <c r="E65" t="s">
        <v>60</v>
      </c>
      <c r="F65" t="s">
        <v>41</v>
      </c>
      <c r="G65" t="s">
        <v>63</v>
      </c>
      <c r="H65" t="s">
        <v>34</v>
      </c>
      <c r="I65" t="s">
        <v>69</v>
      </c>
      <c r="J65" s="4">
        <v>34.81</v>
      </c>
      <c r="K65" s="4">
        <v>13.32</v>
      </c>
      <c r="L65">
        <v>0</v>
      </c>
      <c r="M65" s="4">
        <v>0</v>
      </c>
      <c r="N65" s="4">
        <v>463.67</v>
      </c>
      <c r="O65" s="4">
        <v>248.57</v>
      </c>
      <c r="P65" s="4">
        <v>8.19</v>
      </c>
      <c r="Q65" s="4">
        <v>1.85</v>
      </c>
      <c r="R65" s="4">
        <v>10.58</v>
      </c>
      <c r="S65" s="4">
        <v>0</v>
      </c>
      <c r="T65" s="4">
        <v>0</v>
      </c>
      <c r="U65" s="4">
        <v>269.19</v>
      </c>
      <c r="V65" s="4">
        <v>194.48</v>
      </c>
      <c r="W65" t="s">
        <v>21</v>
      </c>
      <c r="X65" t="s">
        <v>36</v>
      </c>
      <c r="Y65" s="4">
        <v>1</v>
      </c>
      <c r="Z65" s="4">
        <v>2</v>
      </c>
      <c r="AA65" t="s">
        <v>37</v>
      </c>
      <c r="AB65" t="s">
        <v>38</v>
      </c>
      <c r="AC65" s="7">
        <v>0</v>
      </c>
      <c r="AD65" t="s">
        <v>39</v>
      </c>
      <c r="AE65">
        <f t="shared" si="0"/>
        <v>0</v>
      </c>
    </row>
    <row r="66" spans="1:31" x14ac:dyDescent="0.35">
      <c r="A66">
        <v>100065</v>
      </c>
      <c r="B66" s="3">
        <v>46005</v>
      </c>
      <c r="C66">
        <v>1095</v>
      </c>
      <c r="D66" t="s">
        <v>64</v>
      </c>
      <c r="E66" t="s">
        <v>67</v>
      </c>
      <c r="F66" t="s">
        <v>32</v>
      </c>
      <c r="G66" t="s">
        <v>33</v>
      </c>
      <c r="H66" t="s">
        <v>34</v>
      </c>
      <c r="I66" t="s">
        <v>35</v>
      </c>
      <c r="J66" s="4">
        <v>15.19</v>
      </c>
      <c r="K66" s="4">
        <v>19.38</v>
      </c>
      <c r="L66">
        <v>0</v>
      </c>
      <c r="M66" s="4">
        <v>0</v>
      </c>
      <c r="N66" s="4">
        <v>294.38</v>
      </c>
      <c r="O66" s="4">
        <v>107.1</v>
      </c>
      <c r="P66" s="4">
        <v>6.63</v>
      </c>
      <c r="Q66" s="4">
        <v>2.06</v>
      </c>
      <c r="R66" s="4">
        <v>8.5399999999999991</v>
      </c>
      <c r="S66" s="4">
        <v>0</v>
      </c>
      <c r="T66" s="4">
        <v>0</v>
      </c>
      <c r="U66" s="4">
        <v>124.33</v>
      </c>
      <c r="V66" s="4">
        <v>170.05</v>
      </c>
      <c r="W66" t="s">
        <v>21</v>
      </c>
      <c r="X66" t="s">
        <v>36</v>
      </c>
      <c r="Y66" s="4">
        <v>1</v>
      </c>
      <c r="Z66" s="4">
        <v>1</v>
      </c>
      <c r="AA66" t="s">
        <v>37</v>
      </c>
      <c r="AB66" t="s">
        <v>38</v>
      </c>
      <c r="AC66" s="7">
        <v>0</v>
      </c>
      <c r="AD66" t="s">
        <v>39</v>
      </c>
      <c r="AE66">
        <f t="shared" si="0"/>
        <v>0</v>
      </c>
    </row>
    <row r="67" spans="1:31" x14ac:dyDescent="0.35">
      <c r="A67">
        <v>100066</v>
      </c>
      <c r="B67" s="3">
        <v>45996</v>
      </c>
      <c r="C67">
        <v>1009</v>
      </c>
      <c r="D67" t="s">
        <v>47</v>
      </c>
      <c r="E67" t="s">
        <v>53</v>
      </c>
      <c r="F67" t="s">
        <v>32</v>
      </c>
      <c r="G67" t="s">
        <v>33</v>
      </c>
      <c r="H67" t="s">
        <v>51</v>
      </c>
      <c r="I67" t="s">
        <v>54</v>
      </c>
      <c r="J67" s="4">
        <v>27.42</v>
      </c>
      <c r="K67" s="4">
        <v>19.329999999999998</v>
      </c>
      <c r="L67">
        <v>0</v>
      </c>
      <c r="M67" s="4">
        <v>0</v>
      </c>
      <c r="N67" s="4">
        <v>530.03</v>
      </c>
      <c r="O67" s="4">
        <v>186.71</v>
      </c>
      <c r="P67" s="4">
        <v>6.11</v>
      </c>
      <c r="Q67" s="4">
        <v>6.36</v>
      </c>
      <c r="R67" s="4">
        <v>3.29</v>
      </c>
      <c r="S67" s="4">
        <v>0</v>
      </c>
      <c r="T67" s="4">
        <v>0</v>
      </c>
      <c r="U67" s="4">
        <v>202.47</v>
      </c>
      <c r="V67" s="4">
        <v>327.56</v>
      </c>
      <c r="W67" t="s">
        <v>21</v>
      </c>
      <c r="X67" t="s">
        <v>36</v>
      </c>
      <c r="Y67" s="4">
        <v>3</v>
      </c>
      <c r="Z67" s="4">
        <v>11</v>
      </c>
      <c r="AA67" t="s">
        <v>37</v>
      </c>
      <c r="AB67" t="s">
        <v>38</v>
      </c>
      <c r="AC67" s="7">
        <v>0</v>
      </c>
      <c r="AD67" t="s">
        <v>39</v>
      </c>
      <c r="AE67">
        <f t="shared" ref="AE67:AE130" si="1">IF(AB67="Yes",1,0)</f>
        <v>0</v>
      </c>
    </row>
    <row r="68" spans="1:31" x14ac:dyDescent="0.35">
      <c r="A68">
        <v>100067</v>
      </c>
      <c r="B68" s="3">
        <v>46004</v>
      </c>
      <c r="C68">
        <v>1037</v>
      </c>
      <c r="D68" t="s">
        <v>30</v>
      </c>
      <c r="E68" t="s">
        <v>31</v>
      </c>
      <c r="F68" t="s">
        <v>71</v>
      </c>
      <c r="G68" t="s">
        <v>63</v>
      </c>
      <c r="H68" t="s">
        <v>34</v>
      </c>
      <c r="I68" t="s">
        <v>69</v>
      </c>
      <c r="J68" s="4">
        <v>21.41</v>
      </c>
      <c r="K68" s="4">
        <v>11.88</v>
      </c>
      <c r="L68">
        <v>0</v>
      </c>
      <c r="M68" s="4">
        <v>0</v>
      </c>
      <c r="N68" s="4">
        <v>254.35</v>
      </c>
      <c r="O68" s="4">
        <v>172.6</v>
      </c>
      <c r="P68" s="4">
        <v>8.3699999999999992</v>
      </c>
      <c r="Q68" s="4">
        <v>1.02</v>
      </c>
      <c r="R68" s="4">
        <v>3.55</v>
      </c>
      <c r="S68" s="4">
        <v>0</v>
      </c>
      <c r="T68" s="4">
        <v>0</v>
      </c>
      <c r="U68" s="4">
        <v>185.54</v>
      </c>
      <c r="V68" s="4">
        <v>68.81</v>
      </c>
      <c r="W68" t="s">
        <v>21</v>
      </c>
      <c r="X68" t="s">
        <v>36</v>
      </c>
      <c r="Y68" s="4">
        <v>10</v>
      </c>
      <c r="Z68" s="4">
        <v>9</v>
      </c>
      <c r="AA68" t="s">
        <v>37</v>
      </c>
      <c r="AB68" t="s">
        <v>38</v>
      </c>
      <c r="AC68" s="7">
        <v>0</v>
      </c>
      <c r="AD68" t="s">
        <v>39</v>
      </c>
      <c r="AE68">
        <f t="shared" si="1"/>
        <v>0</v>
      </c>
    </row>
    <row r="69" spans="1:31" x14ac:dyDescent="0.35">
      <c r="A69">
        <v>100068</v>
      </c>
      <c r="B69" s="3">
        <v>45974</v>
      </c>
      <c r="C69">
        <v>1039</v>
      </c>
      <c r="D69" t="s">
        <v>59</v>
      </c>
      <c r="E69" t="s">
        <v>60</v>
      </c>
      <c r="F69" t="s">
        <v>32</v>
      </c>
      <c r="G69" t="s">
        <v>46</v>
      </c>
      <c r="H69" t="s">
        <v>57</v>
      </c>
      <c r="I69" t="s">
        <v>35</v>
      </c>
      <c r="J69" s="4">
        <v>16.149999999999999</v>
      </c>
      <c r="K69" s="4">
        <v>15.45</v>
      </c>
      <c r="L69">
        <v>5</v>
      </c>
      <c r="M69" s="4">
        <v>12.48</v>
      </c>
      <c r="N69" s="4">
        <v>237.04</v>
      </c>
      <c r="O69" s="4">
        <v>97.02</v>
      </c>
      <c r="P69" s="4">
        <v>6.91</v>
      </c>
      <c r="Q69" s="4">
        <v>1.75</v>
      </c>
      <c r="R69" s="4">
        <v>6.24</v>
      </c>
      <c r="S69" s="4">
        <v>239.75</v>
      </c>
      <c r="T69" s="4">
        <v>6.59</v>
      </c>
      <c r="U69" s="4">
        <v>358.26</v>
      </c>
      <c r="V69" s="4">
        <v>-121.22</v>
      </c>
      <c r="W69" t="s">
        <v>58</v>
      </c>
      <c r="X69" t="s">
        <v>66</v>
      </c>
      <c r="Y69" s="4">
        <v>0</v>
      </c>
      <c r="Z69" s="4">
        <v>10</v>
      </c>
      <c r="AA69" t="s">
        <v>37</v>
      </c>
      <c r="AB69" t="s">
        <v>38</v>
      </c>
      <c r="AC69" s="7">
        <v>3</v>
      </c>
      <c r="AD69" t="s">
        <v>45</v>
      </c>
      <c r="AE69">
        <f t="shared" si="1"/>
        <v>0</v>
      </c>
    </row>
    <row r="70" spans="1:31" x14ac:dyDescent="0.35">
      <c r="A70">
        <v>100069</v>
      </c>
      <c r="B70" s="3">
        <v>45941</v>
      </c>
      <c r="C70">
        <v>1119</v>
      </c>
      <c r="D70" t="s">
        <v>64</v>
      </c>
      <c r="E70" t="s">
        <v>65</v>
      </c>
      <c r="F70" t="s">
        <v>41</v>
      </c>
      <c r="G70" t="s">
        <v>63</v>
      </c>
      <c r="H70" t="s">
        <v>34</v>
      </c>
      <c r="I70" t="s">
        <v>35</v>
      </c>
      <c r="J70" s="4">
        <v>13.87</v>
      </c>
      <c r="K70" s="4">
        <v>12.54</v>
      </c>
      <c r="L70">
        <v>0</v>
      </c>
      <c r="M70" s="4">
        <v>0</v>
      </c>
      <c r="N70" s="4">
        <v>173.93</v>
      </c>
      <c r="O70" s="4">
        <v>90.47</v>
      </c>
      <c r="P70" s="4">
        <v>6.47</v>
      </c>
      <c r="Q70" s="4">
        <v>1.22</v>
      </c>
      <c r="R70" s="4">
        <v>0</v>
      </c>
      <c r="S70" s="4">
        <v>0</v>
      </c>
      <c r="T70" s="4">
        <v>0</v>
      </c>
      <c r="U70" s="4">
        <v>98.16</v>
      </c>
      <c r="V70" s="4">
        <v>75.77</v>
      </c>
      <c r="W70" t="s">
        <v>21</v>
      </c>
      <c r="X70" t="s">
        <v>36</v>
      </c>
      <c r="Y70" s="4">
        <v>3</v>
      </c>
      <c r="Z70" s="4">
        <v>8</v>
      </c>
      <c r="AA70" t="s">
        <v>37</v>
      </c>
      <c r="AB70" t="s">
        <v>38</v>
      </c>
      <c r="AC70" s="7">
        <v>2</v>
      </c>
      <c r="AD70" t="s">
        <v>39</v>
      </c>
      <c r="AE70">
        <f t="shared" si="1"/>
        <v>0</v>
      </c>
    </row>
    <row r="71" spans="1:31" x14ac:dyDescent="0.35">
      <c r="A71">
        <v>100070</v>
      </c>
      <c r="B71" s="3">
        <v>46008</v>
      </c>
      <c r="C71">
        <v>1057</v>
      </c>
      <c r="D71" t="s">
        <v>59</v>
      </c>
      <c r="E71" t="s">
        <v>73</v>
      </c>
      <c r="F71" t="s">
        <v>32</v>
      </c>
      <c r="G71" t="s">
        <v>46</v>
      </c>
      <c r="H71" t="s">
        <v>57</v>
      </c>
      <c r="I71" t="s">
        <v>35</v>
      </c>
      <c r="J71" s="4">
        <v>25.78</v>
      </c>
      <c r="K71" s="4">
        <v>17.82</v>
      </c>
      <c r="L71">
        <v>0</v>
      </c>
      <c r="M71" s="4">
        <v>0</v>
      </c>
      <c r="N71" s="4">
        <v>459.4</v>
      </c>
      <c r="O71" s="4">
        <v>196.43</v>
      </c>
      <c r="P71" s="4">
        <v>10.55</v>
      </c>
      <c r="Q71" s="4">
        <v>3.22</v>
      </c>
      <c r="R71" s="4">
        <v>6.59</v>
      </c>
      <c r="S71" s="4">
        <v>0</v>
      </c>
      <c r="T71" s="4">
        <v>0</v>
      </c>
      <c r="U71" s="4">
        <v>216.79</v>
      </c>
      <c r="V71" s="4">
        <v>242.61</v>
      </c>
      <c r="W71" t="s">
        <v>21</v>
      </c>
      <c r="X71" t="s">
        <v>36</v>
      </c>
      <c r="Y71" s="4">
        <v>14</v>
      </c>
      <c r="Z71" s="4">
        <v>0</v>
      </c>
      <c r="AA71" t="s">
        <v>37</v>
      </c>
      <c r="AB71" t="s">
        <v>38</v>
      </c>
      <c r="AC71" s="7">
        <v>0</v>
      </c>
      <c r="AD71" t="s">
        <v>39</v>
      </c>
      <c r="AE71">
        <f t="shared" si="1"/>
        <v>0</v>
      </c>
    </row>
    <row r="72" spans="1:31" x14ac:dyDescent="0.35">
      <c r="A72">
        <v>100071</v>
      </c>
      <c r="B72" s="3">
        <v>46017</v>
      </c>
      <c r="C72">
        <v>1056</v>
      </c>
      <c r="D72" t="s">
        <v>30</v>
      </c>
      <c r="E72" t="s">
        <v>62</v>
      </c>
      <c r="F72" t="s">
        <v>32</v>
      </c>
      <c r="G72" t="s">
        <v>63</v>
      </c>
      <c r="H72" t="s">
        <v>51</v>
      </c>
      <c r="I72" t="s">
        <v>35</v>
      </c>
      <c r="J72" s="4">
        <v>15.86</v>
      </c>
      <c r="K72" s="4">
        <v>13.24</v>
      </c>
      <c r="L72">
        <v>0</v>
      </c>
      <c r="M72" s="4">
        <v>0</v>
      </c>
      <c r="N72" s="4">
        <v>209.99</v>
      </c>
      <c r="O72" s="4">
        <v>103.68</v>
      </c>
      <c r="P72" s="4">
        <v>8.1300000000000008</v>
      </c>
      <c r="Q72" s="4">
        <v>1.47</v>
      </c>
      <c r="R72" s="4">
        <v>10.67</v>
      </c>
      <c r="S72" s="4">
        <v>0</v>
      </c>
      <c r="T72" s="4">
        <v>0</v>
      </c>
      <c r="U72" s="4">
        <v>123.95</v>
      </c>
      <c r="V72" s="4">
        <v>86.04</v>
      </c>
      <c r="W72" t="s">
        <v>21</v>
      </c>
      <c r="X72" t="s">
        <v>36</v>
      </c>
      <c r="Y72" s="4">
        <v>9</v>
      </c>
      <c r="Z72" s="4">
        <v>4</v>
      </c>
      <c r="AA72" t="s">
        <v>37</v>
      </c>
      <c r="AB72" t="s">
        <v>38</v>
      </c>
      <c r="AC72" s="7">
        <v>0</v>
      </c>
      <c r="AD72" t="s">
        <v>39</v>
      </c>
      <c r="AE72">
        <f t="shared" si="1"/>
        <v>0</v>
      </c>
    </row>
    <row r="73" spans="1:31" x14ac:dyDescent="0.35">
      <c r="A73">
        <v>100072</v>
      </c>
      <c r="B73" s="3">
        <v>45964</v>
      </c>
      <c r="C73">
        <v>1108</v>
      </c>
      <c r="D73" t="s">
        <v>47</v>
      </c>
      <c r="E73" t="s">
        <v>48</v>
      </c>
      <c r="F73" t="s">
        <v>32</v>
      </c>
      <c r="G73" t="s">
        <v>33</v>
      </c>
      <c r="H73" t="s">
        <v>51</v>
      </c>
      <c r="I73" t="s">
        <v>69</v>
      </c>
      <c r="J73" s="4">
        <v>28.24</v>
      </c>
      <c r="K73" s="4">
        <v>19.11</v>
      </c>
      <c r="L73">
        <v>0</v>
      </c>
      <c r="M73" s="4">
        <v>0</v>
      </c>
      <c r="N73" s="4">
        <v>539.66999999999996</v>
      </c>
      <c r="O73" s="4">
        <v>194.43</v>
      </c>
      <c r="P73" s="4">
        <v>9.68</v>
      </c>
      <c r="Q73" s="4">
        <v>2.16</v>
      </c>
      <c r="R73" s="4">
        <v>6.24</v>
      </c>
      <c r="S73" s="4">
        <v>0</v>
      </c>
      <c r="T73" s="4">
        <v>0</v>
      </c>
      <c r="U73" s="4">
        <v>212.51</v>
      </c>
      <c r="V73" s="4">
        <v>327.16000000000003</v>
      </c>
      <c r="W73" t="s">
        <v>21</v>
      </c>
      <c r="X73" t="s">
        <v>36</v>
      </c>
      <c r="Y73" s="4">
        <v>1</v>
      </c>
      <c r="Z73" s="4">
        <v>4</v>
      </c>
      <c r="AA73" t="s">
        <v>37</v>
      </c>
      <c r="AB73" t="s">
        <v>38</v>
      </c>
      <c r="AC73" s="7">
        <v>0</v>
      </c>
      <c r="AD73" t="s">
        <v>39</v>
      </c>
      <c r="AE73">
        <f t="shared" si="1"/>
        <v>0</v>
      </c>
    </row>
    <row r="74" spans="1:31" x14ac:dyDescent="0.35">
      <c r="A74">
        <v>100073</v>
      </c>
      <c r="B74" s="3">
        <v>45974</v>
      </c>
      <c r="C74">
        <v>1114</v>
      </c>
      <c r="D74" t="s">
        <v>64</v>
      </c>
      <c r="E74" t="s">
        <v>67</v>
      </c>
      <c r="F74" t="s">
        <v>61</v>
      </c>
      <c r="G74" t="s">
        <v>63</v>
      </c>
      <c r="H74" t="s">
        <v>34</v>
      </c>
      <c r="I74" t="s">
        <v>42</v>
      </c>
      <c r="J74" s="4">
        <v>9.75</v>
      </c>
      <c r="K74" s="4">
        <v>12.98</v>
      </c>
      <c r="L74">
        <v>0</v>
      </c>
      <c r="M74" s="4">
        <v>0</v>
      </c>
      <c r="N74" s="4">
        <v>126.56</v>
      </c>
      <c r="O74" s="4">
        <v>63.73</v>
      </c>
      <c r="P74" s="4">
        <v>9.82</v>
      </c>
      <c r="Q74" s="4">
        <v>1.9</v>
      </c>
      <c r="R74" s="4">
        <v>6.53</v>
      </c>
      <c r="S74" s="4">
        <v>51.01</v>
      </c>
      <c r="T74" s="4">
        <v>0</v>
      </c>
      <c r="U74" s="4">
        <v>132.99</v>
      </c>
      <c r="V74" s="4">
        <v>-6.43</v>
      </c>
      <c r="W74" t="s">
        <v>58</v>
      </c>
      <c r="X74" t="s">
        <v>55</v>
      </c>
      <c r="Y74" s="4">
        <v>4</v>
      </c>
      <c r="Z74" s="4">
        <v>10</v>
      </c>
      <c r="AA74" t="s">
        <v>37</v>
      </c>
      <c r="AB74" t="s">
        <v>44</v>
      </c>
      <c r="AC74" s="7">
        <v>3</v>
      </c>
      <c r="AD74" t="s">
        <v>45</v>
      </c>
      <c r="AE74">
        <f t="shared" si="1"/>
        <v>1</v>
      </c>
    </row>
    <row r="75" spans="1:31" x14ac:dyDescent="0.35">
      <c r="A75">
        <v>100074</v>
      </c>
      <c r="B75" s="3">
        <v>45975</v>
      </c>
      <c r="C75">
        <v>1041</v>
      </c>
      <c r="D75" t="s">
        <v>64</v>
      </c>
      <c r="E75" t="s">
        <v>75</v>
      </c>
      <c r="F75" t="s">
        <v>71</v>
      </c>
      <c r="G75" t="s">
        <v>50</v>
      </c>
      <c r="H75" t="s">
        <v>57</v>
      </c>
      <c r="I75" t="s">
        <v>69</v>
      </c>
      <c r="J75" s="4">
        <v>35.89</v>
      </c>
      <c r="K75" s="4">
        <v>17.93</v>
      </c>
      <c r="L75">
        <v>0</v>
      </c>
      <c r="M75" s="4">
        <v>0</v>
      </c>
      <c r="N75" s="4">
        <v>643.51</v>
      </c>
      <c r="O75" s="4">
        <v>278.89</v>
      </c>
      <c r="P75" s="4">
        <v>7.57</v>
      </c>
      <c r="Q75" s="4">
        <v>2.57</v>
      </c>
      <c r="R75" s="4">
        <v>8.92</v>
      </c>
      <c r="S75" s="4">
        <v>0</v>
      </c>
      <c r="T75" s="4">
        <v>0</v>
      </c>
      <c r="U75" s="4">
        <v>297.95</v>
      </c>
      <c r="V75" s="4">
        <v>345.56</v>
      </c>
      <c r="W75" t="s">
        <v>21</v>
      </c>
      <c r="X75" t="s">
        <v>36</v>
      </c>
      <c r="Y75" s="4">
        <v>0</v>
      </c>
      <c r="Z75" s="4">
        <v>11</v>
      </c>
      <c r="AA75" t="s">
        <v>37</v>
      </c>
      <c r="AB75" t="s">
        <v>38</v>
      </c>
      <c r="AC75" s="7">
        <v>0</v>
      </c>
      <c r="AD75" t="s">
        <v>39</v>
      </c>
      <c r="AE75">
        <f t="shared" si="1"/>
        <v>0</v>
      </c>
    </row>
    <row r="76" spans="1:31" x14ac:dyDescent="0.35">
      <c r="A76">
        <v>100075</v>
      </c>
      <c r="B76" s="3">
        <v>45985</v>
      </c>
      <c r="C76">
        <v>1018</v>
      </c>
      <c r="D76" t="s">
        <v>47</v>
      </c>
      <c r="E76" t="s">
        <v>56</v>
      </c>
      <c r="F76" t="s">
        <v>71</v>
      </c>
      <c r="G76" t="s">
        <v>46</v>
      </c>
      <c r="H76" t="s">
        <v>34</v>
      </c>
      <c r="I76" t="s">
        <v>35</v>
      </c>
      <c r="J76" s="4">
        <v>30.57</v>
      </c>
      <c r="K76" s="4">
        <v>18.84</v>
      </c>
      <c r="L76">
        <v>10</v>
      </c>
      <c r="M76" s="4">
        <v>57.59</v>
      </c>
      <c r="N76" s="4">
        <v>518.35</v>
      </c>
      <c r="O76" s="4">
        <v>241.5</v>
      </c>
      <c r="P76" s="4">
        <v>4.92</v>
      </c>
      <c r="Q76" s="4">
        <v>4.03</v>
      </c>
      <c r="R76" s="4">
        <v>6.87</v>
      </c>
      <c r="S76" s="4">
        <v>306.16000000000003</v>
      </c>
      <c r="T76" s="4">
        <v>0</v>
      </c>
      <c r="U76" s="4">
        <v>563.48</v>
      </c>
      <c r="V76" s="4">
        <v>-45.13</v>
      </c>
      <c r="W76" t="s">
        <v>58</v>
      </c>
      <c r="X76" t="s">
        <v>55</v>
      </c>
      <c r="Y76" s="4">
        <v>2</v>
      </c>
      <c r="Z76" s="4">
        <v>0</v>
      </c>
      <c r="AA76" t="s">
        <v>37</v>
      </c>
      <c r="AB76" t="s">
        <v>44</v>
      </c>
      <c r="AC76" s="7">
        <v>4</v>
      </c>
      <c r="AD76" t="s">
        <v>45</v>
      </c>
      <c r="AE76">
        <f t="shared" si="1"/>
        <v>1</v>
      </c>
    </row>
    <row r="77" spans="1:31" x14ac:dyDescent="0.35">
      <c r="A77">
        <v>100076</v>
      </c>
      <c r="B77" s="3">
        <v>45998</v>
      </c>
      <c r="C77">
        <v>1072</v>
      </c>
      <c r="D77" t="s">
        <v>64</v>
      </c>
      <c r="E77" t="s">
        <v>75</v>
      </c>
      <c r="F77" t="s">
        <v>41</v>
      </c>
      <c r="G77" t="s">
        <v>63</v>
      </c>
      <c r="H77" t="s">
        <v>34</v>
      </c>
      <c r="I77" t="s">
        <v>35</v>
      </c>
      <c r="J77" s="4">
        <v>12.1</v>
      </c>
      <c r="K77" s="4">
        <v>13.28</v>
      </c>
      <c r="L77">
        <v>0</v>
      </c>
      <c r="M77" s="4">
        <v>0</v>
      </c>
      <c r="N77" s="4">
        <v>160.69</v>
      </c>
      <c r="O77" s="4">
        <v>88.77</v>
      </c>
      <c r="P77" s="4">
        <v>8.43</v>
      </c>
      <c r="Q77" s="4">
        <v>1.1200000000000001</v>
      </c>
      <c r="R77" s="4">
        <v>6.55</v>
      </c>
      <c r="S77" s="4">
        <v>0</v>
      </c>
      <c r="T77" s="4">
        <v>0</v>
      </c>
      <c r="U77" s="4">
        <v>104.87</v>
      </c>
      <c r="V77" s="4">
        <v>55.82</v>
      </c>
      <c r="W77" t="s">
        <v>21</v>
      </c>
      <c r="X77" t="s">
        <v>36</v>
      </c>
      <c r="Y77" s="4">
        <v>0</v>
      </c>
      <c r="Z77" s="4">
        <v>4</v>
      </c>
      <c r="AA77" t="s">
        <v>37</v>
      </c>
      <c r="AB77" t="s">
        <v>38</v>
      </c>
      <c r="AC77" s="7">
        <v>0</v>
      </c>
      <c r="AD77" t="s">
        <v>39</v>
      </c>
      <c r="AE77">
        <f t="shared" si="1"/>
        <v>0</v>
      </c>
    </row>
    <row r="78" spans="1:31" x14ac:dyDescent="0.35">
      <c r="A78">
        <v>100077</v>
      </c>
      <c r="B78" s="3">
        <v>45944</v>
      </c>
      <c r="C78">
        <v>1069</v>
      </c>
      <c r="D78" t="s">
        <v>64</v>
      </c>
      <c r="E78" t="s">
        <v>67</v>
      </c>
      <c r="F78" t="s">
        <v>61</v>
      </c>
      <c r="G78" t="s">
        <v>33</v>
      </c>
      <c r="H78" t="s">
        <v>51</v>
      </c>
      <c r="I78" t="s">
        <v>35</v>
      </c>
      <c r="J78" s="4">
        <v>32.299999999999997</v>
      </c>
      <c r="K78" s="4">
        <v>19.739999999999998</v>
      </c>
      <c r="L78">
        <v>0</v>
      </c>
      <c r="M78" s="4">
        <v>0</v>
      </c>
      <c r="N78" s="4">
        <v>637.6</v>
      </c>
      <c r="O78" s="4">
        <v>273.66000000000003</v>
      </c>
      <c r="P78" s="4">
        <v>10.61</v>
      </c>
      <c r="Q78" s="4">
        <v>4.46</v>
      </c>
      <c r="R78" s="4">
        <v>7.05</v>
      </c>
      <c r="S78" s="4">
        <v>0</v>
      </c>
      <c r="T78" s="4">
        <v>0</v>
      </c>
      <c r="U78" s="4">
        <v>295.77999999999997</v>
      </c>
      <c r="V78" s="4">
        <v>341.82</v>
      </c>
      <c r="W78" t="s">
        <v>21</v>
      </c>
      <c r="X78" t="s">
        <v>36</v>
      </c>
      <c r="Y78" s="4">
        <v>6</v>
      </c>
      <c r="Z78" s="4">
        <v>0</v>
      </c>
      <c r="AA78" t="s">
        <v>37</v>
      </c>
      <c r="AB78" t="s">
        <v>38</v>
      </c>
      <c r="AC78" s="7">
        <v>0</v>
      </c>
      <c r="AD78" t="s">
        <v>39</v>
      </c>
      <c r="AE78">
        <f t="shared" si="1"/>
        <v>0</v>
      </c>
    </row>
    <row r="79" spans="1:31" x14ac:dyDescent="0.35">
      <c r="A79">
        <v>100078</v>
      </c>
      <c r="B79" s="3">
        <v>45942</v>
      </c>
      <c r="C79">
        <v>1044</v>
      </c>
      <c r="D79" t="s">
        <v>47</v>
      </c>
      <c r="E79" t="s">
        <v>56</v>
      </c>
      <c r="F79" t="s">
        <v>49</v>
      </c>
      <c r="G79" t="s">
        <v>33</v>
      </c>
      <c r="H79" t="s">
        <v>34</v>
      </c>
      <c r="I79" t="s">
        <v>35</v>
      </c>
      <c r="J79" s="4">
        <v>17.8</v>
      </c>
      <c r="K79" s="4">
        <v>19.309999999999999</v>
      </c>
      <c r="L79">
        <v>10</v>
      </c>
      <c r="M79" s="4">
        <v>34.369999999999997</v>
      </c>
      <c r="N79" s="4">
        <v>309.35000000000002</v>
      </c>
      <c r="O79" s="4">
        <v>143.33000000000001</v>
      </c>
      <c r="P79" s="4">
        <v>11.11</v>
      </c>
      <c r="Q79" s="4">
        <v>2.41</v>
      </c>
      <c r="R79" s="4">
        <v>5.98</v>
      </c>
      <c r="S79" s="4">
        <v>0</v>
      </c>
      <c r="T79" s="4">
        <v>0</v>
      </c>
      <c r="U79" s="4">
        <v>162.83000000000001</v>
      </c>
      <c r="V79" s="4">
        <v>146.52000000000001</v>
      </c>
      <c r="W79" t="s">
        <v>21</v>
      </c>
      <c r="X79" t="s">
        <v>36</v>
      </c>
      <c r="Y79" s="4">
        <v>22</v>
      </c>
      <c r="Z79" s="4">
        <v>5</v>
      </c>
      <c r="AA79" t="s">
        <v>52</v>
      </c>
      <c r="AB79" t="s">
        <v>44</v>
      </c>
      <c r="AC79" s="7">
        <v>3</v>
      </c>
      <c r="AD79" t="s">
        <v>45</v>
      </c>
      <c r="AE79">
        <f t="shared" si="1"/>
        <v>1</v>
      </c>
    </row>
    <row r="80" spans="1:31" x14ac:dyDescent="0.35">
      <c r="A80">
        <v>100079</v>
      </c>
      <c r="B80" s="3">
        <v>45949</v>
      </c>
      <c r="C80">
        <v>1132</v>
      </c>
      <c r="D80" t="s">
        <v>30</v>
      </c>
      <c r="E80" t="s">
        <v>72</v>
      </c>
      <c r="F80" t="s">
        <v>49</v>
      </c>
      <c r="G80" t="s">
        <v>50</v>
      </c>
      <c r="H80" t="s">
        <v>51</v>
      </c>
      <c r="I80" t="s">
        <v>42</v>
      </c>
      <c r="J80" s="4">
        <v>28.49</v>
      </c>
      <c r="K80" s="4">
        <v>17.100000000000001</v>
      </c>
      <c r="L80">
        <v>0</v>
      </c>
      <c r="M80" s="4">
        <v>0</v>
      </c>
      <c r="N80" s="4">
        <v>487.18</v>
      </c>
      <c r="O80" s="4">
        <v>169.5</v>
      </c>
      <c r="P80" s="4">
        <v>15.62</v>
      </c>
      <c r="Q80" s="4">
        <v>7.31</v>
      </c>
      <c r="R80" s="4">
        <v>1.84</v>
      </c>
      <c r="S80" s="4">
        <v>365.1</v>
      </c>
      <c r="T80" s="4">
        <v>7.9</v>
      </c>
      <c r="U80" s="4">
        <v>567.27</v>
      </c>
      <c r="V80" s="4">
        <v>-80.09</v>
      </c>
      <c r="W80" t="s">
        <v>58</v>
      </c>
      <c r="X80" t="s">
        <v>66</v>
      </c>
      <c r="Y80" s="4">
        <v>2</v>
      </c>
      <c r="Z80" s="4">
        <v>0</v>
      </c>
      <c r="AA80" t="s">
        <v>37</v>
      </c>
      <c r="AB80" t="s">
        <v>38</v>
      </c>
      <c r="AC80" s="7">
        <v>2</v>
      </c>
      <c r="AD80" t="s">
        <v>45</v>
      </c>
      <c r="AE80">
        <f t="shared" si="1"/>
        <v>0</v>
      </c>
    </row>
    <row r="81" spans="1:31" x14ac:dyDescent="0.35">
      <c r="A81">
        <v>100080</v>
      </c>
      <c r="B81" s="3">
        <v>45979</v>
      </c>
      <c r="C81">
        <v>1057</v>
      </c>
      <c r="D81" t="s">
        <v>47</v>
      </c>
      <c r="E81" t="s">
        <v>53</v>
      </c>
      <c r="F81" t="s">
        <v>32</v>
      </c>
      <c r="G81" t="s">
        <v>63</v>
      </c>
      <c r="H81" t="s">
        <v>34</v>
      </c>
      <c r="I81" t="s">
        <v>42</v>
      </c>
      <c r="J81" s="4">
        <v>21.72</v>
      </c>
      <c r="K81" s="4">
        <v>12.59</v>
      </c>
      <c r="L81">
        <v>0</v>
      </c>
      <c r="M81" s="4">
        <v>0</v>
      </c>
      <c r="N81" s="4">
        <v>273.45</v>
      </c>
      <c r="O81" s="4">
        <v>151.74</v>
      </c>
      <c r="P81" s="4">
        <v>11.67</v>
      </c>
      <c r="Q81" s="4">
        <v>4.0999999999999996</v>
      </c>
      <c r="R81" s="4">
        <v>7.04</v>
      </c>
      <c r="S81" s="4">
        <v>0</v>
      </c>
      <c r="T81" s="4">
        <v>0</v>
      </c>
      <c r="U81" s="4">
        <v>174.55</v>
      </c>
      <c r="V81" s="4">
        <v>98.9</v>
      </c>
      <c r="W81" t="s">
        <v>21</v>
      </c>
      <c r="X81" t="s">
        <v>36</v>
      </c>
      <c r="Y81" s="4">
        <v>12</v>
      </c>
      <c r="Z81" s="4">
        <v>1</v>
      </c>
      <c r="AA81" t="s">
        <v>37</v>
      </c>
      <c r="AB81" t="s">
        <v>38</v>
      </c>
      <c r="AC81" s="7">
        <v>0</v>
      </c>
      <c r="AD81" t="s">
        <v>39</v>
      </c>
      <c r="AE81">
        <f t="shared" si="1"/>
        <v>0</v>
      </c>
    </row>
    <row r="82" spans="1:31" x14ac:dyDescent="0.35">
      <c r="A82">
        <v>100081</v>
      </c>
      <c r="B82" s="3">
        <v>45932</v>
      </c>
      <c r="C82">
        <v>1103</v>
      </c>
      <c r="D82" t="s">
        <v>59</v>
      </c>
      <c r="E82" t="s">
        <v>68</v>
      </c>
      <c r="F82" t="s">
        <v>71</v>
      </c>
      <c r="G82" t="s">
        <v>33</v>
      </c>
      <c r="H82" t="s">
        <v>57</v>
      </c>
      <c r="I82" t="s">
        <v>69</v>
      </c>
      <c r="J82" s="4">
        <v>28.7</v>
      </c>
      <c r="K82" s="4">
        <v>18.93</v>
      </c>
      <c r="L82">
        <v>0</v>
      </c>
      <c r="M82" s="4">
        <v>0</v>
      </c>
      <c r="N82" s="4">
        <v>543.29</v>
      </c>
      <c r="O82" s="4">
        <v>199.5</v>
      </c>
      <c r="P82" s="4">
        <v>3.94</v>
      </c>
      <c r="Q82" s="4">
        <v>2.17</v>
      </c>
      <c r="R82" s="4">
        <v>7.59</v>
      </c>
      <c r="S82" s="4">
        <v>0</v>
      </c>
      <c r="T82" s="4">
        <v>0</v>
      </c>
      <c r="U82" s="4">
        <v>213.2</v>
      </c>
      <c r="V82" s="4">
        <v>330.09</v>
      </c>
      <c r="W82" t="s">
        <v>21</v>
      </c>
      <c r="X82" t="s">
        <v>36</v>
      </c>
      <c r="Y82" s="4">
        <v>13</v>
      </c>
      <c r="Z82" s="4">
        <v>25</v>
      </c>
      <c r="AA82" t="s">
        <v>37</v>
      </c>
      <c r="AB82" t="s">
        <v>44</v>
      </c>
      <c r="AC82" s="7">
        <v>3</v>
      </c>
      <c r="AD82" t="s">
        <v>45</v>
      </c>
      <c r="AE82">
        <f t="shared" si="1"/>
        <v>1</v>
      </c>
    </row>
    <row r="83" spans="1:31" x14ac:dyDescent="0.35">
      <c r="A83">
        <v>100082</v>
      </c>
      <c r="B83" s="3">
        <v>45944</v>
      </c>
      <c r="C83">
        <v>1063</v>
      </c>
      <c r="D83" t="s">
        <v>59</v>
      </c>
      <c r="E83" t="s">
        <v>68</v>
      </c>
      <c r="F83" t="s">
        <v>61</v>
      </c>
      <c r="G83" t="s">
        <v>50</v>
      </c>
      <c r="H83" t="s">
        <v>34</v>
      </c>
      <c r="I83" t="s">
        <v>35</v>
      </c>
      <c r="J83" s="4">
        <v>26.62</v>
      </c>
      <c r="K83" s="4">
        <v>18.18</v>
      </c>
      <c r="L83">
        <v>10</v>
      </c>
      <c r="M83" s="4">
        <v>48.4</v>
      </c>
      <c r="N83" s="4">
        <v>435.55</v>
      </c>
      <c r="O83" s="4">
        <v>201.61</v>
      </c>
      <c r="P83" s="4">
        <v>2.71</v>
      </c>
      <c r="Q83" s="4">
        <v>3.39</v>
      </c>
      <c r="R83" s="4">
        <v>6.62</v>
      </c>
      <c r="S83" s="4">
        <v>0</v>
      </c>
      <c r="T83" s="4">
        <v>0</v>
      </c>
      <c r="U83" s="4">
        <v>214.33</v>
      </c>
      <c r="V83" s="4">
        <v>221.22</v>
      </c>
      <c r="W83" t="s">
        <v>21</v>
      </c>
      <c r="X83" t="s">
        <v>36</v>
      </c>
      <c r="Y83" s="4">
        <v>5</v>
      </c>
      <c r="Z83" s="4">
        <v>13</v>
      </c>
      <c r="AA83" t="s">
        <v>37</v>
      </c>
      <c r="AB83" t="s">
        <v>38</v>
      </c>
      <c r="AC83" s="7">
        <v>0</v>
      </c>
      <c r="AD83" t="s">
        <v>39</v>
      </c>
      <c r="AE83">
        <f t="shared" si="1"/>
        <v>0</v>
      </c>
    </row>
    <row r="84" spans="1:31" x14ac:dyDescent="0.35">
      <c r="A84">
        <v>100083</v>
      </c>
      <c r="B84" s="3">
        <v>46020</v>
      </c>
      <c r="C84">
        <v>1033</v>
      </c>
      <c r="D84" t="s">
        <v>47</v>
      </c>
      <c r="E84" t="s">
        <v>53</v>
      </c>
      <c r="F84" t="s">
        <v>49</v>
      </c>
      <c r="G84" t="s">
        <v>63</v>
      </c>
      <c r="H84" t="s">
        <v>57</v>
      </c>
      <c r="I84" t="s">
        <v>69</v>
      </c>
      <c r="J84" s="4">
        <v>27.63</v>
      </c>
      <c r="K84" s="4">
        <v>13.9</v>
      </c>
      <c r="L84">
        <v>0</v>
      </c>
      <c r="M84" s="4">
        <v>0</v>
      </c>
      <c r="N84" s="4">
        <v>384.06</v>
      </c>
      <c r="O84" s="4">
        <v>183.2</v>
      </c>
      <c r="P84" s="4">
        <v>7.31</v>
      </c>
      <c r="Q84" s="4">
        <v>1.54</v>
      </c>
      <c r="R84" s="4">
        <v>6.66</v>
      </c>
      <c r="S84" s="4">
        <v>0</v>
      </c>
      <c r="T84" s="4">
        <v>0</v>
      </c>
      <c r="U84" s="4">
        <v>198.71</v>
      </c>
      <c r="V84" s="4">
        <v>185.35</v>
      </c>
      <c r="W84" t="s">
        <v>21</v>
      </c>
      <c r="X84" t="s">
        <v>36</v>
      </c>
      <c r="Y84" s="4">
        <v>7</v>
      </c>
      <c r="Z84" s="4">
        <v>8</v>
      </c>
      <c r="AA84" t="s">
        <v>37</v>
      </c>
      <c r="AB84" t="s">
        <v>38</v>
      </c>
      <c r="AC84" s="7">
        <v>0</v>
      </c>
      <c r="AD84" t="s">
        <v>39</v>
      </c>
      <c r="AE84">
        <f t="shared" si="1"/>
        <v>0</v>
      </c>
    </row>
    <row r="85" spans="1:31" x14ac:dyDescent="0.35">
      <c r="A85">
        <v>100084</v>
      </c>
      <c r="B85" s="3">
        <v>45987</v>
      </c>
      <c r="C85">
        <v>1135</v>
      </c>
      <c r="D85" t="s">
        <v>47</v>
      </c>
      <c r="E85" t="s">
        <v>56</v>
      </c>
      <c r="F85" t="s">
        <v>41</v>
      </c>
      <c r="G85" t="s">
        <v>63</v>
      </c>
      <c r="H85" t="s">
        <v>34</v>
      </c>
      <c r="I85" t="s">
        <v>42</v>
      </c>
      <c r="J85" s="4">
        <v>7.8</v>
      </c>
      <c r="K85" s="4">
        <v>11.91</v>
      </c>
      <c r="L85">
        <v>10</v>
      </c>
      <c r="M85" s="4">
        <v>9.2899999999999991</v>
      </c>
      <c r="N85" s="4">
        <v>83.61</v>
      </c>
      <c r="O85" s="4">
        <v>49.81</v>
      </c>
      <c r="P85" s="4">
        <v>10.37</v>
      </c>
      <c r="Q85" s="4">
        <v>1.39</v>
      </c>
      <c r="R85" s="4">
        <v>6.56</v>
      </c>
      <c r="S85" s="4">
        <v>0</v>
      </c>
      <c r="T85" s="4">
        <v>0</v>
      </c>
      <c r="U85" s="4">
        <v>68.13</v>
      </c>
      <c r="V85" s="4">
        <v>15.48</v>
      </c>
      <c r="W85" t="s">
        <v>21</v>
      </c>
      <c r="X85" t="s">
        <v>36</v>
      </c>
      <c r="Y85" s="4">
        <v>44</v>
      </c>
      <c r="Z85" s="4">
        <v>7</v>
      </c>
      <c r="AA85" t="s">
        <v>43</v>
      </c>
      <c r="AB85" t="s">
        <v>44</v>
      </c>
      <c r="AC85" s="7">
        <v>1</v>
      </c>
      <c r="AD85" t="s">
        <v>45</v>
      </c>
      <c r="AE85">
        <f t="shared" si="1"/>
        <v>1</v>
      </c>
    </row>
    <row r="86" spans="1:31" x14ac:dyDescent="0.35">
      <c r="A86">
        <v>100085</v>
      </c>
      <c r="B86" s="3">
        <v>45995</v>
      </c>
      <c r="C86">
        <v>1119</v>
      </c>
      <c r="D86" t="s">
        <v>59</v>
      </c>
      <c r="E86" t="s">
        <v>73</v>
      </c>
      <c r="F86" t="s">
        <v>49</v>
      </c>
      <c r="G86" t="s">
        <v>33</v>
      </c>
      <c r="H86" t="s">
        <v>34</v>
      </c>
      <c r="I86" t="s">
        <v>35</v>
      </c>
      <c r="J86" s="4">
        <v>31.63</v>
      </c>
      <c r="K86" s="4">
        <v>19.54</v>
      </c>
      <c r="L86">
        <v>0</v>
      </c>
      <c r="M86" s="4">
        <v>0</v>
      </c>
      <c r="N86" s="4">
        <v>618.04999999999995</v>
      </c>
      <c r="O86" s="4">
        <v>236.36</v>
      </c>
      <c r="P86" s="4">
        <v>9.4600000000000009</v>
      </c>
      <c r="Q86" s="4">
        <v>4.33</v>
      </c>
      <c r="R86" s="4">
        <v>0</v>
      </c>
      <c r="S86" s="4">
        <v>0</v>
      </c>
      <c r="T86" s="4">
        <v>0</v>
      </c>
      <c r="U86" s="4">
        <v>250.15</v>
      </c>
      <c r="V86" s="4">
        <v>367.9</v>
      </c>
      <c r="W86" t="s">
        <v>21</v>
      </c>
      <c r="X86" t="s">
        <v>36</v>
      </c>
      <c r="Y86" s="4">
        <v>41</v>
      </c>
      <c r="Z86" s="4">
        <v>2</v>
      </c>
      <c r="AA86" t="s">
        <v>43</v>
      </c>
      <c r="AB86" t="s">
        <v>44</v>
      </c>
      <c r="AC86" s="7">
        <v>1</v>
      </c>
      <c r="AD86" t="s">
        <v>45</v>
      </c>
      <c r="AE86">
        <f t="shared" si="1"/>
        <v>1</v>
      </c>
    </row>
    <row r="87" spans="1:31" x14ac:dyDescent="0.35">
      <c r="A87">
        <v>100086</v>
      </c>
      <c r="B87" s="3">
        <v>45938</v>
      </c>
      <c r="C87">
        <v>1121</v>
      </c>
      <c r="D87" t="s">
        <v>64</v>
      </c>
      <c r="E87" t="s">
        <v>65</v>
      </c>
      <c r="F87" t="s">
        <v>32</v>
      </c>
      <c r="G87" t="s">
        <v>63</v>
      </c>
      <c r="H87" t="s">
        <v>57</v>
      </c>
      <c r="I87" t="s">
        <v>35</v>
      </c>
      <c r="J87" s="4">
        <v>7.2</v>
      </c>
      <c r="K87" s="4">
        <v>13.5</v>
      </c>
      <c r="L87">
        <v>10</v>
      </c>
      <c r="M87" s="4">
        <v>9.7200000000000006</v>
      </c>
      <c r="N87" s="4">
        <v>87.48</v>
      </c>
      <c r="O87" s="4">
        <v>47.97</v>
      </c>
      <c r="P87" s="4">
        <v>11.66</v>
      </c>
      <c r="Q87" s="4">
        <v>0.68</v>
      </c>
      <c r="R87" s="4">
        <v>6.85</v>
      </c>
      <c r="S87" s="4">
        <v>0</v>
      </c>
      <c r="T87" s="4">
        <v>0</v>
      </c>
      <c r="U87" s="4">
        <v>67.16</v>
      </c>
      <c r="V87" s="4">
        <v>20.32</v>
      </c>
      <c r="W87" t="s">
        <v>21</v>
      </c>
      <c r="X87" t="s">
        <v>36</v>
      </c>
      <c r="Y87" s="4">
        <v>3</v>
      </c>
      <c r="Z87" s="4">
        <v>10</v>
      </c>
      <c r="AA87" t="s">
        <v>37</v>
      </c>
      <c r="AB87" t="s">
        <v>38</v>
      </c>
      <c r="AC87" s="7">
        <v>0</v>
      </c>
      <c r="AD87" t="s">
        <v>39</v>
      </c>
      <c r="AE87">
        <f t="shared" si="1"/>
        <v>0</v>
      </c>
    </row>
    <row r="88" spans="1:31" x14ac:dyDescent="0.35">
      <c r="A88">
        <v>100087</v>
      </c>
      <c r="B88" s="3">
        <v>45944</v>
      </c>
      <c r="C88">
        <v>1129</v>
      </c>
      <c r="D88" t="s">
        <v>30</v>
      </c>
      <c r="E88" t="s">
        <v>62</v>
      </c>
      <c r="F88" t="s">
        <v>49</v>
      </c>
      <c r="G88" t="s">
        <v>33</v>
      </c>
      <c r="H88" t="s">
        <v>34</v>
      </c>
      <c r="I88" t="s">
        <v>69</v>
      </c>
      <c r="J88" s="4">
        <v>33.85</v>
      </c>
      <c r="K88" s="4">
        <v>19.2</v>
      </c>
      <c r="L88">
        <v>0</v>
      </c>
      <c r="M88" s="4">
        <v>0</v>
      </c>
      <c r="N88" s="4">
        <v>649.91999999999996</v>
      </c>
      <c r="O88" s="4">
        <v>252.19</v>
      </c>
      <c r="P88" s="4">
        <v>11.28</v>
      </c>
      <c r="Q88" s="4">
        <v>2.6</v>
      </c>
      <c r="R88" s="4">
        <v>5</v>
      </c>
      <c r="S88" s="4">
        <v>0</v>
      </c>
      <c r="T88" s="4">
        <v>0</v>
      </c>
      <c r="U88" s="4">
        <v>271.07</v>
      </c>
      <c r="V88" s="4">
        <v>378.85</v>
      </c>
      <c r="W88" t="s">
        <v>21</v>
      </c>
      <c r="X88" t="s">
        <v>36</v>
      </c>
      <c r="Y88" s="4">
        <v>13</v>
      </c>
      <c r="Z88" s="4">
        <v>4</v>
      </c>
      <c r="AA88" t="s">
        <v>37</v>
      </c>
      <c r="AB88" t="s">
        <v>38</v>
      </c>
      <c r="AC88" s="7">
        <v>0</v>
      </c>
      <c r="AD88" t="s">
        <v>39</v>
      </c>
      <c r="AE88">
        <f t="shared" si="1"/>
        <v>0</v>
      </c>
    </row>
    <row r="89" spans="1:31" x14ac:dyDescent="0.35">
      <c r="A89">
        <v>100088</v>
      </c>
      <c r="B89" s="3">
        <v>45981</v>
      </c>
      <c r="C89">
        <v>1045</v>
      </c>
      <c r="D89" t="s">
        <v>30</v>
      </c>
      <c r="E89" t="s">
        <v>72</v>
      </c>
      <c r="F89" t="s">
        <v>71</v>
      </c>
      <c r="G89" t="s">
        <v>63</v>
      </c>
      <c r="H89" t="s">
        <v>34</v>
      </c>
      <c r="I89" t="s">
        <v>35</v>
      </c>
      <c r="J89" s="4">
        <v>17.21</v>
      </c>
      <c r="K89" s="4">
        <v>12.21</v>
      </c>
      <c r="L89">
        <v>5</v>
      </c>
      <c r="M89" s="4">
        <v>10.51</v>
      </c>
      <c r="N89" s="4">
        <v>199.62</v>
      </c>
      <c r="O89" s="4">
        <v>142.88</v>
      </c>
      <c r="P89" s="4">
        <v>9.3800000000000008</v>
      </c>
      <c r="Q89" s="4">
        <v>1.47</v>
      </c>
      <c r="R89" s="4">
        <v>1.72</v>
      </c>
      <c r="S89" s="4">
        <v>0</v>
      </c>
      <c r="T89" s="4">
        <v>0</v>
      </c>
      <c r="U89" s="4">
        <v>155.44999999999999</v>
      </c>
      <c r="V89" s="4">
        <v>44.17</v>
      </c>
      <c r="W89" t="s">
        <v>21</v>
      </c>
      <c r="X89" t="s">
        <v>36</v>
      </c>
      <c r="Y89" s="4">
        <v>11</v>
      </c>
      <c r="Z89" s="4">
        <v>3</v>
      </c>
      <c r="AA89" t="s">
        <v>37</v>
      </c>
      <c r="AB89" t="s">
        <v>38</v>
      </c>
      <c r="AC89" s="7">
        <v>0</v>
      </c>
      <c r="AD89" t="s">
        <v>39</v>
      </c>
      <c r="AE89">
        <f t="shared" si="1"/>
        <v>0</v>
      </c>
    </row>
    <row r="90" spans="1:31" x14ac:dyDescent="0.35">
      <c r="A90">
        <v>100089</v>
      </c>
      <c r="B90" s="3">
        <v>45952</v>
      </c>
      <c r="C90">
        <v>1062</v>
      </c>
      <c r="D90" t="s">
        <v>47</v>
      </c>
      <c r="E90" t="s">
        <v>53</v>
      </c>
      <c r="F90" t="s">
        <v>61</v>
      </c>
      <c r="G90" t="s">
        <v>63</v>
      </c>
      <c r="H90" t="s">
        <v>34</v>
      </c>
      <c r="I90" t="s">
        <v>54</v>
      </c>
      <c r="J90" s="4">
        <v>12.85</v>
      </c>
      <c r="K90" s="4">
        <v>12.1</v>
      </c>
      <c r="L90">
        <v>0</v>
      </c>
      <c r="M90" s="4">
        <v>0</v>
      </c>
      <c r="N90" s="4">
        <v>155.47999999999999</v>
      </c>
      <c r="O90" s="4">
        <v>94.59</v>
      </c>
      <c r="P90" s="4">
        <v>10.85</v>
      </c>
      <c r="Q90" s="4">
        <v>1.87</v>
      </c>
      <c r="R90" s="4">
        <v>6.43</v>
      </c>
      <c r="S90" s="4">
        <v>0</v>
      </c>
      <c r="T90" s="4">
        <v>0</v>
      </c>
      <c r="U90" s="4">
        <v>113.74</v>
      </c>
      <c r="V90" s="4">
        <v>41.74</v>
      </c>
      <c r="W90" t="s">
        <v>21</v>
      </c>
      <c r="X90" t="s">
        <v>36</v>
      </c>
      <c r="Y90" s="4">
        <v>1</v>
      </c>
      <c r="Z90" s="4">
        <v>4</v>
      </c>
      <c r="AA90" t="s">
        <v>37</v>
      </c>
      <c r="AB90" t="s">
        <v>38</v>
      </c>
      <c r="AC90" s="7">
        <v>0</v>
      </c>
      <c r="AD90" t="s">
        <v>39</v>
      </c>
      <c r="AE90">
        <f t="shared" si="1"/>
        <v>0</v>
      </c>
    </row>
    <row r="91" spans="1:31" x14ac:dyDescent="0.35">
      <c r="A91">
        <v>100090</v>
      </c>
      <c r="B91" s="3">
        <v>45938</v>
      </c>
      <c r="C91">
        <v>1006</v>
      </c>
      <c r="D91" t="s">
        <v>30</v>
      </c>
      <c r="E91" t="s">
        <v>31</v>
      </c>
      <c r="F91" t="s">
        <v>41</v>
      </c>
      <c r="G91" t="s">
        <v>50</v>
      </c>
      <c r="H91" t="s">
        <v>34</v>
      </c>
      <c r="I91" t="s">
        <v>35</v>
      </c>
      <c r="J91" s="4">
        <v>34.33</v>
      </c>
      <c r="K91" s="4">
        <v>17.43</v>
      </c>
      <c r="L91">
        <v>10</v>
      </c>
      <c r="M91" s="4">
        <v>59.84</v>
      </c>
      <c r="N91" s="4">
        <v>538.53</v>
      </c>
      <c r="O91" s="4">
        <v>259.83999999999997</v>
      </c>
      <c r="P91" s="4">
        <v>8.1300000000000008</v>
      </c>
      <c r="Q91" s="4">
        <v>4.1900000000000004</v>
      </c>
      <c r="R91" s="4">
        <v>0</v>
      </c>
      <c r="S91" s="4">
        <v>0</v>
      </c>
      <c r="T91" s="4">
        <v>0</v>
      </c>
      <c r="U91" s="4">
        <v>272.16000000000003</v>
      </c>
      <c r="V91" s="4">
        <v>266.37</v>
      </c>
      <c r="W91" t="s">
        <v>21</v>
      </c>
      <c r="X91" t="s">
        <v>36</v>
      </c>
      <c r="Y91" s="4">
        <v>1</v>
      </c>
      <c r="Z91" s="4">
        <v>1</v>
      </c>
      <c r="AA91" t="s">
        <v>37</v>
      </c>
      <c r="AB91" t="s">
        <v>38</v>
      </c>
      <c r="AC91" s="7">
        <v>0</v>
      </c>
      <c r="AD91" t="s">
        <v>39</v>
      </c>
      <c r="AE91">
        <f t="shared" si="1"/>
        <v>0</v>
      </c>
    </row>
    <row r="92" spans="1:31" x14ac:dyDescent="0.35">
      <c r="A92">
        <v>100091</v>
      </c>
      <c r="B92" s="3">
        <v>45971</v>
      </c>
      <c r="C92">
        <v>1018</v>
      </c>
      <c r="D92" t="s">
        <v>30</v>
      </c>
      <c r="E92" t="s">
        <v>62</v>
      </c>
      <c r="F92" t="s">
        <v>49</v>
      </c>
      <c r="G92" t="s">
        <v>63</v>
      </c>
      <c r="H92" t="s">
        <v>34</v>
      </c>
      <c r="I92" t="s">
        <v>35</v>
      </c>
      <c r="J92" s="4">
        <v>25.1</v>
      </c>
      <c r="K92" s="4">
        <v>13.06</v>
      </c>
      <c r="L92">
        <v>0</v>
      </c>
      <c r="M92" s="4">
        <v>0</v>
      </c>
      <c r="N92" s="4">
        <v>327.81</v>
      </c>
      <c r="O92" s="4">
        <v>138.49</v>
      </c>
      <c r="P92" s="4">
        <v>9.5500000000000007</v>
      </c>
      <c r="Q92" s="4">
        <v>2.29</v>
      </c>
      <c r="R92" s="4">
        <v>0.89</v>
      </c>
      <c r="S92" s="4">
        <v>0</v>
      </c>
      <c r="T92" s="4">
        <v>0</v>
      </c>
      <c r="U92" s="4">
        <v>151.22</v>
      </c>
      <c r="V92" s="4">
        <v>176.59</v>
      </c>
      <c r="W92" t="s">
        <v>21</v>
      </c>
      <c r="X92" t="s">
        <v>36</v>
      </c>
      <c r="Y92" s="4">
        <v>0</v>
      </c>
      <c r="Z92" s="4">
        <v>0</v>
      </c>
      <c r="AA92" t="s">
        <v>37</v>
      </c>
      <c r="AB92" t="s">
        <v>38</v>
      </c>
      <c r="AC92" s="7">
        <v>0</v>
      </c>
      <c r="AD92" t="s">
        <v>39</v>
      </c>
      <c r="AE92">
        <f t="shared" si="1"/>
        <v>0</v>
      </c>
    </row>
    <row r="93" spans="1:31" x14ac:dyDescent="0.35">
      <c r="A93">
        <v>100092</v>
      </c>
      <c r="B93" s="3">
        <v>45935</v>
      </c>
      <c r="C93">
        <v>1054</v>
      </c>
      <c r="D93" t="s">
        <v>59</v>
      </c>
      <c r="E93" t="s">
        <v>68</v>
      </c>
      <c r="F93" t="s">
        <v>49</v>
      </c>
      <c r="G93" t="s">
        <v>50</v>
      </c>
      <c r="H93" t="s">
        <v>57</v>
      </c>
      <c r="I93" t="s">
        <v>42</v>
      </c>
      <c r="J93" s="4">
        <v>30.54</v>
      </c>
      <c r="K93" s="4">
        <v>16.649999999999999</v>
      </c>
      <c r="L93">
        <v>10</v>
      </c>
      <c r="M93" s="4">
        <v>50.85</v>
      </c>
      <c r="N93" s="4">
        <v>457.64</v>
      </c>
      <c r="O93" s="4">
        <v>230.79</v>
      </c>
      <c r="P93" s="4">
        <v>8.15</v>
      </c>
      <c r="Q93" s="4">
        <v>7.63</v>
      </c>
      <c r="R93" s="4">
        <v>6.54</v>
      </c>
      <c r="S93" s="4">
        <v>335.64</v>
      </c>
      <c r="T93" s="4">
        <v>23.44</v>
      </c>
      <c r="U93" s="4">
        <v>612.19000000000005</v>
      </c>
      <c r="V93" s="4">
        <v>-154.55000000000001</v>
      </c>
      <c r="W93" t="s">
        <v>58</v>
      </c>
      <c r="X93" t="s">
        <v>66</v>
      </c>
      <c r="Y93" s="4">
        <v>5</v>
      </c>
      <c r="Z93" s="4">
        <v>1</v>
      </c>
      <c r="AA93" t="s">
        <v>37</v>
      </c>
      <c r="AB93" t="s">
        <v>38</v>
      </c>
      <c r="AC93" s="7">
        <v>1</v>
      </c>
      <c r="AD93" t="s">
        <v>45</v>
      </c>
      <c r="AE93">
        <f t="shared" si="1"/>
        <v>0</v>
      </c>
    </row>
    <row r="94" spans="1:31" x14ac:dyDescent="0.35">
      <c r="A94">
        <v>100093</v>
      </c>
      <c r="B94" s="3">
        <v>45949</v>
      </c>
      <c r="C94">
        <v>1144</v>
      </c>
      <c r="D94" t="s">
        <v>64</v>
      </c>
      <c r="E94" t="s">
        <v>67</v>
      </c>
      <c r="F94" t="s">
        <v>41</v>
      </c>
      <c r="G94" t="s">
        <v>63</v>
      </c>
      <c r="H94" t="s">
        <v>57</v>
      </c>
      <c r="I94" t="s">
        <v>35</v>
      </c>
      <c r="J94" s="4">
        <v>7.87</v>
      </c>
      <c r="K94" s="4">
        <v>13.09</v>
      </c>
      <c r="L94">
        <v>10</v>
      </c>
      <c r="M94" s="4">
        <v>10.3</v>
      </c>
      <c r="N94" s="4">
        <v>92.72</v>
      </c>
      <c r="O94" s="4">
        <v>72.91</v>
      </c>
      <c r="P94" s="4">
        <v>8.65</v>
      </c>
      <c r="Q94" s="4">
        <v>0.72</v>
      </c>
      <c r="R94" s="4">
        <v>10</v>
      </c>
      <c r="S94" s="4">
        <v>0</v>
      </c>
      <c r="T94" s="4">
        <v>0</v>
      </c>
      <c r="U94" s="4">
        <v>92.28</v>
      </c>
      <c r="V94" s="4">
        <v>0.44</v>
      </c>
      <c r="W94" t="s">
        <v>21</v>
      </c>
      <c r="X94" t="s">
        <v>36</v>
      </c>
      <c r="Y94" s="4">
        <v>1</v>
      </c>
      <c r="Z94" s="4">
        <v>5</v>
      </c>
      <c r="AA94" t="s">
        <v>37</v>
      </c>
      <c r="AB94" t="s">
        <v>38</v>
      </c>
      <c r="AC94" s="7">
        <v>0</v>
      </c>
      <c r="AD94" t="s">
        <v>39</v>
      </c>
      <c r="AE94">
        <f t="shared" si="1"/>
        <v>0</v>
      </c>
    </row>
    <row r="95" spans="1:31" x14ac:dyDescent="0.35">
      <c r="A95">
        <v>100094</v>
      </c>
      <c r="B95" s="3">
        <v>45941</v>
      </c>
      <c r="C95">
        <v>1133</v>
      </c>
      <c r="D95" t="s">
        <v>64</v>
      </c>
      <c r="E95" t="s">
        <v>65</v>
      </c>
      <c r="F95" t="s">
        <v>41</v>
      </c>
      <c r="G95" t="s">
        <v>63</v>
      </c>
      <c r="H95" t="s">
        <v>34</v>
      </c>
      <c r="I95" t="s">
        <v>35</v>
      </c>
      <c r="J95" s="4">
        <v>11.13</v>
      </c>
      <c r="K95" s="4">
        <v>11.96</v>
      </c>
      <c r="L95">
        <v>0</v>
      </c>
      <c r="M95" s="4">
        <v>0</v>
      </c>
      <c r="N95" s="4">
        <v>133.11000000000001</v>
      </c>
      <c r="O95" s="4">
        <v>62.62</v>
      </c>
      <c r="P95" s="4">
        <v>3.88</v>
      </c>
      <c r="Q95" s="4">
        <v>0.93</v>
      </c>
      <c r="R95" s="4">
        <v>1.45</v>
      </c>
      <c r="S95" s="4">
        <v>0</v>
      </c>
      <c r="T95" s="4">
        <v>0</v>
      </c>
      <c r="U95" s="4">
        <v>68.88</v>
      </c>
      <c r="V95" s="4">
        <v>64.23</v>
      </c>
      <c r="W95" t="s">
        <v>21</v>
      </c>
      <c r="X95" t="s">
        <v>36</v>
      </c>
      <c r="Y95" s="4">
        <v>34</v>
      </c>
      <c r="Z95" s="4">
        <v>6</v>
      </c>
      <c r="AA95" t="s">
        <v>43</v>
      </c>
      <c r="AB95" t="s">
        <v>44</v>
      </c>
      <c r="AC95" s="7">
        <v>1</v>
      </c>
      <c r="AD95" t="s">
        <v>45</v>
      </c>
      <c r="AE95">
        <f t="shared" si="1"/>
        <v>1</v>
      </c>
    </row>
    <row r="96" spans="1:31" x14ac:dyDescent="0.35">
      <c r="A96">
        <v>100095</v>
      </c>
      <c r="B96" s="3">
        <v>45951</v>
      </c>
      <c r="C96">
        <v>1075</v>
      </c>
      <c r="D96" t="s">
        <v>30</v>
      </c>
      <c r="E96" t="s">
        <v>72</v>
      </c>
      <c r="F96" t="s">
        <v>61</v>
      </c>
      <c r="G96" t="s">
        <v>63</v>
      </c>
      <c r="H96" t="s">
        <v>34</v>
      </c>
      <c r="I96" t="s">
        <v>35</v>
      </c>
      <c r="J96" s="4">
        <v>16.489999999999998</v>
      </c>
      <c r="K96" s="4">
        <v>11.42</v>
      </c>
      <c r="L96">
        <v>15</v>
      </c>
      <c r="M96" s="4">
        <v>28.25</v>
      </c>
      <c r="N96" s="4">
        <v>160.07</v>
      </c>
      <c r="O96" s="4">
        <v>124.38</v>
      </c>
      <c r="P96" s="4">
        <v>10.38</v>
      </c>
      <c r="Q96" s="4">
        <v>1.32</v>
      </c>
      <c r="R96" s="4">
        <v>0.8</v>
      </c>
      <c r="S96" s="4">
        <v>0</v>
      </c>
      <c r="T96" s="4">
        <v>0</v>
      </c>
      <c r="U96" s="4">
        <v>136.88</v>
      </c>
      <c r="V96" s="4">
        <v>23.19</v>
      </c>
      <c r="W96" t="s">
        <v>21</v>
      </c>
      <c r="X96" t="s">
        <v>36</v>
      </c>
      <c r="Y96" s="4">
        <v>32</v>
      </c>
      <c r="Z96" s="4">
        <v>17</v>
      </c>
      <c r="AA96" t="s">
        <v>43</v>
      </c>
      <c r="AB96" t="s">
        <v>44</v>
      </c>
      <c r="AC96" s="7">
        <v>2</v>
      </c>
      <c r="AD96" t="s">
        <v>45</v>
      </c>
      <c r="AE96">
        <f t="shared" si="1"/>
        <v>1</v>
      </c>
    </row>
    <row r="97" spans="1:31" x14ac:dyDescent="0.35">
      <c r="A97">
        <v>100096</v>
      </c>
      <c r="B97" s="3">
        <v>45973</v>
      </c>
      <c r="C97">
        <v>1013</v>
      </c>
      <c r="D97" t="s">
        <v>47</v>
      </c>
      <c r="E97" t="s">
        <v>48</v>
      </c>
      <c r="F97" t="s">
        <v>71</v>
      </c>
      <c r="G97" t="s">
        <v>63</v>
      </c>
      <c r="H97" t="s">
        <v>34</v>
      </c>
      <c r="I97" t="s">
        <v>35</v>
      </c>
      <c r="J97" s="4">
        <v>18.89</v>
      </c>
      <c r="K97" s="4">
        <v>13.6</v>
      </c>
      <c r="L97">
        <v>0</v>
      </c>
      <c r="M97" s="4">
        <v>0</v>
      </c>
      <c r="N97" s="4">
        <v>256.89999999999998</v>
      </c>
      <c r="O97" s="4">
        <v>151.30000000000001</v>
      </c>
      <c r="P97" s="4">
        <v>10.39</v>
      </c>
      <c r="Q97" s="4">
        <v>1.8</v>
      </c>
      <c r="R97" s="4">
        <v>11.94</v>
      </c>
      <c r="S97" s="4">
        <v>0</v>
      </c>
      <c r="T97" s="4">
        <v>0</v>
      </c>
      <c r="U97" s="4">
        <v>175.43</v>
      </c>
      <c r="V97" s="4">
        <v>81.47</v>
      </c>
      <c r="W97" t="s">
        <v>21</v>
      </c>
      <c r="X97" t="s">
        <v>36</v>
      </c>
      <c r="Y97" s="4">
        <v>9</v>
      </c>
      <c r="Z97" s="4">
        <v>8</v>
      </c>
      <c r="AA97" t="s">
        <v>37</v>
      </c>
      <c r="AB97" t="s">
        <v>38</v>
      </c>
      <c r="AC97" s="7">
        <v>0</v>
      </c>
      <c r="AD97" t="s">
        <v>39</v>
      </c>
      <c r="AE97">
        <f t="shared" si="1"/>
        <v>0</v>
      </c>
    </row>
    <row r="98" spans="1:31" x14ac:dyDescent="0.35">
      <c r="A98">
        <v>100097</v>
      </c>
      <c r="B98" s="3">
        <v>45991</v>
      </c>
      <c r="C98">
        <v>1080</v>
      </c>
      <c r="D98" t="s">
        <v>47</v>
      </c>
      <c r="E98" t="s">
        <v>56</v>
      </c>
      <c r="F98" t="s">
        <v>61</v>
      </c>
      <c r="G98" t="s">
        <v>50</v>
      </c>
      <c r="H98" t="s">
        <v>34</v>
      </c>
      <c r="I98" t="s">
        <v>35</v>
      </c>
      <c r="J98" s="4">
        <v>31.36</v>
      </c>
      <c r="K98" s="4">
        <v>17.37</v>
      </c>
      <c r="L98">
        <v>10</v>
      </c>
      <c r="M98" s="4">
        <v>54.47</v>
      </c>
      <c r="N98" s="4">
        <v>490.25</v>
      </c>
      <c r="O98" s="4">
        <v>251.74</v>
      </c>
      <c r="P98" s="4">
        <v>7.34</v>
      </c>
      <c r="Q98" s="4">
        <v>3.81</v>
      </c>
      <c r="R98" s="4">
        <v>0</v>
      </c>
      <c r="S98" s="4">
        <v>331.47</v>
      </c>
      <c r="T98" s="4">
        <v>0</v>
      </c>
      <c r="U98" s="4">
        <v>594.36</v>
      </c>
      <c r="V98" s="4">
        <v>-104.11</v>
      </c>
      <c r="W98" t="s">
        <v>58</v>
      </c>
      <c r="X98" t="s">
        <v>66</v>
      </c>
      <c r="Y98" s="4">
        <v>8</v>
      </c>
      <c r="Z98" s="4">
        <v>20</v>
      </c>
      <c r="AA98" t="s">
        <v>37</v>
      </c>
      <c r="AB98" t="s">
        <v>44</v>
      </c>
      <c r="AC98" s="7">
        <v>2</v>
      </c>
      <c r="AD98" t="s">
        <v>45</v>
      </c>
      <c r="AE98">
        <f t="shared" si="1"/>
        <v>1</v>
      </c>
    </row>
    <row r="99" spans="1:31" x14ac:dyDescent="0.35">
      <c r="A99">
        <v>100098</v>
      </c>
      <c r="B99" s="3">
        <v>45945</v>
      </c>
      <c r="C99">
        <v>1073</v>
      </c>
      <c r="D99" t="s">
        <v>47</v>
      </c>
      <c r="E99" t="s">
        <v>56</v>
      </c>
      <c r="F99" t="s">
        <v>32</v>
      </c>
      <c r="G99" t="s">
        <v>63</v>
      </c>
      <c r="H99" t="s">
        <v>34</v>
      </c>
      <c r="I99" t="s">
        <v>54</v>
      </c>
      <c r="J99" s="4">
        <v>20.58</v>
      </c>
      <c r="K99" s="4">
        <v>13.11</v>
      </c>
      <c r="L99">
        <v>0</v>
      </c>
      <c r="M99" s="4">
        <v>0</v>
      </c>
      <c r="N99" s="4">
        <v>269.8</v>
      </c>
      <c r="O99" s="4">
        <v>149.47</v>
      </c>
      <c r="P99" s="4">
        <v>12.52</v>
      </c>
      <c r="Q99" s="4">
        <v>3.24</v>
      </c>
      <c r="R99" s="4">
        <v>5.0599999999999996</v>
      </c>
      <c r="S99" s="4">
        <v>252.62</v>
      </c>
      <c r="T99" s="4">
        <v>0</v>
      </c>
      <c r="U99" s="4">
        <v>422.91</v>
      </c>
      <c r="V99" s="4">
        <v>-153.11000000000001</v>
      </c>
      <c r="W99" t="s">
        <v>58</v>
      </c>
      <c r="X99" t="s">
        <v>66</v>
      </c>
      <c r="Y99" s="4">
        <v>7</v>
      </c>
      <c r="Z99" s="4">
        <v>47</v>
      </c>
      <c r="AA99" t="s">
        <v>37</v>
      </c>
      <c r="AB99" t="s">
        <v>44</v>
      </c>
      <c r="AC99" s="7">
        <v>3</v>
      </c>
      <c r="AD99" t="s">
        <v>45</v>
      </c>
      <c r="AE99">
        <f t="shared" si="1"/>
        <v>1</v>
      </c>
    </row>
    <row r="100" spans="1:31" x14ac:dyDescent="0.35">
      <c r="A100">
        <v>100099</v>
      </c>
      <c r="B100" s="3">
        <v>46022</v>
      </c>
      <c r="C100">
        <v>1050</v>
      </c>
      <c r="D100" t="s">
        <v>64</v>
      </c>
      <c r="E100" t="s">
        <v>76</v>
      </c>
      <c r="F100" t="s">
        <v>41</v>
      </c>
      <c r="G100" t="s">
        <v>63</v>
      </c>
      <c r="H100" t="s">
        <v>57</v>
      </c>
      <c r="I100" t="s">
        <v>35</v>
      </c>
      <c r="J100" s="4">
        <v>30.2</v>
      </c>
      <c r="K100" s="4">
        <v>12.39</v>
      </c>
      <c r="L100">
        <v>0</v>
      </c>
      <c r="M100" s="4">
        <v>0</v>
      </c>
      <c r="N100" s="4">
        <v>374.18</v>
      </c>
      <c r="O100" s="4">
        <v>230.22</v>
      </c>
      <c r="P100" s="4">
        <v>2.4</v>
      </c>
      <c r="Q100" s="4">
        <v>2.62</v>
      </c>
      <c r="R100" s="4">
        <v>0</v>
      </c>
      <c r="S100" s="4">
        <v>0</v>
      </c>
      <c r="T100" s="4">
        <v>0</v>
      </c>
      <c r="U100" s="4">
        <v>235.24</v>
      </c>
      <c r="V100" s="4">
        <v>138.94</v>
      </c>
      <c r="W100" t="s">
        <v>21</v>
      </c>
      <c r="X100" t="s">
        <v>36</v>
      </c>
      <c r="Y100" s="4">
        <v>8</v>
      </c>
      <c r="Z100" s="4">
        <v>2</v>
      </c>
      <c r="AA100" t="s">
        <v>37</v>
      </c>
      <c r="AB100" t="s">
        <v>38</v>
      </c>
      <c r="AC100" s="7">
        <v>0</v>
      </c>
      <c r="AD100" t="s">
        <v>39</v>
      </c>
      <c r="AE100">
        <f t="shared" si="1"/>
        <v>0</v>
      </c>
    </row>
    <row r="101" spans="1:31" x14ac:dyDescent="0.35">
      <c r="A101">
        <v>100100</v>
      </c>
      <c r="B101" s="3">
        <v>45999</v>
      </c>
      <c r="C101">
        <v>1005</v>
      </c>
      <c r="D101" t="s">
        <v>59</v>
      </c>
      <c r="E101" t="s">
        <v>73</v>
      </c>
      <c r="F101" t="s">
        <v>32</v>
      </c>
      <c r="G101" t="s">
        <v>46</v>
      </c>
      <c r="H101" t="s">
        <v>34</v>
      </c>
      <c r="I101" t="s">
        <v>35</v>
      </c>
      <c r="J101" s="4">
        <v>32.39</v>
      </c>
      <c r="K101" s="4">
        <v>14.34</v>
      </c>
      <c r="L101">
        <v>15</v>
      </c>
      <c r="M101" s="4">
        <v>69.67</v>
      </c>
      <c r="N101" s="4">
        <v>394.8</v>
      </c>
      <c r="O101" s="4">
        <v>239.7</v>
      </c>
      <c r="P101" s="4">
        <v>11.56</v>
      </c>
      <c r="Q101" s="4">
        <v>3.25</v>
      </c>
      <c r="R101" s="4">
        <v>0.95</v>
      </c>
      <c r="S101" s="4">
        <v>0</v>
      </c>
      <c r="T101" s="4">
        <v>0</v>
      </c>
      <c r="U101" s="4">
        <v>255.46</v>
      </c>
      <c r="V101" s="4">
        <v>139.34</v>
      </c>
      <c r="W101" t="s">
        <v>21</v>
      </c>
      <c r="X101" t="s">
        <v>36</v>
      </c>
      <c r="Y101" s="4">
        <v>19</v>
      </c>
      <c r="Z101" s="4">
        <v>5</v>
      </c>
      <c r="AA101" t="s">
        <v>52</v>
      </c>
      <c r="AB101" t="s">
        <v>38</v>
      </c>
      <c r="AC101" s="7">
        <v>0</v>
      </c>
      <c r="AD101" t="s">
        <v>39</v>
      </c>
      <c r="AE101">
        <f t="shared" si="1"/>
        <v>0</v>
      </c>
    </row>
    <row r="102" spans="1:31" x14ac:dyDescent="0.35">
      <c r="A102">
        <v>100101</v>
      </c>
      <c r="B102" s="3">
        <v>46007</v>
      </c>
      <c r="C102">
        <v>1136</v>
      </c>
      <c r="D102" t="s">
        <v>30</v>
      </c>
      <c r="E102" t="s">
        <v>31</v>
      </c>
      <c r="F102" t="s">
        <v>71</v>
      </c>
      <c r="G102" t="s">
        <v>50</v>
      </c>
      <c r="H102" t="s">
        <v>57</v>
      </c>
      <c r="I102" t="s">
        <v>35</v>
      </c>
      <c r="J102" s="4">
        <v>29.29</v>
      </c>
      <c r="K102" s="4">
        <v>17.2</v>
      </c>
      <c r="L102">
        <v>5</v>
      </c>
      <c r="M102" s="4">
        <v>25.19</v>
      </c>
      <c r="N102" s="4">
        <v>478.6</v>
      </c>
      <c r="O102" s="4">
        <v>234.25</v>
      </c>
      <c r="P102" s="4">
        <v>11.53</v>
      </c>
      <c r="Q102" s="4">
        <v>3.53</v>
      </c>
      <c r="R102" s="4">
        <v>3.17</v>
      </c>
      <c r="S102" s="4">
        <v>0</v>
      </c>
      <c r="T102" s="4">
        <v>0</v>
      </c>
      <c r="U102" s="4">
        <v>252.48</v>
      </c>
      <c r="V102" s="4">
        <v>226.12</v>
      </c>
      <c r="W102" t="s">
        <v>21</v>
      </c>
      <c r="X102" t="s">
        <v>36</v>
      </c>
      <c r="Y102" s="4">
        <v>42</v>
      </c>
      <c r="Z102" s="4">
        <v>0</v>
      </c>
      <c r="AA102" t="s">
        <v>43</v>
      </c>
      <c r="AB102" t="s">
        <v>44</v>
      </c>
      <c r="AC102" s="7">
        <v>2</v>
      </c>
      <c r="AD102" t="s">
        <v>45</v>
      </c>
      <c r="AE102">
        <f t="shared" si="1"/>
        <v>1</v>
      </c>
    </row>
    <row r="103" spans="1:31" x14ac:dyDescent="0.35">
      <c r="A103">
        <v>100102</v>
      </c>
      <c r="B103" s="3">
        <v>46017</v>
      </c>
      <c r="C103">
        <v>1005</v>
      </c>
      <c r="D103" t="s">
        <v>59</v>
      </c>
      <c r="E103" t="s">
        <v>60</v>
      </c>
      <c r="F103" t="s">
        <v>71</v>
      </c>
      <c r="G103" t="s">
        <v>63</v>
      </c>
      <c r="H103" t="s">
        <v>34</v>
      </c>
      <c r="I103" t="s">
        <v>69</v>
      </c>
      <c r="J103" s="4">
        <v>15.08</v>
      </c>
      <c r="K103" s="4">
        <v>12.86</v>
      </c>
      <c r="L103">
        <v>0</v>
      </c>
      <c r="M103" s="4">
        <v>0</v>
      </c>
      <c r="N103" s="4">
        <v>193.93</v>
      </c>
      <c r="O103" s="4">
        <v>122.28</v>
      </c>
      <c r="P103" s="4">
        <v>7.03</v>
      </c>
      <c r="Q103" s="4">
        <v>0.78</v>
      </c>
      <c r="R103" s="4">
        <v>5.5</v>
      </c>
      <c r="S103" s="4">
        <v>0</v>
      </c>
      <c r="T103" s="4">
        <v>0</v>
      </c>
      <c r="U103" s="4">
        <v>135.59</v>
      </c>
      <c r="V103" s="4">
        <v>58.34</v>
      </c>
      <c r="W103" t="s">
        <v>21</v>
      </c>
      <c r="X103" t="s">
        <v>36</v>
      </c>
      <c r="Y103" s="4">
        <v>11</v>
      </c>
      <c r="Z103" s="4">
        <v>0</v>
      </c>
      <c r="AA103" t="s">
        <v>37</v>
      </c>
      <c r="AB103" t="s">
        <v>38</v>
      </c>
      <c r="AC103" s="7">
        <v>0</v>
      </c>
      <c r="AD103" t="s">
        <v>39</v>
      </c>
      <c r="AE103">
        <f t="shared" si="1"/>
        <v>0</v>
      </c>
    </row>
    <row r="104" spans="1:31" x14ac:dyDescent="0.35">
      <c r="A104">
        <v>100103</v>
      </c>
      <c r="B104" s="3">
        <v>45990</v>
      </c>
      <c r="C104">
        <v>1089</v>
      </c>
      <c r="D104" t="s">
        <v>64</v>
      </c>
      <c r="E104" t="s">
        <v>76</v>
      </c>
      <c r="F104" t="s">
        <v>61</v>
      </c>
      <c r="G104" t="s">
        <v>33</v>
      </c>
      <c r="H104" t="s">
        <v>57</v>
      </c>
      <c r="I104" t="s">
        <v>35</v>
      </c>
      <c r="J104" s="4">
        <v>22.97</v>
      </c>
      <c r="K104" s="4">
        <v>19.05</v>
      </c>
      <c r="L104">
        <v>5</v>
      </c>
      <c r="M104" s="4">
        <v>21.88</v>
      </c>
      <c r="N104" s="4">
        <v>415.7</v>
      </c>
      <c r="O104" s="4">
        <v>174.82</v>
      </c>
      <c r="P104" s="4">
        <v>8.25</v>
      </c>
      <c r="Q104" s="4">
        <v>3.06</v>
      </c>
      <c r="R104" s="4">
        <v>6.51</v>
      </c>
      <c r="S104" s="4">
        <v>0</v>
      </c>
      <c r="T104" s="4">
        <v>0</v>
      </c>
      <c r="U104" s="4">
        <v>192.64</v>
      </c>
      <c r="V104" s="4">
        <v>223.06</v>
      </c>
      <c r="W104" t="s">
        <v>21</v>
      </c>
      <c r="X104" t="s">
        <v>36</v>
      </c>
      <c r="Y104" s="4">
        <v>7</v>
      </c>
      <c r="Z104" s="4">
        <v>9</v>
      </c>
      <c r="AA104" t="s">
        <v>37</v>
      </c>
      <c r="AB104" t="s">
        <v>38</v>
      </c>
      <c r="AC104" s="7">
        <v>0</v>
      </c>
      <c r="AD104" t="s">
        <v>39</v>
      </c>
      <c r="AE104">
        <f t="shared" si="1"/>
        <v>0</v>
      </c>
    </row>
    <row r="105" spans="1:31" x14ac:dyDescent="0.35">
      <c r="A105">
        <v>100104</v>
      </c>
      <c r="B105" s="3">
        <v>45936</v>
      </c>
      <c r="C105">
        <v>1142</v>
      </c>
      <c r="D105" t="s">
        <v>30</v>
      </c>
      <c r="E105" t="s">
        <v>31</v>
      </c>
      <c r="F105" t="s">
        <v>41</v>
      </c>
      <c r="G105" t="s">
        <v>46</v>
      </c>
      <c r="H105" t="s">
        <v>34</v>
      </c>
      <c r="I105" t="s">
        <v>54</v>
      </c>
      <c r="J105" s="4">
        <v>23.55</v>
      </c>
      <c r="K105" s="4">
        <v>15.34</v>
      </c>
      <c r="L105">
        <v>10</v>
      </c>
      <c r="M105" s="4">
        <v>36.130000000000003</v>
      </c>
      <c r="N105" s="4">
        <v>325.13</v>
      </c>
      <c r="O105" s="4">
        <v>180.47</v>
      </c>
      <c r="P105" s="4">
        <v>10.08</v>
      </c>
      <c r="Q105" s="4">
        <v>4.34</v>
      </c>
      <c r="R105" s="4">
        <v>6.52</v>
      </c>
      <c r="S105" s="4">
        <v>308.64</v>
      </c>
      <c r="T105" s="4">
        <v>0</v>
      </c>
      <c r="U105" s="4">
        <v>510.05</v>
      </c>
      <c r="V105" s="4">
        <v>-184.92</v>
      </c>
      <c r="W105" t="s">
        <v>58</v>
      </c>
      <c r="X105" t="s">
        <v>66</v>
      </c>
      <c r="Y105" s="4">
        <v>36</v>
      </c>
      <c r="Z105" s="4">
        <v>10</v>
      </c>
      <c r="AA105" t="s">
        <v>43</v>
      </c>
      <c r="AB105" t="s">
        <v>44</v>
      </c>
      <c r="AC105" s="7">
        <v>4</v>
      </c>
      <c r="AD105" t="s">
        <v>45</v>
      </c>
      <c r="AE105">
        <f t="shared" si="1"/>
        <v>1</v>
      </c>
    </row>
    <row r="106" spans="1:31" x14ac:dyDescent="0.35">
      <c r="A106">
        <v>100105</v>
      </c>
      <c r="B106" s="3">
        <v>45954</v>
      </c>
      <c r="C106">
        <v>1061</v>
      </c>
      <c r="D106" t="s">
        <v>64</v>
      </c>
      <c r="E106" t="s">
        <v>65</v>
      </c>
      <c r="F106" t="s">
        <v>71</v>
      </c>
      <c r="G106" t="s">
        <v>46</v>
      </c>
      <c r="H106" t="s">
        <v>34</v>
      </c>
      <c r="I106" t="s">
        <v>35</v>
      </c>
      <c r="J106" s="4">
        <v>29.15</v>
      </c>
      <c r="K106" s="4">
        <v>15.31</v>
      </c>
      <c r="L106">
        <v>0</v>
      </c>
      <c r="M106" s="4">
        <v>0</v>
      </c>
      <c r="N106" s="4">
        <v>446.29</v>
      </c>
      <c r="O106" s="4">
        <v>183.14</v>
      </c>
      <c r="P106" s="4">
        <v>11.05</v>
      </c>
      <c r="Q106" s="4">
        <v>3.12</v>
      </c>
      <c r="R106" s="4">
        <v>5.9</v>
      </c>
      <c r="S106" s="4">
        <v>0</v>
      </c>
      <c r="T106" s="4">
        <v>0</v>
      </c>
      <c r="U106" s="4">
        <v>203.21</v>
      </c>
      <c r="V106" s="4">
        <v>243.08</v>
      </c>
      <c r="W106" t="s">
        <v>21</v>
      </c>
      <c r="X106" t="s">
        <v>36</v>
      </c>
      <c r="Y106" s="4">
        <v>6</v>
      </c>
      <c r="Z106" s="4">
        <v>4</v>
      </c>
      <c r="AA106" t="s">
        <v>37</v>
      </c>
      <c r="AB106" t="s">
        <v>38</v>
      </c>
      <c r="AC106" s="7">
        <v>0</v>
      </c>
      <c r="AD106" t="s">
        <v>39</v>
      </c>
      <c r="AE106">
        <f t="shared" si="1"/>
        <v>0</v>
      </c>
    </row>
    <row r="107" spans="1:31" x14ac:dyDescent="0.35">
      <c r="A107">
        <v>100106</v>
      </c>
      <c r="B107" s="3">
        <v>45973</v>
      </c>
      <c r="C107">
        <v>1044</v>
      </c>
      <c r="D107" t="s">
        <v>59</v>
      </c>
      <c r="E107" t="s">
        <v>73</v>
      </c>
      <c r="F107" t="s">
        <v>41</v>
      </c>
      <c r="G107" t="s">
        <v>46</v>
      </c>
      <c r="H107" t="s">
        <v>34</v>
      </c>
      <c r="I107" t="s">
        <v>35</v>
      </c>
      <c r="J107" s="4">
        <v>34.549999999999997</v>
      </c>
      <c r="K107" s="4">
        <v>15.51</v>
      </c>
      <c r="L107">
        <v>15</v>
      </c>
      <c r="M107" s="4">
        <v>80.38</v>
      </c>
      <c r="N107" s="4">
        <v>455.49</v>
      </c>
      <c r="O107" s="4">
        <v>237.39</v>
      </c>
      <c r="P107" s="4">
        <v>13.08</v>
      </c>
      <c r="Q107" s="4">
        <v>3.75</v>
      </c>
      <c r="R107" s="4">
        <v>7.13</v>
      </c>
      <c r="S107" s="4">
        <v>0</v>
      </c>
      <c r="T107" s="4">
        <v>0</v>
      </c>
      <c r="U107" s="4">
        <v>261.35000000000002</v>
      </c>
      <c r="V107" s="4">
        <v>194.14</v>
      </c>
      <c r="W107" t="s">
        <v>21</v>
      </c>
      <c r="X107" t="s">
        <v>36</v>
      </c>
      <c r="Y107" s="4">
        <v>24</v>
      </c>
      <c r="Z107" s="4">
        <v>8</v>
      </c>
      <c r="AA107" t="s">
        <v>52</v>
      </c>
      <c r="AB107" t="s">
        <v>44</v>
      </c>
      <c r="AC107" s="7">
        <v>1</v>
      </c>
      <c r="AD107" t="s">
        <v>45</v>
      </c>
      <c r="AE107">
        <f t="shared" si="1"/>
        <v>1</v>
      </c>
    </row>
    <row r="108" spans="1:31" x14ac:dyDescent="0.35">
      <c r="A108">
        <v>100107</v>
      </c>
      <c r="B108" s="3">
        <v>45988</v>
      </c>
      <c r="C108">
        <v>1023</v>
      </c>
      <c r="D108" t="s">
        <v>59</v>
      </c>
      <c r="E108" t="s">
        <v>68</v>
      </c>
      <c r="F108" t="s">
        <v>41</v>
      </c>
      <c r="G108" t="s">
        <v>63</v>
      </c>
      <c r="H108" t="s">
        <v>34</v>
      </c>
      <c r="I108" t="s">
        <v>35</v>
      </c>
      <c r="J108" s="4">
        <v>6.93</v>
      </c>
      <c r="K108" s="4">
        <v>12.52</v>
      </c>
      <c r="L108">
        <v>10</v>
      </c>
      <c r="M108" s="4">
        <v>8.68</v>
      </c>
      <c r="N108" s="4">
        <v>78.08</v>
      </c>
      <c r="O108" s="4">
        <v>51.42</v>
      </c>
      <c r="P108" s="4">
        <v>6.74</v>
      </c>
      <c r="Q108" s="4">
        <v>0.61</v>
      </c>
      <c r="R108" s="4">
        <v>5.91</v>
      </c>
      <c r="S108" s="4">
        <v>0</v>
      </c>
      <c r="T108" s="4">
        <v>0</v>
      </c>
      <c r="U108" s="4">
        <v>64.680000000000007</v>
      </c>
      <c r="V108" s="4">
        <v>13.4</v>
      </c>
      <c r="W108" t="s">
        <v>21</v>
      </c>
      <c r="X108" t="s">
        <v>36</v>
      </c>
      <c r="Y108" s="4">
        <v>10</v>
      </c>
      <c r="Z108" s="4">
        <v>2</v>
      </c>
      <c r="AA108" t="s">
        <v>37</v>
      </c>
      <c r="AB108" t="s">
        <v>38</v>
      </c>
      <c r="AC108" s="7">
        <v>0</v>
      </c>
      <c r="AD108" t="s">
        <v>39</v>
      </c>
      <c r="AE108">
        <f t="shared" si="1"/>
        <v>0</v>
      </c>
    </row>
    <row r="109" spans="1:31" x14ac:dyDescent="0.35">
      <c r="A109">
        <v>100108</v>
      </c>
      <c r="B109" s="3">
        <v>45950</v>
      </c>
      <c r="C109">
        <v>1086</v>
      </c>
      <c r="D109" t="s">
        <v>30</v>
      </c>
      <c r="E109" t="s">
        <v>72</v>
      </c>
      <c r="F109" t="s">
        <v>41</v>
      </c>
      <c r="G109" t="s">
        <v>33</v>
      </c>
      <c r="H109" t="s">
        <v>51</v>
      </c>
      <c r="I109" t="s">
        <v>35</v>
      </c>
      <c r="J109" s="4">
        <v>23.04</v>
      </c>
      <c r="K109" s="4">
        <v>18.71</v>
      </c>
      <c r="L109">
        <v>10</v>
      </c>
      <c r="M109" s="4">
        <v>43.11</v>
      </c>
      <c r="N109" s="4">
        <v>387.97</v>
      </c>
      <c r="O109" s="4">
        <v>177.66</v>
      </c>
      <c r="P109" s="4">
        <v>11.85</v>
      </c>
      <c r="Q109" s="4">
        <v>3.02</v>
      </c>
      <c r="R109" s="4">
        <v>5.9</v>
      </c>
      <c r="S109" s="4">
        <v>0</v>
      </c>
      <c r="T109" s="4">
        <v>0</v>
      </c>
      <c r="U109" s="4">
        <v>198.43</v>
      </c>
      <c r="V109" s="4">
        <v>189.54</v>
      </c>
      <c r="W109" t="s">
        <v>21</v>
      </c>
      <c r="X109" t="s">
        <v>36</v>
      </c>
      <c r="Y109" s="4">
        <v>29</v>
      </c>
      <c r="Z109" s="4">
        <v>11</v>
      </c>
      <c r="AA109" t="s">
        <v>52</v>
      </c>
      <c r="AB109" t="s">
        <v>44</v>
      </c>
      <c r="AC109" s="7">
        <v>1</v>
      </c>
      <c r="AD109" t="s">
        <v>45</v>
      </c>
      <c r="AE109">
        <f t="shared" si="1"/>
        <v>1</v>
      </c>
    </row>
    <row r="110" spans="1:31" x14ac:dyDescent="0.35">
      <c r="A110">
        <v>100109</v>
      </c>
      <c r="B110" s="3">
        <v>45979</v>
      </c>
      <c r="C110">
        <v>1134</v>
      </c>
      <c r="D110" t="s">
        <v>47</v>
      </c>
      <c r="E110" t="s">
        <v>53</v>
      </c>
      <c r="F110" t="s">
        <v>49</v>
      </c>
      <c r="G110" t="s">
        <v>50</v>
      </c>
      <c r="H110" t="s">
        <v>34</v>
      </c>
      <c r="I110" t="s">
        <v>35</v>
      </c>
      <c r="J110" s="4">
        <v>35.33</v>
      </c>
      <c r="K110" s="4">
        <v>17</v>
      </c>
      <c r="L110">
        <v>0</v>
      </c>
      <c r="M110" s="4">
        <v>0</v>
      </c>
      <c r="N110" s="4">
        <v>600.61</v>
      </c>
      <c r="O110" s="4">
        <v>281.41000000000003</v>
      </c>
      <c r="P110" s="4">
        <v>5.52</v>
      </c>
      <c r="Q110" s="4">
        <v>4.2</v>
      </c>
      <c r="R110" s="4">
        <v>8.41</v>
      </c>
      <c r="S110" s="4">
        <v>0</v>
      </c>
      <c r="T110" s="4">
        <v>0</v>
      </c>
      <c r="U110" s="4">
        <v>299.54000000000002</v>
      </c>
      <c r="V110" s="4">
        <v>301.07</v>
      </c>
      <c r="W110" t="s">
        <v>21</v>
      </c>
      <c r="X110" t="s">
        <v>36</v>
      </c>
      <c r="Y110" s="4">
        <v>5</v>
      </c>
      <c r="Z110" s="4">
        <v>0</v>
      </c>
      <c r="AA110" t="s">
        <v>37</v>
      </c>
      <c r="AB110" t="s">
        <v>38</v>
      </c>
      <c r="AC110" s="7">
        <v>0</v>
      </c>
      <c r="AD110" t="s">
        <v>39</v>
      </c>
      <c r="AE110">
        <f t="shared" si="1"/>
        <v>0</v>
      </c>
    </row>
    <row r="111" spans="1:31" x14ac:dyDescent="0.35">
      <c r="A111">
        <v>100110</v>
      </c>
      <c r="B111" s="3">
        <v>45932</v>
      </c>
      <c r="C111">
        <v>1050</v>
      </c>
      <c r="D111" t="s">
        <v>47</v>
      </c>
      <c r="E111" t="s">
        <v>56</v>
      </c>
      <c r="F111" t="s">
        <v>41</v>
      </c>
      <c r="G111" t="s">
        <v>50</v>
      </c>
      <c r="H111" t="s">
        <v>34</v>
      </c>
      <c r="I111" t="s">
        <v>42</v>
      </c>
      <c r="J111" s="4">
        <v>21.34</v>
      </c>
      <c r="K111" s="4">
        <v>17.95</v>
      </c>
      <c r="L111">
        <v>0</v>
      </c>
      <c r="M111" s="4">
        <v>0</v>
      </c>
      <c r="N111" s="4">
        <v>383.05</v>
      </c>
      <c r="O111" s="4">
        <v>133.25</v>
      </c>
      <c r="P111" s="4">
        <v>7.51</v>
      </c>
      <c r="Q111" s="4">
        <v>5.75</v>
      </c>
      <c r="R111" s="4">
        <v>15.06</v>
      </c>
      <c r="S111" s="4">
        <v>0</v>
      </c>
      <c r="T111" s="4">
        <v>0</v>
      </c>
      <c r="U111" s="4">
        <v>161.57</v>
      </c>
      <c r="V111" s="4">
        <v>221.48</v>
      </c>
      <c r="W111" t="s">
        <v>21</v>
      </c>
      <c r="X111" t="s">
        <v>36</v>
      </c>
      <c r="Y111" s="4">
        <v>25</v>
      </c>
      <c r="Z111" s="4">
        <v>4</v>
      </c>
      <c r="AA111" t="s">
        <v>52</v>
      </c>
      <c r="AB111" t="s">
        <v>44</v>
      </c>
      <c r="AC111" s="7">
        <v>2</v>
      </c>
      <c r="AD111" t="s">
        <v>45</v>
      </c>
      <c r="AE111">
        <f t="shared" si="1"/>
        <v>1</v>
      </c>
    </row>
    <row r="112" spans="1:31" x14ac:dyDescent="0.35">
      <c r="A112">
        <v>100111</v>
      </c>
      <c r="B112" s="3">
        <v>45969</v>
      </c>
      <c r="C112">
        <v>1102</v>
      </c>
      <c r="D112" t="s">
        <v>47</v>
      </c>
      <c r="E112" t="s">
        <v>56</v>
      </c>
      <c r="F112" t="s">
        <v>61</v>
      </c>
      <c r="G112" t="s">
        <v>46</v>
      </c>
      <c r="H112" t="s">
        <v>57</v>
      </c>
      <c r="I112" t="s">
        <v>42</v>
      </c>
      <c r="J112" s="4">
        <v>26.29</v>
      </c>
      <c r="K112" s="4">
        <v>15.87</v>
      </c>
      <c r="L112">
        <v>0</v>
      </c>
      <c r="M112" s="4">
        <v>0</v>
      </c>
      <c r="N112" s="4">
        <v>417.22</v>
      </c>
      <c r="O112" s="4">
        <v>196.1</v>
      </c>
      <c r="P112" s="4">
        <v>4.71</v>
      </c>
      <c r="Q112" s="4">
        <v>6.26</v>
      </c>
      <c r="R112" s="4">
        <v>6.35</v>
      </c>
      <c r="S112" s="4">
        <v>0</v>
      </c>
      <c r="T112" s="4">
        <v>0</v>
      </c>
      <c r="U112" s="4">
        <v>213.42</v>
      </c>
      <c r="V112" s="4">
        <v>203.8</v>
      </c>
      <c r="W112" t="s">
        <v>21</v>
      </c>
      <c r="X112" t="s">
        <v>36</v>
      </c>
      <c r="Y112" s="4">
        <v>12</v>
      </c>
      <c r="Z112" s="4">
        <v>4</v>
      </c>
      <c r="AA112" t="s">
        <v>37</v>
      </c>
      <c r="AB112" t="s">
        <v>38</v>
      </c>
      <c r="AC112" s="7">
        <v>0</v>
      </c>
      <c r="AD112" t="s">
        <v>39</v>
      </c>
      <c r="AE112">
        <f t="shared" si="1"/>
        <v>0</v>
      </c>
    </row>
    <row r="113" spans="1:31" x14ac:dyDescent="0.35">
      <c r="A113">
        <v>100112</v>
      </c>
      <c r="B113" s="3">
        <v>45989</v>
      </c>
      <c r="C113">
        <v>1003</v>
      </c>
      <c r="D113" t="s">
        <v>30</v>
      </c>
      <c r="E113" t="s">
        <v>40</v>
      </c>
      <c r="F113" t="s">
        <v>49</v>
      </c>
      <c r="G113" t="s">
        <v>46</v>
      </c>
      <c r="H113" t="s">
        <v>34</v>
      </c>
      <c r="I113" t="s">
        <v>42</v>
      </c>
      <c r="J113" s="4">
        <v>22.62</v>
      </c>
      <c r="K113" s="4">
        <v>14.83</v>
      </c>
      <c r="L113">
        <v>10</v>
      </c>
      <c r="M113" s="4">
        <v>33.54</v>
      </c>
      <c r="N113" s="4">
        <v>301.91000000000003</v>
      </c>
      <c r="O113" s="4">
        <v>173.41</v>
      </c>
      <c r="P113" s="4">
        <v>7.33</v>
      </c>
      <c r="Q113" s="4">
        <v>5.03</v>
      </c>
      <c r="R113" s="4">
        <v>10.08</v>
      </c>
      <c r="S113" s="4">
        <v>0</v>
      </c>
      <c r="T113" s="4">
        <v>0</v>
      </c>
      <c r="U113" s="4">
        <v>195.85</v>
      </c>
      <c r="V113" s="4">
        <v>106.06</v>
      </c>
      <c r="W113" t="s">
        <v>21</v>
      </c>
      <c r="X113" t="s">
        <v>36</v>
      </c>
      <c r="Y113" s="4">
        <v>32</v>
      </c>
      <c r="Z113" s="4">
        <v>0</v>
      </c>
      <c r="AA113" t="s">
        <v>43</v>
      </c>
      <c r="AB113" t="s">
        <v>44</v>
      </c>
      <c r="AC113" s="7">
        <v>1</v>
      </c>
      <c r="AD113" t="s">
        <v>45</v>
      </c>
      <c r="AE113">
        <f t="shared" si="1"/>
        <v>1</v>
      </c>
    </row>
    <row r="114" spans="1:31" x14ac:dyDescent="0.35">
      <c r="A114">
        <v>100113</v>
      </c>
      <c r="B114" s="3">
        <v>45994</v>
      </c>
      <c r="C114">
        <v>1142</v>
      </c>
      <c r="D114" t="s">
        <v>30</v>
      </c>
      <c r="E114" t="s">
        <v>40</v>
      </c>
      <c r="F114" t="s">
        <v>61</v>
      </c>
      <c r="G114" t="s">
        <v>46</v>
      </c>
      <c r="H114" t="s">
        <v>34</v>
      </c>
      <c r="I114" t="s">
        <v>35</v>
      </c>
      <c r="J114" s="4">
        <v>29.81</v>
      </c>
      <c r="K114" s="4">
        <v>14.74</v>
      </c>
      <c r="L114">
        <v>5</v>
      </c>
      <c r="M114" s="4">
        <v>21.97</v>
      </c>
      <c r="N114" s="4">
        <v>417.43</v>
      </c>
      <c r="O114" s="4">
        <v>191.19</v>
      </c>
      <c r="P114" s="4">
        <v>9.5299999999999994</v>
      </c>
      <c r="Q114" s="4">
        <v>3.08</v>
      </c>
      <c r="R114" s="4">
        <v>1.9</v>
      </c>
      <c r="S114" s="4">
        <v>0</v>
      </c>
      <c r="T114" s="4">
        <v>0</v>
      </c>
      <c r="U114" s="4">
        <v>205.7</v>
      </c>
      <c r="V114" s="4">
        <v>211.73</v>
      </c>
      <c r="W114" t="s">
        <v>21</v>
      </c>
      <c r="X114" t="s">
        <v>36</v>
      </c>
      <c r="Y114" s="4">
        <v>10</v>
      </c>
      <c r="Z114" s="4">
        <v>4</v>
      </c>
      <c r="AA114" t="s">
        <v>37</v>
      </c>
      <c r="AB114" t="s">
        <v>38</v>
      </c>
      <c r="AC114" s="7">
        <v>0</v>
      </c>
      <c r="AD114" t="s">
        <v>39</v>
      </c>
      <c r="AE114">
        <f t="shared" si="1"/>
        <v>0</v>
      </c>
    </row>
    <row r="115" spans="1:31" x14ac:dyDescent="0.35">
      <c r="A115">
        <v>100114</v>
      </c>
      <c r="B115" s="3">
        <v>45944</v>
      </c>
      <c r="C115">
        <v>1134</v>
      </c>
      <c r="D115" t="s">
        <v>30</v>
      </c>
      <c r="E115" t="s">
        <v>72</v>
      </c>
      <c r="F115" t="s">
        <v>71</v>
      </c>
      <c r="G115" t="s">
        <v>46</v>
      </c>
      <c r="H115" t="s">
        <v>34</v>
      </c>
      <c r="I115" t="s">
        <v>35</v>
      </c>
      <c r="J115" s="4">
        <v>22.52</v>
      </c>
      <c r="K115" s="4">
        <v>17.7</v>
      </c>
      <c r="L115">
        <v>10</v>
      </c>
      <c r="M115" s="4">
        <v>39.86</v>
      </c>
      <c r="N115" s="4">
        <v>358.74</v>
      </c>
      <c r="O115" s="4">
        <v>151.49</v>
      </c>
      <c r="P115" s="4">
        <v>7.78</v>
      </c>
      <c r="Q115" s="4">
        <v>2.79</v>
      </c>
      <c r="R115" s="4">
        <v>10.87</v>
      </c>
      <c r="S115" s="4">
        <v>0</v>
      </c>
      <c r="T115" s="4">
        <v>0</v>
      </c>
      <c r="U115" s="4">
        <v>172.93</v>
      </c>
      <c r="V115" s="4">
        <v>185.81</v>
      </c>
      <c r="W115" t="s">
        <v>21</v>
      </c>
      <c r="X115" t="s">
        <v>36</v>
      </c>
      <c r="Y115" s="4">
        <v>52</v>
      </c>
      <c r="Z115" s="4">
        <v>5</v>
      </c>
      <c r="AA115" t="s">
        <v>43</v>
      </c>
      <c r="AB115" t="s">
        <v>44</v>
      </c>
      <c r="AC115" s="7">
        <v>1</v>
      </c>
      <c r="AD115" t="s">
        <v>45</v>
      </c>
      <c r="AE115">
        <f t="shared" si="1"/>
        <v>1</v>
      </c>
    </row>
    <row r="116" spans="1:31" x14ac:dyDescent="0.35">
      <c r="A116">
        <v>100115</v>
      </c>
      <c r="B116" s="3">
        <v>45955</v>
      </c>
      <c r="C116">
        <v>1150</v>
      </c>
      <c r="D116" t="s">
        <v>64</v>
      </c>
      <c r="E116" t="s">
        <v>65</v>
      </c>
      <c r="F116" t="s">
        <v>71</v>
      </c>
      <c r="G116" t="s">
        <v>50</v>
      </c>
      <c r="H116" t="s">
        <v>34</v>
      </c>
      <c r="I116" t="s">
        <v>54</v>
      </c>
      <c r="J116" s="4">
        <v>33.94</v>
      </c>
      <c r="K116" s="4">
        <v>17.54</v>
      </c>
      <c r="L116">
        <v>10</v>
      </c>
      <c r="M116" s="4">
        <v>59.53</v>
      </c>
      <c r="N116" s="4">
        <v>535.78</v>
      </c>
      <c r="O116" s="4">
        <v>213.82</v>
      </c>
      <c r="P116" s="4">
        <v>6.53</v>
      </c>
      <c r="Q116" s="4">
        <v>7.14</v>
      </c>
      <c r="R116" s="4">
        <v>9.65</v>
      </c>
      <c r="S116" s="4">
        <v>284.14999999999998</v>
      </c>
      <c r="T116" s="4">
        <v>0</v>
      </c>
      <c r="U116" s="4">
        <v>521.29</v>
      </c>
      <c r="V116" s="4">
        <v>14.49</v>
      </c>
      <c r="W116" t="s">
        <v>21</v>
      </c>
      <c r="X116" t="s">
        <v>55</v>
      </c>
      <c r="Y116" s="4">
        <v>40</v>
      </c>
      <c r="Z116" s="4">
        <v>1</v>
      </c>
      <c r="AA116" t="s">
        <v>43</v>
      </c>
      <c r="AB116" t="s">
        <v>44</v>
      </c>
      <c r="AC116" s="7">
        <v>3</v>
      </c>
      <c r="AD116" t="s">
        <v>45</v>
      </c>
      <c r="AE116">
        <f t="shared" si="1"/>
        <v>1</v>
      </c>
    </row>
    <row r="117" spans="1:31" x14ac:dyDescent="0.35">
      <c r="A117">
        <v>100116</v>
      </c>
      <c r="B117" s="3">
        <v>45950</v>
      </c>
      <c r="C117">
        <v>1038</v>
      </c>
      <c r="D117" t="s">
        <v>30</v>
      </c>
      <c r="E117" t="s">
        <v>40</v>
      </c>
      <c r="F117" t="s">
        <v>71</v>
      </c>
      <c r="G117" t="s">
        <v>63</v>
      </c>
      <c r="H117" t="s">
        <v>34</v>
      </c>
      <c r="I117" t="s">
        <v>35</v>
      </c>
      <c r="J117" s="4">
        <v>17.27</v>
      </c>
      <c r="K117" s="4">
        <v>12.46</v>
      </c>
      <c r="L117">
        <v>5</v>
      </c>
      <c r="M117" s="4">
        <v>10.76</v>
      </c>
      <c r="N117" s="4">
        <v>204.42</v>
      </c>
      <c r="O117" s="4">
        <v>112.34</v>
      </c>
      <c r="P117" s="4">
        <v>4.0199999999999996</v>
      </c>
      <c r="Q117" s="4">
        <v>1.51</v>
      </c>
      <c r="R117" s="4">
        <v>7.12</v>
      </c>
      <c r="S117" s="4">
        <v>0</v>
      </c>
      <c r="T117" s="4">
        <v>0</v>
      </c>
      <c r="U117" s="4">
        <v>124.99</v>
      </c>
      <c r="V117" s="4">
        <v>79.430000000000007</v>
      </c>
      <c r="W117" t="s">
        <v>21</v>
      </c>
      <c r="X117" t="s">
        <v>36</v>
      </c>
      <c r="Y117" s="4">
        <v>17</v>
      </c>
      <c r="Z117" s="4">
        <v>0</v>
      </c>
      <c r="AA117" t="s">
        <v>52</v>
      </c>
      <c r="AB117" t="s">
        <v>38</v>
      </c>
      <c r="AC117" s="7">
        <v>0</v>
      </c>
      <c r="AD117" t="s">
        <v>39</v>
      </c>
      <c r="AE117">
        <f t="shared" si="1"/>
        <v>0</v>
      </c>
    </row>
    <row r="118" spans="1:31" x14ac:dyDescent="0.35">
      <c r="A118">
        <v>100117</v>
      </c>
      <c r="B118" s="3">
        <v>45945</v>
      </c>
      <c r="C118">
        <v>1066</v>
      </c>
      <c r="D118" t="s">
        <v>30</v>
      </c>
      <c r="E118" t="s">
        <v>72</v>
      </c>
      <c r="F118" t="s">
        <v>41</v>
      </c>
      <c r="G118" t="s">
        <v>63</v>
      </c>
      <c r="H118" t="s">
        <v>51</v>
      </c>
      <c r="I118" t="s">
        <v>35</v>
      </c>
      <c r="J118" s="4">
        <v>12.5</v>
      </c>
      <c r="K118" s="4">
        <v>15.02</v>
      </c>
      <c r="L118">
        <v>5</v>
      </c>
      <c r="M118" s="4">
        <v>9.39</v>
      </c>
      <c r="N118" s="4">
        <v>178.36</v>
      </c>
      <c r="O118" s="4">
        <v>77.819999999999993</v>
      </c>
      <c r="P118" s="4">
        <v>6.59</v>
      </c>
      <c r="Q118" s="4">
        <v>1.31</v>
      </c>
      <c r="R118" s="4">
        <v>5.32</v>
      </c>
      <c r="S118" s="4">
        <v>0</v>
      </c>
      <c r="T118" s="4">
        <v>0</v>
      </c>
      <c r="U118" s="4">
        <v>91.04</v>
      </c>
      <c r="V118" s="4">
        <v>87.32</v>
      </c>
      <c r="W118" t="s">
        <v>21</v>
      </c>
      <c r="X118" t="s">
        <v>36</v>
      </c>
      <c r="Y118" s="4">
        <v>1</v>
      </c>
      <c r="Z118" s="4">
        <v>23</v>
      </c>
      <c r="AA118" t="s">
        <v>37</v>
      </c>
      <c r="AB118" t="s">
        <v>44</v>
      </c>
      <c r="AC118" s="7">
        <v>1</v>
      </c>
      <c r="AD118" t="s">
        <v>45</v>
      </c>
      <c r="AE118">
        <f t="shared" si="1"/>
        <v>1</v>
      </c>
    </row>
    <row r="119" spans="1:31" x14ac:dyDescent="0.35">
      <c r="A119">
        <v>100118</v>
      </c>
      <c r="B119" s="3">
        <v>45960</v>
      </c>
      <c r="C119">
        <v>1022</v>
      </c>
      <c r="D119" t="s">
        <v>47</v>
      </c>
      <c r="E119" t="s">
        <v>53</v>
      </c>
      <c r="F119" t="s">
        <v>49</v>
      </c>
      <c r="G119" t="s">
        <v>33</v>
      </c>
      <c r="H119" t="s">
        <v>34</v>
      </c>
      <c r="I119" t="s">
        <v>42</v>
      </c>
      <c r="J119" s="4">
        <v>26.91</v>
      </c>
      <c r="K119" s="4">
        <v>18.71</v>
      </c>
      <c r="L119">
        <v>20</v>
      </c>
      <c r="M119" s="4">
        <v>100.7</v>
      </c>
      <c r="N119" s="4">
        <v>402.79</v>
      </c>
      <c r="O119" s="4">
        <v>173.94</v>
      </c>
      <c r="P119" s="4">
        <v>7.49</v>
      </c>
      <c r="Q119" s="4">
        <v>7.55</v>
      </c>
      <c r="R119" s="4">
        <v>7.18</v>
      </c>
      <c r="S119" s="4">
        <v>0</v>
      </c>
      <c r="T119" s="4">
        <v>0</v>
      </c>
      <c r="U119" s="4">
        <v>196.16</v>
      </c>
      <c r="V119" s="4">
        <v>206.63</v>
      </c>
      <c r="W119" t="s">
        <v>21</v>
      </c>
      <c r="X119" t="s">
        <v>36</v>
      </c>
      <c r="Y119" s="4">
        <v>18</v>
      </c>
      <c r="Z119" s="4">
        <v>10</v>
      </c>
      <c r="AA119" t="s">
        <v>52</v>
      </c>
      <c r="AB119" t="s">
        <v>38</v>
      </c>
      <c r="AC119" s="7">
        <v>0</v>
      </c>
      <c r="AD119" t="s">
        <v>39</v>
      </c>
      <c r="AE119">
        <f t="shared" si="1"/>
        <v>0</v>
      </c>
    </row>
    <row r="120" spans="1:31" x14ac:dyDescent="0.35">
      <c r="A120">
        <v>100119</v>
      </c>
      <c r="B120" s="3">
        <v>46005</v>
      </c>
      <c r="C120">
        <v>1022</v>
      </c>
      <c r="D120" t="s">
        <v>47</v>
      </c>
      <c r="E120" t="s">
        <v>56</v>
      </c>
      <c r="F120" t="s">
        <v>41</v>
      </c>
      <c r="G120" t="s">
        <v>33</v>
      </c>
      <c r="H120" t="s">
        <v>57</v>
      </c>
      <c r="I120" t="s">
        <v>69</v>
      </c>
      <c r="J120" s="4">
        <v>31.93</v>
      </c>
      <c r="K120" s="4">
        <v>21.28</v>
      </c>
      <c r="L120">
        <v>0</v>
      </c>
      <c r="M120" s="4">
        <v>0</v>
      </c>
      <c r="N120" s="4">
        <v>679.47</v>
      </c>
      <c r="O120" s="4">
        <v>198.87</v>
      </c>
      <c r="P120" s="4">
        <v>10.54</v>
      </c>
      <c r="Q120" s="4">
        <v>2.72</v>
      </c>
      <c r="R120" s="4">
        <v>8.27</v>
      </c>
      <c r="S120" s="4">
        <v>0</v>
      </c>
      <c r="T120" s="4">
        <v>0</v>
      </c>
      <c r="U120" s="4">
        <v>220.4</v>
      </c>
      <c r="V120" s="4">
        <v>459.07</v>
      </c>
      <c r="W120" t="s">
        <v>21</v>
      </c>
      <c r="X120" t="s">
        <v>36</v>
      </c>
      <c r="Y120" s="4">
        <v>19</v>
      </c>
      <c r="Z120" s="4">
        <v>7</v>
      </c>
      <c r="AA120" t="s">
        <v>52</v>
      </c>
      <c r="AB120" t="s">
        <v>38</v>
      </c>
      <c r="AC120" s="7">
        <v>0</v>
      </c>
      <c r="AD120" t="s">
        <v>39</v>
      </c>
      <c r="AE120">
        <f t="shared" si="1"/>
        <v>0</v>
      </c>
    </row>
    <row r="121" spans="1:31" x14ac:dyDescent="0.35">
      <c r="A121">
        <v>100120</v>
      </c>
      <c r="B121" s="3">
        <v>45931</v>
      </c>
      <c r="C121">
        <v>1148</v>
      </c>
      <c r="D121" t="s">
        <v>30</v>
      </c>
      <c r="E121" t="s">
        <v>72</v>
      </c>
      <c r="F121" t="s">
        <v>32</v>
      </c>
      <c r="G121" t="s">
        <v>50</v>
      </c>
      <c r="H121" t="s">
        <v>57</v>
      </c>
      <c r="I121" t="s">
        <v>35</v>
      </c>
      <c r="J121" s="4">
        <v>32.659999999999997</v>
      </c>
      <c r="K121" s="4">
        <v>17.73</v>
      </c>
      <c r="L121">
        <v>5</v>
      </c>
      <c r="M121" s="4">
        <v>28.95</v>
      </c>
      <c r="N121" s="4">
        <v>550.11</v>
      </c>
      <c r="O121" s="4">
        <v>250.63</v>
      </c>
      <c r="P121" s="4">
        <v>8.18</v>
      </c>
      <c r="Q121" s="4">
        <v>4.05</v>
      </c>
      <c r="R121" s="4">
        <v>0</v>
      </c>
      <c r="S121" s="4">
        <v>359.99</v>
      </c>
      <c r="T121" s="4">
        <v>5.46</v>
      </c>
      <c r="U121" s="4">
        <v>628.30999999999995</v>
      </c>
      <c r="V121" s="4">
        <v>-78.2</v>
      </c>
      <c r="W121" t="s">
        <v>58</v>
      </c>
      <c r="X121" t="s">
        <v>66</v>
      </c>
      <c r="Y121" s="4">
        <v>1</v>
      </c>
      <c r="Z121" s="4">
        <v>0</v>
      </c>
      <c r="AA121" t="s">
        <v>37</v>
      </c>
      <c r="AB121" t="s">
        <v>38</v>
      </c>
      <c r="AC121" s="7">
        <v>3</v>
      </c>
      <c r="AD121" t="s">
        <v>45</v>
      </c>
      <c r="AE121">
        <f t="shared" si="1"/>
        <v>0</v>
      </c>
    </row>
    <row r="122" spans="1:31" x14ac:dyDescent="0.35">
      <c r="A122">
        <v>100121</v>
      </c>
      <c r="B122" s="3">
        <v>45974</v>
      </c>
      <c r="C122">
        <v>1127</v>
      </c>
      <c r="D122" t="s">
        <v>64</v>
      </c>
      <c r="E122" t="s">
        <v>65</v>
      </c>
      <c r="F122" t="s">
        <v>32</v>
      </c>
      <c r="G122" t="s">
        <v>50</v>
      </c>
      <c r="H122" t="s">
        <v>57</v>
      </c>
      <c r="I122" t="s">
        <v>69</v>
      </c>
      <c r="J122" s="4">
        <v>31.38</v>
      </c>
      <c r="K122" s="4">
        <v>18.46</v>
      </c>
      <c r="L122">
        <v>0</v>
      </c>
      <c r="M122" s="4">
        <v>0</v>
      </c>
      <c r="N122" s="4">
        <v>579.27</v>
      </c>
      <c r="O122" s="4">
        <v>196.38</v>
      </c>
      <c r="P122" s="4">
        <v>13.32</v>
      </c>
      <c r="Q122" s="4">
        <v>2.3199999999999998</v>
      </c>
      <c r="R122" s="4">
        <v>7</v>
      </c>
      <c r="S122" s="4">
        <v>0</v>
      </c>
      <c r="T122" s="4">
        <v>0</v>
      </c>
      <c r="U122" s="4">
        <v>219.02</v>
      </c>
      <c r="V122" s="4">
        <v>360.25</v>
      </c>
      <c r="W122" t="s">
        <v>21</v>
      </c>
      <c r="X122" t="s">
        <v>36</v>
      </c>
      <c r="Y122" s="4">
        <v>20</v>
      </c>
      <c r="Z122" s="4">
        <v>0</v>
      </c>
      <c r="AA122" t="s">
        <v>52</v>
      </c>
      <c r="AB122" t="s">
        <v>38</v>
      </c>
      <c r="AC122" s="7">
        <v>0</v>
      </c>
      <c r="AD122" t="s">
        <v>39</v>
      </c>
      <c r="AE122">
        <f t="shared" si="1"/>
        <v>0</v>
      </c>
    </row>
    <row r="123" spans="1:31" x14ac:dyDescent="0.35">
      <c r="A123">
        <v>100122</v>
      </c>
      <c r="B123" s="3">
        <v>46017</v>
      </c>
      <c r="C123">
        <v>1050</v>
      </c>
      <c r="D123" t="s">
        <v>47</v>
      </c>
      <c r="E123" t="s">
        <v>48</v>
      </c>
      <c r="F123" t="s">
        <v>61</v>
      </c>
      <c r="G123" t="s">
        <v>33</v>
      </c>
      <c r="H123" t="s">
        <v>34</v>
      </c>
      <c r="I123" t="s">
        <v>35</v>
      </c>
      <c r="J123" s="4">
        <v>28.72</v>
      </c>
      <c r="K123" s="4">
        <v>18.95</v>
      </c>
      <c r="L123">
        <v>10</v>
      </c>
      <c r="M123" s="4">
        <v>54.42</v>
      </c>
      <c r="N123" s="4">
        <v>489.82</v>
      </c>
      <c r="O123" s="4">
        <v>195.32</v>
      </c>
      <c r="P123" s="4">
        <v>7.9</v>
      </c>
      <c r="Q123" s="4">
        <v>3.81</v>
      </c>
      <c r="R123" s="4">
        <v>13.04</v>
      </c>
      <c r="S123" s="4">
        <v>0</v>
      </c>
      <c r="T123" s="4">
        <v>0</v>
      </c>
      <c r="U123" s="4">
        <v>220.07</v>
      </c>
      <c r="V123" s="4">
        <v>269.75</v>
      </c>
      <c r="W123" t="s">
        <v>21</v>
      </c>
      <c r="X123" t="s">
        <v>36</v>
      </c>
      <c r="Y123" s="4">
        <v>8</v>
      </c>
      <c r="Z123" s="4">
        <v>16</v>
      </c>
      <c r="AA123" t="s">
        <v>37</v>
      </c>
      <c r="AB123" t="s">
        <v>44</v>
      </c>
      <c r="AC123" s="7">
        <v>1</v>
      </c>
      <c r="AD123" t="s">
        <v>45</v>
      </c>
      <c r="AE123">
        <f t="shared" si="1"/>
        <v>1</v>
      </c>
    </row>
    <row r="124" spans="1:31" x14ac:dyDescent="0.35">
      <c r="A124">
        <v>100123</v>
      </c>
      <c r="B124" s="3">
        <v>46009</v>
      </c>
      <c r="C124">
        <v>1057</v>
      </c>
      <c r="D124" t="s">
        <v>30</v>
      </c>
      <c r="E124" t="s">
        <v>62</v>
      </c>
      <c r="F124" t="s">
        <v>41</v>
      </c>
      <c r="G124" t="s">
        <v>50</v>
      </c>
      <c r="H124" t="s">
        <v>57</v>
      </c>
      <c r="I124" t="s">
        <v>35</v>
      </c>
      <c r="J124" s="4">
        <v>33.99</v>
      </c>
      <c r="K124" s="4">
        <v>16.649999999999999</v>
      </c>
      <c r="L124">
        <v>20</v>
      </c>
      <c r="M124" s="4">
        <v>113.19</v>
      </c>
      <c r="N124" s="4">
        <v>452.74</v>
      </c>
      <c r="O124" s="4">
        <v>268.54000000000002</v>
      </c>
      <c r="P124" s="4">
        <v>6.64</v>
      </c>
      <c r="Q124" s="4">
        <v>3.96</v>
      </c>
      <c r="R124" s="4">
        <v>5.09</v>
      </c>
      <c r="S124" s="4">
        <v>0</v>
      </c>
      <c r="T124" s="4">
        <v>0</v>
      </c>
      <c r="U124" s="4">
        <v>284.23</v>
      </c>
      <c r="V124" s="4">
        <v>168.51</v>
      </c>
      <c r="W124" t="s">
        <v>21</v>
      </c>
      <c r="X124" t="s">
        <v>36</v>
      </c>
      <c r="Y124" s="4">
        <v>0</v>
      </c>
      <c r="Z124" s="4">
        <v>6</v>
      </c>
      <c r="AA124" t="s">
        <v>37</v>
      </c>
      <c r="AB124" t="s">
        <v>38</v>
      </c>
      <c r="AC124" s="7">
        <v>0</v>
      </c>
      <c r="AD124" t="s">
        <v>39</v>
      </c>
      <c r="AE124">
        <f t="shared" si="1"/>
        <v>0</v>
      </c>
    </row>
    <row r="125" spans="1:31" x14ac:dyDescent="0.35">
      <c r="A125">
        <v>100124</v>
      </c>
      <c r="B125" s="3">
        <v>46018</v>
      </c>
      <c r="C125">
        <v>1036</v>
      </c>
      <c r="D125" t="s">
        <v>59</v>
      </c>
      <c r="E125" t="s">
        <v>70</v>
      </c>
      <c r="F125" t="s">
        <v>41</v>
      </c>
      <c r="G125" t="s">
        <v>63</v>
      </c>
      <c r="H125" t="s">
        <v>34</v>
      </c>
      <c r="I125" t="s">
        <v>69</v>
      </c>
      <c r="J125" s="4">
        <v>6.13</v>
      </c>
      <c r="K125" s="4">
        <v>12.3</v>
      </c>
      <c r="L125">
        <v>0</v>
      </c>
      <c r="M125" s="4">
        <v>0</v>
      </c>
      <c r="N125" s="4">
        <v>75.400000000000006</v>
      </c>
      <c r="O125" s="4">
        <v>36.119999999999997</v>
      </c>
      <c r="P125" s="4">
        <v>6.01</v>
      </c>
      <c r="Q125" s="4">
        <v>0.3</v>
      </c>
      <c r="R125" s="4">
        <v>4.32</v>
      </c>
      <c r="S125" s="4">
        <v>0</v>
      </c>
      <c r="T125" s="4">
        <v>0</v>
      </c>
      <c r="U125" s="4">
        <v>46.75</v>
      </c>
      <c r="V125" s="4">
        <v>28.65</v>
      </c>
      <c r="W125" t="s">
        <v>21</v>
      </c>
      <c r="X125" t="s">
        <v>36</v>
      </c>
      <c r="Y125" s="4">
        <v>4</v>
      </c>
      <c r="Z125" s="4">
        <v>7</v>
      </c>
      <c r="AA125" t="s">
        <v>37</v>
      </c>
      <c r="AB125" t="s">
        <v>38</v>
      </c>
      <c r="AC125" s="7">
        <v>0</v>
      </c>
      <c r="AD125" t="s">
        <v>39</v>
      </c>
      <c r="AE125">
        <f t="shared" si="1"/>
        <v>0</v>
      </c>
    </row>
    <row r="126" spans="1:31" x14ac:dyDescent="0.35">
      <c r="A126">
        <v>100125</v>
      </c>
      <c r="B126" s="3">
        <v>45939</v>
      </c>
      <c r="C126">
        <v>1122</v>
      </c>
      <c r="D126" t="s">
        <v>47</v>
      </c>
      <c r="E126" t="s">
        <v>56</v>
      </c>
      <c r="F126" t="s">
        <v>49</v>
      </c>
      <c r="G126" t="s">
        <v>63</v>
      </c>
      <c r="H126" t="s">
        <v>34</v>
      </c>
      <c r="I126" t="s">
        <v>35</v>
      </c>
      <c r="J126" s="4">
        <v>18.39</v>
      </c>
      <c r="K126" s="4">
        <v>12.37</v>
      </c>
      <c r="L126">
        <v>0</v>
      </c>
      <c r="M126" s="4">
        <v>0</v>
      </c>
      <c r="N126" s="4">
        <v>227.48</v>
      </c>
      <c r="O126" s="4">
        <v>140.12</v>
      </c>
      <c r="P126" s="4">
        <v>13.69</v>
      </c>
      <c r="Q126" s="4">
        <v>1.59</v>
      </c>
      <c r="R126" s="4">
        <v>8.74</v>
      </c>
      <c r="S126" s="4">
        <v>0</v>
      </c>
      <c r="T126" s="4">
        <v>0</v>
      </c>
      <c r="U126" s="4">
        <v>164.14</v>
      </c>
      <c r="V126" s="4">
        <v>63.34</v>
      </c>
      <c r="W126" t="s">
        <v>21</v>
      </c>
      <c r="X126" t="s">
        <v>36</v>
      </c>
      <c r="Y126" s="4">
        <v>11</v>
      </c>
      <c r="Z126" s="4">
        <v>2</v>
      </c>
      <c r="AA126" t="s">
        <v>37</v>
      </c>
      <c r="AB126" t="s">
        <v>38</v>
      </c>
      <c r="AC126" s="7">
        <v>0</v>
      </c>
      <c r="AD126" t="s">
        <v>39</v>
      </c>
      <c r="AE126">
        <f t="shared" si="1"/>
        <v>0</v>
      </c>
    </row>
    <row r="127" spans="1:31" x14ac:dyDescent="0.35">
      <c r="A127">
        <v>100126</v>
      </c>
      <c r="B127" s="3">
        <v>45939</v>
      </c>
      <c r="C127">
        <v>1119</v>
      </c>
      <c r="D127" t="s">
        <v>47</v>
      </c>
      <c r="E127" t="s">
        <v>48</v>
      </c>
      <c r="F127" t="s">
        <v>61</v>
      </c>
      <c r="G127" t="s">
        <v>46</v>
      </c>
      <c r="H127" t="s">
        <v>34</v>
      </c>
      <c r="I127" t="s">
        <v>69</v>
      </c>
      <c r="J127" s="4">
        <v>14.44</v>
      </c>
      <c r="K127" s="4">
        <v>14.85</v>
      </c>
      <c r="L127">
        <v>0</v>
      </c>
      <c r="M127" s="4">
        <v>0</v>
      </c>
      <c r="N127" s="4">
        <v>214.43</v>
      </c>
      <c r="O127" s="4">
        <v>100.79</v>
      </c>
      <c r="P127" s="4">
        <v>6.68</v>
      </c>
      <c r="Q127" s="4">
        <v>0.86</v>
      </c>
      <c r="R127" s="4">
        <v>0.82</v>
      </c>
      <c r="S127" s="4">
        <v>0</v>
      </c>
      <c r="T127" s="4">
        <v>0</v>
      </c>
      <c r="U127" s="4">
        <v>109.15</v>
      </c>
      <c r="V127" s="4">
        <v>105.28</v>
      </c>
      <c r="W127" t="s">
        <v>21</v>
      </c>
      <c r="X127" t="s">
        <v>36</v>
      </c>
      <c r="Y127" s="4">
        <v>4</v>
      </c>
      <c r="Z127" s="4">
        <v>6</v>
      </c>
      <c r="AA127" t="s">
        <v>37</v>
      </c>
      <c r="AB127" t="s">
        <v>38</v>
      </c>
      <c r="AC127" s="7">
        <v>0</v>
      </c>
      <c r="AD127" t="s">
        <v>39</v>
      </c>
      <c r="AE127">
        <f t="shared" si="1"/>
        <v>0</v>
      </c>
    </row>
    <row r="128" spans="1:31" x14ac:dyDescent="0.35">
      <c r="A128">
        <v>100127</v>
      </c>
      <c r="B128" s="3">
        <v>46021</v>
      </c>
      <c r="C128">
        <v>1066</v>
      </c>
      <c r="D128" t="s">
        <v>47</v>
      </c>
      <c r="E128" t="s">
        <v>53</v>
      </c>
      <c r="F128" t="s">
        <v>32</v>
      </c>
      <c r="G128" t="s">
        <v>46</v>
      </c>
      <c r="H128" t="s">
        <v>34</v>
      </c>
      <c r="I128" t="s">
        <v>69</v>
      </c>
      <c r="J128" s="4">
        <v>29.62</v>
      </c>
      <c r="K128" s="4">
        <v>16.3</v>
      </c>
      <c r="L128">
        <v>5</v>
      </c>
      <c r="M128" s="4">
        <v>24.14</v>
      </c>
      <c r="N128" s="4">
        <v>458.67</v>
      </c>
      <c r="O128" s="4">
        <v>239.04</v>
      </c>
      <c r="P128" s="4">
        <v>10.6</v>
      </c>
      <c r="Q128" s="4">
        <v>1.93</v>
      </c>
      <c r="R128" s="4">
        <v>11.7</v>
      </c>
      <c r="S128" s="4">
        <v>0</v>
      </c>
      <c r="T128" s="4">
        <v>0</v>
      </c>
      <c r="U128" s="4">
        <v>263.27</v>
      </c>
      <c r="V128" s="4">
        <v>195.4</v>
      </c>
      <c r="W128" t="s">
        <v>21</v>
      </c>
      <c r="X128" t="s">
        <v>36</v>
      </c>
      <c r="Y128" s="4">
        <v>27</v>
      </c>
      <c r="Z128" s="4">
        <v>1</v>
      </c>
      <c r="AA128" t="s">
        <v>52</v>
      </c>
      <c r="AB128" t="s">
        <v>44</v>
      </c>
      <c r="AC128" s="7">
        <v>1</v>
      </c>
      <c r="AD128" t="s">
        <v>45</v>
      </c>
      <c r="AE128">
        <f t="shared" si="1"/>
        <v>1</v>
      </c>
    </row>
    <row r="129" spans="1:31" x14ac:dyDescent="0.35">
      <c r="A129">
        <v>100128</v>
      </c>
      <c r="B129" s="3">
        <v>45947</v>
      </c>
      <c r="C129">
        <v>1097</v>
      </c>
      <c r="D129" t="s">
        <v>47</v>
      </c>
      <c r="E129" t="s">
        <v>48</v>
      </c>
      <c r="F129" t="s">
        <v>71</v>
      </c>
      <c r="G129" t="s">
        <v>63</v>
      </c>
      <c r="H129" t="s">
        <v>34</v>
      </c>
      <c r="I129" t="s">
        <v>35</v>
      </c>
      <c r="J129" s="4">
        <v>24.77</v>
      </c>
      <c r="K129" s="4">
        <v>12.89</v>
      </c>
      <c r="L129">
        <v>10</v>
      </c>
      <c r="M129" s="4">
        <v>31.93</v>
      </c>
      <c r="N129" s="4">
        <v>287.36</v>
      </c>
      <c r="O129" s="4">
        <v>188.38</v>
      </c>
      <c r="P129" s="4">
        <v>4.33</v>
      </c>
      <c r="Q129" s="4">
        <v>2.2400000000000002</v>
      </c>
      <c r="R129" s="4">
        <v>0.95</v>
      </c>
      <c r="S129" s="4">
        <v>0</v>
      </c>
      <c r="T129" s="4">
        <v>0</v>
      </c>
      <c r="U129" s="4">
        <v>195.9</v>
      </c>
      <c r="V129" s="4">
        <v>91.46</v>
      </c>
      <c r="W129" t="s">
        <v>21</v>
      </c>
      <c r="X129" t="s">
        <v>36</v>
      </c>
      <c r="Y129" s="4">
        <v>40</v>
      </c>
      <c r="Z129" s="4">
        <v>1</v>
      </c>
      <c r="AA129" t="s">
        <v>43</v>
      </c>
      <c r="AB129" t="s">
        <v>44</v>
      </c>
      <c r="AC129" s="7">
        <v>2</v>
      </c>
      <c r="AD129" t="s">
        <v>45</v>
      </c>
      <c r="AE129">
        <f t="shared" si="1"/>
        <v>1</v>
      </c>
    </row>
    <row r="130" spans="1:31" x14ac:dyDescent="0.35">
      <c r="A130">
        <v>100129</v>
      </c>
      <c r="B130" s="3">
        <v>45966</v>
      </c>
      <c r="C130">
        <v>1109</v>
      </c>
      <c r="D130" t="s">
        <v>30</v>
      </c>
      <c r="E130" t="s">
        <v>40</v>
      </c>
      <c r="F130" t="s">
        <v>41</v>
      </c>
      <c r="G130" t="s">
        <v>46</v>
      </c>
      <c r="H130" t="s">
        <v>34</v>
      </c>
      <c r="I130" t="s">
        <v>42</v>
      </c>
      <c r="J130" s="4">
        <v>18.11</v>
      </c>
      <c r="K130" s="4">
        <v>16.899999999999999</v>
      </c>
      <c r="L130">
        <v>0</v>
      </c>
      <c r="M130" s="4">
        <v>0</v>
      </c>
      <c r="N130" s="4">
        <v>306.06</v>
      </c>
      <c r="O130" s="4">
        <v>122.28</v>
      </c>
      <c r="P130" s="4">
        <v>7.12</v>
      </c>
      <c r="Q130" s="4">
        <v>4.59</v>
      </c>
      <c r="R130" s="4">
        <v>9.51</v>
      </c>
      <c r="S130" s="4">
        <v>0</v>
      </c>
      <c r="T130" s="4">
        <v>0</v>
      </c>
      <c r="U130" s="4">
        <v>143.5</v>
      </c>
      <c r="V130" s="4">
        <v>162.56</v>
      </c>
      <c r="W130" t="s">
        <v>21</v>
      </c>
      <c r="X130" t="s">
        <v>36</v>
      </c>
      <c r="Y130" s="4">
        <v>29</v>
      </c>
      <c r="Z130" s="4">
        <v>31</v>
      </c>
      <c r="AA130" t="s">
        <v>52</v>
      </c>
      <c r="AB130" t="s">
        <v>44</v>
      </c>
      <c r="AC130" s="7">
        <v>1</v>
      </c>
      <c r="AD130" t="s">
        <v>45</v>
      </c>
      <c r="AE130">
        <f t="shared" si="1"/>
        <v>1</v>
      </c>
    </row>
    <row r="131" spans="1:31" x14ac:dyDescent="0.35">
      <c r="A131">
        <v>100130</v>
      </c>
      <c r="B131" s="3">
        <v>45934</v>
      </c>
      <c r="C131">
        <v>1037</v>
      </c>
      <c r="D131" t="s">
        <v>47</v>
      </c>
      <c r="E131" t="s">
        <v>56</v>
      </c>
      <c r="F131" t="s">
        <v>32</v>
      </c>
      <c r="G131" t="s">
        <v>33</v>
      </c>
      <c r="H131" t="s">
        <v>34</v>
      </c>
      <c r="I131" t="s">
        <v>35</v>
      </c>
      <c r="J131" s="4">
        <v>18.57</v>
      </c>
      <c r="K131" s="4">
        <v>18.95</v>
      </c>
      <c r="L131">
        <v>5</v>
      </c>
      <c r="M131" s="4">
        <v>17.600000000000001</v>
      </c>
      <c r="N131" s="4">
        <v>334.3</v>
      </c>
      <c r="O131" s="4">
        <v>143.05000000000001</v>
      </c>
      <c r="P131" s="4">
        <v>15.71</v>
      </c>
      <c r="Q131" s="4">
        <v>2.46</v>
      </c>
      <c r="R131" s="4">
        <v>2.84</v>
      </c>
      <c r="S131" s="4">
        <v>0</v>
      </c>
      <c r="T131" s="4">
        <v>0</v>
      </c>
      <c r="U131" s="4">
        <v>164.06</v>
      </c>
      <c r="V131" s="4">
        <v>170.24</v>
      </c>
      <c r="W131" t="s">
        <v>21</v>
      </c>
      <c r="X131" t="s">
        <v>36</v>
      </c>
      <c r="Y131" s="4">
        <v>13</v>
      </c>
      <c r="Z131" s="4">
        <v>5</v>
      </c>
      <c r="AA131" t="s">
        <v>37</v>
      </c>
      <c r="AB131" t="s">
        <v>38</v>
      </c>
      <c r="AC131" s="7">
        <v>0</v>
      </c>
      <c r="AD131" t="s">
        <v>39</v>
      </c>
      <c r="AE131">
        <f t="shared" ref="AE131:AE194" si="2">IF(AB131="Yes",1,0)</f>
        <v>0</v>
      </c>
    </row>
    <row r="132" spans="1:31" x14ac:dyDescent="0.35">
      <c r="A132">
        <v>100131</v>
      </c>
      <c r="B132" s="3">
        <v>45936</v>
      </c>
      <c r="C132">
        <v>1016</v>
      </c>
      <c r="D132" t="s">
        <v>59</v>
      </c>
      <c r="E132" t="s">
        <v>68</v>
      </c>
      <c r="F132" t="s">
        <v>49</v>
      </c>
      <c r="G132" t="s">
        <v>63</v>
      </c>
      <c r="H132" t="s">
        <v>57</v>
      </c>
      <c r="I132" t="s">
        <v>35</v>
      </c>
      <c r="J132" s="4">
        <v>31.56</v>
      </c>
      <c r="K132" s="4">
        <v>13.22</v>
      </c>
      <c r="L132">
        <v>0</v>
      </c>
      <c r="M132" s="4">
        <v>0</v>
      </c>
      <c r="N132" s="4">
        <v>417.22</v>
      </c>
      <c r="O132" s="4">
        <v>243.72</v>
      </c>
      <c r="P132" s="4">
        <v>9.4700000000000006</v>
      </c>
      <c r="Q132" s="4">
        <v>2.92</v>
      </c>
      <c r="R132" s="4">
        <v>2.44</v>
      </c>
      <c r="S132" s="4">
        <v>0</v>
      </c>
      <c r="T132" s="4">
        <v>0</v>
      </c>
      <c r="U132" s="4">
        <v>258.55</v>
      </c>
      <c r="V132" s="4">
        <v>158.66999999999999</v>
      </c>
      <c r="W132" t="s">
        <v>21</v>
      </c>
      <c r="X132" t="s">
        <v>36</v>
      </c>
      <c r="Y132" s="4">
        <v>1</v>
      </c>
      <c r="Z132" s="4">
        <v>16</v>
      </c>
      <c r="AA132" t="s">
        <v>37</v>
      </c>
      <c r="AB132" t="s">
        <v>44</v>
      </c>
      <c r="AC132" s="7">
        <v>3</v>
      </c>
      <c r="AD132" t="s">
        <v>45</v>
      </c>
      <c r="AE132">
        <f t="shared" si="2"/>
        <v>1</v>
      </c>
    </row>
    <row r="133" spans="1:31" x14ac:dyDescent="0.35">
      <c r="A133">
        <v>100132</v>
      </c>
      <c r="B133" s="3">
        <v>45948</v>
      </c>
      <c r="C133">
        <v>1033</v>
      </c>
      <c r="D133" t="s">
        <v>47</v>
      </c>
      <c r="E133" t="s">
        <v>53</v>
      </c>
      <c r="F133" t="s">
        <v>61</v>
      </c>
      <c r="G133" t="s">
        <v>63</v>
      </c>
      <c r="H133" t="s">
        <v>34</v>
      </c>
      <c r="I133" t="s">
        <v>69</v>
      </c>
      <c r="J133" s="4">
        <v>11.6</v>
      </c>
      <c r="K133" s="4">
        <v>12.72</v>
      </c>
      <c r="L133">
        <v>10</v>
      </c>
      <c r="M133" s="4">
        <v>14.76</v>
      </c>
      <c r="N133" s="4">
        <v>132.79</v>
      </c>
      <c r="O133" s="4">
        <v>76.19</v>
      </c>
      <c r="P133" s="4">
        <v>12.7</v>
      </c>
      <c r="Q133" s="4">
        <v>0.59</v>
      </c>
      <c r="R133" s="4">
        <v>0.53</v>
      </c>
      <c r="S133" s="4">
        <v>0</v>
      </c>
      <c r="T133" s="4">
        <v>0</v>
      </c>
      <c r="U133" s="4">
        <v>90.01</v>
      </c>
      <c r="V133" s="4">
        <v>42.78</v>
      </c>
      <c r="W133" t="s">
        <v>21</v>
      </c>
      <c r="X133" t="s">
        <v>36</v>
      </c>
      <c r="Y133" s="4">
        <v>10</v>
      </c>
      <c r="Z133" s="4">
        <v>2</v>
      </c>
      <c r="AA133" t="s">
        <v>37</v>
      </c>
      <c r="AB133" t="s">
        <v>38</v>
      </c>
      <c r="AC133" s="7">
        <v>0</v>
      </c>
      <c r="AD133" t="s">
        <v>39</v>
      </c>
      <c r="AE133">
        <f t="shared" si="2"/>
        <v>0</v>
      </c>
    </row>
    <row r="134" spans="1:31" x14ac:dyDescent="0.35">
      <c r="A134">
        <v>100133</v>
      </c>
      <c r="B134" s="3">
        <v>46007</v>
      </c>
      <c r="C134">
        <v>1025</v>
      </c>
      <c r="D134" t="s">
        <v>47</v>
      </c>
      <c r="E134" t="s">
        <v>74</v>
      </c>
      <c r="F134" t="s">
        <v>71</v>
      </c>
      <c r="G134" t="s">
        <v>63</v>
      </c>
      <c r="H134" t="s">
        <v>34</v>
      </c>
      <c r="I134" t="s">
        <v>35</v>
      </c>
      <c r="J134" s="4">
        <v>15.49</v>
      </c>
      <c r="K134" s="4">
        <v>13.51</v>
      </c>
      <c r="L134">
        <v>0</v>
      </c>
      <c r="M134" s="4">
        <v>0</v>
      </c>
      <c r="N134" s="4">
        <v>209.27</v>
      </c>
      <c r="O134" s="4">
        <v>126.27</v>
      </c>
      <c r="P134" s="4">
        <v>11.88</v>
      </c>
      <c r="Q134" s="4">
        <v>1.46</v>
      </c>
      <c r="R134" s="4">
        <v>5.52</v>
      </c>
      <c r="S134" s="4">
        <v>0</v>
      </c>
      <c r="T134" s="4">
        <v>0</v>
      </c>
      <c r="U134" s="4">
        <v>145.13</v>
      </c>
      <c r="V134" s="4">
        <v>64.14</v>
      </c>
      <c r="W134" t="s">
        <v>21</v>
      </c>
      <c r="X134" t="s">
        <v>36</v>
      </c>
      <c r="Y134" s="4">
        <v>3</v>
      </c>
      <c r="Z134" s="4">
        <v>5</v>
      </c>
      <c r="AA134" t="s">
        <v>37</v>
      </c>
      <c r="AB134" t="s">
        <v>38</v>
      </c>
      <c r="AC134" s="7">
        <v>0</v>
      </c>
      <c r="AD134" t="s">
        <v>39</v>
      </c>
      <c r="AE134">
        <f t="shared" si="2"/>
        <v>0</v>
      </c>
    </row>
    <row r="135" spans="1:31" x14ac:dyDescent="0.35">
      <c r="A135">
        <v>100134</v>
      </c>
      <c r="B135" s="3">
        <v>45968</v>
      </c>
      <c r="C135">
        <v>1135</v>
      </c>
      <c r="D135" t="s">
        <v>30</v>
      </c>
      <c r="E135" t="s">
        <v>62</v>
      </c>
      <c r="F135" t="s">
        <v>49</v>
      </c>
      <c r="G135" t="s">
        <v>33</v>
      </c>
      <c r="H135" t="s">
        <v>51</v>
      </c>
      <c r="I135" t="s">
        <v>42</v>
      </c>
      <c r="J135" s="4">
        <v>13.46</v>
      </c>
      <c r="K135" s="4">
        <v>21.35</v>
      </c>
      <c r="L135">
        <v>10</v>
      </c>
      <c r="M135" s="4">
        <v>28.74</v>
      </c>
      <c r="N135" s="4">
        <v>258.63</v>
      </c>
      <c r="O135" s="4">
        <v>106.17</v>
      </c>
      <c r="P135" s="4">
        <v>6.14</v>
      </c>
      <c r="Q135" s="4">
        <v>4.3099999999999996</v>
      </c>
      <c r="R135" s="4">
        <v>3.82</v>
      </c>
      <c r="S135" s="4">
        <v>0</v>
      </c>
      <c r="T135" s="4">
        <v>0</v>
      </c>
      <c r="U135" s="4">
        <v>120.44</v>
      </c>
      <c r="V135" s="4">
        <v>138.19</v>
      </c>
      <c r="W135" t="s">
        <v>21</v>
      </c>
      <c r="X135" t="s">
        <v>36</v>
      </c>
      <c r="Y135" s="4">
        <v>0</v>
      </c>
      <c r="Z135" s="4">
        <v>2</v>
      </c>
      <c r="AA135" t="s">
        <v>37</v>
      </c>
      <c r="AB135" t="s">
        <v>38</v>
      </c>
      <c r="AC135" s="7">
        <v>0</v>
      </c>
      <c r="AD135" t="s">
        <v>39</v>
      </c>
      <c r="AE135">
        <f t="shared" si="2"/>
        <v>0</v>
      </c>
    </row>
    <row r="136" spans="1:31" x14ac:dyDescent="0.35">
      <c r="A136">
        <v>100135</v>
      </c>
      <c r="B136" s="3">
        <v>46020</v>
      </c>
      <c r="C136">
        <v>1104</v>
      </c>
      <c r="D136" t="s">
        <v>47</v>
      </c>
      <c r="E136" t="s">
        <v>53</v>
      </c>
      <c r="F136" t="s">
        <v>41</v>
      </c>
      <c r="G136" t="s">
        <v>63</v>
      </c>
      <c r="H136" t="s">
        <v>34</v>
      </c>
      <c r="I136" t="s">
        <v>42</v>
      </c>
      <c r="J136" s="4">
        <v>9.58</v>
      </c>
      <c r="K136" s="4">
        <v>12.79</v>
      </c>
      <c r="L136">
        <v>0</v>
      </c>
      <c r="M136" s="4">
        <v>0</v>
      </c>
      <c r="N136" s="4">
        <v>122.53</v>
      </c>
      <c r="O136" s="4">
        <v>68.180000000000007</v>
      </c>
      <c r="P136" s="4">
        <v>15.02</v>
      </c>
      <c r="Q136" s="4">
        <v>1.84</v>
      </c>
      <c r="R136" s="4">
        <v>3.51</v>
      </c>
      <c r="S136" s="4">
        <v>117.69</v>
      </c>
      <c r="T136" s="4">
        <v>0</v>
      </c>
      <c r="U136" s="4">
        <v>206.24</v>
      </c>
      <c r="V136" s="4">
        <v>-83.71</v>
      </c>
      <c r="W136" t="s">
        <v>58</v>
      </c>
      <c r="X136" t="s">
        <v>66</v>
      </c>
      <c r="Y136" s="4">
        <v>18</v>
      </c>
      <c r="Z136" s="4">
        <v>0</v>
      </c>
      <c r="AA136" t="s">
        <v>52</v>
      </c>
      <c r="AB136" t="s">
        <v>38</v>
      </c>
      <c r="AC136" s="7">
        <v>3</v>
      </c>
      <c r="AD136" t="s">
        <v>45</v>
      </c>
      <c r="AE136">
        <f t="shared" si="2"/>
        <v>0</v>
      </c>
    </row>
    <row r="137" spans="1:31" x14ac:dyDescent="0.35">
      <c r="A137">
        <v>100136</v>
      </c>
      <c r="B137" s="3">
        <v>46005</v>
      </c>
      <c r="C137">
        <v>1112</v>
      </c>
      <c r="D137" t="s">
        <v>64</v>
      </c>
      <c r="E137" t="s">
        <v>76</v>
      </c>
      <c r="F137" t="s">
        <v>71</v>
      </c>
      <c r="G137" t="s">
        <v>46</v>
      </c>
      <c r="H137" t="s">
        <v>57</v>
      </c>
      <c r="I137" t="s">
        <v>69</v>
      </c>
      <c r="J137" s="4">
        <v>29.78</v>
      </c>
      <c r="K137" s="4">
        <v>14.67</v>
      </c>
      <c r="L137">
        <v>5</v>
      </c>
      <c r="M137" s="4">
        <v>21.84</v>
      </c>
      <c r="N137" s="4">
        <v>415.03</v>
      </c>
      <c r="O137" s="4">
        <v>213.39</v>
      </c>
      <c r="P137" s="4">
        <v>9.99</v>
      </c>
      <c r="Q137" s="4">
        <v>1.75</v>
      </c>
      <c r="R137" s="4">
        <v>4.67</v>
      </c>
      <c r="S137" s="4">
        <v>0</v>
      </c>
      <c r="T137" s="4">
        <v>0</v>
      </c>
      <c r="U137" s="4">
        <v>229.8</v>
      </c>
      <c r="V137" s="4">
        <v>185.23</v>
      </c>
      <c r="W137" t="s">
        <v>21</v>
      </c>
      <c r="X137" t="s">
        <v>36</v>
      </c>
      <c r="Y137" s="4">
        <v>5</v>
      </c>
      <c r="Z137" s="4">
        <v>31</v>
      </c>
      <c r="AA137" t="s">
        <v>37</v>
      </c>
      <c r="AB137" t="s">
        <v>44</v>
      </c>
      <c r="AC137" s="7">
        <v>2</v>
      </c>
      <c r="AD137" t="s">
        <v>45</v>
      </c>
      <c r="AE137">
        <f t="shared" si="2"/>
        <v>1</v>
      </c>
    </row>
    <row r="138" spans="1:31" x14ac:dyDescent="0.35">
      <c r="A138">
        <v>100137</v>
      </c>
      <c r="B138" s="3">
        <v>45937</v>
      </c>
      <c r="C138">
        <v>1100</v>
      </c>
      <c r="D138" t="s">
        <v>64</v>
      </c>
      <c r="E138" t="s">
        <v>65</v>
      </c>
      <c r="F138" t="s">
        <v>71</v>
      </c>
      <c r="G138" t="s">
        <v>63</v>
      </c>
      <c r="H138" t="s">
        <v>34</v>
      </c>
      <c r="I138" t="s">
        <v>35</v>
      </c>
      <c r="J138" s="4">
        <v>8.3800000000000008</v>
      </c>
      <c r="K138" s="4">
        <v>12.71</v>
      </c>
      <c r="L138">
        <v>0</v>
      </c>
      <c r="M138" s="4">
        <v>0</v>
      </c>
      <c r="N138" s="4">
        <v>106.51</v>
      </c>
      <c r="O138" s="4">
        <v>63.99</v>
      </c>
      <c r="P138" s="4">
        <v>10.85</v>
      </c>
      <c r="Q138" s="4">
        <v>0.75</v>
      </c>
      <c r="R138" s="4">
        <v>5.66</v>
      </c>
      <c r="S138" s="4">
        <v>0</v>
      </c>
      <c r="T138" s="4">
        <v>0</v>
      </c>
      <c r="U138" s="4">
        <v>81.25</v>
      </c>
      <c r="V138" s="4">
        <v>25.26</v>
      </c>
      <c r="W138" t="s">
        <v>21</v>
      </c>
      <c r="X138" t="s">
        <v>36</v>
      </c>
      <c r="Y138" s="4">
        <v>11</v>
      </c>
      <c r="Z138" s="4">
        <v>21</v>
      </c>
      <c r="AA138" t="s">
        <v>37</v>
      </c>
      <c r="AB138" t="s">
        <v>44</v>
      </c>
      <c r="AC138" s="7">
        <v>1</v>
      </c>
      <c r="AD138" t="s">
        <v>45</v>
      </c>
      <c r="AE138">
        <f t="shared" si="2"/>
        <v>1</v>
      </c>
    </row>
    <row r="139" spans="1:31" x14ac:dyDescent="0.35">
      <c r="A139">
        <v>100138</v>
      </c>
      <c r="B139" s="3">
        <v>45949</v>
      </c>
      <c r="C139">
        <v>1137</v>
      </c>
      <c r="D139" t="s">
        <v>59</v>
      </c>
      <c r="E139" t="s">
        <v>60</v>
      </c>
      <c r="F139" t="s">
        <v>61</v>
      </c>
      <c r="G139" t="s">
        <v>63</v>
      </c>
      <c r="H139" t="s">
        <v>34</v>
      </c>
      <c r="I139" t="s">
        <v>54</v>
      </c>
      <c r="J139" s="4">
        <v>24.28</v>
      </c>
      <c r="K139" s="4">
        <v>11.86</v>
      </c>
      <c r="L139">
        <v>10</v>
      </c>
      <c r="M139" s="4">
        <v>28.8</v>
      </c>
      <c r="N139" s="4">
        <v>259.16000000000003</v>
      </c>
      <c r="O139" s="4">
        <v>195.19</v>
      </c>
      <c r="P139" s="4">
        <v>8.19</v>
      </c>
      <c r="Q139" s="4">
        <v>3.46</v>
      </c>
      <c r="R139" s="4">
        <v>6.79</v>
      </c>
      <c r="S139" s="4">
        <v>0</v>
      </c>
      <c r="T139" s="4">
        <v>0</v>
      </c>
      <c r="U139" s="4">
        <v>213.63</v>
      </c>
      <c r="V139" s="4">
        <v>45.53</v>
      </c>
      <c r="W139" t="s">
        <v>21</v>
      </c>
      <c r="X139" t="s">
        <v>36</v>
      </c>
      <c r="Y139" s="4">
        <v>1</v>
      </c>
      <c r="Z139" s="4">
        <v>14</v>
      </c>
      <c r="AA139" t="s">
        <v>37</v>
      </c>
      <c r="AB139" t="s">
        <v>38</v>
      </c>
      <c r="AC139" s="7">
        <v>0</v>
      </c>
      <c r="AD139" t="s">
        <v>39</v>
      </c>
      <c r="AE139">
        <f t="shared" si="2"/>
        <v>0</v>
      </c>
    </row>
    <row r="140" spans="1:31" x14ac:dyDescent="0.35">
      <c r="A140">
        <v>100139</v>
      </c>
      <c r="B140" s="3">
        <v>45961</v>
      </c>
      <c r="C140">
        <v>1127</v>
      </c>
      <c r="D140" t="s">
        <v>59</v>
      </c>
      <c r="E140" t="s">
        <v>73</v>
      </c>
      <c r="F140" t="s">
        <v>61</v>
      </c>
      <c r="G140" t="s">
        <v>63</v>
      </c>
      <c r="H140" t="s">
        <v>34</v>
      </c>
      <c r="I140" t="s">
        <v>35</v>
      </c>
      <c r="J140" s="4">
        <v>11.98</v>
      </c>
      <c r="K140" s="4">
        <v>11.9</v>
      </c>
      <c r="L140">
        <v>10</v>
      </c>
      <c r="M140" s="4">
        <v>14.26</v>
      </c>
      <c r="N140" s="4">
        <v>128.30000000000001</v>
      </c>
      <c r="O140" s="4">
        <v>98.38</v>
      </c>
      <c r="P140" s="4">
        <v>6.46</v>
      </c>
      <c r="Q140" s="4">
        <v>1</v>
      </c>
      <c r="R140" s="4">
        <v>5.2</v>
      </c>
      <c r="S140" s="4">
        <v>0</v>
      </c>
      <c r="T140" s="4">
        <v>0</v>
      </c>
      <c r="U140" s="4">
        <v>111.04</v>
      </c>
      <c r="V140" s="4">
        <v>17.260000000000002</v>
      </c>
      <c r="W140" t="s">
        <v>21</v>
      </c>
      <c r="X140" t="s">
        <v>36</v>
      </c>
      <c r="Y140" s="4">
        <v>34</v>
      </c>
      <c r="Z140" s="4">
        <v>13</v>
      </c>
      <c r="AA140" t="s">
        <v>43</v>
      </c>
      <c r="AB140" t="s">
        <v>44</v>
      </c>
      <c r="AC140" s="7">
        <v>1</v>
      </c>
      <c r="AD140" t="s">
        <v>45</v>
      </c>
      <c r="AE140">
        <f t="shared" si="2"/>
        <v>1</v>
      </c>
    </row>
    <row r="141" spans="1:31" x14ac:dyDescent="0.35">
      <c r="A141">
        <v>100140</v>
      </c>
      <c r="B141" s="3">
        <v>45934</v>
      </c>
      <c r="C141">
        <v>1052</v>
      </c>
      <c r="D141" t="s">
        <v>30</v>
      </c>
      <c r="E141" t="s">
        <v>72</v>
      </c>
      <c r="F141" t="s">
        <v>71</v>
      </c>
      <c r="G141" t="s">
        <v>63</v>
      </c>
      <c r="H141" t="s">
        <v>57</v>
      </c>
      <c r="I141" t="s">
        <v>54</v>
      </c>
      <c r="J141" s="4">
        <v>8.91</v>
      </c>
      <c r="K141" s="4">
        <v>12.35</v>
      </c>
      <c r="L141">
        <v>0</v>
      </c>
      <c r="M141" s="4">
        <v>0</v>
      </c>
      <c r="N141" s="4">
        <v>110.04</v>
      </c>
      <c r="O141" s="4">
        <v>74.569999999999993</v>
      </c>
      <c r="P141" s="4">
        <v>5.65</v>
      </c>
      <c r="Q141" s="4">
        <v>1.32</v>
      </c>
      <c r="R141" s="4">
        <v>2.67</v>
      </c>
      <c r="S141" s="4">
        <v>0</v>
      </c>
      <c r="T141" s="4">
        <v>0</v>
      </c>
      <c r="U141" s="4">
        <v>84.21</v>
      </c>
      <c r="V141" s="4">
        <v>25.83</v>
      </c>
      <c r="W141" t="s">
        <v>21</v>
      </c>
      <c r="X141" t="s">
        <v>36</v>
      </c>
      <c r="Y141" s="4">
        <v>8</v>
      </c>
      <c r="Z141" s="4">
        <v>25</v>
      </c>
      <c r="AA141" t="s">
        <v>37</v>
      </c>
      <c r="AB141" t="s">
        <v>44</v>
      </c>
      <c r="AC141" s="7">
        <v>4</v>
      </c>
      <c r="AD141" t="s">
        <v>45</v>
      </c>
      <c r="AE141">
        <f t="shared" si="2"/>
        <v>1</v>
      </c>
    </row>
    <row r="142" spans="1:31" x14ac:dyDescent="0.35">
      <c r="A142">
        <v>100141</v>
      </c>
      <c r="B142" s="3">
        <v>45991</v>
      </c>
      <c r="C142">
        <v>1075</v>
      </c>
      <c r="D142" t="s">
        <v>30</v>
      </c>
      <c r="E142" t="s">
        <v>72</v>
      </c>
      <c r="F142" t="s">
        <v>49</v>
      </c>
      <c r="G142" t="s">
        <v>63</v>
      </c>
      <c r="H142" t="s">
        <v>57</v>
      </c>
      <c r="I142" t="s">
        <v>35</v>
      </c>
      <c r="J142" s="4">
        <v>13.84</v>
      </c>
      <c r="K142" s="4">
        <v>12.85</v>
      </c>
      <c r="L142">
        <v>5</v>
      </c>
      <c r="M142" s="4">
        <v>8.89</v>
      </c>
      <c r="N142" s="4">
        <v>168.95</v>
      </c>
      <c r="O142" s="4">
        <v>90.44</v>
      </c>
      <c r="P142" s="4">
        <v>8</v>
      </c>
      <c r="Q142" s="4">
        <v>1.24</v>
      </c>
      <c r="R142" s="4">
        <v>9.7100000000000009</v>
      </c>
      <c r="S142" s="4">
        <v>0</v>
      </c>
      <c r="T142" s="4">
        <v>0</v>
      </c>
      <c r="U142" s="4">
        <v>109.39</v>
      </c>
      <c r="V142" s="4">
        <v>59.56</v>
      </c>
      <c r="W142" t="s">
        <v>21</v>
      </c>
      <c r="X142" t="s">
        <v>36</v>
      </c>
      <c r="Y142" s="4">
        <v>15</v>
      </c>
      <c r="Z142" s="4">
        <v>18</v>
      </c>
      <c r="AA142" t="s">
        <v>37</v>
      </c>
      <c r="AB142" t="s">
        <v>44</v>
      </c>
      <c r="AC142" s="7">
        <v>1</v>
      </c>
      <c r="AD142" t="s">
        <v>45</v>
      </c>
      <c r="AE142">
        <f t="shared" si="2"/>
        <v>1</v>
      </c>
    </row>
    <row r="143" spans="1:31" x14ac:dyDescent="0.35">
      <c r="A143">
        <v>100142</v>
      </c>
      <c r="B143" s="3">
        <v>45931</v>
      </c>
      <c r="C143">
        <v>1105</v>
      </c>
      <c r="D143" t="s">
        <v>59</v>
      </c>
      <c r="E143" t="s">
        <v>70</v>
      </c>
      <c r="F143" t="s">
        <v>49</v>
      </c>
      <c r="G143" t="s">
        <v>50</v>
      </c>
      <c r="H143" t="s">
        <v>57</v>
      </c>
      <c r="I143" t="s">
        <v>35</v>
      </c>
      <c r="J143" s="4">
        <v>32.799999999999997</v>
      </c>
      <c r="K143" s="4">
        <v>18.100000000000001</v>
      </c>
      <c r="L143">
        <v>15</v>
      </c>
      <c r="M143" s="4">
        <v>89.05</v>
      </c>
      <c r="N143" s="4">
        <v>504.63</v>
      </c>
      <c r="O143" s="4">
        <v>223.77</v>
      </c>
      <c r="P143" s="4">
        <v>9.7200000000000006</v>
      </c>
      <c r="Q143" s="4">
        <v>4.16</v>
      </c>
      <c r="R143" s="4">
        <v>6.22</v>
      </c>
      <c r="S143" s="4">
        <v>0</v>
      </c>
      <c r="T143" s="4">
        <v>0</v>
      </c>
      <c r="U143" s="4">
        <v>243.87</v>
      </c>
      <c r="V143" s="4">
        <v>260.76</v>
      </c>
      <c r="W143" t="s">
        <v>21</v>
      </c>
      <c r="X143" t="s">
        <v>36</v>
      </c>
      <c r="Y143" s="4">
        <v>10</v>
      </c>
      <c r="Z143" s="4">
        <v>21</v>
      </c>
      <c r="AA143" t="s">
        <v>37</v>
      </c>
      <c r="AB143" t="s">
        <v>44</v>
      </c>
      <c r="AC143" s="7">
        <v>1</v>
      </c>
      <c r="AD143" t="s">
        <v>45</v>
      </c>
      <c r="AE143">
        <f t="shared" si="2"/>
        <v>1</v>
      </c>
    </row>
    <row r="144" spans="1:31" x14ac:dyDescent="0.35">
      <c r="A144">
        <v>100143</v>
      </c>
      <c r="B144" s="3">
        <v>46021</v>
      </c>
      <c r="C144">
        <v>1128</v>
      </c>
      <c r="D144" t="s">
        <v>47</v>
      </c>
      <c r="E144" t="s">
        <v>56</v>
      </c>
      <c r="F144" t="s">
        <v>32</v>
      </c>
      <c r="G144" t="s">
        <v>63</v>
      </c>
      <c r="H144" t="s">
        <v>34</v>
      </c>
      <c r="I144" t="s">
        <v>35</v>
      </c>
      <c r="J144" s="4">
        <v>20.91</v>
      </c>
      <c r="K144" s="4">
        <v>11.58</v>
      </c>
      <c r="L144">
        <v>20</v>
      </c>
      <c r="M144" s="4">
        <v>48.43</v>
      </c>
      <c r="N144" s="4">
        <v>193.71</v>
      </c>
      <c r="O144" s="4">
        <v>157.5</v>
      </c>
      <c r="P144" s="4">
        <v>10.18</v>
      </c>
      <c r="Q144" s="4">
        <v>1.69</v>
      </c>
      <c r="R144" s="4">
        <v>9.1999999999999993</v>
      </c>
      <c r="S144" s="4">
        <v>0</v>
      </c>
      <c r="T144" s="4">
        <v>0</v>
      </c>
      <c r="U144" s="4">
        <v>178.57</v>
      </c>
      <c r="V144" s="4">
        <v>15.14</v>
      </c>
      <c r="W144" t="s">
        <v>21</v>
      </c>
      <c r="X144" t="s">
        <v>36</v>
      </c>
      <c r="Y144" s="4">
        <v>15</v>
      </c>
      <c r="Z144" s="4">
        <v>36</v>
      </c>
      <c r="AA144" t="s">
        <v>37</v>
      </c>
      <c r="AB144" t="s">
        <v>44</v>
      </c>
      <c r="AC144" s="7">
        <v>1</v>
      </c>
      <c r="AD144" t="s">
        <v>45</v>
      </c>
      <c r="AE144">
        <f t="shared" si="2"/>
        <v>1</v>
      </c>
    </row>
    <row r="145" spans="1:31" x14ac:dyDescent="0.35">
      <c r="A145">
        <v>100144</v>
      </c>
      <c r="B145" s="3">
        <v>45986</v>
      </c>
      <c r="C145">
        <v>1035</v>
      </c>
      <c r="D145" t="s">
        <v>64</v>
      </c>
      <c r="E145" t="s">
        <v>75</v>
      </c>
      <c r="F145" t="s">
        <v>32</v>
      </c>
      <c r="G145" t="s">
        <v>33</v>
      </c>
      <c r="H145" t="s">
        <v>34</v>
      </c>
      <c r="I145" t="s">
        <v>35</v>
      </c>
      <c r="J145" s="4">
        <v>24.06</v>
      </c>
      <c r="K145" s="4">
        <v>19.18</v>
      </c>
      <c r="L145">
        <v>5</v>
      </c>
      <c r="M145" s="4">
        <v>23.07</v>
      </c>
      <c r="N145" s="4">
        <v>438.4</v>
      </c>
      <c r="O145" s="4">
        <v>223.05</v>
      </c>
      <c r="P145" s="4">
        <v>9.3699999999999992</v>
      </c>
      <c r="Q145" s="4">
        <v>3.23</v>
      </c>
      <c r="R145" s="4">
        <v>10.54</v>
      </c>
      <c r="S145" s="4">
        <v>0</v>
      </c>
      <c r="T145" s="4">
        <v>0</v>
      </c>
      <c r="U145" s="4">
        <v>246.19</v>
      </c>
      <c r="V145" s="4">
        <v>192.21</v>
      </c>
      <c r="W145" t="s">
        <v>21</v>
      </c>
      <c r="X145" t="s">
        <v>36</v>
      </c>
      <c r="Y145" s="4">
        <v>34</v>
      </c>
      <c r="Z145" s="4">
        <v>7</v>
      </c>
      <c r="AA145" t="s">
        <v>43</v>
      </c>
      <c r="AB145" t="s">
        <v>44</v>
      </c>
      <c r="AC145" s="7">
        <v>2</v>
      </c>
      <c r="AD145" t="s">
        <v>45</v>
      </c>
      <c r="AE145">
        <f t="shared" si="2"/>
        <v>1</v>
      </c>
    </row>
    <row r="146" spans="1:31" x14ac:dyDescent="0.35">
      <c r="A146">
        <v>100145</v>
      </c>
      <c r="B146" s="3">
        <v>46014</v>
      </c>
      <c r="C146">
        <v>1145</v>
      </c>
      <c r="D146" t="s">
        <v>30</v>
      </c>
      <c r="E146" t="s">
        <v>40</v>
      </c>
      <c r="F146" t="s">
        <v>61</v>
      </c>
      <c r="G146" t="s">
        <v>63</v>
      </c>
      <c r="H146" t="s">
        <v>34</v>
      </c>
      <c r="I146" t="s">
        <v>35</v>
      </c>
      <c r="J146" s="4">
        <v>17.86</v>
      </c>
      <c r="K146" s="4">
        <v>13.86</v>
      </c>
      <c r="L146">
        <v>10</v>
      </c>
      <c r="M146" s="4">
        <v>24.75</v>
      </c>
      <c r="N146" s="4">
        <v>222.79</v>
      </c>
      <c r="O146" s="4">
        <v>116.86</v>
      </c>
      <c r="P146" s="4">
        <v>8.74</v>
      </c>
      <c r="Q146" s="4">
        <v>1.73</v>
      </c>
      <c r="R146" s="4">
        <v>6.68</v>
      </c>
      <c r="S146" s="4">
        <v>0</v>
      </c>
      <c r="T146" s="4">
        <v>0</v>
      </c>
      <c r="U146" s="4">
        <v>134.01</v>
      </c>
      <c r="V146" s="4">
        <v>88.78</v>
      </c>
      <c r="W146" t="s">
        <v>21</v>
      </c>
      <c r="X146" t="s">
        <v>36</v>
      </c>
      <c r="Y146" s="4">
        <v>13</v>
      </c>
      <c r="Z146" s="4">
        <v>9</v>
      </c>
      <c r="AA146" t="s">
        <v>37</v>
      </c>
      <c r="AB146" t="s">
        <v>38</v>
      </c>
      <c r="AC146" s="7">
        <v>0</v>
      </c>
      <c r="AD146" t="s">
        <v>39</v>
      </c>
      <c r="AE146">
        <f t="shared" si="2"/>
        <v>0</v>
      </c>
    </row>
    <row r="147" spans="1:31" x14ac:dyDescent="0.35">
      <c r="A147">
        <v>100146</v>
      </c>
      <c r="B147" s="3">
        <v>46011</v>
      </c>
      <c r="C147">
        <v>1103</v>
      </c>
      <c r="D147" t="s">
        <v>64</v>
      </c>
      <c r="E147" t="s">
        <v>75</v>
      </c>
      <c r="F147" t="s">
        <v>71</v>
      </c>
      <c r="G147" t="s">
        <v>63</v>
      </c>
      <c r="H147" t="s">
        <v>57</v>
      </c>
      <c r="I147" t="s">
        <v>35</v>
      </c>
      <c r="J147" s="4">
        <v>12.44</v>
      </c>
      <c r="K147" s="4">
        <v>13.05</v>
      </c>
      <c r="L147">
        <v>20</v>
      </c>
      <c r="M147" s="4">
        <v>32.47</v>
      </c>
      <c r="N147" s="4">
        <v>129.87</v>
      </c>
      <c r="O147" s="4">
        <v>98.13</v>
      </c>
      <c r="P147" s="4">
        <v>9.1300000000000008</v>
      </c>
      <c r="Q147" s="4">
        <v>1.1399999999999999</v>
      </c>
      <c r="R147" s="4">
        <v>7.53</v>
      </c>
      <c r="S147" s="4">
        <v>0</v>
      </c>
      <c r="T147" s="4">
        <v>0</v>
      </c>
      <c r="U147" s="4">
        <v>115.93</v>
      </c>
      <c r="V147" s="4">
        <v>13.94</v>
      </c>
      <c r="W147" t="s">
        <v>21</v>
      </c>
      <c r="X147" t="s">
        <v>36</v>
      </c>
      <c r="Y147" s="4">
        <v>52</v>
      </c>
      <c r="Z147" s="4">
        <v>7</v>
      </c>
      <c r="AA147" t="s">
        <v>43</v>
      </c>
      <c r="AB147" t="s">
        <v>44</v>
      </c>
      <c r="AC147" s="7">
        <v>1</v>
      </c>
      <c r="AD147" t="s">
        <v>45</v>
      </c>
      <c r="AE147">
        <f t="shared" si="2"/>
        <v>1</v>
      </c>
    </row>
    <row r="148" spans="1:31" x14ac:dyDescent="0.35">
      <c r="A148">
        <v>100147</v>
      </c>
      <c r="B148" s="3">
        <v>45968</v>
      </c>
      <c r="C148">
        <v>1054</v>
      </c>
      <c r="D148" t="s">
        <v>59</v>
      </c>
      <c r="E148" t="s">
        <v>68</v>
      </c>
      <c r="F148" t="s">
        <v>71</v>
      </c>
      <c r="G148" t="s">
        <v>46</v>
      </c>
      <c r="H148" t="s">
        <v>34</v>
      </c>
      <c r="I148" t="s">
        <v>35</v>
      </c>
      <c r="J148" s="4">
        <v>32.9</v>
      </c>
      <c r="K148" s="4">
        <v>16.350000000000001</v>
      </c>
      <c r="L148">
        <v>0</v>
      </c>
      <c r="M148" s="4">
        <v>0</v>
      </c>
      <c r="N148" s="4">
        <v>537.91999999999996</v>
      </c>
      <c r="O148" s="4">
        <v>246.08</v>
      </c>
      <c r="P148" s="4">
        <v>10.050000000000001</v>
      </c>
      <c r="Q148" s="4">
        <v>3.77</v>
      </c>
      <c r="R148" s="4">
        <v>7.69</v>
      </c>
      <c r="S148" s="4">
        <v>0</v>
      </c>
      <c r="T148" s="4">
        <v>0</v>
      </c>
      <c r="U148" s="4">
        <v>267.58999999999997</v>
      </c>
      <c r="V148" s="4">
        <v>270.33</v>
      </c>
      <c r="W148" t="s">
        <v>21</v>
      </c>
      <c r="X148" t="s">
        <v>36</v>
      </c>
      <c r="Y148" s="4">
        <v>7</v>
      </c>
      <c r="Z148" s="4">
        <v>11</v>
      </c>
      <c r="AA148" t="s">
        <v>37</v>
      </c>
      <c r="AB148" t="s">
        <v>38</v>
      </c>
      <c r="AC148" s="7">
        <v>0</v>
      </c>
      <c r="AD148" t="s">
        <v>39</v>
      </c>
      <c r="AE148">
        <f t="shared" si="2"/>
        <v>0</v>
      </c>
    </row>
    <row r="149" spans="1:31" x14ac:dyDescent="0.35">
      <c r="A149">
        <v>100148</v>
      </c>
      <c r="B149" s="3">
        <v>45983</v>
      </c>
      <c r="C149">
        <v>1021</v>
      </c>
      <c r="D149" t="s">
        <v>30</v>
      </c>
      <c r="E149" t="s">
        <v>40</v>
      </c>
      <c r="F149" t="s">
        <v>32</v>
      </c>
      <c r="G149" t="s">
        <v>63</v>
      </c>
      <c r="H149" t="s">
        <v>57</v>
      </c>
      <c r="I149" t="s">
        <v>35</v>
      </c>
      <c r="J149" s="4">
        <v>35.47</v>
      </c>
      <c r="K149" s="4">
        <v>13.24</v>
      </c>
      <c r="L149">
        <v>10</v>
      </c>
      <c r="M149" s="4">
        <v>46.96</v>
      </c>
      <c r="N149" s="4">
        <v>422.66</v>
      </c>
      <c r="O149" s="4">
        <v>231.72</v>
      </c>
      <c r="P149" s="4">
        <v>8.2100000000000009</v>
      </c>
      <c r="Q149" s="4">
        <v>3.29</v>
      </c>
      <c r="R149" s="4">
        <v>4.95</v>
      </c>
      <c r="S149" s="4">
        <v>0</v>
      </c>
      <c r="T149" s="4">
        <v>0</v>
      </c>
      <c r="U149" s="4">
        <v>248.17</v>
      </c>
      <c r="V149" s="4">
        <v>174.49</v>
      </c>
      <c r="W149" t="s">
        <v>21</v>
      </c>
      <c r="X149" t="s">
        <v>36</v>
      </c>
      <c r="Y149" s="4">
        <v>30</v>
      </c>
      <c r="Z149" s="4">
        <v>0</v>
      </c>
      <c r="AA149" t="s">
        <v>52</v>
      </c>
      <c r="AB149" t="s">
        <v>44</v>
      </c>
      <c r="AC149" s="7">
        <v>1</v>
      </c>
      <c r="AD149" t="s">
        <v>45</v>
      </c>
      <c r="AE149">
        <f t="shared" si="2"/>
        <v>1</v>
      </c>
    </row>
    <row r="150" spans="1:31" x14ac:dyDescent="0.35">
      <c r="A150">
        <v>100149</v>
      </c>
      <c r="B150" s="3">
        <v>46020</v>
      </c>
      <c r="C150">
        <v>1074</v>
      </c>
      <c r="D150" t="s">
        <v>47</v>
      </c>
      <c r="E150" t="s">
        <v>74</v>
      </c>
      <c r="F150" t="s">
        <v>71</v>
      </c>
      <c r="G150" t="s">
        <v>46</v>
      </c>
      <c r="H150" t="s">
        <v>34</v>
      </c>
      <c r="I150" t="s">
        <v>54</v>
      </c>
      <c r="J150" s="4">
        <v>30.56</v>
      </c>
      <c r="K150" s="4">
        <v>14.54</v>
      </c>
      <c r="L150">
        <v>0</v>
      </c>
      <c r="M150" s="4">
        <v>0</v>
      </c>
      <c r="N150" s="4">
        <v>444.34</v>
      </c>
      <c r="O150" s="4">
        <v>191.27</v>
      </c>
      <c r="P150" s="4">
        <v>5.05</v>
      </c>
      <c r="Q150" s="4">
        <v>5.33</v>
      </c>
      <c r="R150" s="4">
        <v>5.03</v>
      </c>
      <c r="S150" s="4">
        <v>0</v>
      </c>
      <c r="T150" s="4">
        <v>0</v>
      </c>
      <c r="U150" s="4">
        <v>206.68</v>
      </c>
      <c r="V150" s="4">
        <v>237.66</v>
      </c>
      <c r="W150" t="s">
        <v>21</v>
      </c>
      <c r="X150" t="s">
        <v>36</v>
      </c>
      <c r="Y150" s="4">
        <v>3</v>
      </c>
      <c r="Z150" s="4">
        <v>7</v>
      </c>
      <c r="AA150" t="s">
        <v>37</v>
      </c>
      <c r="AB150" t="s">
        <v>38</v>
      </c>
      <c r="AC150" s="7">
        <v>0</v>
      </c>
      <c r="AD150" t="s">
        <v>39</v>
      </c>
      <c r="AE150">
        <f t="shared" si="2"/>
        <v>0</v>
      </c>
    </row>
    <row r="151" spans="1:31" x14ac:dyDescent="0.35">
      <c r="A151">
        <v>100150</v>
      </c>
      <c r="B151" s="3">
        <v>45934</v>
      </c>
      <c r="C151">
        <v>1066</v>
      </c>
      <c r="D151" t="s">
        <v>64</v>
      </c>
      <c r="E151" t="s">
        <v>67</v>
      </c>
      <c r="F151" t="s">
        <v>49</v>
      </c>
      <c r="G151" t="s">
        <v>63</v>
      </c>
      <c r="H151" t="s">
        <v>34</v>
      </c>
      <c r="I151" t="s">
        <v>42</v>
      </c>
      <c r="J151" s="4">
        <v>31.54</v>
      </c>
      <c r="K151" s="4">
        <v>13.09</v>
      </c>
      <c r="L151">
        <v>0</v>
      </c>
      <c r="M151" s="4">
        <v>0</v>
      </c>
      <c r="N151" s="4">
        <v>412.86</v>
      </c>
      <c r="O151" s="4">
        <v>215.87</v>
      </c>
      <c r="P151" s="4">
        <v>3.31</v>
      </c>
      <c r="Q151" s="4">
        <v>6.19</v>
      </c>
      <c r="R151" s="4">
        <v>1.55</v>
      </c>
      <c r="S151" s="4">
        <v>0</v>
      </c>
      <c r="T151" s="4">
        <v>0</v>
      </c>
      <c r="U151" s="4">
        <v>226.92</v>
      </c>
      <c r="V151" s="4">
        <v>185.94</v>
      </c>
      <c r="W151" t="s">
        <v>21</v>
      </c>
      <c r="X151" t="s">
        <v>36</v>
      </c>
      <c r="Y151" s="4">
        <v>16</v>
      </c>
      <c r="Z151" s="4">
        <v>1</v>
      </c>
      <c r="AA151" t="s">
        <v>52</v>
      </c>
      <c r="AB151" t="s">
        <v>38</v>
      </c>
      <c r="AC151" s="7">
        <v>0</v>
      </c>
      <c r="AD151" t="s">
        <v>39</v>
      </c>
      <c r="AE151">
        <f t="shared" si="2"/>
        <v>0</v>
      </c>
    </row>
    <row r="152" spans="1:31" x14ac:dyDescent="0.35">
      <c r="A152">
        <v>100151</v>
      </c>
      <c r="B152" s="3">
        <v>45939</v>
      </c>
      <c r="C152">
        <v>1075</v>
      </c>
      <c r="D152" t="s">
        <v>64</v>
      </c>
      <c r="E152" t="s">
        <v>67</v>
      </c>
      <c r="F152" t="s">
        <v>32</v>
      </c>
      <c r="G152" t="s">
        <v>33</v>
      </c>
      <c r="H152" t="s">
        <v>34</v>
      </c>
      <c r="I152" t="s">
        <v>42</v>
      </c>
      <c r="J152" s="4">
        <v>30.76</v>
      </c>
      <c r="K152" s="4">
        <v>19.72</v>
      </c>
      <c r="L152">
        <v>15</v>
      </c>
      <c r="M152" s="4">
        <v>90.99</v>
      </c>
      <c r="N152" s="4">
        <v>515.6</v>
      </c>
      <c r="O152" s="4">
        <v>241.79</v>
      </c>
      <c r="P152" s="4">
        <v>12.78</v>
      </c>
      <c r="Q152" s="4">
        <v>9.1</v>
      </c>
      <c r="R152" s="4">
        <v>4.2300000000000004</v>
      </c>
      <c r="S152" s="4">
        <v>0</v>
      </c>
      <c r="T152" s="4">
        <v>0</v>
      </c>
      <c r="U152" s="4">
        <v>267.89999999999998</v>
      </c>
      <c r="V152" s="4">
        <v>247.7</v>
      </c>
      <c r="W152" t="s">
        <v>21</v>
      </c>
      <c r="X152" t="s">
        <v>36</v>
      </c>
      <c r="Y152" s="4">
        <v>27</v>
      </c>
      <c r="Z152" s="4">
        <v>4</v>
      </c>
      <c r="AA152" t="s">
        <v>52</v>
      </c>
      <c r="AB152" t="s">
        <v>44</v>
      </c>
      <c r="AC152" s="7">
        <v>2</v>
      </c>
      <c r="AD152" t="s">
        <v>45</v>
      </c>
      <c r="AE152">
        <f t="shared" si="2"/>
        <v>1</v>
      </c>
    </row>
    <row r="153" spans="1:31" x14ac:dyDescent="0.35">
      <c r="A153">
        <v>100152</v>
      </c>
      <c r="B153" s="3">
        <v>45949</v>
      </c>
      <c r="C153">
        <v>1002</v>
      </c>
      <c r="D153" t="s">
        <v>64</v>
      </c>
      <c r="E153" t="s">
        <v>76</v>
      </c>
      <c r="F153" t="s">
        <v>49</v>
      </c>
      <c r="G153" t="s">
        <v>33</v>
      </c>
      <c r="H153" t="s">
        <v>34</v>
      </c>
      <c r="I153" t="s">
        <v>35</v>
      </c>
      <c r="J153" s="4">
        <v>24.2</v>
      </c>
      <c r="K153" s="4">
        <v>19.239999999999998</v>
      </c>
      <c r="L153">
        <v>5</v>
      </c>
      <c r="M153" s="4">
        <v>23.28</v>
      </c>
      <c r="N153" s="4">
        <v>442.33</v>
      </c>
      <c r="O153" s="4">
        <v>194.9</v>
      </c>
      <c r="P153" s="4">
        <v>7.73</v>
      </c>
      <c r="Q153" s="4">
        <v>3.26</v>
      </c>
      <c r="R153" s="4">
        <v>6.89</v>
      </c>
      <c r="S153" s="4">
        <v>0</v>
      </c>
      <c r="T153" s="4">
        <v>0</v>
      </c>
      <c r="U153" s="4">
        <v>212.78</v>
      </c>
      <c r="V153" s="4">
        <v>229.55</v>
      </c>
      <c r="W153" t="s">
        <v>21</v>
      </c>
      <c r="X153" t="s">
        <v>36</v>
      </c>
      <c r="Y153" s="4">
        <v>23</v>
      </c>
      <c r="Z153" s="4">
        <v>0</v>
      </c>
      <c r="AA153" t="s">
        <v>52</v>
      </c>
      <c r="AB153" t="s">
        <v>44</v>
      </c>
      <c r="AC153" s="7">
        <v>1</v>
      </c>
      <c r="AD153" t="s">
        <v>45</v>
      </c>
      <c r="AE153">
        <f t="shared" si="2"/>
        <v>1</v>
      </c>
    </row>
    <row r="154" spans="1:31" x14ac:dyDescent="0.35">
      <c r="A154">
        <v>100153</v>
      </c>
      <c r="B154" s="3">
        <v>45986</v>
      </c>
      <c r="C154">
        <v>1023</v>
      </c>
      <c r="D154" t="s">
        <v>59</v>
      </c>
      <c r="E154" t="s">
        <v>68</v>
      </c>
      <c r="F154" t="s">
        <v>41</v>
      </c>
      <c r="G154" t="s">
        <v>63</v>
      </c>
      <c r="H154" t="s">
        <v>34</v>
      </c>
      <c r="I154" t="s">
        <v>69</v>
      </c>
      <c r="J154" s="4">
        <v>20.48</v>
      </c>
      <c r="K154" s="4">
        <v>12.92</v>
      </c>
      <c r="L154">
        <v>15</v>
      </c>
      <c r="M154" s="4">
        <v>39.69</v>
      </c>
      <c r="N154" s="4">
        <v>224.91</v>
      </c>
      <c r="O154" s="4">
        <v>154.29</v>
      </c>
      <c r="P154" s="4">
        <v>11.22</v>
      </c>
      <c r="Q154" s="4">
        <v>1.06</v>
      </c>
      <c r="R154" s="4">
        <v>12.61</v>
      </c>
      <c r="S154" s="4">
        <v>0</v>
      </c>
      <c r="T154" s="4">
        <v>0</v>
      </c>
      <c r="U154" s="4">
        <v>179.18</v>
      </c>
      <c r="V154" s="4">
        <v>45.73</v>
      </c>
      <c r="W154" t="s">
        <v>21</v>
      </c>
      <c r="X154" t="s">
        <v>36</v>
      </c>
      <c r="Y154" s="4">
        <v>24</v>
      </c>
      <c r="Z154" s="4">
        <v>20</v>
      </c>
      <c r="AA154" t="s">
        <v>52</v>
      </c>
      <c r="AB154" t="s">
        <v>44</v>
      </c>
      <c r="AC154" s="7">
        <v>3</v>
      </c>
      <c r="AD154" t="s">
        <v>45</v>
      </c>
      <c r="AE154">
        <f t="shared" si="2"/>
        <v>1</v>
      </c>
    </row>
    <row r="155" spans="1:31" x14ac:dyDescent="0.35">
      <c r="A155">
        <v>100154</v>
      </c>
      <c r="B155" s="3">
        <v>45962</v>
      </c>
      <c r="C155">
        <v>1080</v>
      </c>
      <c r="D155" t="s">
        <v>47</v>
      </c>
      <c r="E155" t="s">
        <v>74</v>
      </c>
      <c r="F155" t="s">
        <v>41</v>
      </c>
      <c r="G155" t="s">
        <v>46</v>
      </c>
      <c r="H155" t="s">
        <v>57</v>
      </c>
      <c r="I155" t="s">
        <v>35</v>
      </c>
      <c r="J155" s="4">
        <v>24.48</v>
      </c>
      <c r="K155" s="4">
        <v>16.059999999999999</v>
      </c>
      <c r="L155">
        <v>10</v>
      </c>
      <c r="M155" s="4">
        <v>39.32</v>
      </c>
      <c r="N155" s="4">
        <v>353.83</v>
      </c>
      <c r="O155" s="4">
        <v>176.08</v>
      </c>
      <c r="P155" s="4">
        <v>7.56</v>
      </c>
      <c r="Q155" s="4">
        <v>2.75</v>
      </c>
      <c r="R155" s="4">
        <v>5.24</v>
      </c>
      <c r="S155" s="4">
        <v>0</v>
      </c>
      <c r="T155" s="4">
        <v>0</v>
      </c>
      <c r="U155" s="4">
        <v>191.63</v>
      </c>
      <c r="V155" s="4">
        <v>162.19999999999999</v>
      </c>
      <c r="W155" t="s">
        <v>21</v>
      </c>
      <c r="X155" t="s">
        <v>36</v>
      </c>
      <c r="Y155" s="4">
        <v>7</v>
      </c>
      <c r="Z155" s="4">
        <v>20</v>
      </c>
      <c r="AA155" t="s">
        <v>37</v>
      </c>
      <c r="AB155" t="s">
        <v>44</v>
      </c>
      <c r="AC155" s="7">
        <v>2</v>
      </c>
      <c r="AD155" t="s">
        <v>45</v>
      </c>
      <c r="AE155">
        <f t="shared" si="2"/>
        <v>1</v>
      </c>
    </row>
    <row r="156" spans="1:31" x14ac:dyDescent="0.35">
      <c r="A156">
        <v>100155</v>
      </c>
      <c r="B156" s="3">
        <v>45983</v>
      </c>
      <c r="C156">
        <v>1090</v>
      </c>
      <c r="D156" t="s">
        <v>47</v>
      </c>
      <c r="E156" t="s">
        <v>56</v>
      </c>
      <c r="F156" t="s">
        <v>41</v>
      </c>
      <c r="G156" t="s">
        <v>33</v>
      </c>
      <c r="H156" t="s">
        <v>34</v>
      </c>
      <c r="I156" t="s">
        <v>35</v>
      </c>
      <c r="J156" s="4">
        <v>32.799999999999997</v>
      </c>
      <c r="K156" s="4">
        <v>17.79</v>
      </c>
      <c r="L156">
        <v>0</v>
      </c>
      <c r="M156" s="4">
        <v>0</v>
      </c>
      <c r="N156" s="4">
        <v>583.51</v>
      </c>
      <c r="O156" s="4">
        <v>262.55</v>
      </c>
      <c r="P156" s="4">
        <v>6.43</v>
      </c>
      <c r="Q156" s="4">
        <v>4.08</v>
      </c>
      <c r="R156" s="4">
        <v>5.71</v>
      </c>
      <c r="S156" s="4">
        <v>0</v>
      </c>
      <c r="T156" s="4">
        <v>0</v>
      </c>
      <c r="U156" s="4">
        <v>278.77</v>
      </c>
      <c r="V156" s="4">
        <v>304.74</v>
      </c>
      <c r="W156" t="s">
        <v>21</v>
      </c>
      <c r="X156" t="s">
        <v>36</v>
      </c>
      <c r="Y156" s="4">
        <v>17</v>
      </c>
      <c r="Z156" s="4">
        <v>6</v>
      </c>
      <c r="AA156" t="s">
        <v>52</v>
      </c>
      <c r="AB156" t="s">
        <v>38</v>
      </c>
      <c r="AC156" s="7">
        <v>0</v>
      </c>
      <c r="AD156" t="s">
        <v>39</v>
      </c>
      <c r="AE156">
        <f t="shared" si="2"/>
        <v>0</v>
      </c>
    </row>
    <row r="157" spans="1:31" x14ac:dyDescent="0.35">
      <c r="A157">
        <v>100156</v>
      </c>
      <c r="B157" s="3">
        <v>45993</v>
      </c>
      <c r="C157">
        <v>1080</v>
      </c>
      <c r="D157" t="s">
        <v>30</v>
      </c>
      <c r="E157" t="s">
        <v>62</v>
      </c>
      <c r="F157" t="s">
        <v>32</v>
      </c>
      <c r="G157" t="s">
        <v>46</v>
      </c>
      <c r="H157" t="s">
        <v>34</v>
      </c>
      <c r="I157" t="s">
        <v>35</v>
      </c>
      <c r="J157" s="4">
        <v>29.56</v>
      </c>
      <c r="K157" s="4">
        <v>17.78</v>
      </c>
      <c r="L157">
        <v>20</v>
      </c>
      <c r="M157" s="4">
        <v>105.12</v>
      </c>
      <c r="N157" s="4">
        <v>420.46</v>
      </c>
      <c r="O157" s="4">
        <v>229.1</v>
      </c>
      <c r="P157" s="4">
        <v>7.7</v>
      </c>
      <c r="Q157" s="4">
        <v>3.68</v>
      </c>
      <c r="R157" s="4">
        <v>1.9</v>
      </c>
      <c r="S157" s="4">
        <v>0</v>
      </c>
      <c r="T157" s="4">
        <v>0</v>
      </c>
      <c r="U157" s="4">
        <v>242.38</v>
      </c>
      <c r="V157" s="4">
        <v>178.08</v>
      </c>
      <c r="W157" t="s">
        <v>21</v>
      </c>
      <c r="X157" t="s">
        <v>36</v>
      </c>
      <c r="Y157" s="4">
        <v>12</v>
      </c>
      <c r="Z157" s="4">
        <v>0</v>
      </c>
      <c r="AA157" t="s">
        <v>37</v>
      </c>
      <c r="AB157" t="s">
        <v>38</v>
      </c>
      <c r="AC157" s="7">
        <v>0</v>
      </c>
      <c r="AD157" t="s">
        <v>39</v>
      </c>
      <c r="AE157">
        <f t="shared" si="2"/>
        <v>0</v>
      </c>
    </row>
    <row r="158" spans="1:31" x14ac:dyDescent="0.35">
      <c r="A158">
        <v>100157</v>
      </c>
      <c r="B158" s="3">
        <v>46001</v>
      </c>
      <c r="C158">
        <v>1120</v>
      </c>
      <c r="D158" t="s">
        <v>47</v>
      </c>
      <c r="E158" t="s">
        <v>74</v>
      </c>
      <c r="F158" t="s">
        <v>49</v>
      </c>
      <c r="G158" t="s">
        <v>63</v>
      </c>
      <c r="H158" t="s">
        <v>57</v>
      </c>
      <c r="I158" t="s">
        <v>35</v>
      </c>
      <c r="J158" s="4">
        <v>19.329999999999998</v>
      </c>
      <c r="K158" s="4">
        <v>12.84</v>
      </c>
      <c r="L158">
        <v>10</v>
      </c>
      <c r="M158" s="4">
        <v>24.82</v>
      </c>
      <c r="N158" s="4">
        <v>223.38</v>
      </c>
      <c r="O158" s="4">
        <v>129.05000000000001</v>
      </c>
      <c r="P158" s="4">
        <v>7.54</v>
      </c>
      <c r="Q158" s="4">
        <v>1.74</v>
      </c>
      <c r="R158" s="4">
        <v>7.18</v>
      </c>
      <c r="S158" s="4">
        <v>0</v>
      </c>
      <c r="T158" s="4">
        <v>0</v>
      </c>
      <c r="U158" s="4">
        <v>145.51</v>
      </c>
      <c r="V158" s="4">
        <v>77.87</v>
      </c>
      <c r="W158" t="s">
        <v>21</v>
      </c>
      <c r="X158" t="s">
        <v>36</v>
      </c>
      <c r="Y158" s="4">
        <v>32</v>
      </c>
      <c r="Z158" s="4">
        <v>1</v>
      </c>
      <c r="AA158" t="s">
        <v>43</v>
      </c>
      <c r="AB158" t="s">
        <v>44</v>
      </c>
      <c r="AC158" s="7">
        <v>2</v>
      </c>
      <c r="AD158" t="s">
        <v>45</v>
      </c>
      <c r="AE158">
        <f t="shared" si="2"/>
        <v>1</v>
      </c>
    </row>
    <row r="159" spans="1:31" x14ac:dyDescent="0.35">
      <c r="A159">
        <v>100158</v>
      </c>
      <c r="B159" s="3">
        <v>45975</v>
      </c>
      <c r="C159">
        <v>1122</v>
      </c>
      <c r="D159" t="s">
        <v>47</v>
      </c>
      <c r="E159" t="s">
        <v>74</v>
      </c>
      <c r="F159" t="s">
        <v>41</v>
      </c>
      <c r="G159" t="s">
        <v>33</v>
      </c>
      <c r="H159" t="s">
        <v>34</v>
      </c>
      <c r="I159" t="s">
        <v>35</v>
      </c>
      <c r="J159" s="4">
        <v>20.9</v>
      </c>
      <c r="K159" s="4">
        <v>18.66</v>
      </c>
      <c r="L159">
        <v>0</v>
      </c>
      <c r="M159" s="4">
        <v>0</v>
      </c>
      <c r="N159" s="4">
        <v>389.99</v>
      </c>
      <c r="O159" s="4">
        <v>108.02</v>
      </c>
      <c r="P159" s="4">
        <v>2.17</v>
      </c>
      <c r="Q159" s="4">
        <v>2.73</v>
      </c>
      <c r="R159" s="4">
        <v>10.55</v>
      </c>
      <c r="S159" s="4">
        <v>0</v>
      </c>
      <c r="T159" s="4">
        <v>0</v>
      </c>
      <c r="U159" s="4">
        <v>123.47</v>
      </c>
      <c r="V159" s="4">
        <v>266.52</v>
      </c>
      <c r="W159" t="s">
        <v>21</v>
      </c>
      <c r="X159" t="s">
        <v>36</v>
      </c>
      <c r="Y159" s="4">
        <v>2</v>
      </c>
      <c r="Z159" s="4">
        <v>4</v>
      </c>
      <c r="AA159" t="s">
        <v>37</v>
      </c>
      <c r="AB159" t="s">
        <v>38</v>
      </c>
      <c r="AC159" s="7">
        <v>0</v>
      </c>
      <c r="AD159" t="s">
        <v>39</v>
      </c>
      <c r="AE159">
        <f t="shared" si="2"/>
        <v>0</v>
      </c>
    </row>
    <row r="160" spans="1:31" x14ac:dyDescent="0.35">
      <c r="A160">
        <v>100159</v>
      </c>
      <c r="B160" s="3">
        <v>45933</v>
      </c>
      <c r="C160">
        <v>1113</v>
      </c>
      <c r="D160" t="s">
        <v>30</v>
      </c>
      <c r="E160" t="s">
        <v>40</v>
      </c>
      <c r="F160" t="s">
        <v>71</v>
      </c>
      <c r="G160" t="s">
        <v>33</v>
      </c>
      <c r="H160" t="s">
        <v>34</v>
      </c>
      <c r="I160" t="s">
        <v>35</v>
      </c>
      <c r="J160" s="4">
        <v>15.37</v>
      </c>
      <c r="K160" s="4">
        <v>19.61</v>
      </c>
      <c r="L160">
        <v>5</v>
      </c>
      <c r="M160" s="4">
        <v>15.07</v>
      </c>
      <c r="N160" s="4">
        <v>286.33999999999997</v>
      </c>
      <c r="O160" s="4">
        <v>121.27</v>
      </c>
      <c r="P160" s="4">
        <v>9.27</v>
      </c>
      <c r="Q160" s="4">
        <v>2.11</v>
      </c>
      <c r="R160" s="4">
        <v>5.23</v>
      </c>
      <c r="S160" s="4">
        <v>0</v>
      </c>
      <c r="T160" s="4">
        <v>0</v>
      </c>
      <c r="U160" s="4">
        <v>137.88</v>
      </c>
      <c r="V160" s="4">
        <v>148.46</v>
      </c>
      <c r="W160" t="s">
        <v>21</v>
      </c>
      <c r="X160" t="s">
        <v>36</v>
      </c>
      <c r="Y160" s="4">
        <v>17</v>
      </c>
      <c r="Z160" s="4">
        <v>32</v>
      </c>
      <c r="AA160" t="s">
        <v>52</v>
      </c>
      <c r="AB160" t="s">
        <v>44</v>
      </c>
      <c r="AC160" s="7">
        <v>2</v>
      </c>
      <c r="AD160" t="s">
        <v>45</v>
      </c>
      <c r="AE160">
        <f t="shared" si="2"/>
        <v>1</v>
      </c>
    </row>
    <row r="161" spans="1:31" x14ac:dyDescent="0.35">
      <c r="A161">
        <v>100160</v>
      </c>
      <c r="B161" s="3">
        <v>46004</v>
      </c>
      <c r="C161">
        <v>1080</v>
      </c>
      <c r="D161" t="s">
        <v>47</v>
      </c>
      <c r="E161" t="s">
        <v>48</v>
      </c>
      <c r="F161" t="s">
        <v>49</v>
      </c>
      <c r="G161" t="s">
        <v>50</v>
      </c>
      <c r="H161" t="s">
        <v>34</v>
      </c>
      <c r="I161" t="s">
        <v>35</v>
      </c>
      <c r="J161" s="4">
        <v>35.590000000000003</v>
      </c>
      <c r="K161" s="4">
        <v>17.149999999999999</v>
      </c>
      <c r="L161">
        <v>10</v>
      </c>
      <c r="M161" s="4">
        <v>61.04</v>
      </c>
      <c r="N161" s="4">
        <v>549.33000000000004</v>
      </c>
      <c r="O161" s="4">
        <v>253.07</v>
      </c>
      <c r="P161" s="4">
        <v>5.19</v>
      </c>
      <c r="Q161" s="4">
        <v>4.2699999999999996</v>
      </c>
      <c r="R161" s="4">
        <v>0</v>
      </c>
      <c r="S161" s="4">
        <v>0</v>
      </c>
      <c r="T161" s="4">
        <v>0</v>
      </c>
      <c r="U161" s="4">
        <v>262.52999999999997</v>
      </c>
      <c r="V161" s="4">
        <v>286.8</v>
      </c>
      <c r="W161" t="s">
        <v>21</v>
      </c>
      <c r="X161" t="s">
        <v>36</v>
      </c>
      <c r="Y161" s="4">
        <v>4</v>
      </c>
      <c r="Z161" s="4">
        <v>21</v>
      </c>
      <c r="AA161" t="s">
        <v>37</v>
      </c>
      <c r="AB161" t="s">
        <v>44</v>
      </c>
      <c r="AC161" s="7">
        <v>4</v>
      </c>
      <c r="AD161" t="s">
        <v>45</v>
      </c>
      <c r="AE161">
        <f t="shared" si="2"/>
        <v>1</v>
      </c>
    </row>
    <row r="162" spans="1:31" x14ac:dyDescent="0.35">
      <c r="A162">
        <v>100161</v>
      </c>
      <c r="B162" s="3">
        <v>46017</v>
      </c>
      <c r="C162">
        <v>1049</v>
      </c>
      <c r="D162" t="s">
        <v>30</v>
      </c>
      <c r="E162" t="s">
        <v>62</v>
      </c>
      <c r="F162" t="s">
        <v>32</v>
      </c>
      <c r="G162" t="s">
        <v>33</v>
      </c>
      <c r="H162" t="s">
        <v>57</v>
      </c>
      <c r="I162" t="s">
        <v>35</v>
      </c>
      <c r="J162" s="4">
        <v>36.06</v>
      </c>
      <c r="K162" s="4">
        <v>18.73</v>
      </c>
      <c r="L162">
        <v>20</v>
      </c>
      <c r="M162" s="4">
        <v>135.08000000000001</v>
      </c>
      <c r="N162" s="4">
        <v>540.32000000000005</v>
      </c>
      <c r="O162" s="4">
        <v>208.23</v>
      </c>
      <c r="P162" s="4">
        <v>9.94</v>
      </c>
      <c r="Q162" s="4">
        <v>4.7300000000000004</v>
      </c>
      <c r="R162" s="4">
        <v>2.34</v>
      </c>
      <c r="S162" s="4">
        <v>0</v>
      </c>
      <c r="T162" s="4">
        <v>0</v>
      </c>
      <c r="U162" s="4">
        <v>225.24</v>
      </c>
      <c r="V162" s="4">
        <v>315.08</v>
      </c>
      <c r="W162" t="s">
        <v>21</v>
      </c>
      <c r="X162" t="s">
        <v>36</v>
      </c>
      <c r="Y162" s="4">
        <v>10</v>
      </c>
      <c r="Z162" s="4">
        <v>35</v>
      </c>
      <c r="AA162" t="s">
        <v>37</v>
      </c>
      <c r="AB162" t="s">
        <v>44</v>
      </c>
      <c r="AC162" s="7">
        <v>3</v>
      </c>
      <c r="AD162" t="s">
        <v>45</v>
      </c>
      <c r="AE162">
        <f t="shared" si="2"/>
        <v>1</v>
      </c>
    </row>
    <row r="163" spans="1:31" x14ac:dyDescent="0.35">
      <c r="A163">
        <v>100162</v>
      </c>
      <c r="B163" s="3">
        <v>46019</v>
      </c>
      <c r="C163">
        <v>1098</v>
      </c>
      <c r="D163" t="s">
        <v>64</v>
      </c>
      <c r="E163" t="s">
        <v>75</v>
      </c>
      <c r="F163" t="s">
        <v>71</v>
      </c>
      <c r="G163" t="s">
        <v>63</v>
      </c>
      <c r="H163" t="s">
        <v>34</v>
      </c>
      <c r="I163" t="s">
        <v>42</v>
      </c>
      <c r="J163" s="4">
        <v>23.46</v>
      </c>
      <c r="K163" s="4">
        <v>11.96</v>
      </c>
      <c r="L163">
        <v>10</v>
      </c>
      <c r="M163" s="4">
        <v>28.06</v>
      </c>
      <c r="N163" s="4">
        <v>252.52</v>
      </c>
      <c r="O163" s="4">
        <v>196.04</v>
      </c>
      <c r="P163" s="4">
        <v>4.25</v>
      </c>
      <c r="Q163" s="4">
        <v>4.21</v>
      </c>
      <c r="R163" s="4">
        <v>4.59</v>
      </c>
      <c r="S163" s="4">
        <v>0</v>
      </c>
      <c r="T163" s="4">
        <v>0</v>
      </c>
      <c r="U163" s="4">
        <v>209.09</v>
      </c>
      <c r="V163" s="4">
        <v>43.43</v>
      </c>
      <c r="W163" t="s">
        <v>21</v>
      </c>
      <c r="X163" t="s">
        <v>36</v>
      </c>
      <c r="Y163" s="4">
        <v>18</v>
      </c>
      <c r="Z163" s="4">
        <v>1</v>
      </c>
      <c r="AA163" t="s">
        <v>52</v>
      </c>
      <c r="AB163" t="s">
        <v>38</v>
      </c>
      <c r="AC163" s="7">
        <v>0</v>
      </c>
      <c r="AD163" t="s">
        <v>39</v>
      </c>
      <c r="AE163">
        <f t="shared" si="2"/>
        <v>0</v>
      </c>
    </row>
    <row r="164" spans="1:31" x14ac:dyDescent="0.35">
      <c r="A164">
        <v>100163</v>
      </c>
      <c r="B164" s="3">
        <v>46012</v>
      </c>
      <c r="C164">
        <v>1121</v>
      </c>
      <c r="D164" t="s">
        <v>30</v>
      </c>
      <c r="E164" t="s">
        <v>62</v>
      </c>
      <c r="F164" t="s">
        <v>32</v>
      </c>
      <c r="G164" t="s">
        <v>46</v>
      </c>
      <c r="H164" t="s">
        <v>34</v>
      </c>
      <c r="I164" t="s">
        <v>35</v>
      </c>
      <c r="J164" s="4">
        <v>31.01</v>
      </c>
      <c r="K164" s="4">
        <v>15.17</v>
      </c>
      <c r="L164">
        <v>5</v>
      </c>
      <c r="M164" s="4">
        <v>23.52</v>
      </c>
      <c r="N164" s="4">
        <v>446.9</v>
      </c>
      <c r="O164" s="4">
        <v>214.04</v>
      </c>
      <c r="P164" s="4">
        <v>6.39</v>
      </c>
      <c r="Q164" s="4">
        <v>3.29</v>
      </c>
      <c r="R164" s="4">
        <v>5.23</v>
      </c>
      <c r="S164" s="4">
        <v>0</v>
      </c>
      <c r="T164" s="4">
        <v>0</v>
      </c>
      <c r="U164" s="4">
        <v>228.95</v>
      </c>
      <c r="V164" s="4">
        <v>217.95</v>
      </c>
      <c r="W164" t="s">
        <v>21</v>
      </c>
      <c r="X164" t="s">
        <v>36</v>
      </c>
      <c r="Y164" s="4">
        <v>28</v>
      </c>
      <c r="Z164" s="4">
        <v>0</v>
      </c>
      <c r="AA164" t="s">
        <v>52</v>
      </c>
      <c r="AB164" t="s">
        <v>44</v>
      </c>
      <c r="AC164" s="7">
        <v>2</v>
      </c>
      <c r="AD164" t="s">
        <v>45</v>
      </c>
      <c r="AE164">
        <f t="shared" si="2"/>
        <v>1</v>
      </c>
    </row>
    <row r="165" spans="1:31" x14ac:dyDescent="0.35">
      <c r="A165">
        <v>100164</v>
      </c>
      <c r="B165" s="3">
        <v>45965</v>
      </c>
      <c r="C165">
        <v>1053</v>
      </c>
      <c r="D165" t="s">
        <v>59</v>
      </c>
      <c r="E165" t="s">
        <v>70</v>
      </c>
      <c r="F165" t="s">
        <v>71</v>
      </c>
      <c r="G165" t="s">
        <v>63</v>
      </c>
      <c r="H165" t="s">
        <v>34</v>
      </c>
      <c r="I165" t="s">
        <v>54</v>
      </c>
      <c r="J165" s="4">
        <v>21.59</v>
      </c>
      <c r="K165" s="4">
        <v>11.37</v>
      </c>
      <c r="L165">
        <v>10</v>
      </c>
      <c r="M165" s="4">
        <v>24.55</v>
      </c>
      <c r="N165" s="4">
        <v>220.93</v>
      </c>
      <c r="O165" s="4">
        <v>175.95</v>
      </c>
      <c r="P165" s="4">
        <v>6.19</v>
      </c>
      <c r="Q165" s="4">
        <v>2.95</v>
      </c>
      <c r="R165" s="4">
        <v>8.92</v>
      </c>
      <c r="S165" s="4">
        <v>0</v>
      </c>
      <c r="T165" s="4">
        <v>0</v>
      </c>
      <c r="U165" s="4">
        <v>194.01</v>
      </c>
      <c r="V165" s="4">
        <v>26.92</v>
      </c>
      <c r="W165" t="s">
        <v>21</v>
      </c>
      <c r="X165" t="s">
        <v>36</v>
      </c>
      <c r="Y165" s="4">
        <v>33</v>
      </c>
      <c r="Z165" s="4">
        <v>7</v>
      </c>
      <c r="AA165" t="s">
        <v>43</v>
      </c>
      <c r="AB165" t="s">
        <v>44</v>
      </c>
      <c r="AC165" s="7">
        <v>1</v>
      </c>
      <c r="AD165" t="s">
        <v>45</v>
      </c>
      <c r="AE165">
        <f t="shared" si="2"/>
        <v>1</v>
      </c>
    </row>
    <row r="166" spans="1:31" x14ac:dyDescent="0.35">
      <c r="A166">
        <v>100165</v>
      </c>
      <c r="B166" s="3">
        <v>45957</v>
      </c>
      <c r="C166">
        <v>1035</v>
      </c>
      <c r="D166" t="s">
        <v>59</v>
      </c>
      <c r="E166" t="s">
        <v>73</v>
      </c>
      <c r="F166" t="s">
        <v>41</v>
      </c>
      <c r="G166" t="s">
        <v>63</v>
      </c>
      <c r="H166" t="s">
        <v>57</v>
      </c>
      <c r="I166" t="s">
        <v>42</v>
      </c>
      <c r="J166" s="4">
        <v>30.16</v>
      </c>
      <c r="K166" s="4">
        <v>11.95</v>
      </c>
      <c r="L166">
        <v>5</v>
      </c>
      <c r="M166" s="4">
        <v>18.02</v>
      </c>
      <c r="N166" s="4">
        <v>342.39</v>
      </c>
      <c r="O166" s="4">
        <v>244.83</v>
      </c>
      <c r="P166" s="4">
        <v>5.08</v>
      </c>
      <c r="Q166" s="4">
        <v>5.41</v>
      </c>
      <c r="R166" s="4">
        <v>9.9499999999999993</v>
      </c>
      <c r="S166" s="4">
        <v>0</v>
      </c>
      <c r="T166" s="4">
        <v>0</v>
      </c>
      <c r="U166" s="4">
        <v>265.27</v>
      </c>
      <c r="V166" s="4">
        <v>77.12</v>
      </c>
      <c r="W166" t="s">
        <v>21</v>
      </c>
      <c r="X166" t="s">
        <v>36</v>
      </c>
      <c r="Y166" s="4">
        <v>28</v>
      </c>
      <c r="Z166" s="4">
        <v>5</v>
      </c>
      <c r="AA166" t="s">
        <v>52</v>
      </c>
      <c r="AB166" t="s">
        <v>44</v>
      </c>
      <c r="AC166" s="7">
        <v>1</v>
      </c>
      <c r="AD166" t="s">
        <v>45</v>
      </c>
      <c r="AE166">
        <f t="shared" si="2"/>
        <v>1</v>
      </c>
    </row>
    <row r="167" spans="1:31" x14ac:dyDescent="0.35">
      <c r="A167">
        <v>100166</v>
      </c>
      <c r="B167" s="3">
        <v>45977</v>
      </c>
      <c r="C167">
        <v>1052</v>
      </c>
      <c r="D167" t="s">
        <v>47</v>
      </c>
      <c r="E167" t="s">
        <v>53</v>
      </c>
      <c r="F167" t="s">
        <v>41</v>
      </c>
      <c r="G167" t="s">
        <v>33</v>
      </c>
      <c r="H167" t="s">
        <v>34</v>
      </c>
      <c r="I167" t="s">
        <v>35</v>
      </c>
      <c r="J167" s="4">
        <v>21.64</v>
      </c>
      <c r="K167" s="4">
        <v>18.02</v>
      </c>
      <c r="L167">
        <v>10</v>
      </c>
      <c r="M167" s="4">
        <v>39</v>
      </c>
      <c r="N167" s="4">
        <v>350.95</v>
      </c>
      <c r="O167" s="4">
        <v>133.87</v>
      </c>
      <c r="P167" s="4">
        <v>9.15</v>
      </c>
      <c r="Q167" s="4">
        <v>2.73</v>
      </c>
      <c r="R167" s="4">
        <v>8.35</v>
      </c>
      <c r="S167" s="4">
        <v>0</v>
      </c>
      <c r="T167" s="4">
        <v>0</v>
      </c>
      <c r="U167" s="4">
        <v>154.1</v>
      </c>
      <c r="V167" s="4">
        <v>196.85</v>
      </c>
      <c r="W167" t="s">
        <v>21</v>
      </c>
      <c r="X167" t="s">
        <v>36</v>
      </c>
      <c r="Y167" s="4">
        <v>37</v>
      </c>
      <c r="Z167" s="4">
        <v>16</v>
      </c>
      <c r="AA167" t="s">
        <v>43</v>
      </c>
      <c r="AB167" t="s">
        <v>44</v>
      </c>
      <c r="AC167" s="7">
        <v>1</v>
      </c>
      <c r="AD167" t="s">
        <v>45</v>
      </c>
      <c r="AE167">
        <f t="shared" si="2"/>
        <v>1</v>
      </c>
    </row>
    <row r="168" spans="1:31" x14ac:dyDescent="0.35">
      <c r="A168">
        <v>100167</v>
      </c>
      <c r="B168" s="3">
        <v>45942</v>
      </c>
      <c r="C168">
        <v>1006</v>
      </c>
      <c r="D168" t="s">
        <v>64</v>
      </c>
      <c r="E168" t="s">
        <v>67</v>
      </c>
      <c r="F168" t="s">
        <v>61</v>
      </c>
      <c r="G168" t="s">
        <v>50</v>
      </c>
      <c r="H168" t="s">
        <v>51</v>
      </c>
      <c r="I168" t="s">
        <v>42</v>
      </c>
      <c r="J168" s="4">
        <v>37.01</v>
      </c>
      <c r="K168" s="4">
        <v>18.29</v>
      </c>
      <c r="L168">
        <v>5</v>
      </c>
      <c r="M168" s="4">
        <v>33.85</v>
      </c>
      <c r="N168" s="4">
        <v>643.05999999999995</v>
      </c>
      <c r="O168" s="4">
        <v>258.97000000000003</v>
      </c>
      <c r="P168" s="4">
        <v>9.83</v>
      </c>
      <c r="Q168" s="4">
        <v>10.15</v>
      </c>
      <c r="R168" s="4">
        <v>7.15</v>
      </c>
      <c r="S168" s="4">
        <v>0</v>
      </c>
      <c r="T168" s="4">
        <v>0</v>
      </c>
      <c r="U168" s="4">
        <v>286.10000000000002</v>
      </c>
      <c r="V168" s="4">
        <v>356.96</v>
      </c>
      <c r="W168" t="s">
        <v>21</v>
      </c>
      <c r="X168" t="s">
        <v>36</v>
      </c>
      <c r="Y168" s="4">
        <v>65</v>
      </c>
      <c r="Z168" s="4">
        <v>8</v>
      </c>
      <c r="AA168" t="s">
        <v>43</v>
      </c>
      <c r="AB168" t="s">
        <v>44</v>
      </c>
      <c r="AC168" s="7">
        <v>2</v>
      </c>
      <c r="AD168" t="s">
        <v>45</v>
      </c>
      <c r="AE168">
        <f t="shared" si="2"/>
        <v>1</v>
      </c>
    </row>
    <row r="169" spans="1:31" x14ac:dyDescent="0.35">
      <c r="A169">
        <v>100168</v>
      </c>
      <c r="B169" s="3">
        <v>45982</v>
      </c>
      <c r="C169">
        <v>1071</v>
      </c>
      <c r="D169" t="s">
        <v>30</v>
      </c>
      <c r="E169" t="s">
        <v>72</v>
      </c>
      <c r="F169" t="s">
        <v>41</v>
      </c>
      <c r="G169" t="s">
        <v>33</v>
      </c>
      <c r="H169" t="s">
        <v>57</v>
      </c>
      <c r="I169" t="s">
        <v>69</v>
      </c>
      <c r="J169" s="4">
        <v>37.94</v>
      </c>
      <c r="K169" s="4">
        <v>20.07</v>
      </c>
      <c r="L169">
        <v>0</v>
      </c>
      <c r="M169" s="4">
        <v>0</v>
      </c>
      <c r="N169" s="4">
        <v>761.46</v>
      </c>
      <c r="O169" s="4">
        <v>261.10000000000002</v>
      </c>
      <c r="P169" s="4">
        <v>10.94</v>
      </c>
      <c r="Q169" s="4">
        <v>3.05</v>
      </c>
      <c r="R169" s="4">
        <v>6.52</v>
      </c>
      <c r="S169" s="4">
        <v>0</v>
      </c>
      <c r="T169" s="4">
        <v>0</v>
      </c>
      <c r="U169" s="4">
        <v>281.61</v>
      </c>
      <c r="V169" s="4">
        <v>479.85</v>
      </c>
      <c r="W169" t="s">
        <v>21</v>
      </c>
      <c r="X169" t="s">
        <v>36</v>
      </c>
      <c r="Y169" s="4">
        <v>23</v>
      </c>
      <c r="Z169" s="4">
        <v>9</v>
      </c>
      <c r="AA169" t="s">
        <v>52</v>
      </c>
      <c r="AB169" t="s">
        <v>44</v>
      </c>
      <c r="AC169" s="7">
        <v>1</v>
      </c>
      <c r="AD169" t="s">
        <v>45</v>
      </c>
      <c r="AE169">
        <f t="shared" si="2"/>
        <v>1</v>
      </c>
    </row>
    <row r="170" spans="1:31" x14ac:dyDescent="0.35">
      <c r="A170">
        <v>100169</v>
      </c>
      <c r="B170" s="3">
        <v>45940</v>
      </c>
      <c r="C170">
        <v>1120</v>
      </c>
      <c r="D170" t="s">
        <v>47</v>
      </c>
      <c r="E170" t="s">
        <v>53</v>
      </c>
      <c r="F170" t="s">
        <v>71</v>
      </c>
      <c r="G170" t="s">
        <v>33</v>
      </c>
      <c r="H170" t="s">
        <v>51</v>
      </c>
      <c r="I170" t="s">
        <v>35</v>
      </c>
      <c r="J170" s="4">
        <v>32.56</v>
      </c>
      <c r="K170" s="4">
        <v>18.149999999999999</v>
      </c>
      <c r="L170">
        <v>15</v>
      </c>
      <c r="M170" s="4">
        <v>88.64</v>
      </c>
      <c r="N170" s="4">
        <v>502.32</v>
      </c>
      <c r="O170" s="4">
        <v>233.86</v>
      </c>
      <c r="P170" s="4">
        <v>2.06</v>
      </c>
      <c r="Q170" s="4">
        <v>4.1399999999999997</v>
      </c>
      <c r="R170" s="4">
        <v>11.59</v>
      </c>
      <c r="S170" s="4">
        <v>0</v>
      </c>
      <c r="T170" s="4">
        <v>0</v>
      </c>
      <c r="U170" s="4">
        <v>251.65</v>
      </c>
      <c r="V170" s="4">
        <v>250.67</v>
      </c>
      <c r="W170" t="s">
        <v>21</v>
      </c>
      <c r="X170" t="s">
        <v>36</v>
      </c>
      <c r="Y170" s="4">
        <v>24</v>
      </c>
      <c r="Z170" s="4">
        <v>3</v>
      </c>
      <c r="AA170" t="s">
        <v>52</v>
      </c>
      <c r="AB170" t="s">
        <v>44</v>
      </c>
      <c r="AC170" s="7">
        <v>1</v>
      </c>
      <c r="AD170" t="s">
        <v>45</v>
      </c>
      <c r="AE170">
        <f t="shared" si="2"/>
        <v>1</v>
      </c>
    </row>
    <row r="171" spans="1:31" x14ac:dyDescent="0.35">
      <c r="A171">
        <v>100170</v>
      </c>
      <c r="B171" s="3">
        <v>45981</v>
      </c>
      <c r="C171">
        <v>1122</v>
      </c>
      <c r="D171" t="s">
        <v>64</v>
      </c>
      <c r="E171" t="s">
        <v>76</v>
      </c>
      <c r="F171" t="s">
        <v>71</v>
      </c>
      <c r="G171" t="s">
        <v>50</v>
      </c>
      <c r="H171" t="s">
        <v>34</v>
      </c>
      <c r="I171" t="s">
        <v>42</v>
      </c>
      <c r="J171" s="4">
        <v>49.91</v>
      </c>
      <c r="K171" s="4">
        <v>17.91</v>
      </c>
      <c r="L171">
        <v>0</v>
      </c>
      <c r="M171" s="4">
        <v>0</v>
      </c>
      <c r="N171" s="4">
        <v>893.89</v>
      </c>
      <c r="O171" s="4">
        <v>360.38</v>
      </c>
      <c r="P171" s="4">
        <v>7.27</v>
      </c>
      <c r="Q171" s="4">
        <v>13.41</v>
      </c>
      <c r="R171" s="4">
        <v>4.4000000000000004</v>
      </c>
      <c r="S171" s="4">
        <v>0</v>
      </c>
      <c r="T171" s="4">
        <v>0</v>
      </c>
      <c r="U171" s="4">
        <v>385.46</v>
      </c>
      <c r="V171" s="4">
        <v>508.43</v>
      </c>
      <c r="W171" t="s">
        <v>21</v>
      </c>
      <c r="X171" t="s">
        <v>36</v>
      </c>
      <c r="Y171" s="4">
        <v>3</v>
      </c>
      <c r="Z171" s="4">
        <v>12</v>
      </c>
      <c r="AA171" t="s">
        <v>37</v>
      </c>
      <c r="AB171" t="s">
        <v>38</v>
      </c>
      <c r="AC171" s="7">
        <v>0</v>
      </c>
      <c r="AD171" t="s">
        <v>39</v>
      </c>
      <c r="AE171">
        <f t="shared" si="2"/>
        <v>0</v>
      </c>
    </row>
    <row r="172" spans="1:31" x14ac:dyDescent="0.35">
      <c r="A172">
        <v>100171</v>
      </c>
      <c r="B172" s="3">
        <v>46011</v>
      </c>
      <c r="C172">
        <v>1121</v>
      </c>
      <c r="D172" t="s">
        <v>47</v>
      </c>
      <c r="E172" t="s">
        <v>56</v>
      </c>
      <c r="F172" t="s">
        <v>49</v>
      </c>
      <c r="G172" t="s">
        <v>33</v>
      </c>
      <c r="H172" t="s">
        <v>57</v>
      </c>
      <c r="I172" t="s">
        <v>35</v>
      </c>
      <c r="J172" s="4">
        <v>27.95</v>
      </c>
      <c r="K172" s="4">
        <v>19.600000000000001</v>
      </c>
      <c r="L172">
        <v>0</v>
      </c>
      <c r="M172" s="4">
        <v>0</v>
      </c>
      <c r="N172" s="4">
        <v>547.82000000000005</v>
      </c>
      <c r="O172" s="4">
        <v>212.89</v>
      </c>
      <c r="P172" s="4">
        <v>4.6900000000000004</v>
      </c>
      <c r="Q172" s="4">
        <v>3.83</v>
      </c>
      <c r="R172" s="4">
        <v>2.25</v>
      </c>
      <c r="S172" s="4">
        <v>0</v>
      </c>
      <c r="T172" s="4">
        <v>0</v>
      </c>
      <c r="U172" s="4">
        <v>223.66</v>
      </c>
      <c r="V172" s="4">
        <v>324.16000000000003</v>
      </c>
      <c r="W172" t="s">
        <v>21</v>
      </c>
      <c r="X172" t="s">
        <v>36</v>
      </c>
      <c r="Y172" s="4">
        <v>26</v>
      </c>
      <c r="Z172" s="4">
        <v>11</v>
      </c>
      <c r="AA172" t="s">
        <v>52</v>
      </c>
      <c r="AB172" t="s">
        <v>44</v>
      </c>
      <c r="AC172" s="7">
        <v>1</v>
      </c>
      <c r="AD172" t="s">
        <v>45</v>
      </c>
      <c r="AE172">
        <f t="shared" si="2"/>
        <v>1</v>
      </c>
    </row>
    <row r="173" spans="1:31" x14ac:dyDescent="0.35">
      <c r="A173">
        <v>100172</v>
      </c>
      <c r="B173" s="3">
        <v>45980</v>
      </c>
      <c r="C173">
        <v>1051</v>
      </c>
      <c r="D173" t="s">
        <v>64</v>
      </c>
      <c r="E173" t="s">
        <v>65</v>
      </c>
      <c r="F173" t="s">
        <v>41</v>
      </c>
      <c r="G173" t="s">
        <v>33</v>
      </c>
      <c r="H173" t="s">
        <v>34</v>
      </c>
      <c r="I173" t="s">
        <v>35</v>
      </c>
      <c r="J173" s="4">
        <v>26.17</v>
      </c>
      <c r="K173" s="4">
        <v>17.829999999999998</v>
      </c>
      <c r="L173">
        <v>0</v>
      </c>
      <c r="M173" s="4">
        <v>0</v>
      </c>
      <c r="N173" s="4">
        <v>466.61</v>
      </c>
      <c r="O173" s="4">
        <v>186.13</v>
      </c>
      <c r="P173" s="4">
        <v>4.12</v>
      </c>
      <c r="Q173" s="4">
        <v>3.27</v>
      </c>
      <c r="R173" s="4">
        <v>10.84</v>
      </c>
      <c r="S173" s="4">
        <v>0</v>
      </c>
      <c r="T173" s="4">
        <v>0</v>
      </c>
      <c r="U173" s="4">
        <v>204.36</v>
      </c>
      <c r="V173" s="4">
        <v>262.25</v>
      </c>
      <c r="W173" t="s">
        <v>21</v>
      </c>
      <c r="X173" t="s">
        <v>36</v>
      </c>
      <c r="Y173" s="4">
        <v>28</v>
      </c>
      <c r="Z173" s="4">
        <v>10</v>
      </c>
      <c r="AA173" t="s">
        <v>52</v>
      </c>
      <c r="AB173" t="s">
        <v>44</v>
      </c>
      <c r="AC173" s="7">
        <v>2</v>
      </c>
      <c r="AD173" t="s">
        <v>45</v>
      </c>
      <c r="AE173">
        <f t="shared" si="2"/>
        <v>1</v>
      </c>
    </row>
    <row r="174" spans="1:31" x14ac:dyDescent="0.35">
      <c r="A174">
        <v>100173</v>
      </c>
      <c r="B174" s="3">
        <v>45988</v>
      </c>
      <c r="C174">
        <v>1056</v>
      </c>
      <c r="D174" t="s">
        <v>59</v>
      </c>
      <c r="E174" t="s">
        <v>70</v>
      </c>
      <c r="F174" t="s">
        <v>41</v>
      </c>
      <c r="G174" t="s">
        <v>63</v>
      </c>
      <c r="H174" t="s">
        <v>34</v>
      </c>
      <c r="I174" t="s">
        <v>35</v>
      </c>
      <c r="J174" s="4">
        <v>15.07</v>
      </c>
      <c r="K174" s="4">
        <v>12.65</v>
      </c>
      <c r="L174">
        <v>10</v>
      </c>
      <c r="M174" s="4">
        <v>19.059999999999999</v>
      </c>
      <c r="N174" s="4">
        <v>171.58</v>
      </c>
      <c r="O174" s="4">
        <v>98.4</v>
      </c>
      <c r="P174" s="4">
        <v>13.84</v>
      </c>
      <c r="Q174" s="4">
        <v>1.33</v>
      </c>
      <c r="R174" s="4">
        <v>12.89</v>
      </c>
      <c r="S174" s="4">
        <v>0</v>
      </c>
      <c r="T174" s="4">
        <v>0</v>
      </c>
      <c r="U174" s="4">
        <v>126.46</v>
      </c>
      <c r="V174" s="4">
        <v>45.12</v>
      </c>
      <c r="W174" t="s">
        <v>21</v>
      </c>
      <c r="X174" t="s">
        <v>36</v>
      </c>
      <c r="Y174" s="4">
        <v>47</v>
      </c>
      <c r="Z174" s="4">
        <v>0</v>
      </c>
      <c r="AA174" t="s">
        <v>43</v>
      </c>
      <c r="AB174" t="s">
        <v>44</v>
      </c>
      <c r="AC174" s="7">
        <v>1</v>
      </c>
      <c r="AD174" t="s">
        <v>45</v>
      </c>
      <c r="AE174">
        <f t="shared" si="2"/>
        <v>1</v>
      </c>
    </row>
    <row r="175" spans="1:31" x14ac:dyDescent="0.35">
      <c r="A175">
        <v>100174</v>
      </c>
      <c r="B175" s="3">
        <v>45942</v>
      </c>
      <c r="C175">
        <v>1064</v>
      </c>
      <c r="D175" t="s">
        <v>47</v>
      </c>
      <c r="E175" t="s">
        <v>56</v>
      </c>
      <c r="F175" t="s">
        <v>41</v>
      </c>
      <c r="G175" t="s">
        <v>50</v>
      </c>
      <c r="H175" t="s">
        <v>34</v>
      </c>
      <c r="I175" t="s">
        <v>35</v>
      </c>
      <c r="J175" s="4">
        <v>31.86</v>
      </c>
      <c r="K175" s="4">
        <v>17.97</v>
      </c>
      <c r="L175">
        <v>15</v>
      </c>
      <c r="M175" s="4">
        <v>85.88</v>
      </c>
      <c r="N175" s="4">
        <v>486.64</v>
      </c>
      <c r="O175" s="4">
        <v>224.26</v>
      </c>
      <c r="P175" s="4">
        <v>10.130000000000001</v>
      </c>
      <c r="Q175" s="4">
        <v>4.01</v>
      </c>
      <c r="R175" s="4">
        <v>11.76</v>
      </c>
      <c r="S175" s="4">
        <v>0</v>
      </c>
      <c r="T175" s="4">
        <v>0</v>
      </c>
      <c r="U175" s="4">
        <v>250.16</v>
      </c>
      <c r="V175" s="4">
        <v>236.48</v>
      </c>
      <c r="W175" t="s">
        <v>21</v>
      </c>
      <c r="X175" t="s">
        <v>36</v>
      </c>
      <c r="Y175" s="4">
        <v>9</v>
      </c>
      <c r="Z175" s="4">
        <v>0</v>
      </c>
      <c r="AA175" t="s">
        <v>37</v>
      </c>
      <c r="AB175" t="s">
        <v>38</v>
      </c>
      <c r="AC175" s="7">
        <v>0</v>
      </c>
      <c r="AD175" t="s">
        <v>39</v>
      </c>
      <c r="AE175">
        <f t="shared" si="2"/>
        <v>0</v>
      </c>
    </row>
    <row r="176" spans="1:31" x14ac:dyDescent="0.35">
      <c r="A176">
        <v>100175</v>
      </c>
      <c r="B176" s="3">
        <v>46012</v>
      </c>
      <c r="C176">
        <v>1006</v>
      </c>
      <c r="D176" t="s">
        <v>30</v>
      </c>
      <c r="E176" t="s">
        <v>40</v>
      </c>
      <c r="F176" t="s">
        <v>32</v>
      </c>
      <c r="G176" t="s">
        <v>50</v>
      </c>
      <c r="H176" t="s">
        <v>57</v>
      </c>
      <c r="I176" t="s">
        <v>35</v>
      </c>
      <c r="J176" s="4">
        <v>25.3</v>
      </c>
      <c r="K176" s="4">
        <v>17.27</v>
      </c>
      <c r="L176">
        <v>15</v>
      </c>
      <c r="M176" s="4">
        <v>65.540000000000006</v>
      </c>
      <c r="N176" s="4">
        <v>371.39</v>
      </c>
      <c r="O176" s="4">
        <v>177.06</v>
      </c>
      <c r="P176" s="4">
        <v>5.16</v>
      </c>
      <c r="Q176" s="4">
        <v>3.06</v>
      </c>
      <c r="R176" s="4">
        <v>6.99</v>
      </c>
      <c r="S176" s="4">
        <v>0</v>
      </c>
      <c r="T176" s="4">
        <v>0</v>
      </c>
      <c r="U176" s="4">
        <v>192.27</v>
      </c>
      <c r="V176" s="4">
        <v>179.12</v>
      </c>
      <c r="W176" t="s">
        <v>21</v>
      </c>
      <c r="X176" t="s">
        <v>36</v>
      </c>
      <c r="Y176" s="4">
        <v>1</v>
      </c>
      <c r="Z176" s="4">
        <v>6</v>
      </c>
      <c r="AA176" t="s">
        <v>37</v>
      </c>
      <c r="AB176" t="s">
        <v>38</v>
      </c>
      <c r="AC176" s="7">
        <v>0</v>
      </c>
      <c r="AD176" t="s">
        <v>39</v>
      </c>
      <c r="AE176">
        <f t="shared" si="2"/>
        <v>0</v>
      </c>
    </row>
    <row r="177" spans="1:31" x14ac:dyDescent="0.35">
      <c r="A177">
        <v>100176</v>
      </c>
      <c r="B177" s="3">
        <v>45975</v>
      </c>
      <c r="C177">
        <v>1051</v>
      </c>
      <c r="D177" t="s">
        <v>59</v>
      </c>
      <c r="E177" t="s">
        <v>68</v>
      </c>
      <c r="F177" t="s">
        <v>32</v>
      </c>
      <c r="G177" t="s">
        <v>33</v>
      </c>
      <c r="H177" t="s">
        <v>34</v>
      </c>
      <c r="I177" t="s">
        <v>35</v>
      </c>
      <c r="J177" s="4">
        <v>31.98</v>
      </c>
      <c r="K177" s="4">
        <v>19.899999999999999</v>
      </c>
      <c r="L177">
        <v>0</v>
      </c>
      <c r="M177" s="4">
        <v>0</v>
      </c>
      <c r="N177" s="4">
        <v>636.4</v>
      </c>
      <c r="O177" s="4">
        <v>257.08</v>
      </c>
      <c r="P177" s="4">
        <v>6.22</v>
      </c>
      <c r="Q177" s="4">
        <v>4.45</v>
      </c>
      <c r="R177" s="4">
        <v>2.06</v>
      </c>
      <c r="S177" s="4">
        <v>0</v>
      </c>
      <c r="T177" s="4">
        <v>0</v>
      </c>
      <c r="U177" s="4">
        <v>269.81</v>
      </c>
      <c r="V177" s="4">
        <v>366.59</v>
      </c>
      <c r="W177" t="s">
        <v>21</v>
      </c>
      <c r="X177" t="s">
        <v>36</v>
      </c>
      <c r="Y177" s="4">
        <v>10</v>
      </c>
      <c r="Z177" s="4">
        <v>2</v>
      </c>
      <c r="AA177" t="s">
        <v>37</v>
      </c>
      <c r="AB177" t="s">
        <v>38</v>
      </c>
      <c r="AC177" s="7">
        <v>0</v>
      </c>
      <c r="AD177" t="s">
        <v>39</v>
      </c>
      <c r="AE177">
        <f t="shared" si="2"/>
        <v>0</v>
      </c>
    </row>
    <row r="178" spans="1:31" x14ac:dyDescent="0.35">
      <c r="A178">
        <v>100177</v>
      </c>
      <c r="B178" s="3">
        <v>46003</v>
      </c>
      <c r="C178">
        <v>1092</v>
      </c>
      <c r="D178" t="s">
        <v>64</v>
      </c>
      <c r="E178" t="s">
        <v>65</v>
      </c>
      <c r="F178" t="s">
        <v>49</v>
      </c>
      <c r="G178" t="s">
        <v>63</v>
      </c>
      <c r="H178" t="s">
        <v>34</v>
      </c>
      <c r="I178" t="s">
        <v>54</v>
      </c>
      <c r="J178" s="4">
        <v>12.18</v>
      </c>
      <c r="K178" s="4">
        <v>12.88</v>
      </c>
      <c r="L178">
        <v>0</v>
      </c>
      <c r="M178" s="4">
        <v>0</v>
      </c>
      <c r="N178" s="4">
        <v>156.88</v>
      </c>
      <c r="O178" s="4">
        <v>96.56</v>
      </c>
      <c r="P178" s="4">
        <v>1.62</v>
      </c>
      <c r="Q178" s="4">
        <v>1.88</v>
      </c>
      <c r="R178" s="4">
        <v>8.18</v>
      </c>
      <c r="S178" s="4">
        <v>0</v>
      </c>
      <c r="T178" s="4">
        <v>0</v>
      </c>
      <c r="U178" s="4">
        <v>108.24</v>
      </c>
      <c r="V178" s="4">
        <v>48.64</v>
      </c>
      <c r="W178" t="s">
        <v>21</v>
      </c>
      <c r="X178" t="s">
        <v>36</v>
      </c>
      <c r="Y178" s="4">
        <v>9</v>
      </c>
      <c r="Z178" s="4">
        <v>5</v>
      </c>
      <c r="AA178" t="s">
        <v>37</v>
      </c>
      <c r="AB178" t="s">
        <v>38</v>
      </c>
      <c r="AC178" s="7">
        <v>0</v>
      </c>
      <c r="AD178" t="s">
        <v>39</v>
      </c>
      <c r="AE178">
        <f t="shared" si="2"/>
        <v>0</v>
      </c>
    </row>
    <row r="179" spans="1:31" x14ac:dyDescent="0.35">
      <c r="A179">
        <v>100178</v>
      </c>
      <c r="B179" s="3">
        <v>45974</v>
      </c>
      <c r="C179">
        <v>1101</v>
      </c>
      <c r="D179" t="s">
        <v>47</v>
      </c>
      <c r="E179" t="s">
        <v>56</v>
      </c>
      <c r="F179" t="s">
        <v>61</v>
      </c>
      <c r="G179" t="s">
        <v>63</v>
      </c>
      <c r="H179" t="s">
        <v>34</v>
      </c>
      <c r="I179" t="s">
        <v>35</v>
      </c>
      <c r="J179" s="4">
        <v>33.46</v>
      </c>
      <c r="K179" s="4">
        <v>11.67</v>
      </c>
      <c r="L179">
        <v>5</v>
      </c>
      <c r="M179" s="4">
        <v>19.52</v>
      </c>
      <c r="N179" s="4">
        <v>370.96</v>
      </c>
      <c r="O179" s="4">
        <v>234.96</v>
      </c>
      <c r="P179" s="4">
        <v>9.99</v>
      </c>
      <c r="Q179" s="4">
        <v>2.73</v>
      </c>
      <c r="R179" s="4">
        <v>6.2</v>
      </c>
      <c r="S179" s="4">
        <v>0</v>
      </c>
      <c r="T179" s="4">
        <v>0</v>
      </c>
      <c r="U179" s="4">
        <v>253.88</v>
      </c>
      <c r="V179" s="4">
        <v>117.08</v>
      </c>
      <c r="W179" t="s">
        <v>21</v>
      </c>
      <c r="X179" t="s">
        <v>36</v>
      </c>
      <c r="Y179" s="4">
        <v>5</v>
      </c>
      <c r="Z179" s="4">
        <v>10</v>
      </c>
      <c r="AA179" t="s">
        <v>37</v>
      </c>
      <c r="AB179" t="s">
        <v>38</v>
      </c>
      <c r="AC179" s="7">
        <v>0</v>
      </c>
      <c r="AD179" t="s">
        <v>39</v>
      </c>
      <c r="AE179">
        <f t="shared" si="2"/>
        <v>0</v>
      </c>
    </row>
    <row r="180" spans="1:31" x14ac:dyDescent="0.35">
      <c r="A180">
        <v>100179</v>
      </c>
      <c r="B180" s="3">
        <v>45966</v>
      </c>
      <c r="C180">
        <v>1041</v>
      </c>
      <c r="D180" t="s">
        <v>59</v>
      </c>
      <c r="E180" t="s">
        <v>60</v>
      </c>
      <c r="F180" t="s">
        <v>71</v>
      </c>
      <c r="G180" t="s">
        <v>63</v>
      </c>
      <c r="H180" t="s">
        <v>34</v>
      </c>
      <c r="I180" t="s">
        <v>54</v>
      </c>
      <c r="J180" s="4">
        <v>16.02</v>
      </c>
      <c r="K180" s="4">
        <v>12.26</v>
      </c>
      <c r="L180">
        <v>0</v>
      </c>
      <c r="M180" s="4">
        <v>0</v>
      </c>
      <c r="N180" s="4">
        <v>196.41</v>
      </c>
      <c r="O180" s="4">
        <v>126.58</v>
      </c>
      <c r="P180" s="4">
        <v>4.04</v>
      </c>
      <c r="Q180" s="4">
        <v>2.36</v>
      </c>
      <c r="R180" s="4">
        <v>3.93</v>
      </c>
      <c r="S180" s="4">
        <v>0</v>
      </c>
      <c r="T180" s="4">
        <v>0</v>
      </c>
      <c r="U180" s="4">
        <v>136.91</v>
      </c>
      <c r="V180" s="4">
        <v>59.5</v>
      </c>
      <c r="W180" t="s">
        <v>21</v>
      </c>
      <c r="X180" t="s">
        <v>36</v>
      </c>
      <c r="Y180" s="4">
        <v>7</v>
      </c>
      <c r="Z180" s="4">
        <v>3</v>
      </c>
      <c r="AA180" t="s">
        <v>37</v>
      </c>
      <c r="AB180" t="s">
        <v>38</v>
      </c>
      <c r="AC180" s="7">
        <v>0</v>
      </c>
      <c r="AD180" t="s">
        <v>39</v>
      </c>
      <c r="AE180">
        <f t="shared" si="2"/>
        <v>0</v>
      </c>
    </row>
    <row r="181" spans="1:31" x14ac:dyDescent="0.35">
      <c r="A181">
        <v>100180</v>
      </c>
      <c r="B181" s="3">
        <v>45966</v>
      </c>
      <c r="C181">
        <v>1026</v>
      </c>
      <c r="D181" t="s">
        <v>64</v>
      </c>
      <c r="E181" t="s">
        <v>76</v>
      </c>
      <c r="F181" t="s">
        <v>71</v>
      </c>
      <c r="G181" t="s">
        <v>50</v>
      </c>
      <c r="H181" t="s">
        <v>57</v>
      </c>
      <c r="I181" t="s">
        <v>35</v>
      </c>
      <c r="J181" s="4">
        <v>39.58</v>
      </c>
      <c r="K181" s="4">
        <v>17.53</v>
      </c>
      <c r="L181">
        <v>5</v>
      </c>
      <c r="M181" s="4">
        <v>34.69</v>
      </c>
      <c r="N181" s="4">
        <v>659.15</v>
      </c>
      <c r="O181" s="4">
        <v>330.87</v>
      </c>
      <c r="P181" s="4">
        <v>3.14</v>
      </c>
      <c r="Q181" s="4">
        <v>4.8600000000000003</v>
      </c>
      <c r="R181" s="4">
        <v>9.27</v>
      </c>
      <c r="S181" s="4">
        <v>0</v>
      </c>
      <c r="T181" s="4">
        <v>0</v>
      </c>
      <c r="U181" s="4">
        <v>348.14</v>
      </c>
      <c r="V181" s="4">
        <v>311.01</v>
      </c>
      <c r="W181" t="s">
        <v>21</v>
      </c>
      <c r="X181" t="s">
        <v>36</v>
      </c>
      <c r="Y181" s="4">
        <v>12</v>
      </c>
      <c r="Z181" s="4">
        <v>0</v>
      </c>
      <c r="AA181" t="s">
        <v>37</v>
      </c>
      <c r="AB181" t="s">
        <v>38</v>
      </c>
      <c r="AC181" s="7">
        <v>0</v>
      </c>
      <c r="AD181" t="s">
        <v>39</v>
      </c>
      <c r="AE181">
        <f t="shared" si="2"/>
        <v>0</v>
      </c>
    </row>
    <row r="182" spans="1:31" x14ac:dyDescent="0.35">
      <c r="A182">
        <v>100181</v>
      </c>
      <c r="B182" s="3">
        <v>46012</v>
      </c>
      <c r="C182">
        <v>1028</v>
      </c>
      <c r="D182" t="s">
        <v>30</v>
      </c>
      <c r="E182" t="s">
        <v>72</v>
      </c>
      <c r="F182" t="s">
        <v>61</v>
      </c>
      <c r="G182" t="s">
        <v>46</v>
      </c>
      <c r="H182" t="s">
        <v>57</v>
      </c>
      <c r="I182" t="s">
        <v>35</v>
      </c>
      <c r="J182" s="4">
        <v>32.020000000000003</v>
      </c>
      <c r="K182" s="4">
        <v>16.07</v>
      </c>
      <c r="L182">
        <v>20</v>
      </c>
      <c r="M182" s="4">
        <v>102.91</v>
      </c>
      <c r="N182" s="4">
        <v>411.65</v>
      </c>
      <c r="O182" s="4">
        <v>239.62</v>
      </c>
      <c r="P182" s="4">
        <v>11.3</v>
      </c>
      <c r="Q182" s="4">
        <v>3.6</v>
      </c>
      <c r="R182" s="4">
        <v>5.24</v>
      </c>
      <c r="S182" s="4">
        <v>0</v>
      </c>
      <c r="T182" s="4">
        <v>0</v>
      </c>
      <c r="U182" s="4">
        <v>259.76</v>
      </c>
      <c r="V182" s="4">
        <v>151.88999999999999</v>
      </c>
      <c r="W182" t="s">
        <v>21</v>
      </c>
      <c r="X182" t="s">
        <v>36</v>
      </c>
      <c r="Y182" s="4">
        <v>8</v>
      </c>
      <c r="Z182" s="4">
        <v>9</v>
      </c>
      <c r="AA182" t="s">
        <v>37</v>
      </c>
      <c r="AB182" t="s">
        <v>38</v>
      </c>
      <c r="AC182" s="7">
        <v>0</v>
      </c>
      <c r="AD182" t="s">
        <v>39</v>
      </c>
      <c r="AE182">
        <f t="shared" si="2"/>
        <v>0</v>
      </c>
    </row>
    <row r="183" spans="1:31" x14ac:dyDescent="0.35">
      <c r="A183">
        <v>100182</v>
      </c>
      <c r="B183" s="3">
        <v>45961</v>
      </c>
      <c r="C183">
        <v>1013</v>
      </c>
      <c r="D183" t="s">
        <v>47</v>
      </c>
      <c r="E183" t="s">
        <v>53</v>
      </c>
      <c r="F183" t="s">
        <v>41</v>
      </c>
      <c r="G183" t="s">
        <v>63</v>
      </c>
      <c r="H183" t="s">
        <v>34</v>
      </c>
      <c r="I183" t="s">
        <v>35</v>
      </c>
      <c r="J183" s="4">
        <v>8.4499999999999993</v>
      </c>
      <c r="K183" s="4">
        <v>11.97</v>
      </c>
      <c r="L183">
        <v>0</v>
      </c>
      <c r="M183" s="4">
        <v>0</v>
      </c>
      <c r="N183" s="4">
        <v>101.15</v>
      </c>
      <c r="O183" s="4">
        <v>56.61</v>
      </c>
      <c r="P183" s="4">
        <v>7.91</v>
      </c>
      <c r="Q183" s="4">
        <v>0.71</v>
      </c>
      <c r="R183" s="4">
        <v>8.7899999999999991</v>
      </c>
      <c r="S183" s="4">
        <v>0</v>
      </c>
      <c r="T183" s="4">
        <v>0</v>
      </c>
      <c r="U183" s="4">
        <v>74.02</v>
      </c>
      <c r="V183" s="4">
        <v>27.13</v>
      </c>
      <c r="W183" t="s">
        <v>21</v>
      </c>
      <c r="X183" t="s">
        <v>36</v>
      </c>
      <c r="Y183" s="4">
        <v>9</v>
      </c>
      <c r="Z183" s="4">
        <v>5</v>
      </c>
      <c r="AA183" t="s">
        <v>37</v>
      </c>
      <c r="AB183" t="s">
        <v>38</v>
      </c>
      <c r="AC183" s="7">
        <v>0</v>
      </c>
      <c r="AD183" t="s">
        <v>39</v>
      </c>
      <c r="AE183">
        <f t="shared" si="2"/>
        <v>0</v>
      </c>
    </row>
    <row r="184" spans="1:31" x14ac:dyDescent="0.35">
      <c r="A184">
        <v>100183</v>
      </c>
      <c r="B184" s="3">
        <v>45973</v>
      </c>
      <c r="C184">
        <v>1094</v>
      </c>
      <c r="D184" t="s">
        <v>59</v>
      </c>
      <c r="E184" t="s">
        <v>60</v>
      </c>
      <c r="F184" t="s">
        <v>49</v>
      </c>
      <c r="G184" t="s">
        <v>50</v>
      </c>
      <c r="H184" t="s">
        <v>57</v>
      </c>
      <c r="I184" t="s">
        <v>54</v>
      </c>
      <c r="J184" s="4">
        <v>29.36</v>
      </c>
      <c r="K184" s="4">
        <v>18.010000000000002</v>
      </c>
      <c r="L184">
        <v>0</v>
      </c>
      <c r="M184" s="4">
        <v>0</v>
      </c>
      <c r="N184" s="4">
        <v>528.77</v>
      </c>
      <c r="O184" s="4">
        <v>195.73</v>
      </c>
      <c r="P184" s="4">
        <v>10.38</v>
      </c>
      <c r="Q184" s="4">
        <v>6.35</v>
      </c>
      <c r="R184" s="4">
        <v>2.4500000000000002</v>
      </c>
      <c r="S184" s="4">
        <v>0</v>
      </c>
      <c r="T184" s="4">
        <v>0</v>
      </c>
      <c r="U184" s="4">
        <v>214.91</v>
      </c>
      <c r="V184" s="4">
        <v>313.86</v>
      </c>
      <c r="W184" t="s">
        <v>21</v>
      </c>
      <c r="X184" t="s">
        <v>36</v>
      </c>
      <c r="Y184" s="4">
        <v>8</v>
      </c>
      <c r="Z184" s="4">
        <v>1</v>
      </c>
      <c r="AA184" t="s">
        <v>37</v>
      </c>
      <c r="AB184" t="s">
        <v>38</v>
      </c>
      <c r="AC184" s="7">
        <v>0</v>
      </c>
      <c r="AD184" t="s">
        <v>39</v>
      </c>
      <c r="AE184">
        <f t="shared" si="2"/>
        <v>0</v>
      </c>
    </row>
    <row r="185" spans="1:31" x14ac:dyDescent="0.35">
      <c r="A185">
        <v>100184</v>
      </c>
      <c r="B185" s="3">
        <v>46005</v>
      </c>
      <c r="C185">
        <v>1123</v>
      </c>
      <c r="D185" t="s">
        <v>59</v>
      </c>
      <c r="E185" t="s">
        <v>68</v>
      </c>
      <c r="F185" t="s">
        <v>71</v>
      </c>
      <c r="G185" t="s">
        <v>46</v>
      </c>
      <c r="H185" t="s">
        <v>34</v>
      </c>
      <c r="I185" t="s">
        <v>42</v>
      </c>
      <c r="J185" s="4">
        <v>13.81</v>
      </c>
      <c r="K185" s="4">
        <v>15.41</v>
      </c>
      <c r="L185">
        <v>0</v>
      </c>
      <c r="M185" s="4">
        <v>0</v>
      </c>
      <c r="N185" s="4">
        <v>212.81</v>
      </c>
      <c r="O185" s="4">
        <v>100.9</v>
      </c>
      <c r="P185" s="4">
        <v>14.41</v>
      </c>
      <c r="Q185" s="4">
        <v>3.19</v>
      </c>
      <c r="R185" s="4">
        <v>7.76</v>
      </c>
      <c r="S185" s="4">
        <v>0</v>
      </c>
      <c r="T185" s="4">
        <v>0</v>
      </c>
      <c r="U185" s="4">
        <v>126.26</v>
      </c>
      <c r="V185" s="4">
        <v>86.55</v>
      </c>
      <c r="W185" t="s">
        <v>21</v>
      </c>
      <c r="X185" t="s">
        <v>36</v>
      </c>
      <c r="Y185" s="4">
        <v>24</v>
      </c>
      <c r="Z185" s="4">
        <v>11</v>
      </c>
      <c r="AA185" t="s">
        <v>52</v>
      </c>
      <c r="AB185" t="s">
        <v>44</v>
      </c>
      <c r="AC185" s="7">
        <v>1</v>
      </c>
      <c r="AD185" t="s">
        <v>45</v>
      </c>
      <c r="AE185">
        <f t="shared" si="2"/>
        <v>1</v>
      </c>
    </row>
    <row r="186" spans="1:31" x14ac:dyDescent="0.35">
      <c r="A186">
        <v>100185</v>
      </c>
      <c r="B186" s="3">
        <v>46012</v>
      </c>
      <c r="C186">
        <v>1065</v>
      </c>
      <c r="D186" t="s">
        <v>30</v>
      </c>
      <c r="E186" t="s">
        <v>72</v>
      </c>
      <c r="F186" t="s">
        <v>32</v>
      </c>
      <c r="G186" t="s">
        <v>50</v>
      </c>
      <c r="H186" t="s">
        <v>34</v>
      </c>
      <c r="I186" t="s">
        <v>69</v>
      </c>
      <c r="J186" s="4">
        <v>5.76</v>
      </c>
      <c r="K186" s="4">
        <v>16.96</v>
      </c>
      <c r="L186">
        <v>20</v>
      </c>
      <c r="M186" s="4">
        <v>19.54</v>
      </c>
      <c r="N186" s="4">
        <v>78.150000000000006</v>
      </c>
      <c r="O186" s="4">
        <v>40.6</v>
      </c>
      <c r="P186" s="4">
        <v>5.94</v>
      </c>
      <c r="Q186" s="4">
        <v>0.39</v>
      </c>
      <c r="R186" s="4">
        <v>7.8</v>
      </c>
      <c r="S186" s="4">
        <v>43.62</v>
      </c>
      <c r="T186" s="4">
        <v>0</v>
      </c>
      <c r="U186" s="4">
        <v>98.35</v>
      </c>
      <c r="V186" s="4">
        <v>-20.2</v>
      </c>
      <c r="W186" t="s">
        <v>58</v>
      </c>
      <c r="X186" t="s">
        <v>55</v>
      </c>
      <c r="Y186" s="4">
        <v>24</v>
      </c>
      <c r="Z186" s="4">
        <v>5</v>
      </c>
      <c r="AA186" t="s">
        <v>52</v>
      </c>
      <c r="AB186" t="s">
        <v>44</v>
      </c>
      <c r="AC186" s="7">
        <v>1</v>
      </c>
      <c r="AD186" t="s">
        <v>45</v>
      </c>
      <c r="AE186">
        <f t="shared" si="2"/>
        <v>1</v>
      </c>
    </row>
    <row r="187" spans="1:31" x14ac:dyDescent="0.35">
      <c r="A187">
        <v>100186</v>
      </c>
      <c r="B187" s="3">
        <v>45969</v>
      </c>
      <c r="C187">
        <v>1061</v>
      </c>
      <c r="D187" t="s">
        <v>30</v>
      </c>
      <c r="E187" t="s">
        <v>40</v>
      </c>
      <c r="F187" t="s">
        <v>49</v>
      </c>
      <c r="G187" t="s">
        <v>46</v>
      </c>
      <c r="H187" t="s">
        <v>34</v>
      </c>
      <c r="I187" t="s">
        <v>69</v>
      </c>
      <c r="J187" s="4">
        <v>26.86</v>
      </c>
      <c r="K187" s="4">
        <v>16.600000000000001</v>
      </c>
      <c r="L187">
        <v>10</v>
      </c>
      <c r="M187" s="4">
        <v>44.59</v>
      </c>
      <c r="N187" s="4">
        <v>401.29</v>
      </c>
      <c r="O187" s="4">
        <v>211.62</v>
      </c>
      <c r="P187" s="4">
        <v>1.95</v>
      </c>
      <c r="Q187" s="4">
        <v>1.78</v>
      </c>
      <c r="R187" s="4">
        <v>8.7799999999999994</v>
      </c>
      <c r="S187" s="4">
        <v>418.37</v>
      </c>
      <c r="T187" s="4">
        <v>0</v>
      </c>
      <c r="U187" s="4">
        <v>642.5</v>
      </c>
      <c r="V187" s="4">
        <v>-241.21</v>
      </c>
      <c r="W187" t="s">
        <v>58</v>
      </c>
      <c r="X187" t="s">
        <v>55</v>
      </c>
      <c r="Y187" s="4">
        <v>4</v>
      </c>
      <c r="Z187" s="4">
        <v>1</v>
      </c>
      <c r="AA187" t="s">
        <v>37</v>
      </c>
      <c r="AB187" t="s">
        <v>44</v>
      </c>
      <c r="AC187" s="7">
        <v>1</v>
      </c>
      <c r="AD187" t="s">
        <v>45</v>
      </c>
      <c r="AE187">
        <f t="shared" si="2"/>
        <v>1</v>
      </c>
    </row>
    <row r="188" spans="1:31" x14ac:dyDescent="0.35">
      <c r="A188">
        <v>100187</v>
      </c>
      <c r="B188" s="3">
        <v>45963</v>
      </c>
      <c r="C188">
        <v>1076</v>
      </c>
      <c r="D188" t="s">
        <v>59</v>
      </c>
      <c r="E188" t="s">
        <v>60</v>
      </c>
      <c r="F188" t="s">
        <v>61</v>
      </c>
      <c r="G188" t="s">
        <v>46</v>
      </c>
      <c r="H188" t="s">
        <v>34</v>
      </c>
      <c r="I188" t="s">
        <v>35</v>
      </c>
      <c r="J188" s="4">
        <v>28.19</v>
      </c>
      <c r="K188" s="4">
        <v>14.71</v>
      </c>
      <c r="L188">
        <v>15</v>
      </c>
      <c r="M188" s="4">
        <v>62.2</v>
      </c>
      <c r="N188" s="4">
        <v>352.47</v>
      </c>
      <c r="O188" s="4">
        <v>224.08</v>
      </c>
      <c r="P188" s="4">
        <v>6.13</v>
      </c>
      <c r="Q188" s="4">
        <v>2.9</v>
      </c>
      <c r="R188" s="4">
        <v>10.28</v>
      </c>
      <c r="S188" s="4">
        <v>0</v>
      </c>
      <c r="T188" s="4">
        <v>0</v>
      </c>
      <c r="U188" s="4">
        <v>243.39</v>
      </c>
      <c r="V188" s="4">
        <v>109.08</v>
      </c>
      <c r="W188" t="s">
        <v>21</v>
      </c>
      <c r="X188" t="s">
        <v>36</v>
      </c>
      <c r="Y188" s="4">
        <v>20</v>
      </c>
      <c r="Z188" s="4">
        <v>5</v>
      </c>
      <c r="AA188" t="s">
        <v>52</v>
      </c>
      <c r="AB188" t="s">
        <v>38</v>
      </c>
      <c r="AC188" s="7">
        <v>0</v>
      </c>
      <c r="AD188" t="s">
        <v>39</v>
      </c>
      <c r="AE188">
        <f t="shared" si="2"/>
        <v>0</v>
      </c>
    </row>
    <row r="189" spans="1:31" x14ac:dyDescent="0.35">
      <c r="A189">
        <v>100188</v>
      </c>
      <c r="B189" s="3">
        <v>45934</v>
      </c>
      <c r="C189">
        <v>1051</v>
      </c>
      <c r="D189" t="s">
        <v>30</v>
      </c>
      <c r="E189" t="s">
        <v>62</v>
      </c>
      <c r="F189" t="s">
        <v>49</v>
      </c>
      <c r="G189" t="s">
        <v>63</v>
      </c>
      <c r="H189" t="s">
        <v>34</v>
      </c>
      <c r="I189" t="s">
        <v>35</v>
      </c>
      <c r="J189" s="4">
        <v>15.8</v>
      </c>
      <c r="K189" s="4">
        <v>12.7</v>
      </c>
      <c r="L189">
        <v>0</v>
      </c>
      <c r="M189" s="4">
        <v>0</v>
      </c>
      <c r="N189" s="4">
        <v>200.66</v>
      </c>
      <c r="O189" s="4">
        <v>117.38</v>
      </c>
      <c r="P189" s="4">
        <v>2.11</v>
      </c>
      <c r="Q189" s="4">
        <v>1.4</v>
      </c>
      <c r="R189" s="4">
        <v>7.34</v>
      </c>
      <c r="S189" s="4">
        <v>0</v>
      </c>
      <c r="T189" s="4">
        <v>0</v>
      </c>
      <c r="U189" s="4">
        <v>128.22999999999999</v>
      </c>
      <c r="V189" s="4">
        <v>72.430000000000007</v>
      </c>
      <c r="W189" t="s">
        <v>21</v>
      </c>
      <c r="X189" t="s">
        <v>36</v>
      </c>
      <c r="Y189" s="4">
        <v>17</v>
      </c>
      <c r="Z189" s="4">
        <v>53</v>
      </c>
      <c r="AA189" t="s">
        <v>52</v>
      </c>
      <c r="AB189" t="s">
        <v>44</v>
      </c>
      <c r="AC189" s="7">
        <v>1</v>
      </c>
      <c r="AD189" t="s">
        <v>45</v>
      </c>
      <c r="AE189">
        <f t="shared" si="2"/>
        <v>1</v>
      </c>
    </row>
    <row r="190" spans="1:31" x14ac:dyDescent="0.35">
      <c r="A190">
        <v>100189</v>
      </c>
      <c r="B190" s="3">
        <v>45988</v>
      </c>
      <c r="C190">
        <v>1042</v>
      </c>
      <c r="D190" t="s">
        <v>30</v>
      </c>
      <c r="E190" t="s">
        <v>31</v>
      </c>
      <c r="F190" t="s">
        <v>41</v>
      </c>
      <c r="G190" t="s">
        <v>63</v>
      </c>
      <c r="H190" t="s">
        <v>34</v>
      </c>
      <c r="I190" t="s">
        <v>54</v>
      </c>
      <c r="J190" s="4">
        <v>15.73</v>
      </c>
      <c r="K190" s="4">
        <v>13.55</v>
      </c>
      <c r="L190">
        <v>5</v>
      </c>
      <c r="M190" s="4">
        <v>10.66</v>
      </c>
      <c r="N190" s="4">
        <v>202.48</v>
      </c>
      <c r="O190" s="4">
        <v>103.78</v>
      </c>
      <c r="P190" s="4">
        <v>8.98</v>
      </c>
      <c r="Q190" s="4">
        <v>2.56</v>
      </c>
      <c r="R190" s="4">
        <v>0</v>
      </c>
      <c r="S190" s="4">
        <v>0</v>
      </c>
      <c r="T190" s="4">
        <v>0</v>
      </c>
      <c r="U190" s="4">
        <v>115.32</v>
      </c>
      <c r="V190" s="4">
        <v>87.16</v>
      </c>
      <c r="W190" t="s">
        <v>21</v>
      </c>
      <c r="X190" t="s">
        <v>36</v>
      </c>
      <c r="Y190" s="4">
        <v>5</v>
      </c>
      <c r="Z190" s="4">
        <v>13</v>
      </c>
      <c r="AA190" t="s">
        <v>37</v>
      </c>
      <c r="AB190" t="s">
        <v>38</v>
      </c>
      <c r="AC190" s="7">
        <v>0</v>
      </c>
      <c r="AD190" t="s">
        <v>39</v>
      </c>
      <c r="AE190">
        <f t="shared" si="2"/>
        <v>0</v>
      </c>
    </row>
    <row r="191" spans="1:31" x14ac:dyDescent="0.35">
      <c r="A191">
        <v>100190</v>
      </c>
      <c r="B191" s="3">
        <v>45946</v>
      </c>
      <c r="C191">
        <v>1038</v>
      </c>
      <c r="D191" t="s">
        <v>59</v>
      </c>
      <c r="E191" t="s">
        <v>73</v>
      </c>
      <c r="F191" t="s">
        <v>49</v>
      </c>
      <c r="G191" t="s">
        <v>50</v>
      </c>
      <c r="H191" t="s">
        <v>51</v>
      </c>
      <c r="I191" t="s">
        <v>69</v>
      </c>
      <c r="J191" s="4">
        <v>23.12</v>
      </c>
      <c r="K191" s="4">
        <v>18.059999999999999</v>
      </c>
      <c r="L191">
        <v>10</v>
      </c>
      <c r="M191" s="4">
        <v>41.76</v>
      </c>
      <c r="N191" s="4">
        <v>375.79</v>
      </c>
      <c r="O191" s="4">
        <v>163.99</v>
      </c>
      <c r="P191" s="4">
        <v>4.1500000000000004</v>
      </c>
      <c r="Q191" s="4">
        <v>1.67</v>
      </c>
      <c r="R191" s="4">
        <v>2.71</v>
      </c>
      <c r="S191" s="4">
        <v>0</v>
      </c>
      <c r="T191" s="4">
        <v>0</v>
      </c>
      <c r="U191" s="4">
        <v>172.52</v>
      </c>
      <c r="V191" s="4">
        <v>203.27</v>
      </c>
      <c r="W191" t="s">
        <v>21</v>
      </c>
      <c r="X191" t="s">
        <v>36</v>
      </c>
      <c r="Y191" s="4">
        <v>2</v>
      </c>
      <c r="Z191" s="4">
        <v>14</v>
      </c>
      <c r="AA191" t="s">
        <v>37</v>
      </c>
      <c r="AB191" t="s">
        <v>38</v>
      </c>
      <c r="AC191" s="7">
        <v>0</v>
      </c>
      <c r="AD191" t="s">
        <v>39</v>
      </c>
      <c r="AE191">
        <f t="shared" si="2"/>
        <v>0</v>
      </c>
    </row>
    <row r="192" spans="1:31" x14ac:dyDescent="0.35">
      <c r="A192">
        <v>100191</v>
      </c>
      <c r="B192" s="3">
        <v>46022</v>
      </c>
      <c r="C192">
        <v>1143</v>
      </c>
      <c r="D192" t="s">
        <v>47</v>
      </c>
      <c r="E192" t="s">
        <v>74</v>
      </c>
      <c r="F192" t="s">
        <v>49</v>
      </c>
      <c r="G192" t="s">
        <v>63</v>
      </c>
      <c r="H192" t="s">
        <v>34</v>
      </c>
      <c r="I192" t="s">
        <v>42</v>
      </c>
      <c r="J192" s="4">
        <v>27.17</v>
      </c>
      <c r="K192" s="4">
        <v>11.42</v>
      </c>
      <c r="L192">
        <v>5</v>
      </c>
      <c r="M192" s="4">
        <v>15.51</v>
      </c>
      <c r="N192" s="4">
        <v>294.77</v>
      </c>
      <c r="O192" s="4">
        <v>175.25</v>
      </c>
      <c r="P192" s="4">
        <v>8.1999999999999993</v>
      </c>
      <c r="Q192" s="4">
        <v>4.6500000000000004</v>
      </c>
      <c r="R192" s="4">
        <v>9.7100000000000009</v>
      </c>
      <c r="S192" s="4">
        <v>139.19999999999999</v>
      </c>
      <c r="T192" s="4">
        <v>0</v>
      </c>
      <c r="U192" s="4">
        <v>337.01</v>
      </c>
      <c r="V192" s="4">
        <v>-42.24</v>
      </c>
      <c r="W192" t="s">
        <v>58</v>
      </c>
      <c r="X192" t="s">
        <v>66</v>
      </c>
      <c r="Y192" s="4">
        <v>17</v>
      </c>
      <c r="Z192" s="4">
        <v>5</v>
      </c>
      <c r="AA192" t="s">
        <v>52</v>
      </c>
      <c r="AB192" t="s">
        <v>38</v>
      </c>
      <c r="AC192" s="7">
        <v>1</v>
      </c>
      <c r="AD192" t="s">
        <v>45</v>
      </c>
      <c r="AE192">
        <f t="shared" si="2"/>
        <v>0</v>
      </c>
    </row>
    <row r="193" spans="1:31" x14ac:dyDescent="0.35">
      <c r="A193">
        <v>100192</v>
      </c>
      <c r="B193" s="3">
        <v>46012</v>
      </c>
      <c r="C193">
        <v>1094</v>
      </c>
      <c r="D193" t="s">
        <v>47</v>
      </c>
      <c r="E193" t="s">
        <v>56</v>
      </c>
      <c r="F193" t="s">
        <v>71</v>
      </c>
      <c r="G193" t="s">
        <v>50</v>
      </c>
      <c r="H193" t="s">
        <v>51</v>
      </c>
      <c r="I193" t="s">
        <v>35</v>
      </c>
      <c r="J193" s="4">
        <v>21.53</v>
      </c>
      <c r="K193" s="4">
        <v>19.03</v>
      </c>
      <c r="L193">
        <v>10</v>
      </c>
      <c r="M193" s="4">
        <v>40.97</v>
      </c>
      <c r="N193" s="4">
        <v>368.75</v>
      </c>
      <c r="O193" s="4">
        <v>148.80000000000001</v>
      </c>
      <c r="P193" s="4">
        <v>4.28</v>
      </c>
      <c r="Q193" s="4">
        <v>2.87</v>
      </c>
      <c r="R193" s="4">
        <v>12.2</v>
      </c>
      <c r="S193" s="4">
        <v>0</v>
      </c>
      <c r="T193" s="4">
        <v>0</v>
      </c>
      <c r="U193" s="4">
        <v>168.15</v>
      </c>
      <c r="V193" s="4">
        <v>200.6</v>
      </c>
      <c r="W193" t="s">
        <v>21</v>
      </c>
      <c r="X193" t="s">
        <v>36</v>
      </c>
      <c r="Y193" s="4">
        <v>4</v>
      </c>
      <c r="Z193" s="4">
        <v>0</v>
      </c>
      <c r="AA193" t="s">
        <v>37</v>
      </c>
      <c r="AB193" t="s">
        <v>38</v>
      </c>
      <c r="AC193" s="7">
        <v>0</v>
      </c>
      <c r="AD193" t="s">
        <v>39</v>
      </c>
      <c r="AE193">
        <f t="shared" si="2"/>
        <v>0</v>
      </c>
    </row>
    <row r="194" spans="1:31" x14ac:dyDescent="0.35">
      <c r="A194">
        <v>100193</v>
      </c>
      <c r="B194" s="3">
        <v>46002</v>
      </c>
      <c r="C194">
        <v>1108</v>
      </c>
      <c r="D194" t="s">
        <v>47</v>
      </c>
      <c r="E194" t="s">
        <v>56</v>
      </c>
      <c r="F194" t="s">
        <v>71</v>
      </c>
      <c r="G194" t="s">
        <v>50</v>
      </c>
      <c r="H194" t="s">
        <v>34</v>
      </c>
      <c r="I194" t="s">
        <v>35</v>
      </c>
      <c r="J194" s="4">
        <v>27.04</v>
      </c>
      <c r="K194" s="4">
        <v>17.88</v>
      </c>
      <c r="L194">
        <v>5</v>
      </c>
      <c r="M194" s="4">
        <v>24.17</v>
      </c>
      <c r="N194" s="4">
        <v>459.31</v>
      </c>
      <c r="O194" s="4">
        <v>180.63</v>
      </c>
      <c r="P194" s="4">
        <v>11.4</v>
      </c>
      <c r="Q194" s="4">
        <v>3.38</v>
      </c>
      <c r="R194" s="4">
        <v>0.39</v>
      </c>
      <c r="S194" s="4">
        <v>477.07</v>
      </c>
      <c r="T194" s="4">
        <v>0</v>
      </c>
      <c r="U194" s="4">
        <v>672.87</v>
      </c>
      <c r="V194" s="4">
        <v>-213.56</v>
      </c>
      <c r="W194" t="s">
        <v>58</v>
      </c>
      <c r="X194" t="s">
        <v>66</v>
      </c>
      <c r="Y194" s="4">
        <v>8</v>
      </c>
      <c r="Z194" s="4">
        <v>2</v>
      </c>
      <c r="AA194" t="s">
        <v>37</v>
      </c>
      <c r="AB194" t="s">
        <v>38</v>
      </c>
      <c r="AC194" s="7">
        <v>1</v>
      </c>
      <c r="AD194" t="s">
        <v>45</v>
      </c>
      <c r="AE194">
        <f t="shared" si="2"/>
        <v>0</v>
      </c>
    </row>
    <row r="195" spans="1:31" x14ac:dyDescent="0.35">
      <c r="A195">
        <v>100194</v>
      </c>
      <c r="B195" s="3">
        <v>45957</v>
      </c>
      <c r="C195">
        <v>1130</v>
      </c>
      <c r="D195" t="s">
        <v>64</v>
      </c>
      <c r="E195" t="s">
        <v>65</v>
      </c>
      <c r="F195" t="s">
        <v>61</v>
      </c>
      <c r="G195" t="s">
        <v>63</v>
      </c>
      <c r="H195" t="s">
        <v>34</v>
      </c>
      <c r="I195" t="s">
        <v>42</v>
      </c>
      <c r="J195" s="4">
        <v>10.199999999999999</v>
      </c>
      <c r="K195" s="4">
        <v>13.72</v>
      </c>
      <c r="L195">
        <v>10</v>
      </c>
      <c r="M195" s="4">
        <v>13.99</v>
      </c>
      <c r="N195" s="4">
        <v>125.95</v>
      </c>
      <c r="O195" s="4">
        <v>80.14</v>
      </c>
      <c r="P195" s="4">
        <v>5.25</v>
      </c>
      <c r="Q195" s="4">
        <v>2.1</v>
      </c>
      <c r="R195" s="4">
        <v>1.64</v>
      </c>
      <c r="S195" s="4">
        <v>0</v>
      </c>
      <c r="T195" s="4">
        <v>0</v>
      </c>
      <c r="U195" s="4">
        <v>89.13</v>
      </c>
      <c r="V195" s="4">
        <v>36.82</v>
      </c>
      <c r="W195" t="s">
        <v>21</v>
      </c>
      <c r="X195" t="s">
        <v>36</v>
      </c>
      <c r="Y195" s="4">
        <v>3</v>
      </c>
      <c r="Z195" s="4">
        <v>0</v>
      </c>
      <c r="AA195" t="s">
        <v>37</v>
      </c>
      <c r="AB195" t="s">
        <v>38</v>
      </c>
      <c r="AC195" s="7">
        <v>0</v>
      </c>
      <c r="AD195" t="s">
        <v>39</v>
      </c>
      <c r="AE195">
        <f t="shared" ref="AE195:AE258" si="3">IF(AB195="Yes",1,0)</f>
        <v>0</v>
      </c>
    </row>
    <row r="196" spans="1:31" x14ac:dyDescent="0.35">
      <c r="A196">
        <v>100195</v>
      </c>
      <c r="B196" s="3">
        <v>45940</v>
      </c>
      <c r="C196">
        <v>1082</v>
      </c>
      <c r="D196" t="s">
        <v>47</v>
      </c>
      <c r="E196" t="s">
        <v>53</v>
      </c>
      <c r="F196" t="s">
        <v>49</v>
      </c>
      <c r="G196" t="s">
        <v>63</v>
      </c>
      <c r="H196" t="s">
        <v>34</v>
      </c>
      <c r="I196" t="s">
        <v>69</v>
      </c>
      <c r="J196" s="4">
        <v>8.1</v>
      </c>
      <c r="K196" s="4">
        <v>12.47</v>
      </c>
      <c r="L196">
        <v>10</v>
      </c>
      <c r="M196" s="4">
        <v>10.1</v>
      </c>
      <c r="N196" s="4">
        <v>90.91</v>
      </c>
      <c r="O196" s="4">
        <v>49.32</v>
      </c>
      <c r="P196" s="4">
        <v>9.8000000000000007</v>
      </c>
      <c r="Q196" s="4">
        <v>0.4</v>
      </c>
      <c r="R196" s="4">
        <v>2.63</v>
      </c>
      <c r="S196" s="4">
        <v>0</v>
      </c>
      <c r="T196" s="4">
        <v>0</v>
      </c>
      <c r="U196" s="4">
        <v>62.15</v>
      </c>
      <c r="V196" s="4">
        <v>28.76</v>
      </c>
      <c r="W196" t="s">
        <v>21</v>
      </c>
      <c r="X196" t="s">
        <v>36</v>
      </c>
      <c r="Y196" s="4">
        <v>5</v>
      </c>
      <c r="Z196" s="4">
        <v>9</v>
      </c>
      <c r="AA196" t="s">
        <v>37</v>
      </c>
      <c r="AB196" t="s">
        <v>38</v>
      </c>
      <c r="AC196" s="7">
        <v>0</v>
      </c>
      <c r="AD196" t="s">
        <v>39</v>
      </c>
      <c r="AE196">
        <f t="shared" si="3"/>
        <v>0</v>
      </c>
    </row>
    <row r="197" spans="1:31" x14ac:dyDescent="0.35">
      <c r="A197">
        <v>100196</v>
      </c>
      <c r="B197" s="3">
        <v>45990</v>
      </c>
      <c r="C197">
        <v>1144</v>
      </c>
      <c r="D197" t="s">
        <v>64</v>
      </c>
      <c r="E197" t="s">
        <v>65</v>
      </c>
      <c r="F197" t="s">
        <v>61</v>
      </c>
      <c r="G197" t="s">
        <v>63</v>
      </c>
      <c r="H197" t="s">
        <v>51</v>
      </c>
      <c r="I197" t="s">
        <v>42</v>
      </c>
      <c r="J197" s="4">
        <v>24.09</v>
      </c>
      <c r="K197" s="4">
        <v>13.09</v>
      </c>
      <c r="L197">
        <v>0</v>
      </c>
      <c r="M197" s="4">
        <v>0</v>
      </c>
      <c r="N197" s="4">
        <v>315.33999999999997</v>
      </c>
      <c r="O197" s="4">
        <v>157.1</v>
      </c>
      <c r="P197" s="4">
        <v>10.01</v>
      </c>
      <c r="Q197" s="4">
        <v>4.7300000000000004</v>
      </c>
      <c r="R197" s="4">
        <v>7.77</v>
      </c>
      <c r="S197" s="4">
        <v>0</v>
      </c>
      <c r="T197" s="4">
        <v>0</v>
      </c>
      <c r="U197" s="4">
        <v>179.61</v>
      </c>
      <c r="V197" s="4">
        <v>135.72999999999999</v>
      </c>
      <c r="W197" t="s">
        <v>21</v>
      </c>
      <c r="X197" t="s">
        <v>36</v>
      </c>
      <c r="Y197" s="4">
        <v>23</v>
      </c>
      <c r="Z197" s="4">
        <v>2</v>
      </c>
      <c r="AA197" t="s">
        <v>52</v>
      </c>
      <c r="AB197" t="s">
        <v>44</v>
      </c>
      <c r="AC197" s="7">
        <v>2</v>
      </c>
      <c r="AD197" t="s">
        <v>45</v>
      </c>
      <c r="AE197">
        <f t="shared" si="3"/>
        <v>1</v>
      </c>
    </row>
    <row r="198" spans="1:31" x14ac:dyDescent="0.35">
      <c r="A198">
        <v>100197</v>
      </c>
      <c r="B198" s="3">
        <v>45981</v>
      </c>
      <c r="C198">
        <v>1087</v>
      </c>
      <c r="D198" t="s">
        <v>59</v>
      </c>
      <c r="E198" t="s">
        <v>73</v>
      </c>
      <c r="F198" t="s">
        <v>41</v>
      </c>
      <c r="G198" t="s">
        <v>63</v>
      </c>
      <c r="H198" t="s">
        <v>34</v>
      </c>
      <c r="I198" t="s">
        <v>69</v>
      </c>
      <c r="J198" s="4">
        <v>14.6</v>
      </c>
      <c r="K198" s="4">
        <v>13.47</v>
      </c>
      <c r="L198">
        <v>20</v>
      </c>
      <c r="M198" s="4">
        <v>39.33</v>
      </c>
      <c r="N198" s="4">
        <v>157.33000000000001</v>
      </c>
      <c r="O198" s="4">
        <v>110.27</v>
      </c>
      <c r="P198" s="4">
        <v>3.67</v>
      </c>
      <c r="Q198" s="4">
        <v>0.79</v>
      </c>
      <c r="R198" s="4">
        <v>6.58</v>
      </c>
      <c r="S198" s="4">
        <v>0</v>
      </c>
      <c r="T198" s="4">
        <v>0</v>
      </c>
      <c r="U198" s="4">
        <v>121.31</v>
      </c>
      <c r="V198" s="4">
        <v>36.020000000000003</v>
      </c>
      <c r="W198" t="s">
        <v>21</v>
      </c>
      <c r="X198" t="s">
        <v>36</v>
      </c>
      <c r="Y198" s="4">
        <v>42</v>
      </c>
      <c r="Z198" s="4">
        <v>8</v>
      </c>
      <c r="AA198" t="s">
        <v>43</v>
      </c>
      <c r="AB198" t="s">
        <v>44</v>
      </c>
      <c r="AC198" s="7">
        <v>1</v>
      </c>
      <c r="AD198" t="s">
        <v>45</v>
      </c>
      <c r="AE198">
        <f t="shared" si="3"/>
        <v>1</v>
      </c>
    </row>
    <row r="199" spans="1:31" x14ac:dyDescent="0.35">
      <c r="A199">
        <v>100198</v>
      </c>
      <c r="B199" s="3">
        <v>45933</v>
      </c>
      <c r="C199">
        <v>1089</v>
      </c>
      <c r="D199" t="s">
        <v>59</v>
      </c>
      <c r="E199" t="s">
        <v>70</v>
      </c>
      <c r="F199" t="s">
        <v>61</v>
      </c>
      <c r="G199" t="s">
        <v>63</v>
      </c>
      <c r="H199" t="s">
        <v>34</v>
      </c>
      <c r="I199" t="s">
        <v>35</v>
      </c>
      <c r="J199" s="4">
        <v>29.17</v>
      </c>
      <c r="K199" s="4">
        <v>12.93</v>
      </c>
      <c r="L199">
        <v>10</v>
      </c>
      <c r="M199" s="4">
        <v>37.72</v>
      </c>
      <c r="N199" s="4">
        <v>339.45</v>
      </c>
      <c r="O199" s="4">
        <v>244.16</v>
      </c>
      <c r="P199" s="4">
        <v>10.27</v>
      </c>
      <c r="Q199" s="4">
        <v>2.64</v>
      </c>
      <c r="R199" s="4">
        <v>4.96</v>
      </c>
      <c r="S199" s="4">
        <v>0</v>
      </c>
      <c r="T199" s="4">
        <v>0</v>
      </c>
      <c r="U199" s="4">
        <v>262.02999999999997</v>
      </c>
      <c r="V199" s="4">
        <v>77.42</v>
      </c>
      <c r="W199" t="s">
        <v>21</v>
      </c>
      <c r="X199" t="s">
        <v>36</v>
      </c>
      <c r="Y199" s="4">
        <v>3</v>
      </c>
      <c r="Z199" s="4">
        <v>6</v>
      </c>
      <c r="AA199" t="s">
        <v>37</v>
      </c>
      <c r="AB199" t="s">
        <v>38</v>
      </c>
      <c r="AC199" s="7">
        <v>0</v>
      </c>
      <c r="AD199" t="s">
        <v>39</v>
      </c>
      <c r="AE199">
        <f t="shared" si="3"/>
        <v>0</v>
      </c>
    </row>
    <row r="200" spans="1:31" x14ac:dyDescent="0.35">
      <c r="A200">
        <v>100199</v>
      </c>
      <c r="B200" s="3">
        <v>45933</v>
      </c>
      <c r="C200">
        <v>1107</v>
      </c>
      <c r="D200" t="s">
        <v>47</v>
      </c>
      <c r="E200" t="s">
        <v>74</v>
      </c>
      <c r="F200" t="s">
        <v>41</v>
      </c>
      <c r="G200" t="s">
        <v>63</v>
      </c>
      <c r="H200" t="s">
        <v>57</v>
      </c>
      <c r="I200" t="s">
        <v>69</v>
      </c>
      <c r="J200" s="4">
        <v>18.600000000000001</v>
      </c>
      <c r="K200" s="4">
        <v>12.64</v>
      </c>
      <c r="L200">
        <v>5</v>
      </c>
      <c r="M200" s="4">
        <v>11.76</v>
      </c>
      <c r="N200" s="4">
        <v>223.34</v>
      </c>
      <c r="O200" s="4">
        <v>123.2</v>
      </c>
      <c r="P200" s="4">
        <v>11.05</v>
      </c>
      <c r="Q200" s="4">
        <v>0.94</v>
      </c>
      <c r="R200" s="4">
        <v>6.89</v>
      </c>
      <c r="S200" s="4">
        <v>0</v>
      </c>
      <c r="T200" s="4">
        <v>0</v>
      </c>
      <c r="U200" s="4">
        <v>142.08000000000001</v>
      </c>
      <c r="V200" s="4">
        <v>81.260000000000005</v>
      </c>
      <c r="W200" t="s">
        <v>21</v>
      </c>
      <c r="X200" t="s">
        <v>36</v>
      </c>
      <c r="Y200" s="4">
        <v>12</v>
      </c>
      <c r="Z200" s="4">
        <v>5</v>
      </c>
      <c r="AA200" t="s">
        <v>37</v>
      </c>
      <c r="AB200" t="s">
        <v>38</v>
      </c>
      <c r="AC200" s="7">
        <v>0</v>
      </c>
      <c r="AD200" t="s">
        <v>39</v>
      </c>
      <c r="AE200">
        <f t="shared" si="3"/>
        <v>0</v>
      </c>
    </row>
    <row r="201" spans="1:31" x14ac:dyDescent="0.35">
      <c r="A201">
        <v>100200</v>
      </c>
      <c r="B201" s="3">
        <v>45986</v>
      </c>
      <c r="C201">
        <v>1043</v>
      </c>
      <c r="D201" t="s">
        <v>47</v>
      </c>
      <c r="E201" t="s">
        <v>53</v>
      </c>
      <c r="F201" t="s">
        <v>41</v>
      </c>
      <c r="G201" t="s">
        <v>63</v>
      </c>
      <c r="H201" t="s">
        <v>34</v>
      </c>
      <c r="I201" t="s">
        <v>54</v>
      </c>
      <c r="J201" s="4">
        <v>20.36</v>
      </c>
      <c r="K201" s="4">
        <v>12.2</v>
      </c>
      <c r="L201">
        <v>5</v>
      </c>
      <c r="M201" s="4">
        <v>12.42</v>
      </c>
      <c r="N201" s="4">
        <v>235.97</v>
      </c>
      <c r="O201" s="4">
        <v>135.81</v>
      </c>
      <c r="P201" s="4">
        <v>7.7</v>
      </c>
      <c r="Q201" s="4">
        <v>2.98</v>
      </c>
      <c r="R201" s="4">
        <v>12.05</v>
      </c>
      <c r="S201" s="4">
        <v>212.76</v>
      </c>
      <c r="T201" s="4">
        <v>0</v>
      </c>
      <c r="U201" s="4">
        <v>371.3</v>
      </c>
      <c r="V201" s="4">
        <v>-135.33000000000001</v>
      </c>
      <c r="W201" t="s">
        <v>58</v>
      </c>
      <c r="X201" t="s">
        <v>55</v>
      </c>
      <c r="Y201" s="4">
        <v>34</v>
      </c>
      <c r="Z201" s="4">
        <v>2</v>
      </c>
      <c r="AA201" t="s">
        <v>43</v>
      </c>
      <c r="AB201" t="s">
        <v>44</v>
      </c>
      <c r="AC201" s="7">
        <v>3</v>
      </c>
      <c r="AD201" t="s">
        <v>45</v>
      </c>
      <c r="AE201">
        <f t="shared" si="3"/>
        <v>1</v>
      </c>
    </row>
    <row r="202" spans="1:31" x14ac:dyDescent="0.35">
      <c r="A202">
        <v>100201</v>
      </c>
      <c r="B202" s="3">
        <v>46012</v>
      </c>
      <c r="C202">
        <v>1098</v>
      </c>
      <c r="D202" t="s">
        <v>30</v>
      </c>
      <c r="E202" t="s">
        <v>62</v>
      </c>
      <c r="F202" t="s">
        <v>41</v>
      </c>
      <c r="G202" t="s">
        <v>63</v>
      </c>
      <c r="H202" t="s">
        <v>34</v>
      </c>
      <c r="I202" t="s">
        <v>35</v>
      </c>
      <c r="J202" s="4">
        <v>3.42</v>
      </c>
      <c r="K202" s="4">
        <v>11.99</v>
      </c>
      <c r="L202">
        <v>0</v>
      </c>
      <c r="M202" s="4">
        <v>0</v>
      </c>
      <c r="N202" s="4">
        <v>41.01</v>
      </c>
      <c r="O202" s="4">
        <v>26.26</v>
      </c>
      <c r="P202" s="4">
        <v>8.5299999999999994</v>
      </c>
      <c r="Q202" s="4">
        <v>0.28999999999999998</v>
      </c>
      <c r="R202" s="4">
        <v>3.88</v>
      </c>
      <c r="S202" s="4">
        <v>0</v>
      </c>
      <c r="T202" s="4">
        <v>0</v>
      </c>
      <c r="U202" s="4">
        <v>38.96</v>
      </c>
      <c r="V202" s="4">
        <v>2.0499999999999998</v>
      </c>
      <c r="W202" t="s">
        <v>21</v>
      </c>
      <c r="X202" t="s">
        <v>36</v>
      </c>
      <c r="Y202" s="4">
        <v>1</v>
      </c>
      <c r="Z202" s="4">
        <v>20</v>
      </c>
      <c r="AA202" t="s">
        <v>37</v>
      </c>
      <c r="AB202" t="s">
        <v>44</v>
      </c>
      <c r="AC202" s="7">
        <v>1</v>
      </c>
      <c r="AD202" t="s">
        <v>45</v>
      </c>
      <c r="AE202">
        <f t="shared" si="3"/>
        <v>1</v>
      </c>
    </row>
    <row r="203" spans="1:31" x14ac:dyDescent="0.35">
      <c r="A203">
        <v>100202</v>
      </c>
      <c r="B203" s="3">
        <v>45985</v>
      </c>
      <c r="C203">
        <v>1061</v>
      </c>
      <c r="D203" t="s">
        <v>47</v>
      </c>
      <c r="E203" t="s">
        <v>74</v>
      </c>
      <c r="F203" t="s">
        <v>71</v>
      </c>
      <c r="G203" t="s">
        <v>50</v>
      </c>
      <c r="H203" t="s">
        <v>34</v>
      </c>
      <c r="I203" t="s">
        <v>69</v>
      </c>
      <c r="J203" s="4">
        <v>26.8</v>
      </c>
      <c r="K203" s="4">
        <v>16.23</v>
      </c>
      <c r="L203">
        <v>15</v>
      </c>
      <c r="M203" s="4">
        <v>65.239999999999995</v>
      </c>
      <c r="N203" s="4">
        <v>369.72</v>
      </c>
      <c r="O203" s="4">
        <v>187.57</v>
      </c>
      <c r="P203" s="4">
        <v>6.95</v>
      </c>
      <c r="Q203" s="4">
        <v>1.74</v>
      </c>
      <c r="R203" s="4">
        <v>8.4700000000000006</v>
      </c>
      <c r="S203" s="4">
        <v>386.02</v>
      </c>
      <c r="T203" s="4">
        <v>0</v>
      </c>
      <c r="U203" s="4">
        <v>590.75</v>
      </c>
      <c r="V203" s="4">
        <v>-221.03</v>
      </c>
      <c r="W203" t="s">
        <v>58</v>
      </c>
      <c r="X203" t="s">
        <v>55</v>
      </c>
      <c r="Y203" s="4">
        <v>18</v>
      </c>
      <c r="Z203" s="4">
        <v>0</v>
      </c>
      <c r="AA203" t="s">
        <v>52</v>
      </c>
      <c r="AB203" t="s">
        <v>44</v>
      </c>
      <c r="AC203" s="7">
        <v>2</v>
      </c>
      <c r="AD203" t="s">
        <v>45</v>
      </c>
      <c r="AE203">
        <f t="shared" si="3"/>
        <v>1</v>
      </c>
    </row>
    <row r="204" spans="1:31" x14ac:dyDescent="0.35">
      <c r="A204">
        <v>100203</v>
      </c>
      <c r="B204" s="3">
        <v>45989</v>
      </c>
      <c r="C204">
        <v>1076</v>
      </c>
      <c r="D204" t="s">
        <v>59</v>
      </c>
      <c r="E204" t="s">
        <v>73</v>
      </c>
      <c r="F204" t="s">
        <v>71</v>
      </c>
      <c r="G204" t="s">
        <v>63</v>
      </c>
      <c r="H204" t="s">
        <v>34</v>
      </c>
      <c r="I204" t="s">
        <v>35</v>
      </c>
      <c r="J204" s="4">
        <v>10.98</v>
      </c>
      <c r="K204" s="4">
        <v>12.99</v>
      </c>
      <c r="L204">
        <v>0</v>
      </c>
      <c r="M204" s="4">
        <v>0</v>
      </c>
      <c r="N204" s="4">
        <v>142.63</v>
      </c>
      <c r="O204" s="4">
        <v>74.650000000000006</v>
      </c>
      <c r="P204" s="4">
        <v>4.91</v>
      </c>
      <c r="Q204" s="4">
        <v>1</v>
      </c>
      <c r="R204" s="4">
        <v>2.71</v>
      </c>
      <c r="S204" s="4">
        <v>0</v>
      </c>
      <c r="T204" s="4">
        <v>0</v>
      </c>
      <c r="U204" s="4">
        <v>83.27</v>
      </c>
      <c r="V204" s="4">
        <v>59.36</v>
      </c>
      <c r="W204" t="s">
        <v>21</v>
      </c>
      <c r="X204" t="s">
        <v>36</v>
      </c>
      <c r="Y204" s="4">
        <v>13</v>
      </c>
      <c r="Z204" s="4">
        <v>9</v>
      </c>
      <c r="AA204" t="s">
        <v>37</v>
      </c>
      <c r="AB204" t="s">
        <v>38</v>
      </c>
      <c r="AC204" s="7">
        <v>0</v>
      </c>
      <c r="AD204" t="s">
        <v>39</v>
      </c>
      <c r="AE204">
        <f t="shared" si="3"/>
        <v>0</v>
      </c>
    </row>
    <row r="205" spans="1:31" x14ac:dyDescent="0.35">
      <c r="A205">
        <v>100204</v>
      </c>
      <c r="B205" s="3">
        <v>45978</v>
      </c>
      <c r="C205">
        <v>1007</v>
      </c>
      <c r="D205" t="s">
        <v>47</v>
      </c>
      <c r="E205" t="s">
        <v>74</v>
      </c>
      <c r="F205" t="s">
        <v>71</v>
      </c>
      <c r="G205" t="s">
        <v>33</v>
      </c>
      <c r="H205" t="s">
        <v>34</v>
      </c>
      <c r="I205" t="s">
        <v>69</v>
      </c>
      <c r="J205" s="4">
        <v>41.47</v>
      </c>
      <c r="K205" s="4">
        <v>18.87</v>
      </c>
      <c r="L205">
        <v>0</v>
      </c>
      <c r="M205" s="4">
        <v>0</v>
      </c>
      <c r="N205" s="4">
        <v>782.54</v>
      </c>
      <c r="O205" s="4">
        <v>346.17</v>
      </c>
      <c r="P205" s="4">
        <v>6.69</v>
      </c>
      <c r="Q205" s="4">
        <v>3.13</v>
      </c>
      <c r="R205" s="4">
        <v>6.49</v>
      </c>
      <c r="S205" s="4">
        <v>0</v>
      </c>
      <c r="T205" s="4">
        <v>0</v>
      </c>
      <c r="U205" s="4">
        <v>362.48</v>
      </c>
      <c r="V205" s="4">
        <v>420.06</v>
      </c>
      <c r="W205" t="s">
        <v>21</v>
      </c>
      <c r="X205" t="s">
        <v>36</v>
      </c>
      <c r="Y205" s="4">
        <v>9</v>
      </c>
      <c r="Z205" s="4">
        <v>36</v>
      </c>
      <c r="AA205" t="s">
        <v>37</v>
      </c>
      <c r="AB205" t="s">
        <v>44</v>
      </c>
      <c r="AC205" s="7">
        <v>1</v>
      </c>
      <c r="AD205" t="s">
        <v>45</v>
      </c>
      <c r="AE205">
        <f t="shared" si="3"/>
        <v>1</v>
      </c>
    </row>
    <row r="206" spans="1:31" x14ac:dyDescent="0.35">
      <c r="A206">
        <v>100205</v>
      </c>
      <c r="B206" s="3">
        <v>45955</v>
      </c>
      <c r="C206">
        <v>1094</v>
      </c>
      <c r="D206" t="s">
        <v>59</v>
      </c>
      <c r="E206" t="s">
        <v>60</v>
      </c>
      <c r="F206" t="s">
        <v>32</v>
      </c>
      <c r="G206" t="s">
        <v>46</v>
      </c>
      <c r="H206" t="s">
        <v>34</v>
      </c>
      <c r="I206" t="s">
        <v>69</v>
      </c>
      <c r="J206" s="4">
        <v>20.38</v>
      </c>
      <c r="K206" s="4">
        <v>15.41</v>
      </c>
      <c r="L206">
        <v>15</v>
      </c>
      <c r="M206" s="4">
        <v>47.11</v>
      </c>
      <c r="N206" s="4">
        <v>266.95</v>
      </c>
      <c r="O206" s="4">
        <v>150.94999999999999</v>
      </c>
      <c r="P206" s="4">
        <v>11.05</v>
      </c>
      <c r="Q206" s="4">
        <v>1.26</v>
      </c>
      <c r="R206" s="4">
        <v>2.91</v>
      </c>
      <c r="S206" s="4">
        <v>189.85</v>
      </c>
      <c r="T206" s="4">
        <v>0</v>
      </c>
      <c r="U206" s="4">
        <v>356.02</v>
      </c>
      <c r="V206" s="4">
        <v>-89.07</v>
      </c>
      <c r="W206" t="s">
        <v>58</v>
      </c>
      <c r="X206" t="s">
        <v>55</v>
      </c>
      <c r="Y206" s="4">
        <v>5</v>
      </c>
      <c r="Z206" s="4">
        <v>1</v>
      </c>
      <c r="AA206" t="s">
        <v>37</v>
      </c>
      <c r="AB206" t="s">
        <v>44</v>
      </c>
      <c r="AC206" s="7">
        <v>2</v>
      </c>
      <c r="AD206" t="s">
        <v>45</v>
      </c>
      <c r="AE206">
        <f t="shared" si="3"/>
        <v>1</v>
      </c>
    </row>
    <row r="207" spans="1:31" x14ac:dyDescent="0.35">
      <c r="A207">
        <v>100206</v>
      </c>
      <c r="B207" s="3">
        <v>45934</v>
      </c>
      <c r="C207">
        <v>1072</v>
      </c>
      <c r="D207" t="s">
        <v>64</v>
      </c>
      <c r="E207" t="s">
        <v>67</v>
      </c>
      <c r="F207" t="s">
        <v>61</v>
      </c>
      <c r="G207" t="s">
        <v>46</v>
      </c>
      <c r="H207" t="s">
        <v>34</v>
      </c>
      <c r="I207" t="s">
        <v>42</v>
      </c>
      <c r="J207" s="4">
        <v>28.83</v>
      </c>
      <c r="K207" s="4">
        <v>16.22</v>
      </c>
      <c r="L207">
        <v>15</v>
      </c>
      <c r="M207" s="4">
        <v>70.14</v>
      </c>
      <c r="N207" s="4">
        <v>397.48</v>
      </c>
      <c r="O207" s="4">
        <v>220.19</v>
      </c>
      <c r="P207" s="4">
        <v>13.92</v>
      </c>
      <c r="Q207" s="4">
        <v>7.01</v>
      </c>
      <c r="R207" s="4">
        <v>6.1</v>
      </c>
      <c r="S207" s="4">
        <v>0</v>
      </c>
      <c r="T207" s="4">
        <v>0</v>
      </c>
      <c r="U207" s="4">
        <v>247.22</v>
      </c>
      <c r="V207" s="4">
        <v>150.26</v>
      </c>
      <c r="W207" t="s">
        <v>21</v>
      </c>
      <c r="X207" t="s">
        <v>36</v>
      </c>
      <c r="Y207" s="4">
        <v>7</v>
      </c>
      <c r="Z207" s="4">
        <v>0</v>
      </c>
      <c r="AA207" t="s">
        <v>37</v>
      </c>
      <c r="AB207" t="s">
        <v>38</v>
      </c>
      <c r="AC207" s="7">
        <v>0</v>
      </c>
      <c r="AD207" t="s">
        <v>39</v>
      </c>
      <c r="AE207">
        <f t="shared" si="3"/>
        <v>0</v>
      </c>
    </row>
    <row r="208" spans="1:31" x14ac:dyDescent="0.35">
      <c r="A208">
        <v>100207</v>
      </c>
      <c r="B208" s="3">
        <v>45979</v>
      </c>
      <c r="C208">
        <v>1101</v>
      </c>
      <c r="D208" t="s">
        <v>59</v>
      </c>
      <c r="E208" t="s">
        <v>60</v>
      </c>
      <c r="F208" t="s">
        <v>49</v>
      </c>
      <c r="G208" t="s">
        <v>46</v>
      </c>
      <c r="H208" t="s">
        <v>34</v>
      </c>
      <c r="I208" t="s">
        <v>54</v>
      </c>
      <c r="J208" s="4">
        <v>19.86</v>
      </c>
      <c r="K208" s="4">
        <v>15.42</v>
      </c>
      <c r="L208">
        <v>5</v>
      </c>
      <c r="M208" s="4">
        <v>15.31</v>
      </c>
      <c r="N208" s="4">
        <v>290.93</v>
      </c>
      <c r="O208" s="4">
        <v>134.44999999999999</v>
      </c>
      <c r="P208" s="4">
        <v>5.48</v>
      </c>
      <c r="Q208" s="4">
        <v>3.67</v>
      </c>
      <c r="R208" s="4">
        <v>7.02</v>
      </c>
      <c r="S208" s="4">
        <v>0</v>
      </c>
      <c r="T208" s="4">
        <v>0</v>
      </c>
      <c r="U208" s="4">
        <v>150.62</v>
      </c>
      <c r="V208" s="4">
        <v>140.31</v>
      </c>
      <c r="W208" t="s">
        <v>21</v>
      </c>
      <c r="X208" t="s">
        <v>36</v>
      </c>
      <c r="Y208" s="4">
        <v>20</v>
      </c>
      <c r="Z208" s="4">
        <v>1</v>
      </c>
      <c r="AA208" t="s">
        <v>52</v>
      </c>
      <c r="AB208" t="s">
        <v>38</v>
      </c>
      <c r="AC208" s="7">
        <v>0</v>
      </c>
      <c r="AD208" t="s">
        <v>39</v>
      </c>
      <c r="AE208">
        <f t="shared" si="3"/>
        <v>0</v>
      </c>
    </row>
    <row r="209" spans="1:31" x14ac:dyDescent="0.35">
      <c r="A209">
        <v>100208</v>
      </c>
      <c r="B209" s="3">
        <v>46012</v>
      </c>
      <c r="C209">
        <v>1074</v>
      </c>
      <c r="D209" t="s">
        <v>47</v>
      </c>
      <c r="E209" t="s">
        <v>48</v>
      </c>
      <c r="F209" t="s">
        <v>49</v>
      </c>
      <c r="G209" t="s">
        <v>63</v>
      </c>
      <c r="H209" t="s">
        <v>34</v>
      </c>
      <c r="I209" t="s">
        <v>54</v>
      </c>
      <c r="J209" s="4">
        <v>4.2</v>
      </c>
      <c r="K209" s="4">
        <v>14.24</v>
      </c>
      <c r="L209">
        <v>5</v>
      </c>
      <c r="M209" s="4">
        <v>2.99</v>
      </c>
      <c r="N209" s="4">
        <v>56.82</v>
      </c>
      <c r="O209" s="4">
        <v>28.19</v>
      </c>
      <c r="P209" s="4">
        <v>9.44</v>
      </c>
      <c r="Q209" s="4">
        <v>0.72</v>
      </c>
      <c r="R209" s="4">
        <v>7.44</v>
      </c>
      <c r="S209" s="4">
        <v>0</v>
      </c>
      <c r="T209" s="4">
        <v>0</v>
      </c>
      <c r="U209" s="4">
        <v>45.79</v>
      </c>
      <c r="V209" s="4">
        <v>11.03</v>
      </c>
      <c r="W209" t="s">
        <v>21</v>
      </c>
      <c r="X209" t="s">
        <v>36</v>
      </c>
      <c r="Y209" s="4">
        <v>2</v>
      </c>
      <c r="Z209" s="4">
        <v>2</v>
      </c>
      <c r="AA209" t="s">
        <v>37</v>
      </c>
      <c r="AB209" t="s">
        <v>38</v>
      </c>
      <c r="AC209" s="7">
        <v>0</v>
      </c>
      <c r="AD209" t="s">
        <v>39</v>
      </c>
      <c r="AE209">
        <f t="shared" si="3"/>
        <v>0</v>
      </c>
    </row>
    <row r="210" spans="1:31" x14ac:dyDescent="0.35">
      <c r="A210">
        <v>100209</v>
      </c>
      <c r="B210" s="3">
        <v>45959</v>
      </c>
      <c r="C210">
        <v>1061</v>
      </c>
      <c r="D210" t="s">
        <v>59</v>
      </c>
      <c r="E210" t="s">
        <v>60</v>
      </c>
      <c r="F210" t="s">
        <v>41</v>
      </c>
      <c r="G210" t="s">
        <v>33</v>
      </c>
      <c r="H210" t="s">
        <v>34</v>
      </c>
      <c r="I210" t="s">
        <v>54</v>
      </c>
      <c r="J210" s="4">
        <v>33.61</v>
      </c>
      <c r="K210" s="4">
        <v>19.48</v>
      </c>
      <c r="L210">
        <v>15</v>
      </c>
      <c r="M210" s="4">
        <v>98.21</v>
      </c>
      <c r="N210" s="4">
        <v>556.51</v>
      </c>
      <c r="O210" s="4">
        <v>232.52</v>
      </c>
      <c r="P210" s="4">
        <v>12.77</v>
      </c>
      <c r="Q210" s="4">
        <v>7.86</v>
      </c>
      <c r="R210" s="4">
        <v>4.1399999999999997</v>
      </c>
      <c r="S210" s="4">
        <v>255.93</v>
      </c>
      <c r="T210" s="4">
        <v>0</v>
      </c>
      <c r="U210" s="4">
        <v>513.22</v>
      </c>
      <c r="V210" s="4">
        <v>43.29</v>
      </c>
      <c r="W210" t="s">
        <v>21</v>
      </c>
      <c r="X210" t="s">
        <v>55</v>
      </c>
      <c r="Y210" s="4">
        <v>6</v>
      </c>
      <c r="Z210" s="4">
        <v>22</v>
      </c>
      <c r="AA210" t="s">
        <v>37</v>
      </c>
      <c r="AB210" t="s">
        <v>44</v>
      </c>
      <c r="AC210" s="7">
        <v>2</v>
      </c>
      <c r="AD210" t="s">
        <v>45</v>
      </c>
      <c r="AE210">
        <f t="shared" si="3"/>
        <v>1</v>
      </c>
    </row>
    <row r="211" spans="1:31" x14ac:dyDescent="0.35">
      <c r="A211">
        <v>100210</v>
      </c>
      <c r="B211" s="3">
        <v>45945</v>
      </c>
      <c r="C211">
        <v>1056</v>
      </c>
      <c r="D211" t="s">
        <v>59</v>
      </c>
      <c r="E211" t="s">
        <v>70</v>
      </c>
      <c r="F211" t="s">
        <v>71</v>
      </c>
      <c r="G211" t="s">
        <v>63</v>
      </c>
      <c r="H211" t="s">
        <v>34</v>
      </c>
      <c r="I211" t="s">
        <v>69</v>
      </c>
      <c r="J211" s="4">
        <v>10.5</v>
      </c>
      <c r="K211" s="4">
        <v>13.75</v>
      </c>
      <c r="L211">
        <v>5</v>
      </c>
      <c r="M211" s="4">
        <v>7.22</v>
      </c>
      <c r="N211" s="4">
        <v>137.16</v>
      </c>
      <c r="O211" s="4">
        <v>83.25</v>
      </c>
      <c r="P211" s="4">
        <v>6.71</v>
      </c>
      <c r="Q211" s="4">
        <v>0.57999999999999996</v>
      </c>
      <c r="R211" s="4">
        <v>2.39</v>
      </c>
      <c r="S211" s="4">
        <v>0</v>
      </c>
      <c r="T211" s="4">
        <v>0</v>
      </c>
      <c r="U211" s="4">
        <v>92.93</v>
      </c>
      <c r="V211" s="4">
        <v>44.23</v>
      </c>
      <c r="W211" t="s">
        <v>21</v>
      </c>
      <c r="X211" t="s">
        <v>36</v>
      </c>
      <c r="Y211" s="4">
        <v>2</v>
      </c>
      <c r="Z211" s="4">
        <v>0</v>
      </c>
      <c r="AA211" t="s">
        <v>37</v>
      </c>
      <c r="AB211" t="s">
        <v>38</v>
      </c>
      <c r="AC211" s="7">
        <v>0</v>
      </c>
      <c r="AD211" t="s">
        <v>39</v>
      </c>
      <c r="AE211">
        <f t="shared" si="3"/>
        <v>0</v>
      </c>
    </row>
    <row r="212" spans="1:31" x14ac:dyDescent="0.35">
      <c r="A212">
        <v>100211</v>
      </c>
      <c r="B212" s="3">
        <v>46007</v>
      </c>
      <c r="C212">
        <v>1141</v>
      </c>
      <c r="D212" t="s">
        <v>47</v>
      </c>
      <c r="E212" t="s">
        <v>48</v>
      </c>
      <c r="F212" t="s">
        <v>61</v>
      </c>
      <c r="G212" t="s">
        <v>46</v>
      </c>
      <c r="H212" t="s">
        <v>57</v>
      </c>
      <c r="I212" t="s">
        <v>35</v>
      </c>
      <c r="J212" s="4">
        <v>23.19</v>
      </c>
      <c r="K212" s="4">
        <v>16.760000000000002</v>
      </c>
      <c r="L212">
        <v>5</v>
      </c>
      <c r="M212" s="4">
        <v>19.43</v>
      </c>
      <c r="N212" s="4">
        <v>369.23</v>
      </c>
      <c r="O212" s="4">
        <v>181.05</v>
      </c>
      <c r="P212" s="4">
        <v>5.99</v>
      </c>
      <c r="Q212" s="4">
        <v>2.72</v>
      </c>
      <c r="R212" s="4">
        <v>7.82</v>
      </c>
      <c r="S212" s="4">
        <v>0</v>
      </c>
      <c r="T212" s="4">
        <v>0</v>
      </c>
      <c r="U212" s="4">
        <v>197.58</v>
      </c>
      <c r="V212" s="4">
        <v>171.65</v>
      </c>
      <c r="W212" t="s">
        <v>21</v>
      </c>
      <c r="X212" t="s">
        <v>36</v>
      </c>
      <c r="Y212" s="4">
        <v>18</v>
      </c>
      <c r="Z212" s="4">
        <v>4</v>
      </c>
      <c r="AA212" t="s">
        <v>52</v>
      </c>
      <c r="AB212" t="s">
        <v>38</v>
      </c>
      <c r="AC212" s="7">
        <v>0</v>
      </c>
      <c r="AD212" t="s">
        <v>39</v>
      </c>
      <c r="AE212">
        <f t="shared" si="3"/>
        <v>0</v>
      </c>
    </row>
    <row r="213" spans="1:31" x14ac:dyDescent="0.35">
      <c r="A213">
        <v>100212</v>
      </c>
      <c r="B213" s="3">
        <v>45970</v>
      </c>
      <c r="C213">
        <v>1144</v>
      </c>
      <c r="D213" t="s">
        <v>30</v>
      </c>
      <c r="E213" t="s">
        <v>31</v>
      </c>
      <c r="F213" t="s">
        <v>71</v>
      </c>
      <c r="G213" t="s">
        <v>33</v>
      </c>
      <c r="H213" t="s">
        <v>34</v>
      </c>
      <c r="I213" t="s">
        <v>54</v>
      </c>
      <c r="J213" s="4">
        <v>9.9499999999999993</v>
      </c>
      <c r="K213" s="4">
        <v>18.98</v>
      </c>
      <c r="L213">
        <v>15</v>
      </c>
      <c r="M213" s="4">
        <v>28.33</v>
      </c>
      <c r="N213" s="4">
        <v>160.52000000000001</v>
      </c>
      <c r="O213" s="4">
        <v>73.56</v>
      </c>
      <c r="P213" s="4">
        <v>7.93</v>
      </c>
      <c r="Q213" s="4">
        <v>2.27</v>
      </c>
      <c r="R213" s="4">
        <v>7.61</v>
      </c>
      <c r="S213" s="4">
        <v>0</v>
      </c>
      <c r="T213" s="4">
        <v>0</v>
      </c>
      <c r="U213" s="4">
        <v>91.37</v>
      </c>
      <c r="V213" s="4">
        <v>69.150000000000006</v>
      </c>
      <c r="W213" t="s">
        <v>21</v>
      </c>
      <c r="X213" t="s">
        <v>36</v>
      </c>
      <c r="Y213" s="4">
        <v>7</v>
      </c>
      <c r="Z213" s="4">
        <v>2</v>
      </c>
      <c r="AA213" t="s">
        <v>37</v>
      </c>
      <c r="AB213" t="s">
        <v>38</v>
      </c>
      <c r="AC213" s="7">
        <v>0</v>
      </c>
      <c r="AD213" t="s">
        <v>39</v>
      </c>
      <c r="AE213">
        <f t="shared" si="3"/>
        <v>0</v>
      </c>
    </row>
    <row r="214" spans="1:31" x14ac:dyDescent="0.35">
      <c r="A214">
        <v>100213</v>
      </c>
      <c r="B214" s="3">
        <v>45990</v>
      </c>
      <c r="C214">
        <v>1137</v>
      </c>
      <c r="D214" t="s">
        <v>59</v>
      </c>
      <c r="E214" t="s">
        <v>70</v>
      </c>
      <c r="F214" t="s">
        <v>61</v>
      </c>
      <c r="G214" t="s">
        <v>33</v>
      </c>
      <c r="H214" t="s">
        <v>34</v>
      </c>
      <c r="I214" t="s">
        <v>35</v>
      </c>
      <c r="J214" s="4">
        <v>28.26</v>
      </c>
      <c r="K214" s="4">
        <v>17.73</v>
      </c>
      <c r="L214">
        <v>10</v>
      </c>
      <c r="M214" s="4">
        <v>50.1</v>
      </c>
      <c r="N214" s="4">
        <v>450.95</v>
      </c>
      <c r="O214" s="4">
        <v>232.48</v>
      </c>
      <c r="P214" s="4">
        <v>6.65</v>
      </c>
      <c r="Q214" s="4">
        <v>3.51</v>
      </c>
      <c r="R214" s="4">
        <v>5.38</v>
      </c>
      <c r="S214" s="4">
        <v>0</v>
      </c>
      <c r="T214" s="4">
        <v>0</v>
      </c>
      <c r="U214" s="4">
        <v>248.02</v>
      </c>
      <c r="V214" s="4">
        <v>202.93</v>
      </c>
      <c r="W214" t="s">
        <v>21</v>
      </c>
      <c r="X214" t="s">
        <v>36</v>
      </c>
      <c r="Y214" s="4">
        <v>3</v>
      </c>
      <c r="Z214" s="4">
        <v>1</v>
      </c>
      <c r="AA214" t="s">
        <v>37</v>
      </c>
      <c r="AB214" t="s">
        <v>38</v>
      </c>
      <c r="AC214" s="7">
        <v>1</v>
      </c>
      <c r="AD214" t="s">
        <v>39</v>
      </c>
      <c r="AE214">
        <f t="shared" si="3"/>
        <v>0</v>
      </c>
    </row>
    <row r="215" spans="1:31" x14ac:dyDescent="0.35">
      <c r="A215">
        <v>100214</v>
      </c>
      <c r="B215" s="3">
        <v>45950</v>
      </c>
      <c r="C215">
        <v>1146</v>
      </c>
      <c r="D215" t="s">
        <v>30</v>
      </c>
      <c r="E215" t="s">
        <v>72</v>
      </c>
      <c r="F215" t="s">
        <v>32</v>
      </c>
      <c r="G215" t="s">
        <v>50</v>
      </c>
      <c r="H215" t="s">
        <v>34</v>
      </c>
      <c r="I215" t="s">
        <v>54</v>
      </c>
      <c r="J215" s="4">
        <v>10.74</v>
      </c>
      <c r="K215" s="4">
        <v>18.16</v>
      </c>
      <c r="L215">
        <v>15</v>
      </c>
      <c r="M215" s="4">
        <v>29.26</v>
      </c>
      <c r="N215" s="4">
        <v>165.78</v>
      </c>
      <c r="O215" s="4">
        <v>69.73</v>
      </c>
      <c r="P215" s="4">
        <v>5.66</v>
      </c>
      <c r="Q215" s="4">
        <v>2.34</v>
      </c>
      <c r="R215" s="4">
        <v>2.63</v>
      </c>
      <c r="S215" s="4">
        <v>0</v>
      </c>
      <c r="T215" s="4">
        <v>0</v>
      </c>
      <c r="U215" s="4">
        <v>80.36</v>
      </c>
      <c r="V215" s="4">
        <v>85.42</v>
      </c>
      <c r="W215" t="s">
        <v>21</v>
      </c>
      <c r="X215" t="s">
        <v>36</v>
      </c>
      <c r="Y215" s="4">
        <v>31</v>
      </c>
      <c r="Z215" s="4">
        <v>19</v>
      </c>
      <c r="AA215" t="s">
        <v>43</v>
      </c>
      <c r="AB215" t="s">
        <v>44</v>
      </c>
      <c r="AC215" s="7">
        <v>1</v>
      </c>
      <c r="AD215" t="s">
        <v>45</v>
      </c>
      <c r="AE215">
        <f t="shared" si="3"/>
        <v>1</v>
      </c>
    </row>
    <row r="216" spans="1:31" x14ac:dyDescent="0.35">
      <c r="A216">
        <v>100215</v>
      </c>
      <c r="B216" s="3">
        <v>45953</v>
      </c>
      <c r="C216">
        <v>1037</v>
      </c>
      <c r="D216" t="s">
        <v>47</v>
      </c>
      <c r="E216" t="s">
        <v>74</v>
      </c>
      <c r="F216" t="s">
        <v>32</v>
      </c>
      <c r="G216" t="s">
        <v>46</v>
      </c>
      <c r="H216" t="s">
        <v>34</v>
      </c>
      <c r="I216" t="s">
        <v>42</v>
      </c>
      <c r="J216" s="4">
        <v>25.91</v>
      </c>
      <c r="K216" s="4">
        <v>15.84</v>
      </c>
      <c r="L216">
        <v>5</v>
      </c>
      <c r="M216" s="4">
        <v>20.52</v>
      </c>
      <c r="N216" s="4">
        <v>389.89</v>
      </c>
      <c r="O216" s="4">
        <v>207.24</v>
      </c>
      <c r="P216" s="4">
        <v>11.34</v>
      </c>
      <c r="Q216" s="4">
        <v>6.16</v>
      </c>
      <c r="R216" s="4">
        <v>8.84</v>
      </c>
      <c r="S216" s="4">
        <v>0</v>
      </c>
      <c r="T216" s="4">
        <v>0</v>
      </c>
      <c r="U216" s="4">
        <v>233.58</v>
      </c>
      <c r="V216" s="4">
        <v>156.31</v>
      </c>
      <c r="W216" t="s">
        <v>21</v>
      </c>
      <c r="X216" t="s">
        <v>36</v>
      </c>
      <c r="Y216" s="4">
        <v>9</v>
      </c>
      <c r="Z216" s="4">
        <v>12</v>
      </c>
      <c r="AA216" t="s">
        <v>37</v>
      </c>
      <c r="AB216" t="s">
        <v>38</v>
      </c>
      <c r="AC216" s="7">
        <v>0</v>
      </c>
      <c r="AD216" t="s">
        <v>39</v>
      </c>
      <c r="AE216">
        <f t="shared" si="3"/>
        <v>0</v>
      </c>
    </row>
    <row r="217" spans="1:31" x14ac:dyDescent="0.35">
      <c r="A217">
        <v>100216</v>
      </c>
      <c r="B217" s="3">
        <v>45967</v>
      </c>
      <c r="C217">
        <v>1045</v>
      </c>
      <c r="D217" t="s">
        <v>30</v>
      </c>
      <c r="E217" t="s">
        <v>62</v>
      </c>
      <c r="F217" t="s">
        <v>71</v>
      </c>
      <c r="G217" t="s">
        <v>63</v>
      </c>
      <c r="H217" t="s">
        <v>34</v>
      </c>
      <c r="I217" t="s">
        <v>42</v>
      </c>
      <c r="J217" s="4">
        <v>24.43</v>
      </c>
      <c r="K217" s="4">
        <v>13.04</v>
      </c>
      <c r="L217">
        <v>0</v>
      </c>
      <c r="M217" s="4">
        <v>0</v>
      </c>
      <c r="N217" s="4">
        <v>318.57</v>
      </c>
      <c r="O217" s="4">
        <v>182.94</v>
      </c>
      <c r="P217" s="4">
        <v>9.17</v>
      </c>
      <c r="Q217" s="4">
        <v>4.78</v>
      </c>
      <c r="R217" s="4">
        <v>5.97</v>
      </c>
      <c r="S217" s="4">
        <v>0</v>
      </c>
      <c r="T217" s="4">
        <v>0</v>
      </c>
      <c r="U217" s="4">
        <v>202.86</v>
      </c>
      <c r="V217" s="4">
        <v>115.71</v>
      </c>
      <c r="W217" t="s">
        <v>21</v>
      </c>
      <c r="X217" t="s">
        <v>36</v>
      </c>
      <c r="Y217" s="4">
        <v>13</v>
      </c>
      <c r="Z217" s="4">
        <v>12</v>
      </c>
      <c r="AA217" t="s">
        <v>37</v>
      </c>
      <c r="AB217" t="s">
        <v>38</v>
      </c>
      <c r="AC217" s="7">
        <v>0</v>
      </c>
      <c r="AD217" t="s">
        <v>39</v>
      </c>
      <c r="AE217">
        <f t="shared" si="3"/>
        <v>0</v>
      </c>
    </row>
    <row r="218" spans="1:31" x14ac:dyDescent="0.35">
      <c r="A218">
        <v>100217</v>
      </c>
      <c r="B218" s="3">
        <v>45972</v>
      </c>
      <c r="C218">
        <v>1115</v>
      </c>
      <c r="D218" t="s">
        <v>30</v>
      </c>
      <c r="E218" t="s">
        <v>40</v>
      </c>
      <c r="F218" t="s">
        <v>71</v>
      </c>
      <c r="G218" t="s">
        <v>63</v>
      </c>
      <c r="H218" t="s">
        <v>34</v>
      </c>
      <c r="I218" t="s">
        <v>42</v>
      </c>
      <c r="J218" s="4">
        <v>22.99</v>
      </c>
      <c r="K218" s="4">
        <v>12.2</v>
      </c>
      <c r="L218">
        <v>0</v>
      </c>
      <c r="M218" s="4">
        <v>0</v>
      </c>
      <c r="N218" s="4">
        <v>280.48</v>
      </c>
      <c r="O218" s="4">
        <v>139.15</v>
      </c>
      <c r="P218" s="4">
        <v>7.95</v>
      </c>
      <c r="Q218" s="4">
        <v>4.21</v>
      </c>
      <c r="R218" s="4">
        <v>6.93</v>
      </c>
      <c r="S218" s="4">
        <v>0</v>
      </c>
      <c r="T218" s="4">
        <v>0</v>
      </c>
      <c r="U218" s="4">
        <v>158.24</v>
      </c>
      <c r="V218" s="4">
        <v>122.24</v>
      </c>
      <c r="W218" t="s">
        <v>21</v>
      </c>
      <c r="X218" t="s">
        <v>36</v>
      </c>
      <c r="Y218" s="4">
        <v>17</v>
      </c>
      <c r="Z218" s="4">
        <v>0</v>
      </c>
      <c r="AA218" t="s">
        <v>52</v>
      </c>
      <c r="AB218" t="s">
        <v>38</v>
      </c>
      <c r="AC218" s="7">
        <v>2</v>
      </c>
      <c r="AD218" t="s">
        <v>39</v>
      </c>
      <c r="AE218">
        <f t="shared" si="3"/>
        <v>0</v>
      </c>
    </row>
    <row r="219" spans="1:31" x14ac:dyDescent="0.35">
      <c r="A219">
        <v>100218</v>
      </c>
      <c r="B219" s="3">
        <v>46016</v>
      </c>
      <c r="C219">
        <v>1077</v>
      </c>
      <c r="D219" t="s">
        <v>30</v>
      </c>
      <c r="E219" t="s">
        <v>62</v>
      </c>
      <c r="F219" t="s">
        <v>32</v>
      </c>
      <c r="G219" t="s">
        <v>63</v>
      </c>
      <c r="H219" t="s">
        <v>34</v>
      </c>
      <c r="I219" t="s">
        <v>69</v>
      </c>
      <c r="J219" s="4">
        <v>28.69</v>
      </c>
      <c r="K219" s="4">
        <v>12.48</v>
      </c>
      <c r="L219">
        <v>0</v>
      </c>
      <c r="M219" s="4">
        <v>0</v>
      </c>
      <c r="N219" s="4">
        <v>358.05</v>
      </c>
      <c r="O219" s="4">
        <v>220.44</v>
      </c>
      <c r="P219" s="4">
        <v>6.59</v>
      </c>
      <c r="Q219" s="4">
        <v>1.43</v>
      </c>
      <c r="R219" s="4">
        <v>6.16</v>
      </c>
      <c r="S219" s="4">
        <v>0</v>
      </c>
      <c r="T219" s="4">
        <v>0</v>
      </c>
      <c r="U219" s="4">
        <v>234.62</v>
      </c>
      <c r="V219" s="4">
        <v>123.43</v>
      </c>
      <c r="W219" t="s">
        <v>21</v>
      </c>
      <c r="X219" t="s">
        <v>36</v>
      </c>
      <c r="Y219" s="4">
        <v>4</v>
      </c>
      <c r="Z219" s="4">
        <v>1</v>
      </c>
      <c r="AA219" t="s">
        <v>37</v>
      </c>
      <c r="AB219" t="s">
        <v>38</v>
      </c>
      <c r="AC219" s="7">
        <v>0</v>
      </c>
      <c r="AD219" t="s">
        <v>39</v>
      </c>
      <c r="AE219">
        <f t="shared" si="3"/>
        <v>0</v>
      </c>
    </row>
    <row r="220" spans="1:31" x14ac:dyDescent="0.35">
      <c r="A220">
        <v>100219</v>
      </c>
      <c r="B220" s="3">
        <v>45979</v>
      </c>
      <c r="C220">
        <v>1143</v>
      </c>
      <c r="D220" t="s">
        <v>59</v>
      </c>
      <c r="E220" t="s">
        <v>60</v>
      </c>
      <c r="F220" t="s">
        <v>71</v>
      </c>
      <c r="G220" t="s">
        <v>63</v>
      </c>
      <c r="H220" t="s">
        <v>34</v>
      </c>
      <c r="I220" t="s">
        <v>69</v>
      </c>
      <c r="J220" s="4">
        <v>3.65</v>
      </c>
      <c r="K220" s="4">
        <v>13.16</v>
      </c>
      <c r="L220">
        <v>0</v>
      </c>
      <c r="M220" s="4">
        <v>0</v>
      </c>
      <c r="N220" s="4">
        <v>48.03</v>
      </c>
      <c r="O220" s="4">
        <v>24.72</v>
      </c>
      <c r="P220" s="4">
        <v>15.06</v>
      </c>
      <c r="Q220" s="4">
        <v>0.19</v>
      </c>
      <c r="R220" s="4">
        <v>12.9</v>
      </c>
      <c r="S220" s="4">
        <v>0</v>
      </c>
      <c r="T220" s="4">
        <v>0</v>
      </c>
      <c r="U220" s="4">
        <v>52.87</v>
      </c>
      <c r="V220" s="4">
        <v>-4.84</v>
      </c>
      <c r="W220" t="s">
        <v>58</v>
      </c>
      <c r="X220" t="s">
        <v>36</v>
      </c>
      <c r="Y220" s="4">
        <v>2</v>
      </c>
      <c r="Z220" s="4">
        <v>10</v>
      </c>
      <c r="AA220" t="s">
        <v>37</v>
      </c>
      <c r="AB220" t="s">
        <v>38</v>
      </c>
      <c r="AC220" s="7">
        <v>0</v>
      </c>
      <c r="AD220" t="s">
        <v>45</v>
      </c>
      <c r="AE220">
        <f t="shared" si="3"/>
        <v>0</v>
      </c>
    </row>
    <row r="221" spans="1:31" x14ac:dyDescent="0.35">
      <c r="A221">
        <v>100220</v>
      </c>
      <c r="B221" s="3">
        <v>45975</v>
      </c>
      <c r="C221">
        <v>1015</v>
      </c>
      <c r="D221" t="s">
        <v>64</v>
      </c>
      <c r="E221" t="s">
        <v>65</v>
      </c>
      <c r="F221" t="s">
        <v>61</v>
      </c>
      <c r="G221" t="s">
        <v>33</v>
      </c>
      <c r="H221" t="s">
        <v>34</v>
      </c>
      <c r="I221" t="s">
        <v>42</v>
      </c>
      <c r="J221" s="4">
        <v>27.83</v>
      </c>
      <c r="K221" s="4">
        <v>18.78</v>
      </c>
      <c r="L221">
        <v>0</v>
      </c>
      <c r="M221" s="4">
        <v>0</v>
      </c>
      <c r="N221" s="4">
        <v>522.65</v>
      </c>
      <c r="O221" s="4">
        <v>226.3</v>
      </c>
      <c r="P221" s="4">
        <v>12.32</v>
      </c>
      <c r="Q221" s="4">
        <v>7.84</v>
      </c>
      <c r="R221" s="4">
        <v>6.68</v>
      </c>
      <c r="S221" s="4">
        <v>0</v>
      </c>
      <c r="T221" s="4">
        <v>0</v>
      </c>
      <c r="U221" s="4">
        <v>253.14</v>
      </c>
      <c r="V221" s="4">
        <v>269.51</v>
      </c>
      <c r="W221" t="s">
        <v>21</v>
      </c>
      <c r="X221" t="s">
        <v>36</v>
      </c>
      <c r="Y221" s="4">
        <v>12</v>
      </c>
      <c r="Z221" s="4">
        <v>21</v>
      </c>
      <c r="AA221" t="s">
        <v>37</v>
      </c>
      <c r="AB221" t="s">
        <v>44</v>
      </c>
      <c r="AC221" s="7">
        <v>1</v>
      </c>
      <c r="AD221" t="s">
        <v>45</v>
      </c>
      <c r="AE221">
        <f t="shared" si="3"/>
        <v>1</v>
      </c>
    </row>
    <row r="222" spans="1:31" x14ac:dyDescent="0.35">
      <c r="A222">
        <v>100221</v>
      </c>
      <c r="B222" s="3">
        <v>46019</v>
      </c>
      <c r="C222">
        <v>1033</v>
      </c>
      <c r="D222" t="s">
        <v>47</v>
      </c>
      <c r="E222" t="s">
        <v>74</v>
      </c>
      <c r="F222" t="s">
        <v>71</v>
      </c>
      <c r="G222" t="s">
        <v>33</v>
      </c>
      <c r="H222" t="s">
        <v>34</v>
      </c>
      <c r="I222" t="s">
        <v>69</v>
      </c>
      <c r="J222" s="4">
        <v>25.1</v>
      </c>
      <c r="K222" s="4">
        <v>19.46</v>
      </c>
      <c r="L222">
        <v>0</v>
      </c>
      <c r="M222" s="4">
        <v>0</v>
      </c>
      <c r="N222" s="4">
        <v>488.45</v>
      </c>
      <c r="O222" s="4">
        <v>180.9</v>
      </c>
      <c r="P222" s="4">
        <v>10.47</v>
      </c>
      <c r="Q222" s="4">
        <v>1.95</v>
      </c>
      <c r="R222" s="4">
        <v>3.62</v>
      </c>
      <c r="S222" s="4">
        <v>420</v>
      </c>
      <c r="T222" s="4">
        <v>0</v>
      </c>
      <c r="U222" s="4">
        <v>616.94000000000005</v>
      </c>
      <c r="V222" s="4">
        <v>-128.49</v>
      </c>
      <c r="W222" t="s">
        <v>58</v>
      </c>
      <c r="X222" t="s">
        <v>55</v>
      </c>
      <c r="Y222" s="4">
        <v>0</v>
      </c>
      <c r="Z222" s="4">
        <v>25</v>
      </c>
      <c r="AA222" t="s">
        <v>37</v>
      </c>
      <c r="AB222" t="s">
        <v>44</v>
      </c>
      <c r="AC222" s="7">
        <v>2</v>
      </c>
      <c r="AD222" t="s">
        <v>45</v>
      </c>
      <c r="AE222">
        <f t="shared" si="3"/>
        <v>1</v>
      </c>
    </row>
    <row r="223" spans="1:31" x14ac:dyDescent="0.35">
      <c r="A223">
        <v>100222</v>
      </c>
      <c r="B223" s="3">
        <v>45937</v>
      </c>
      <c r="C223">
        <v>1116</v>
      </c>
      <c r="D223" t="s">
        <v>30</v>
      </c>
      <c r="E223" t="s">
        <v>62</v>
      </c>
      <c r="F223" t="s">
        <v>71</v>
      </c>
      <c r="G223" t="s">
        <v>46</v>
      </c>
      <c r="H223" t="s">
        <v>34</v>
      </c>
      <c r="I223" t="s">
        <v>54</v>
      </c>
      <c r="J223" s="4">
        <v>33.01</v>
      </c>
      <c r="K223" s="4">
        <v>15.43</v>
      </c>
      <c r="L223">
        <v>15</v>
      </c>
      <c r="M223" s="4">
        <v>76.400000000000006</v>
      </c>
      <c r="N223" s="4">
        <v>432.94</v>
      </c>
      <c r="O223" s="4">
        <v>224</v>
      </c>
      <c r="P223" s="4">
        <v>5.56</v>
      </c>
      <c r="Q223" s="4">
        <v>6.11</v>
      </c>
      <c r="R223" s="4">
        <v>10.42</v>
      </c>
      <c r="S223" s="4">
        <v>0</v>
      </c>
      <c r="T223" s="4">
        <v>0</v>
      </c>
      <c r="U223" s="4">
        <v>246.09</v>
      </c>
      <c r="V223" s="4">
        <v>186.85</v>
      </c>
      <c r="W223" t="s">
        <v>21</v>
      </c>
      <c r="X223" t="s">
        <v>36</v>
      </c>
      <c r="Y223" s="4">
        <v>27</v>
      </c>
      <c r="Z223" s="4">
        <v>0</v>
      </c>
      <c r="AA223" t="s">
        <v>52</v>
      </c>
      <c r="AB223" t="s">
        <v>44</v>
      </c>
      <c r="AC223" s="7">
        <v>2</v>
      </c>
      <c r="AD223" t="s">
        <v>45</v>
      </c>
      <c r="AE223">
        <f t="shared" si="3"/>
        <v>1</v>
      </c>
    </row>
    <row r="224" spans="1:31" x14ac:dyDescent="0.35">
      <c r="A224">
        <v>100223</v>
      </c>
      <c r="B224" s="3">
        <v>45977</v>
      </c>
      <c r="C224">
        <v>1099</v>
      </c>
      <c r="D224" t="s">
        <v>64</v>
      </c>
      <c r="E224" t="s">
        <v>65</v>
      </c>
      <c r="F224" t="s">
        <v>49</v>
      </c>
      <c r="G224" t="s">
        <v>46</v>
      </c>
      <c r="H224" t="s">
        <v>34</v>
      </c>
      <c r="I224" t="s">
        <v>54</v>
      </c>
      <c r="J224" s="4">
        <v>42.24</v>
      </c>
      <c r="K224" s="4">
        <v>16.309999999999999</v>
      </c>
      <c r="L224">
        <v>5</v>
      </c>
      <c r="M224" s="4">
        <v>34.450000000000003</v>
      </c>
      <c r="N224" s="4">
        <v>654.48</v>
      </c>
      <c r="O224" s="4">
        <v>359.56</v>
      </c>
      <c r="P224" s="4">
        <v>10.14</v>
      </c>
      <c r="Q224" s="4">
        <v>8.27</v>
      </c>
      <c r="R224" s="4">
        <v>0</v>
      </c>
      <c r="S224" s="4">
        <v>440.98</v>
      </c>
      <c r="T224" s="4">
        <v>0</v>
      </c>
      <c r="U224" s="4">
        <v>818.95</v>
      </c>
      <c r="V224" s="4">
        <v>-164.47</v>
      </c>
      <c r="W224" t="s">
        <v>58</v>
      </c>
      <c r="X224" t="s">
        <v>55</v>
      </c>
      <c r="Y224" s="4">
        <v>17</v>
      </c>
      <c r="Z224" s="4">
        <v>5</v>
      </c>
      <c r="AA224" t="s">
        <v>52</v>
      </c>
      <c r="AB224" t="s">
        <v>44</v>
      </c>
      <c r="AC224" s="7">
        <v>1</v>
      </c>
      <c r="AD224" t="s">
        <v>45</v>
      </c>
      <c r="AE224">
        <f t="shared" si="3"/>
        <v>1</v>
      </c>
    </row>
    <row r="225" spans="1:31" x14ac:dyDescent="0.35">
      <c r="A225">
        <v>100224</v>
      </c>
      <c r="B225" s="3">
        <v>45935</v>
      </c>
      <c r="C225">
        <v>1020</v>
      </c>
      <c r="D225" t="s">
        <v>47</v>
      </c>
      <c r="E225" t="s">
        <v>74</v>
      </c>
      <c r="F225" t="s">
        <v>41</v>
      </c>
      <c r="G225" t="s">
        <v>50</v>
      </c>
      <c r="H225" t="s">
        <v>34</v>
      </c>
      <c r="I225" t="s">
        <v>35</v>
      </c>
      <c r="J225" s="4">
        <v>24.62</v>
      </c>
      <c r="K225" s="4">
        <v>18.16</v>
      </c>
      <c r="L225">
        <v>0</v>
      </c>
      <c r="M225" s="4">
        <v>0</v>
      </c>
      <c r="N225" s="4">
        <v>447.1</v>
      </c>
      <c r="O225" s="4">
        <v>156.99</v>
      </c>
      <c r="P225" s="4">
        <v>5.91</v>
      </c>
      <c r="Q225" s="4">
        <v>3.13</v>
      </c>
      <c r="R225" s="4">
        <v>9.74</v>
      </c>
      <c r="S225" s="4">
        <v>0</v>
      </c>
      <c r="T225" s="4">
        <v>0</v>
      </c>
      <c r="U225" s="4">
        <v>175.77</v>
      </c>
      <c r="V225" s="4">
        <v>271.33</v>
      </c>
      <c r="W225" t="s">
        <v>21</v>
      </c>
      <c r="X225" t="s">
        <v>36</v>
      </c>
      <c r="Y225" s="4">
        <v>1</v>
      </c>
      <c r="Z225" s="4">
        <v>2</v>
      </c>
      <c r="AA225" t="s">
        <v>37</v>
      </c>
      <c r="AB225" t="s">
        <v>38</v>
      </c>
      <c r="AC225" s="7">
        <v>0</v>
      </c>
      <c r="AD225" t="s">
        <v>39</v>
      </c>
      <c r="AE225">
        <f t="shared" si="3"/>
        <v>0</v>
      </c>
    </row>
    <row r="226" spans="1:31" x14ac:dyDescent="0.35">
      <c r="A226">
        <v>100225</v>
      </c>
      <c r="B226" s="3">
        <v>45939</v>
      </c>
      <c r="C226">
        <v>1106</v>
      </c>
      <c r="D226" t="s">
        <v>30</v>
      </c>
      <c r="E226" t="s">
        <v>72</v>
      </c>
      <c r="F226" t="s">
        <v>61</v>
      </c>
      <c r="G226" t="s">
        <v>50</v>
      </c>
      <c r="H226" t="s">
        <v>34</v>
      </c>
      <c r="I226" t="s">
        <v>35</v>
      </c>
      <c r="J226" s="4">
        <v>22.24</v>
      </c>
      <c r="K226" s="4">
        <v>17.04</v>
      </c>
      <c r="L226">
        <v>0</v>
      </c>
      <c r="M226" s="4">
        <v>0</v>
      </c>
      <c r="N226" s="4">
        <v>378.97</v>
      </c>
      <c r="O226" s="4">
        <v>176.57</v>
      </c>
      <c r="P226" s="4">
        <v>4.5599999999999996</v>
      </c>
      <c r="Q226" s="4">
        <v>2.65</v>
      </c>
      <c r="R226" s="4">
        <v>0</v>
      </c>
      <c r="S226" s="4">
        <v>0</v>
      </c>
      <c r="T226" s="4">
        <v>0</v>
      </c>
      <c r="U226" s="4">
        <v>183.78</v>
      </c>
      <c r="V226" s="4">
        <v>195.19</v>
      </c>
      <c r="W226" t="s">
        <v>21</v>
      </c>
      <c r="X226" t="s">
        <v>36</v>
      </c>
      <c r="Y226" s="4">
        <v>19</v>
      </c>
      <c r="Z226" s="4">
        <v>6</v>
      </c>
      <c r="AA226" t="s">
        <v>52</v>
      </c>
      <c r="AB226" t="s">
        <v>38</v>
      </c>
      <c r="AC226" s="7">
        <v>0</v>
      </c>
      <c r="AD226" t="s">
        <v>39</v>
      </c>
      <c r="AE226">
        <f t="shared" si="3"/>
        <v>0</v>
      </c>
    </row>
    <row r="227" spans="1:31" x14ac:dyDescent="0.35">
      <c r="A227">
        <v>100226</v>
      </c>
      <c r="B227" s="3">
        <v>45961</v>
      </c>
      <c r="C227">
        <v>1131</v>
      </c>
      <c r="D227" t="s">
        <v>47</v>
      </c>
      <c r="E227" t="s">
        <v>48</v>
      </c>
      <c r="F227" t="s">
        <v>32</v>
      </c>
      <c r="G227" t="s">
        <v>33</v>
      </c>
      <c r="H227" t="s">
        <v>57</v>
      </c>
      <c r="I227" t="s">
        <v>69</v>
      </c>
      <c r="J227" s="4">
        <v>14.37</v>
      </c>
      <c r="K227" s="4">
        <v>19.71</v>
      </c>
      <c r="L227">
        <v>10</v>
      </c>
      <c r="M227" s="4">
        <v>28.32</v>
      </c>
      <c r="N227" s="4">
        <v>254.91</v>
      </c>
      <c r="O227" s="4">
        <v>103.43</v>
      </c>
      <c r="P227" s="4">
        <v>6.75</v>
      </c>
      <c r="Q227" s="4">
        <v>1.1299999999999999</v>
      </c>
      <c r="R227" s="4">
        <v>2.91</v>
      </c>
      <c r="S227" s="4">
        <v>218.57</v>
      </c>
      <c r="T227" s="4">
        <v>6.42</v>
      </c>
      <c r="U227" s="4">
        <v>339.21</v>
      </c>
      <c r="V227" s="4">
        <v>-84.3</v>
      </c>
      <c r="W227" t="s">
        <v>58</v>
      </c>
      <c r="X227" t="s">
        <v>66</v>
      </c>
      <c r="Y227" s="4">
        <v>16</v>
      </c>
      <c r="Z227" s="4">
        <v>1</v>
      </c>
      <c r="AA227" t="s">
        <v>52</v>
      </c>
      <c r="AB227" t="s">
        <v>38</v>
      </c>
      <c r="AC227" s="7">
        <v>3</v>
      </c>
      <c r="AD227" t="s">
        <v>45</v>
      </c>
      <c r="AE227">
        <f t="shared" si="3"/>
        <v>0</v>
      </c>
    </row>
    <row r="228" spans="1:31" x14ac:dyDescent="0.35">
      <c r="A228">
        <v>100227</v>
      </c>
      <c r="B228" s="3">
        <v>45985</v>
      </c>
      <c r="C228">
        <v>1021</v>
      </c>
      <c r="D228" t="s">
        <v>47</v>
      </c>
      <c r="E228" t="s">
        <v>53</v>
      </c>
      <c r="F228" t="s">
        <v>32</v>
      </c>
      <c r="G228" t="s">
        <v>50</v>
      </c>
      <c r="H228" t="s">
        <v>34</v>
      </c>
      <c r="I228" t="s">
        <v>35</v>
      </c>
      <c r="J228" s="4">
        <v>20.57</v>
      </c>
      <c r="K228" s="4">
        <v>18.510000000000002</v>
      </c>
      <c r="L228">
        <v>15</v>
      </c>
      <c r="M228" s="4">
        <v>57.11</v>
      </c>
      <c r="N228" s="4">
        <v>323.64</v>
      </c>
      <c r="O228" s="4">
        <v>147.34</v>
      </c>
      <c r="P228" s="4">
        <v>7.67</v>
      </c>
      <c r="Q228" s="4">
        <v>2.67</v>
      </c>
      <c r="R228" s="4">
        <v>9.08</v>
      </c>
      <c r="S228" s="4">
        <v>0</v>
      </c>
      <c r="T228" s="4">
        <v>0</v>
      </c>
      <c r="U228" s="4">
        <v>166.76</v>
      </c>
      <c r="V228" s="4">
        <v>156.88</v>
      </c>
      <c r="W228" t="s">
        <v>21</v>
      </c>
      <c r="X228" t="s">
        <v>36</v>
      </c>
      <c r="Y228" s="4">
        <v>19</v>
      </c>
      <c r="Z228" s="4">
        <v>17</v>
      </c>
      <c r="AA228" t="s">
        <v>52</v>
      </c>
      <c r="AB228" t="s">
        <v>44</v>
      </c>
      <c r="AC228" s="7">
        <v>1</v>
      </c>
      <c r="AD228" t="s">
        <v>45</v>
      </c>
      <c r="AE228">
        <f t="shared" si="3"/>
        <v>1</v>
      </c>
    </row>
    <row r="229" spans="1:31" x14ac:dyDescent="0.35">
      <c r="A229">
        <v>100228</v>
      </c>
      <c r="B229" s="3">
        <v>45976</v>
      </c>
      <c r="C229">
        <v>1073</v>
      </c>
      <c r="D229" t="s">
        <v>30</v>
      </c>
      <c r="E229" t="s">
        <v>40</v>
      </c>
      <c r="F229" t="s">
        <v>49</v>
      </c>
      <c r="G229" t="s">
        <v>33</v>
      </c>
      <c r="H229" t="s">
        <v>34</v>
      </c>
      <c r="I229" t="s">
        <v>35</v>
      </c>
      <c r="J229" s="4">
        <v>35.25</v>
      </c>
      <c r="K229" s="4">
        <v>19.91</v>
      </c>
      <c r="L229">
        <v>10</v>
      </c>
      <c r="M229" s="4">
        <v>70.180000000000007</v>
      </c>
      <c r="N229" s="4">
        <v>631.65</v>
      </c>
      <c r="O229" s="4">
        <v>231.34</v>
      </c>
      <c r="P229" s="4">
        <v>5.65</v>
      </c>
      <c r="Q229" s="4">
        <v>4.91</v>
      </c>
      <c r="R229" s="4">
        <v>5.5</v>
      </c>
      <c r="S229" s="4">
        <v>486.61</v>
      </c>
      <c r="T229" s="4">
        <v>0</v>
      </c>
      <c r="U229" s="4">
        <v>734.01</v>
      </c>
      <c r="V229" s="4">
        <v>-102.36</v>
      </c>
      <c r="W229" t="s">
        <v>58</v>
      </c>
      <c r="X229" t="s">
        <v>66</v>
      </c>
      <c r="Y229" s="4">
        <v>4</v>
      </c>
      <c r="Z229" s="4">
        <v>11</v>
      </c>
      <c r="AA229" t="s">
        <v>37</v>
      </c>
      <c r="AB229" t="s">
        <v>38</v>
      </c>
      <c r="AC229" s="7">
        <v>2</v>
      </c>
      <c r="AD229" t="s">
        <v>45</v>
      </c>
      <c r="AE229">
        <f t="shared" si="3"/>
        <v>0</v>
      </c>
    </row>
    <row r="230" spans="1:31" x14ac:dyDescent="0.35">
      <c r="A230">
        <v>100229</v>
      </c>
      <c r="B230" s="3">
        <v>46012</v>
      </c>
      <c r="C230">
        <v>1127</v>
      </c>
      <c r="D230" t="s">
        <v>59</v>
      </c>
      <c r="E230" t="s">
        <v>68</v>
      </c>
      <c r="F230" t="s">
        <v>61</v>
      </c>
      <c r="G230" t="s">
        <v>63</v>
      </c>
      <c r="H230" t="s">
        <v>57</v>
      </c>
      <c r="I230" t="s">
        <v>35</v>
      </c>
      <c r="J230" s="4">
        <v>14.82</v>
      </c>
      <c r="K230" s="4">
        <v>11.44</v>
      </c>
      <c r="L230">
        <v>10</v>
      </c>
      <c r="M230" s="4">
        <v>16.95</v>
      </c>
      <c r="N230" s="4">
        <v>152.59</v>
      </c>
      <c r="O230" s="4">
        <v>106.4</v>
      </c>
      <c r="P230" s="4">
        <v>5.0599999999999996</v>
      </c>
      <c r="Q230" s="4">
        <v>1.19</v>
      </c>
      <c r="R230" s="4">
        <v>4.6900000000000004</v>
      </c>
      <c r="S230" s="4">
        <v>0</v>
      </c>
      <c r="T230" s="4">
        <v>0</v>
      </c>
      <c r="U230" s="4">
        <v>117.34</v>
      </c>
      <c r="V230" s="4">
        <v>35.25</v>
      </c>
      <c r="W230" t="s">
        <v>21</v>
      </c>
      <c r="X230" t="s">
        <v>36</v>
      </c>
      <c r="Y230" s="4">
        <v>6</v>
      </c>
      <c r="Z230" s="4">
        <v>14</v>
      </c>
      <c r="AA230" t="s">
        <v>37</v>
      </c>
      <c r="AB230" t="s">
        <v>38</v>
      </c>
      <c r="AC230" s="7">
        <v>0</v>
      </c>
      <c r="AD230" t="s">
        <v>39</v>
      </c>
      <c r="AE230">
        <f t="shared" si="3"/>
        <v>0</v>
      </c>
    </row>
    <row r="231" spans="1:31" x14ac:dyDescent="0.35">
      <c r="A231">
        <v>100230</v>
      </c>
      <c r="B231" s="3">
        <v>45989</v>
      </c>
      <c r="C231">
        <v>1107</v>
      </c>
      <c r="D231" t="s">
        <v>59</v>
      </c>
      <c r="E231" t="s">
        <v>70</v>
      </c>
      <c r="F231" t="s">
        <v>41</v>
      </c>
      <c r="G231" t="s">
        <v>33</v>
      </c>
      <c r="H231" t="s">
        <v>51</v>
      </c>
      <c r="I231" t="s">
        <v>54</v>
      </c>
      <c r="J231" s="4">
        <v>31.67</v>
      </c>
      <c r="K231" s="4">
        <v>20.5</v>
      </c>
      <c r="L231">
        <v>0</v>
      </c>
      <c r="M231" s="4">
        <v>0</v>
      </c>
      <c r="N231" s="4">
        <v>649.24</v>
      </c>
      <c r="O231" s="4">
        <v>208.83</v>
      </c>
      <c r="P231" s="4">
        <v>15.44</v>
      </c>
      <c r="Q231" s="4">
        <v>7.79</v>
      </c>
      <c r="R231" s="4">
        <v>12.67</v>
      </c>
      <c r="S231" s="4">
        <v>0</v>
      </c>
      <c r="T231" s="4">
        <v>0</v>
      </c>
      <c r="U231" s="4">
        <v>244.73</v>
      </c>
      <c r="V231" s="4">
        <v>404.51</v>
      </c>
      <c r="W231" t="s">
        <v>21</v>
      </c>
      <c r="X231" t="s">
        <v>36</v>
      </c>
      <c r="Y231" s="4">
        <v>12</v>
      </c>
      <c r="Z231" s="4">
        <v>3</v>
      </c>
      <c r="AA231" t="s">
        <v>37</v>
      </c>
      <c r="AB231" t="s">
        <v>38</v>
      </c>
      <c r="AC231" s="7">
        <v>0</v>
      </c>
      <c r="AD231" t="s">
        <v>39</v>
      </c>
      <c r="AE231">
        <f t="shared" si="3"/>
        <v>0</v>
      </c>
    </row>
    <row r="232" spans="1:31" x14ac:dyDescent="0.35">
      <c r="A232">
        <v>100231</v>
      </c>
      <c r="B232" s="3">
        <v>45952</v>
      </c>
      <c r="C232">
        <v>1011</v>
      </c>
      <c r="D232" t="s">
        <v>30</v>
      </c>
      <c r="E232" t="s">
        <v>40</v>
      </c>
      <c r="F232" t="s">
        <v>71</v>
      </c>
      <c r="G232" t="s">
        <v>33</v>
      </c>
      <c r="H232" t="s">
        <v>57</v>
      </c>
      <c r="I232" t="s">
        <v>35</v>
      </c>
      <c r="J232" s="4">
        <v>29.88</v>
      </c>
      <c r="K232" s="4">
        <v>18.600000000000001</v>
      </c>
      <c r="L232">
        <v>0</v>
      </c>
      <c r="M232" s="4">
        <v>0</v>
      </c>
      <c r="N232" s="4">
        <v>555.77</v>
      </c>
      <c r="O232" s="4">
        <v>221.35</v>
      </c>
      <c r="P232" s="4">
        <v>10.62</v>
      </c>
      <c r="Q232" s="4">
        <v>3.89</v>
      </c>
      <c r="R232" s="4">
        <v>7.73</v>
      </c>
      <c r="S232" s="4">
        <v>531.4</v>
      </c>
      <c r="T232" s="4">
        <v>22.08</v>
      </c>
      <c r="U232" s="4">
        <v>797.07</v>
      </c>
      <c r="V232" s="4">
        <v>-241.3</v>
      </c>
      <c r="W232" t="s">
        <v>58</v>
      </c>
      <c r="X232" t="s">
        <v>66</v>
      </c>
      <c r="Y232" s="4">
        <v>6</v>
      </c>
      <c r="Z232" s="4">
        <v>5</v>
      </c>
      <c r="AA232" t="s">
        <v>37</v>
      </c>
      <c r="AB232" t="s">
        <v>38</v>
      </c>
      <c r="AC232" s="7">
        <v>2</v>
      </c>
      <c r="AD232" t="s">
        <v>45</v>
      </c>
      <c r="AE232">
        <f t="shared" si="3"/>
        <v>0</v>
      </c>
    </row>
    <row r="233" spans="1:31" x14ac:dyDescent="0.35">
      <c r="A233">
        <v>100232</v>
      </c>
      <c r="B233" s="3">
        <v>45961</v>
      </c>
      <c r="C233">
        <v>1072</v>
      </c>
      <c r="D233" t="s">
        <v>30</v>
      </c>
      <c r="E233" t="s">
        <v>72</v>
      </c>
      <c r="F233" t="s">
        <v>61</v>
      </c>
      <c r="G233" t="s">
        <v>50</v>
      </c>
      <c r="H233" t="s">
        <v>57</v>
      </c>
      <c r="I233" t="s">
        <v>42</v>
      </c>
      <c r="J233" s="4">
        <v>40.82</v>
      </c>
      <c r="K233" s="4">
        <v>17.850000000000001</v>
      </c>
      <c r="L233">
        <v>5</v>
      </c>
      <c r="M233" s="4">
        <v>36.43</v>
      </c>
      <c r="N233" s="4">
        <v>692.21</v>
      </c>
      <c r="O233" s="4">
        <v>332.85</v>
      </c>
      <c r="P233" s="4">
        <v>10.75</v>
      </c>
      <c r="Q233" s="4">
        <v>10.93</v>
      </c>
      <c r="R233" s="4">
        <v>8.27</v>
      </c>
      <c r="S233" s="4">
        <v>0</v>
      </c>
      <c r="T233" s="4">
        <v>0</v>
      </c>
      <c r="U233" s="4">
        <v>362.8</v>
      </c>
      <c r="V233" s="4">
        <v>329.41</v>
      </c>
      <c r="W233" t="s">
        <v>21</v>
      </c>
      <c r="X233" t="s">
        <v>36</v>
      </c>
      <c r="Y233" s="4">
        <v>10</v>
      </c>
      <c r="Z233" s="4">
        <v>3</v>
      </c>
      <c r="AA233" t="s">
        <v>37</v>
      </c>
      <c r="AB233" t="s">
        <v>38</v>
      </c>
      <c r="AC233" s="7">
        <v>0</v>
      </c>
      <c r="AD233" t="s">
        <v>39</v>
      </c>
      <c r="AE233">
        <f t="shared" si="3"/>
        <v>0</v>
      </c>
    </row>
    <row r="234" spans="1:31" x14ac:dyDescent="0.35">
      <c r="A234">
        <v>100233</v>
      </c>
      <c r="B234" s="3">
        <v>45953</v>
      </c>
      <c r="C234">
        <v>1144</v>
      </c>
      <c r="D234" t="s">
        <v>47</v>
      </c>
      <c r="E234" t="s">
        <v>48</v>
      </c>
      <c r="F234" t="s">
        <v>49</v>
      </c>
      <c r="G234" t="s">
        <v>33</v>
      </c>
      <c r="H234" t="s">
        <v>34</v>
      </c>
      <c r="I234" t="s">
        <v>69</v>
      </c>
      <c r="J234" s="4">
        <v>33.590000000000003</v>
      </c>
      <c r="K234" s="4">
        <v>20.83</v>
      </c>
      <c r="L234">
        <v>0</v>
      </c>
      <c r="M234" s="4">
        <v>0</v>
      </c>
      <c r="N234" s="4">
        <v>699.68</v>
      </c>
      <c r="O234" s="4">
        <v>198.51</v>
      </c>
      <c r="P234" s="4">
        <v>1.0900000000000001</v>
      </c>
      <c r="Q234" s="4">
        <v>2.8</v>
      </c>
      <c r="R234" s="4">
        <v>3.59</v>
      </c>
      <c r="S234" s="4">
        <v>0</v>
      </c>
      <c r="T234" s="4">
        <v>0</v>
      </c>
      <c r="U234" s="4">
        <v>205.99</v>
      </c>
      <c r="V234" s="4">
        <v>493.69</v>
      </c>
      <c r="W234" t="s">
        <v>21</v>
      </c>
      <c r="X234" t="s">
        <v>36</v>
      </c>
      <c r="Y234" s="4">
        <v>10</v>
      </c>
      <c r="Z234" s="4">
        <v>6</v>
      </c>
      <c r="AA234" t="s">
        <v>37</v>
      </c>
      <c r="AB234" t="s">
        <v>38</v>
      </c>
      <c r="AC234" s="7">
        <v>0</v>
      </c>
      <c r="AD234" t="s">
        <v>39</v>
      </c>
      <c r="AE234">
        <f t="shared" si="3"/>
        <v>0</v>
      </c>
    </row>
    <row r="235" spans="1:31" x14ac:dyDescent="0.35">
      <c r="A235">
        <v>100234</v>
      </c>
      <c r="B235" s="3">
        <v>45981</v>
      </c>
      <c r="C235">
        <v>1029</v>
      </c>
      <c r="D235" t="s">
        <v>59</v>
      </c>
      <c r="E235" t="s">
        <v>70</v>
      </c>
      <c r="F235" t="s">
        <v>71</v>
      </c>
      <c r="G235" t="s">
        <v>63</v>
      </c>
      <c r="H235" t="s">
        <v>34</v>
      </c>
      <c r="I235" t="s">
        <v>35</v>
      </c>
      <c r="J235" s="4">
        <v>14</v>
      </c>
      <c r="K235" s="4">
        <v>12.41</v>
      </c>
      <c r="L235">
        <v>0</v>
      </c>
      <c r="M235" s="4">
        <v>0</v>
      </c>
      <c r="N235" s="4">
        <v>173.74</v>
      </c>
      <c r="O235" s="4">
        <v>109.75</v>
      </c>
      <c r="P235" s="4">
        <v>2.4300000000000002</v>
      </c>
      <c r="Q235" s="4">
        <v>1.22</v>
      </c>
      <c r="R235" s="4">
        <v>11.24</v>
      </c>
      <c r="S235" s="4">
        <v>0</v>
      </c>
      <c r="T235" s="4">
        <v>0</v>
      </c>
      <c r="U235" s="4">
        <v>124.64</v>
      </c>
      <c r="V235" s="4">
        <v>49.1</v>
      </c>
      <c r="W235" t="s">
        <v>21</v>
      </c>
      <c r="X235" t="s">
        <v>36</v>
      </c>
      <c r="Y235" s="4">
        <v>2</v>
      </c>
      <c r="Z235" s="4">
        <v>1</v>
      </c>
      <c r="AA235" t="s">
        <v>37</v>
      </c>
      <c r="AB235" t="s">
        <v>38</v>
      </c>
      <c r="AC235" s="7">
        <v>1</v>
      </c>
      <c r="AD235" t="s">
        <v>39</v>
      </c>
      <c r="AE235">
        <f t="shared" si="3"/>
        <v>0</v>
      </c>
    </row>
    <row r="236" spans="1:31" x14ac:dyDescent="0.35">
      <c r="A236">
        <v>100235</v>
      </c>
      <c r="B236" s="3">
        <v>46019</v>
      </c>
      <c r="C236">
        <v>1122</v>
      </c>
      <c r="D236" t="s">
        <v>30</v>
      </c>
      <c r="E236" t="s">
        <v>31</v>
      </c>
      <c r="F236" t="s">
        <v>41</v>
      </c>
      <c r="G236" t="s">
        <v>63</v>
      </c>
      <c r="H236" t="s">
        <v>34</v>
      </c>
      <c r="I236" t="s">
        <v>42</v>
      </c>
      <c r="J236" s="4">
        <v>15.45</v>
      </c>
      <c r="K236" s="4">
        <v>12.24</v>
      </c>
      <c r="L236">
        <v>0</v>
      </c>
      <c r="M236" s="4">
        <v>0</v>
      </c>
      <c r="N236" s="4">
        <v>189.11</v>
      </c>
      <c r="O236" s="4">
        <v>109.31</v>
      </c>
      <c r="P236" s="4">
        <v>8.32</v>
      </c>
      <c r="Q236" s="4">
        <v>2.84</v>
      </c>
      <c r="R236" s="4">
        <v>3.78</v>
      </c>
      <c r="S236" s="4">
        <v>0</v>
      </c>
      <c r="T236" s="4">
        <v>0</v>
      </c>
      <c r="U236" s="4">
        <v>124.25</v>
      </c>
      <c r="V236" s="4">
        <v>64.86</v>
      </c>
      <c r="W236" t="s">
        <v>21</v>
      </c>
      <c r="X236" t="s">
        <v>36</v>
      </c>
      <c r="Y236" s="4">
        <v>8</v>
      </c>
      <c r="Z236" s="4">
        <v>9</v>
      </c>
      <c r="AA236" t="s">
        <v>37</v>
      </c>
      <c r="AB236" t="s">
        <v>38</v>
      </c>
      <c r="AC236" s="7">
        <v>0</v>
      </c>
      <c r="AD236" t="s">
        <v>39</v>
      </c>
      <c r="AE236">
        <f t="shared" si="3"/>
        <v>0</v>
      </c>
    </row>
    <row r="237" spans="1:31" x14ac:dyDescent="0.35">
      <c r="A237">
        <v>100236</v>
      </c>
      <c r="B237" s="3">
        <v>45949</v>
      </c>
      <c r="C237">
        <v>1135</v>
      </c>
      <c r="D237" t="s">
        <v>59</v>
      </c>
      <c r="E237" t="s">
        <v>70</v>
      </c>
      <c r="F237" t="s">
        <v>41</v>
      </c>
      <c r="G237" t="s">
        <v>50</v>
      </c>
      <c r="H237" t="s">
        <v>34</v>
      </c>
      <c r="I237" t="s">
        <v>35</v>
      </c>
      <c r="J237" s="4">
        <v>26.8</v>
      </c>
      <c r="K237" s="4">
        <v>20.71</v>
      </c>
      <c r="L237">
        <v>5</v>
      </c>
      <c r="M237" s="4">
        <v>27.75</v>
      </c>
      <c r="N237" s="4">
        <v>527.28</v>
      </c>
      <c r="O237" s="4">
        <v>218.51</v>
      </c>
      <c r="P237" s="4">
        <v>5.63</v>
      </c>
      <c r="Q237" s="4">
        <v>3.89</v>
      </c>
      <c r="R237" s="4">
        <v>9.58</v>
      </c>
      <c r="S237" s="4">
        <v>0</v>
      </c>
      <c r="T237" s="4">
        <v>0</v>
      </c>
      <c r="U237" s="4">
        <v>237.61</v>
      </c>
      <c r="V237" s="4">
        <v>289.67</v>
      </c>
      <c r="W237" t="s">
        <v>21</v>
      </c>
      <c r="X237" t="s">
        <v>36</v>
      </c>
      <c r="Y237" s="4">
        <v>27</v>
      </c>
      <c r="Z237" s="4">
        <v>13</v>
      </c>
      <c r="AA237" t="s">
        <v>52</v>
      </c>
      <c r="AB237" t="s">
        <v>44</v>
      </c>
      <c r="AC237" s="7">
        <v>1</v>
      </c>
      <c r="AD237" t="s">
        <v>45</v>
      </c>
      <c r="AE237">
        <f t="shared" si="3"/>
        <v>1</v>
      </c>
    </row>
    <row r="238" spans="1:31" x14ac:dyDescent="0.35">
      <c r="A238">
        <v>100237</v>
      </c>
      <c r="B238" s="3">
        <v>46016</v>
      </c>
      <c r="C238">
        <v>1059</v>
      </c>
      <c r="D238" t="s">
        <v>30</v>
      </c>
      <c r="E238" t="s">
        <v>62</v>
      </c>
      <c r="F238" t="s">
        <v>71</v>
      </c>
      <c r="G238" t="s">
        <v>63</v>
      </c>
      <c r="H238" t="s">
        <v>34</v>
      </c>
      <c r="I238" t="s">
        <v>35</v>
      </c>
      <c r="J238" s="4">
        <v>25.19</v>
      </c>
      <c r="K238" s="4">
        <v>14.38</v>
      </c>
      <c r="L238">
        <v>0</v>
      </c>
      <c r="M238" s="4">
        <v>0</v>
      </c>
      <c r="N238" s="4">
        <v>362.23</v>
      </c>
      <c r="O238" s="4">
        <v>203.24</v>
      </c>
      <c r="P238" s="4">
        <v>10</v>
      </c>
      <c r="Q238" s="4">
        <v>2.54</v>
      </c>
      <c r="R238" s="4">
        <v>2.14</v>
      </c>
      <c r="S238" s="4">
        <v>0</v>
      </c>
      <c r="T238" s="4">
        <v>0</v>
      </c>
      <c r="U238" s="4">
        <v>217.92</v>
      </c>
      <c r="V238" s="4">
        <v>144.31</v>
      </c>
      <c r="W238" t="s">
        <v>21</v>
      </c>
      <c r="X238" t="s">
        <v>36</v>
      </c>
      <c r="Y238" s="4">
        <v>3</v>
      </c>
      <c r="Z238" s="4">
        <v>15</v>
      </c>
      <c r="AA238" t="s">
        <v>37</v>
      </c>
      <c r="AB238" t="s">
        <v>38</v>
      </c>
      <c r="AC238" s="7">
        <v>0</v>
      </c>
      <c r="AD238" t="s">
        <v>39</v>
      </c>
      <c r="AE238">
        <f t="shared" si="3"/>
        <v>0</v>
      </c>
    </row>
    <row r="239" spans="1:31" x14ac:dyDescent="0.35">
      <c r="A239">
        <v>100238</v>
      </c>
      <c r="B239" s="3">
        <v>46012</v>
      </c>
      <c r="C239">
        <v>1029</v>
      </c>
      <c r="D239" t="s">
        <v>47</v>
      </c>
      <c r="E239" t="s">
        <v>48</v>
      </c>
      <c r="F239" t="s">
        <v>71</v>
      </c>
      <c r="G239" t="s">
        <v>33</v>
      </c>
      <c r="H239" t="s">
        <v>34</v>
      </c>
      <c r="I239" t="s">
        <v>35</v>
      </c>
      <c r="J239" s="4">
        <v>30.91</v>
      </c>
      <c r="K239" s="4">
        <v>19.03</v>
      </c>
      <c r="L239">
        <v>0</v>
      </c>
      <c r="M239" s="4">
        <v>0</v>
      </c>
      <c r="N239" s="4">
        <v>588.22</v>
      </c>
      <c r="O239" s="4">
        <v>231.12</v>
      </c>
      <c r="P239" s="4">
        <v>6.16</v>
      </c>
      <c r="Q239" s="4">
        <v>4.12</v>
      </c>
      <c r="R239" s="4">
        <v>6.34</v>
      </c>
      <c r="S239" s="4">
        <v>0</v>
      </c>
      <c r="T239" s="4">
        <v>0</v>
      </c>
      <c r="U239" s="4">
        <v>247.74</v>
      </c>
      <c r="V239" s="4">
        <v>340.48</v>
      </c>
      <c r="W239" t="s">
        <v>21</v>
      </c>
      <c r="X239" t="s">
        <v>36</v>
      </c>
      <c r="Y239" s="4">
        <v>1</v>
      </c>
      <c r="Z239" s="4">
        <v>4</v>
      </c>
      <c r="AA239" t="s">
        <v>37</v>
      </c>
      <c r="AB239" t="s">
        <v>38</v>
      </c>
      <c r="AC239" s="7">
        <v>0</v>
      </c>
      <c r="AD239" t="s">
        <v>39</v>
      </c>
      <c r="AE239">
        <f t="shared" si="3"/>
        <v>0</v>
      </c>
    </row>
    <row r="240" spans="1:31" x14ac:dyDescent="0.35">
      <c r="A240">
        <v>100239</v>
      </c>
      <c r="B240" s="3">
        <v>45960</v>
      </c>
      <c r="C240">
        <v>1019</v>
      </c>
      <c r="D240" t="s">
        <v>59</v>
      </c>
      <c r="E240" t="s">
        <v>73</v>
      </c>
      <c r="F240" t="s">
        <v>49</v>
      </c>
      <c r="G240" t="s">
        <v>46</v>
      </c>
      <c r="H240" t="s">
        <v>57</v>
      </c>
      <c r="I240" t="s">
        <v>35</v>
      </c>
      <c r="J240" s="4">
        <v>21.64</v>
      </c>
      <c r="K240" s="4">
        <v>17.010000000000002</v>
      </c>
      <c r="L240">
        <v>5</v>
      </c>
      <c r="M240" s="4">
        <v>18.399999999999999</v>
      </c>
      <c r="N240" s="4">
        <v>349.7</v>
      </c>
      <c r="O240" s="4">
        <v>178.3</v>
      </c>
      <c r="P240" s="4">
        <v>9.15</v>
      </c>
      <c r="Q240" s="4">
        <v>2.58</v>
      </c>
      <c r="R240" s="4">
        <v>10.49</v>
      </c>
      <c r="S240" s="4">
        <v>366.18</v>
      </c>
      <c r="T240" s="4">
        <v>21.77</v>
      </c>
      <c r="U240" s="4">
        <v>588.47</v>
      </c>
      <c r="V240" s="4">
        <v>-238.77</v>
      </c>
      <c r="W240" t="s">
        <v>58</v>
      </c>
      <c r="X240" t="s">
        <v>66</v>
      </c>
      <c r="Y240" s="4">
        <v>6</v>
      </c>
      <c r="Z240" s="4">
        <v>7</v>
      </c>
      <c r="AA240" t="s">
        <v>37</v>
      </c>
      <c r="AB240" t="s">
        <v>38</v>
      </c>
      <c r="AC240" s="7">
        <v>1</v>
      </c>
      <c r="AD240" t="s">
        <v>45</v>
      </c>
      <c r="AE240">
        <f t="shared" si="3"/>
        <v>0</v>
      </c>
    </row>
    <row r="241" spans="1:31" x14ac:dyDescent="0.35">
      <c r="A241">
        <v>100240</v>
      </c>
      <c r="B241" s="3">
        <v>46009</v>
      </c>
      <c r="C241">
        <v>1125</v>
      </c>
      <c r="D241" t="s">
        <v>64</v>
      </c>
      <c r="E241" t="s">
        <v>67</v>
      </c>
      <c r="F241" t="s">
        <v>49</v>
      </c>
      <c r="G241" t="s">
        <v>50</v>
      </c>
      <c r="H241" t="s">
        <v>34</v>
      </c>
      <c r="I241" t="s">
        <v>35</v>
      </c>
      <c r="J241" s="4">
        <v>24.33</v>
      </c>
      <c r="K241" s="4">
        <v>18.53</v>
      </c>
      <c r="L241">
        <v>0</v>
      </c>
      <c r="M241" s="4">
        <v>0</v>
      </c>
      <c r="N241" s="4">
        <v>450.83</v>
      </c>
      <c r="O241" s="4">
        <v>179.73</v>
      </c>
      <c r="P241" s="4">
        <v>5.29</v>
      </c>
      <c r="Q241" s="4">
        <v>3.16</v>
      </c>
      <c r="R241" s="4">
        <v>9.77</v>
      </c>
      <c r="S241" s="4">
        <v>0</v>
      </c>
      <c r="T241" s="4">
        <v>0</v>
      </c>
      <c r="U241" s="4">
        <v>197.95</v>
      </c>
      <c r="V241" s="4">
        <v>252.88</v>
      </c>
      <c r="W241" t="s">
        <v>21</v>
      </c>
      <c r="X241" t="s">
        <v>36</v>
      </c>
      <c r="Y241" s="4">
        <v>5</v>
      </c>
      <c r="Z241" s="4">
        <v>7</v>
      </c>
      <c r="AA241" t="s">
        <v>37</v>
      </c>
      <c r="AB241" t="s">
        <v>38</v>
      </c>
      <c r="AC241" s="7">
        <v>0</v>
      </c>
      <c r="AD241" t="s">
        <v>39</v>
      </c>
      <c r="AE241">
        <f t="shared" si="3"/>
        <v>0</v>
      </c>
    </row>
    <row r="242" spans="1:31" x14ac:dyDescent="0.35">
      <c r="A242">
        <v>100241</v>
      </c>
      <c r="B242" s="3">
        <v>45975</v>
      </c>
      <c r="C242">
        <v>1018</v>
      </c>
      <c r="D242" t="s">
        <v>30</v>
      </c>
      <c r="E242" t="s">
        <v>62</v>
      </c>
      <c r="F242" t="s">
        <v>41</v>
      </c>
      <c r="G242" t="s">
        <v>50</v>
      </c>
      <c r="H242" t="s">
        <v>34</v>
      </c>
      <c r="I242" t="s">
        <v>35</v>
      </c>
      <c r="J242" s="4">
        <v>16.59</v>
      </c>
      <c r="K242" s="4">
        <v>19.11</v>
      </c>
      <c r="L242">
        <v>15</v>
      </c>
      <c r="M242" s="4">
        <v>47.55</v>
      </c>
      <c r="N242" s="4">
        <v>269.48</v>
      </c>
      <c r="O242" s="4">
        <v>114.52</v>
      </c>
      <c r="P242" s="4">
        <v>2.73</v>
      </c>
      <c r="Q242" s="4">
        <v>2.2200000000000002</v>
      </c>
      <c r="R242" s="4">
        <v>8.77</v>
      </c>
      <c r="S242" s="4">
        <v>0</v>
      </c>
      <c r="T242" s="4">
        <v>0</v>
      </c>
      <c r="U242" s="4">
        <v>128.24</v>
      </c>
      <c r="V242" s="4">
        <v>141.24</v>
      </c>
      <c r="W242" t="s">
        <v>21</v>
      </c>
      <c r="X242" t="s">
        <v>36</v>
      </c>
      <c r="Y242" s="4">
        <v>4</v>
      </c>
      <c r="Z242" s="4">
        <v>12</v>
      </c>
      <c r="AA242" t="s">
        <v>37</v>
      </c>
      <c r="AB242" t="s">
        <v>38</v>
      </c>
      <c r="AC242" s="7">
        <v>0</v>
      </c>
      <c r="AD242" t="s">
        <v>39</v>
      </c>
      <c r="AE242">
        <f t="shared" si="3"/>
        <v>0</v>
      </c>
    </row>
    <row r="243" spans="1:31" x14ac:dyDescent="0.35">
      <c r="A243">
        <v>100242</v>
      </c>
      <c r="B243" s="3">
        <v>46003</v>
      </c>
      <c r="C243">
        <v>1095</v>
      </c>
      <c r="D243" t="s">
        <v>30</v>
      </c>
      <c r="E243" t="s">
        <v>40</v>
      </c>
      <c r="F243" t="s">
        <v>61</v>
      </c>
      <c r="G243" t="s">
        <v>50</v>
      </c>
      <c r="H243" t="s">
        <v>34</v>
      </c>
      <c r="I243" t="s">
        <v>35</v>
      </c>
      <c r="J243" s="4">
        <v>24.25</v>
      </c>
      <c r="K243" s="4">
        <v>17.239999999999998</v>
      </c>
      <c r="L243">
        <v>5</v>
      </c>
      <c r="M243" s="4">
        <v>20.9</v>
      </c>
      <c r="N243" s="4">
        <v>397.17</v>
      </c>
      <c r="O243" s="4">
        <v>208.45</v>
      </c>
      <c r="P243" s="4">
        <v>8.3699999999999992</v>
      </c>
      <c r="Q243" s="4">
        <v>2.93</v>
      </c>
      <c r="R243" s="4">
        <v>5.55</v>
      </c>
      <c r="S243" s="4">
        <v>0</v>
      </c>
      <c r="T243" s="4">
        <v>0</v>
      </c>
      <c r="U243" s="4">
        <v>225.3</v>
      </c>
      <c r="V243" s="4">
        <v>171.87</v>
      </c>
      <c r="W243" t="s">
        <v>21</v>
      </c>
      <c r="X243" t="s">
        <v>36</v>
      </c>
      <c r="Y243" s="4">
        <v>7</v>
      </c>
      <c r="Z243" s="4">
        <v>15</v>
      </c>
      <c r="AA243" t="s">
        <v>37</v>
      </c>
      <c r="AB243" t="s">
        <v>38</v>
      </c>
      <c r="AC243" s="7">
        <v>0</v>
      </c>
      <c r="AD243" t="s">
        <v>39</v>
      </c>
      <c r="AE243">
        <f t="shared" si="3"/>
        <v>0</v>
      </c>
    </row>
    <row r="244" spans="1:31" x14ac:dyDescent="0.35">
      <c r="A244">
        <v>100243</v>
      </c>
      <c r="B244" s="3">
        <v>46001</v>
      </c>
      <c r="C244">
        <v>1091</v>
      </c>
      <c r="D244" t="s">
        <v>47</v>
      </c>
      <c r="E244" t="s">
        <v>74</v>
      </c>
      <c r="F244" t="s">
        <v>41</v>
      </c>
      <c r="G244" t="s">
        <v>63</v>
      </c>
      <c r="H244" t="s">
        <v>34</v>
      </c>
      <c r="I244" t="s">
        <v>35</v>
      </c>
      <c r="J244" s="4">
        <v>3</v>
      </c>
      <c r="K244" s="4">
        <v>12.62</v>
      </c>
      <c r="L244">
        <v>0</v>
      </c>
      <c r="M244" s="4">
        <v>0</v>
      </c>
      <c r="N244" s="4">
        <v>37.86</v>
      </c>
      <c r="O244" s="4">
        <v>18.14</v>
      </c>
      <c r="P244" s="4">
        <v>8.2100000000000009</v>
      </c>
      <c r="Q244" s="4">
        <v>0.27</v>
      </c>
      <c r="R244" s="4">
        <v>11.84</v>
      </c>
      <c r="S244" s="4">
        <v>0</v>
      </c>
      <c r="T244" s="4">
        <v>0</v>
      </c>
      <c r="U244" s="4">
        <v>38.46</v>
      </c>
      <c r="V244" s="4">
        <v>-0.6</v>
      </c>
      <c r="W244" t="s">
        <v>58</v>
      </c>
      <c r="X244" t="s">
        <v>36</v>
      </c>
      <c r="Y244" s="4">
        <v>2</v>
      </c>
      <c r="Z244" s="4">
        <v>2</v>
      </c>
      <c r="AA244" t="s">
        <v>37</v>
      </c>
      <c r="AB244" t="s">
        <v>38</v>
      </c>
      <c r="AC244" s="7">
        <v>0</v>
      </c>
      <c r="AD244" t="s">
        <v>45</v>
      </c>
      <c r="AE244">
        <f t="shared" si="3"/>
        <v>0</v>
      </c>
    </row>
    <row r="245" spans="1:31" x14ac:dyDescent="0.35">
      <c r="A245">
        <v>100244</v>
      </c>
      <c r="B245" s="3">
        <v>45979</v>
      </c>
      <c r="C245">
        <v>1048</v>
      </c>
      <c r="D245" t="s">
        <v>64</v>
      </c>
      <c r="E245" t="s">
        <v>67</v>
      </c>
      <c r="F245" t="s">
        <v>61</v>
      </c>
      <c r="G245" t="s">
        <v>50</v>
      </c>
      <c r="H245" t="s">
        <v>34</v>
      </c>
      <c r="I245" t="s">
        <v>35</v>
      </c>
      <c r="J245" s="4">
        <v>14.07</v>
      </c>
      <c r="K245" s="4">
        <v>16.850000000000001</v>
      </c>
      <c r="L245">
        <v>0</v>
      </c>
      <c r="M245" s="4">
        <v>0</v>
      </c>
      <c r="N245" s="4">
        <v>237.08</v>
      </c>
      <c r="O245" s="4">
        <v>102.29</v>
      </c>
      <c r="P245" s="4">
        <v>8.14</v>
      </c>
      <c r="Q245" s="4">
        <v>1.66</v>
      </c>
      <c r="R245" s="4">
        <v>11.7</v>
      </c>
      <c r="S245" s="4">
        <v>0</v>
      </c>
      <c r="T245" s="4">
        <v>0</v>
      </c>
      <c r="U245" s="4">
        <v>123.79</v>
      </c>
      <c r="V245" s="4">
        <v>113.29</v>
      </c>
      <c r="W245" t="s">
        <v>21</v>
      </c>
      <c r="X245" t="s">
        <v>36</v>
      </c>
      <c r="Y245" s="4">
        <v>10</v>
      </c>
      <c r="Z245" s="4">
        <v>15</v>
      </c>
      <c r="AA245" t="s">
        <v>37</v>
      </c>
      <c r="AB245" t="s">
        <v>38</v>
      </c>
      <c r="AC245" s="7">
        <v>0</v>
      </c>
      <c r="AD245" t="s">
        <v>39</v>
      </c>
      <c r="AE245">
        <f t="shared" si="3"/>
        <v>0</v>
      </c>
    </row>
    <row r="246" spans="1:31" x14ac:dyDescent="0.35">
      <c r="A246">
        <v>100245</v>
      </c>
      <c r="B246" s="3">
        <v>45946</v>
      </c>
      <c r="C246">
        <v>1073</v>
      </c>
      <c r="D246" t="s">
        <v>47</v>
      </c>
      <c r="E246" t="s">
        <v>48</v>
      </c>
      <c r="F246" t="s">
        <v>41</v>
      </c>
      <c r="G246" t="s">
        <v>50</v>
      </c>
      <c r="H246" t="s">
        <v>34</v>
      </c>
      <c r="I246" t="s">
        <v>35</v>
      </c>
      <c r="J246" s="4">
        <v>15.77</v>
      </c>
      <c r="K246" s="4">
        <v>17.38</v>
      </c>
      <c r="L246">
        <v>5</v>
      </c>
      <c r="M246" s="4">
        <v>13.7</v>
      </c>
      <c r="N246" s="4">
        <v>260.38</v>
      </c>
      <c r="O246" s="4">
        <v>83.26</v>
      </c>
      <c r="P246" s="4">
        <v>9.07</v>
      </c>
      <c r="Q246" s="4">
        <v>1.92</v>
      </c>
      <c r="R246" s="4">
        <v>6.55</v>
      </c>
      <c r="S246" s="4">
        <v>0</v>
      </c>
      <c r="T246" s="4">
        <v>0</v>
      </c>
      <c r="U246" s="4">
        <v>100.8</v>
      </c>
      <c r="V246" s="4">
        <v>159.58000000000001</v>
      </c>
      <c r="W246" t="s">
        <v>21</v>
      </c>
      <c r="X246" t="s">
        <v>36</v>
      </c>
      <c r="Y246" s="4">
        <v>13</v>
      </c>
      <c r="Z246" s="4">
        <v>4</v>
      </c>
      <c r="AA246" t="s">
        <v>37</v>
      </c>
      <c r="AB246" t="s">
        <v>38</v>
      </c>
      <c r="AC246" s="7">
        <v>0</v>
      </c>
      <c r="AD246" t="s">
        <v>39</v>
      </c>
      <c r="AE246">
        <f t="shared" si="3"/>
        <v>0</v>
      </c>
    </row>
    <row r="247" spans="1:31" x14ac:dyDescent="0.35">
      <c r="A247">
        <v>100246</v>
      </c>
      <c r="B247" s="3">
        <v>45948</v>
      </c>
      <c r="C247">
        <v>1008</v>
      </c>
      <c r="D247" t="s">
        <v>30</v>
      </c>
      <c r="E247" t="s">
        <v>72</v>
      </c>
      <c r="F247" t="s">
        <v>71</v>
      </c>
      <c r="G247" t="s">
        <v>63</v>
      </c>
      <c r="H247" t="s">
        <v>34</v>
      </c>
      <c r="I247" t="s">
        <v>42</v>
      </c>
      <c r="J247" s="4">
        <v>16.63</v>
      </c>
      <c r="K247" s="4">
        <v>14.4</v>
      </c>
      <c r="L247">
        <v>5</v>
      </c>
      <c r="M247" s="4">
        <v>11.97</v>
      </c>
      <c r="N247" s="4">
        <v>227.5</v>
      </c>
      <c r="O247" s="4">
        <v>122.66</v>
      </c>
      <c r="P247" s="4">
        <v>6.87</v>
      </c>
      <c r="Q247" s="4">
        <v>3.59</v>
      </c>
      <c r="R247" s="4">
        <v>6.07</v>
      </c>
      <c r="S247" s="4">
        <v>0</v>
      </c>
      <c r="T247" s="4">
        <v>0</v>
      </c>
      <c r="U247" s="4">
        <v>139.19</v>
      </c>
      <c r="V247" s="4">
        <v>88.31</v>
      </c>
      <c r="W247" t="s">
        <v>21</v>
      </c>
      <c r="X247" t="s">
        <v>36</v>
      </c>
      <c r="Y247" s="4">
        <v>6</v>
      </c>
      <c r="Z247" s="4">
        <v>13</v>
      </c>
      <c r="AA247" t="s">
        <v>37</v>
      </c>
      <c r="AB247" t="s">
        <v>38</v>
      </c>
      <c r="AC247" s="7">
        <v>0</v>
      </c>
      <c r="AD247" t="s">
        <v>39</v>
      </c>
      <c r="AE247">
        <f t="shared" si="3"/>
        <v>0</v>
      </c>
    </row>
    <row r="248" spans="1:31" x14ac:dyDescent="0.35">
      <c r="A248">
        <v>100247</v>
      </c>
      <c r="B248" s="3">
        <v>45962</v>
      </c>
      <c r="C248">
        <v>1080</v>
      </c>
      <c r="D248" t="s">
        <v>30</v>
      </c>
      <c r="E248" t="s">
        <v>62</v>
      </c>
      <c r="F248" t="s">
        <v>49</v>
      </c>
      <c r="G248" t="s">
        <v>33</v>
      </c>
      <c r="H248" t="s">
        <v>34</v>
      </c>
      <c r="I248" t="s">
        <v>35</v>
      </c>
      <c r="J248" s="4">
        <v>28.5</v>
      </c>
      <c r="K248" s="4">
        <v>18.899999999999999</v>
      </c>
      <c r="L248">
        <v>0</v>
      </c>
      <c r="M248" s="4">
        <v>0</v>
      </c>
      <c r="N248" s="4">
        <v>538.65</v>
      </c>
      <c r="O248" s="4">
        <v>228.53</v>
      </c>
      <c r="P248" s="4">
        <v>4.74</v>
      </c>
      <c r="Q248" s="4">
        <v>3.77</v>
      </c>
      <c r="R248" s="4">
        <v>10.01</v>
      </c>
      <c r="S248" s="4">
        <v>229.58</v>
      </c>
      <c r="T248" s="4">
        <v>0</v>
      </c>
      <c r="U248" s="4">
        <v>476.63</v>
      </c>
      <c r="V248" s="4">
        <v>62.02</v>
      </c>
      <c r="W248" t="s">
        <v>21</v>
      </c>
      <c r="X248" t="s">
        <v>66</v>
      </c>
      <c r="Y248" s="4">
        <v>4</v>
      </c>
      <c r="Z248" s="4">
        <v>4</v>
      </c>
      <c r="AA248" t="s">
        <v>37</v>
      </c>
      <c r="AB248" t="s">
        <v>38</v>
      </c>
      <c r="AC248" s="7">
        <v>1</v>
      </c>
      <c r="AD248" t="s">
        <v>45</v>
      </c>
      <c r="AE248">
        <f t="shared" si="3"/>
        <v>0</v>
      </c>
    </row>
    <row r="249" spans="1:31" x14ac:dyDescent="0.35">
      <c r="A249">
        <v>100248</v>
      </c>
      <c r="B249" s="3">
        <v>46016</v>
      </c>
      <c r="C249">
        <v>1138</v>
      </c>
      <c r="D249" t="s">
        <v>47</v>
      </c>
      <c r="E249" t="s">
        <v>74</v>
      </c>
      <c r="F249" t="s">
        <v>32</v>
      </c>
      <c r="G249" t="s">
        <v>63</v>
      </c>
      <c r="H249" t="s">
        <v>34</v>
      </c>
      <c r="I249" t="s">
        <v>35</v>
      </c>
      <c r="J249" s="4">
        <v>20.55</v>
      </c>
      <c r="K249" s="4">
        <v>12.62</v>
      </c>
      <c r="L249">
        <v>15</v>
      </c>
      <c r="M249" s="4">
        <v>38.9</v>
      </c>
      <c r="N249" s="4">
        <v>220.44</v>
      </c>
      <c r="O249" s="4">
        <v>146.85</v>
      </c>
      <c r="P249" s="4">
        <v>4.54</v>
      </c>
      <c r="Q249" s="4">
        <v>1.82</v>
      </c>
      <c r="R249" s="4">
        <v>3.19</v>
      </c>
      <c r="S249" s="4">
        <v>0</v>
      </c>
      <c r="T249" s="4">
        <v>0</v>
      </c>
      <c r="U249" s="4">
        <v>156.4</v>
      </c>
      <c r="V249" s="4">
        <v>64.040000000000006</v>
      </c>
      <c r="W249" t="s">
        <v>21</v>
      </c>
      <c r="X249" t="s">
        <v>36</v>
      </c>
      <c r="Y249" s="4">
        <v>0</v>
      </c>
      <c r="Z249" s="4">
        <v>6</v>
      </c>
      <c r="AA249" t="s">
        <v>37</v>
      </c>
      <c r="AB249" t="s">
        <v>38</v>
      </c>
      <c r="AC249" s="7">
        <v>0</v>
      </c>
      <c r="AD249" t="s">
        <v>39</v>
      </c>
      <c r="AE249">
        <f t="shared" si="3"/>
        <v>0</v>
      </c>
    </row>
    <row r="250" spans="1:31" x14ac:dyDescent="0.35">
      <c r="A250">
        <v>100249</v>
      </c>
      <c r="B250" s="3">
        <v>46007</v>
      </c>
      <c r="C250">
        <v>1054</v>
      </c>
      <c r="D250" t="s">
        <v>30</v>
      </c>
      <c r="E250" t="s">
        <v>31</v>
      </c>
      <c r="F250" t="s">
        <v>49</v>
      </c>
      <c r="G250" t="s">
        <v>63</v>
      </c>
      <c r="H250" t="s">
        <v>57</v>
      </c>
      <c r="I250" t="s">
        <v>35</v>
      </c>
      <c r="J250" s="4">
        <v>13.28</v>
      </c>
      <c r="K250" s="4">
        <v>14.18</v>
      </c>
      <c r="L250">
        <v>0</v>
      </c>
      <c r="M250" s="4">
        <v>0</v>
      </c>
      <c r="N250" s="4">
        <v>188.31</v>
      </c>
      <c r="O250" s="4">
        <v>88.96</v>
      </c>
      <c r="P250" s="4">
        <v>5.78</v>
      </c>
      <c r="Q250" s="4">
        <v>1.32</v>
      </c>
      <c r="R250" s="4">
        <v>14.56</v>
      </c>
      <c r="S250" s="4">
        <v>0</v>
      </c>
      <c r="T250" s="4">
        <v>0</v>
      </c>
      <c r="U250" s="4">
        <v>110.62</v>
      </c>
      <c r="V250" s="4">
        <v>77.69</v>
      </c>
      <c r="W250" t="s">
        <v>21</v>
      </c>
      <c r="X250" t="s">
        <v>36</v>
      </c>
      <c r="Y250" s="4">
        <v>4</v>
      </c>
      <c r="Z250" s="4">
        <v>17</v>
      </c>
      <c r="AA250" t="s">
        <v>37</v>
      </c>
      <c r="AB250" t="s">
        <v>44</v>
      </c>
      <c r="AC250" s="7">
        <v>1</v>
      </c>
      <c r="AD250" t="s">
        <v>45</v>
      </c>
      <c r="AE250">
        <f t="shared" si="3"/>
        <v>1</v>
      </c>
    </row>
    <row r="251" spans="1:31" x14ac:dyDescent="0.35">
      <c r="A251">
        <v>100250</v>
      </c>
      <c r="B251" s="3">
        <v>45957</v>
      </c>
      <c r="C251">
        <v>1066</v>
      </c>
      <c r="D251" t="s">
        <v>59</v>
      </c>
      <c r="E251" t="s">
        <v>68</v>
      </c>
      <c r="F251" t="s">
        <v>41</v>
      </c>
      <c r="G251" t="s">
        <v>50</v>
      </c>
      <c r="H251" t="s">
        <v>57</v>
      </c>
      <c r="I251" t="s">
        <v>69</v>
      </c>
      <c r="J251" s="4">
        <v>22.05</v>
      </c>
      <c r="K251" s="4">
        <v>17.3</v>
      </c>
      <c r="L251">
        <v>15</v>
      </c>
      <c r="M251" s="4">
        <v>57.22</v>
      </c>
      <c r="N251" s="4">
        <v>324.24</v>
      </c>
      <c r="O251" s="4">
        <v>145.63</v>
      </c>
      <c r="P251" s="4">
        <v>11.05</v>
      </c>
      <c r="Q251" s="4">
        <v>1.53</v>
      </c>
      <c r="R251" s="4">
        <v>7.82</v>
      </c>
      <c r="S251" s="4">
        <v>0</v>
      </c>
      <c r="T251" s="4">
        <v>0</v>
      </c>
      <c r="U251" s="4">
        <v>166.03</v>
      </c>
      <c r="V251" s="4">
        <v>158.21</v>
      </c>
      <c r="W251" t="s">
        <v>21</v>
      </c>
      <c r="X251" t="s">
        <v>36</v>
      </c>
      <c r="Y251" s="4">
        <v>1</v>
      </c>
      <c r="Z251" s="4">
        <v>6</v>
      </c>
      <c r="AA251" t="s">
        <v>37</v>
      </c>
      <c r="AB251" t="s">
        <v>38</v>
      </c>
      <c r="AC251" s="7">
        <v>0</v>
      </c>
      <c r="AD251" t="s">
        <v>39</v>
      </c>
      <c r="AE251">
        <f t="shared" si="3"/>
        <v>0</v>
      </c>
    </row>
    <row r="252" spans="1:31" x14ac:dyDescent="0.35">
      <c r="A252">
        <v>100251</v>
      </c>
      <c r="B252" s="3">
        <v>45975</v>
      </c>
      <c r="C252">
        <v>1022</v>
      </c>
      <c r="D252" t="s">
        <v>30</v>
      </c>
      <c r="E252" t="s">
        <v>40</v>
      </c>
      <c r="F252" t="s">
        <v>32</v>
      </c>
      <c r="G252" t="s">
        <v>63</v>
      </c>
      <c r="H252" t="s">
        <v>57</v>
      </c>
      <c r="I252" t="s">
        <v>35</v>
      </c>
      <c r="J252" s="4">
        <v>3</v>
      </c>
      <c r="K252" s="4">
        <v>11.61</v>
      </c>
      <c r="L252">
        <v>5</v>
      </c>
      <c r="M252" s="4">
        <v>1.74</v>
      </c>
      <c r="N252" s="4">
        <v>33.090000000000003</v>
      </c>
      <c r="O252" s="4">
        <v>20.66</v>
      </c>
      <c r="P252" s="4">
        <v>5.7</v>
      </c>
      <c r="Q252" s="4">
        <v>0.24</v>
      </c>
      <c r="R252" s="4">
        <v>4.38</v>
      </c>
      <c r="S252" s="4">
        <v>0</v>
      </c>
      <c r="T252" s="4">
        <v>0</v>
      </c>
      <c r="U252" s="4">
        <v>30.98</v>
      </c>
      <c r="V252" s="4">
        <v>2.11</v>
      </c>
      <c r="W252" t="s">
        <v>21</v>
      </c>
      <c r="X252" t="s">
        <v>36</v>
      </c>
      <c r="Y252" s="4">
        <v>16</v>
      </c>
      <c r="Z252" s="4">
        <v>23</v>
      </c>
      <c r="AA252" t="s">
        <v>52</v>
      </c>
      <c r="AB252" t="s">
        <v>44</v>
      </c>
      <c r="AC252" s="7">
        <v>1</v>
      </c>
      <c r="AD252" t="s">
        <v>45</v>
      </c>
      <c r="AE252">
        <f t="shared" si="3"/>
        <v>1</v>
      </c>
    </row>
    <row r="253" spans="1:31" x14ac:dyDescent="0.35">
      <c r="A253">
        <v>100252</v>
      </c>
      <c r="B253" s="3">
        <v>45983</v>
      </c>
      <c r="C253">
        <v>1032</v>
      </c>
      <c r="D253" t="s">
        <v>64</v>
      </c>
      <c r="E253" t="s">
        <v>76</v>
      </c>
      <c r="F253" t="s">
        <v>41</v>
      </c>
      <c r="G253" t="s">
        <v>33</v>
      </c>
      <c r="H253" t="s">
        <v>51</v>
      </c>
      <c r="I253" t="s">
        <v>54</v>
      </c>
      <c r="J253" s="4">
        <v>21.21</v>
      </c>
      <c r="K253" s="4">
        <v>21.18</v>
      </c>
      <c r="L253">
        <v>0</v>
      </c>
      <c r="M253" s="4">
        <v>0</v>
      </c>
      <c r="N253" s="4">
        <v>449.23</v>
      </c>
      <c r="O253" s="4">
        <v>175.02</v>
      </c>
      <c r="P253" s="4">
        <v>1</v>
      </c>
      <c r="Q253" s="4">
        <v>5.39</v>
      </c>
      <c r="R253" s="4">
        <v>12.78</v>
      </c>
      <c r="S253" s="4">
        <v>0</v>
      </c>
      <c r="T253" s="4">
        <v>0</v>
      </c>
      <c r="U253" s="4">
        <v>194.19</v>
      </c>
      <c r="V253" s="4">
        <v>255.04</v>
      </c>
      <c r="W253" t="s">
        <v>21</v>
      </c>
      <c r="X253" t="s">
        <v>36</v>
      </c>
      <c r="Y253" s="4">
        <v>14</v>
      </c>
      <c r="Z253" s="4">
        <v>1</v>
      </c>
      <c r="AA253" t="s">
        <v>37</v>
      </c>
      <c r="AB253" t="s">
        <v>38</v>
      </c>
      <c r="AC253" s="7">
        <v>0</v>
      </c>
      <c r="AD253" t="s">
        <v>39</v>
      </c>
      <c r="AE253">
        <f t="shared" si="3"/>
        <v>0</v>
      </c>
    </row>
    <row r="254" spans="1:31" x14ac:dyDescent="0.35">
      <c r="A254">
        <v>100253</v>
      </c>
      <c r="B254" s="3">
        <v>45971</v>
      </c>
      <c r="C254">
        <v>1134</v>
      </c>
      <c r="D254" t="s">
        <v>59</v>
      </c>
      <c r="E254" t="s">
        <v>68</v>
      </c>
      <c r="F254" t="s">
        <v>41</v>
      </c>
      <c r="G254" t="s">
        <v>50</v>
      </c>
      <c r="H254" t="s">
        <v>34</v>
      </c>
      <c r="I254" t="s">
        <v>69</v>
      </c>
      <c r="J254" s="4">
        <v>29.75</v>
      </c>
      <c r="K254" s="4">
        <v>17.059999999999999</v>
      </c>
      <c r="L254">
        <v>0</v>
      </c>
      <c r="M254" s="4">
        <v>0</v>
      </c>
      <c r="N254" s="4">
        <v>507.54</v>
      </c>
      <c r="O254" s="4">
        <v>261.35000000000002</v>
      </c>
      <c r="P254" s="4">
        <v>9.52</v>
      </c>
      <c r="Q254" s="4">
        <v>2.0299999999999998</v>
      </c>
      <c r="R254" s="4">
        <v>6.87</v>
      </c>
      <c r="S254" s="4">
        <v>0</v>
      </c>
      <c r="T254" s="4">
        <v>0</v>
      </c>
      <c r="U254" s="4">
        <v>279.77</v>
      </c>
      <c r="V254" s="4">
        <v>227.77</v>
      </c>
      <c r="W254" t="s">
        <v>21</v>
      </c>
      <c r="X254" t="s">
        <v>36</v>
      </c>
      <c r="Y254" s="4">
        <v>6</v>
      </c>
      <c r="Z254" s="4">
        <v>17</v>
      </c>
      <c r="AA254" t="s">
        <v>37</v>
      </c>
      <c r="AB254" t="s">
        <v>44</v>
      </c>
      <c r="AC254" s="7">
        <v>1</v>
      </c>
      <c r="AD254" t="s">
        <v>45</v>
      </c>
      <c r="AE254">
        <f t="shared" si="3"/>
        <v>1</v>
      </c>
    </row>
    <row r="255" spans="1:31" x14ac:dyDescent="0.35">
      <c r="A255">
        <v>100254</v>
      </c>
      <c r="B255" s="3">
        <v>45945</v>
      </c>
      <c r="C255">
        <v>1104</v>
      </c>
      <c r="D255" t="s">
        <v>47</v>
      </c>
      <c r="E255" t="s">
        <v>53</v>
      </c>
      <c r="F255" t="s">
        <v>61</v>
      </c>
      <c r="G255" t="s">
        <v>50</v>
      </c>
      <c r="H255" t="s">
        <v>57</v>
      </c>
      <c r="I255" t="s">
        <v>42</v>
      </c>
      <c r="J255" s="4">
        <v>21.38</v>
      </c>
      <c r="K255" s="4">
        <v>17.420000000000002</v>
      </c>
      <c r="L255">
        <v>0</v>
      </c>
      <c r="M255" s="4">
        <v>0</v>
      </c>
      <c r="N255" s="4">
        <v>372.44</v>
      </c>
      <c r="O255" s="4">
        <v>164.48</v>
      </c>
      <c r="P255" s="4">
        <v>9.17</v>
      </c>
      <c r="Q255" s="4">
        <v>5.59</v>
      </c>
      <c r="R255" s="4">
        <v>7.1</v>
      </c>
      <c r="S255" s="4">
        <v>0</v>
      </c>
      <c r="T255" s="4">
        <v>0</v>
      </c>
      <c r="U255" s="4">
        <v>186.34</v>
      </c>
      <c r="V255" s="4">
        <v>186.1</v>
      </c>
      <c r="W255" t="s">
        <v>21</v>
      </c>
      <c r="X255" t="s">
        <v>36</v>
      </c>
      <c r="Y255" s="4">
        <v>8</v>
      </c>
      <c r="Z255" s="4">
        <v>0</v>
      </c>
      <c r="AA255" t="s">
        <v>37</v>
      </c>
      <c r="AB255" t="s">
        <v>38</v>
      </c>
      <c r="AC255" s="7">
        <v>1</v>
      </c>
      <c r="AD255" t="s">
        <v>39</v>
      </c>
      <c r="AE255">
        <f t="shared" si="3"/>
        <v>0</v>
      </c>
    </row>
    <row r="256" spans="1:31" x14ac:dyDescent="0.35">
      <c r="A256">
        <v>100255</v>
      </c>
      <c r="B256" s="3">
        <v>45946</v>
      </c>
      <c r="C256">
        <v>1119</v>
      </c>
      <c r="D256" t="s">
        <v>59</v>
      </c>
      <c r="E256" t="s">
        <v>60</v>
      </c>
      <c r="F256" t="s">
        <v>61</v>
      </c>
      <c r="G256" t="s">
        <v>46</v>
      </c>
      <c r="H256" t="s">
        <v>57</v>
      </c>
      <c r="I256" t="s">
        <v>35</v>
      </c>
      <c r="J256" s="4">
        <v>33.28</v>
      </c>
      <c r="K256" s="4">
        <v>15.77</v>
      </c>
      <c r="L256">
        <v>10</v>
      </c>
      <c r="M256" s="4">
        <v>52.48</v>
      </c>
      <c r="N256" s="4">
        <v>472.35</v>
      </c>
      <c r="O256" s="4">
        <v>257.49</v>
      </c>
      <c r="P256" s="4">
        <v>4.45</v>
      </c>
      <c r="Q256" s="4">
        <v>3.67</v>
      </c>
      <c r="R256" s="4">
        <v>2.23</v>
      </c>
      <c r="S256" s="4">
        <v>0</v>
      </c>
      <c r="T256" s="4">
        <v>0</v>
      </c>
      <c r="U256" s="4">
        <v>267.83999999999997</v>
      </c>
      <c r="V256" s="4">
        <v>204.51</v>
      </c>
      <c r="W256" t="s">
        <v>21</v>
      </c>
      <c r="X256" t="s">
        <v>36</v>
      </c>
      <c r="Y256" s="4">
        <v>8</v>
      </c>
      <c r="Z256" s="4">
        <v>14</v>
      </c>
      <c r="AA256" t="s">
        <v>37</v>
      </c>
      <c r="AB256" t="s">
        <v>38</v>
      </c>
      <c r="AC256" s="7">
        <v>0</v>
      </c>
      <c r="AD256" t="s">
        <v>39</v>
      </c>
      <c r="AE256">
        <f t="shared" si="3"/>
        <v>0</v>
      </c>
    </row>
    <row r="257" spans="1:31" x14ac:dyDescent="0.35">
      <c r="A257">
        <v>100256</v>
      </c>
      <c r="B257" s="3">
        <v>45972</v>
      </c>
      <c r="C257">
        <v>1093</v>
      </c>
      <c r="D257" t="s">
        <v>59</v>
      </c>
      <c r="E257" t="s">
        <v>68</v>
      </c>
      <c r="F257" t="s">
        <v>41</v>
      </c>
      <c r="G257" t="s">
        <v>33</v>
      </c>
      <c r="H257" t="s">
        <v>51</v>
      </c>
      <c r="I257" t="s">
        <v>35</v>
      </c>
      <c r="J257" s="4">
        <v>35.68</v>
      </c>
      <c r="K257" s="4">
        <v>18.62</v>
      </c>
      <c r="L257">
        <v>10</v>
      </c>
      <c r="M257" s="4">
        <v>66.44</v>
      </c>
      <c r="N257" s="4">
        <v>597.91999999999996</v>
      </c>
      <c r="O257" s="4">
        <v>266.16000000000003</v>
      </c>
      <c r="P257" s="4">
        <v>4.3099999999999996</v>
      </c>
      <c r="Q257" s="4">
        <v>4.6500000000000004</v>
      </c>
      <c r="R257" s="4">
        <v>4.4000000000000004</v>
      </c>
      <c r="S257" s="4">
        <v>0</v>
      </c>
      <c r="T257" s="4">
        <v>0</v>
      </c>
      <c r="U257" s="4">
        <v>279.52</v>
      </c>
      <c r="V257" s="4">
        <v>318.39999999999998</v>
      </c>
      <c r="W257" t="s">
        <v>21</v>
      </c>
      <c r="X257" t="s">
        <v>36</v>
      </c>
      <c r="Y257" s="4">
        <v>7</v>
      </c>
      <c r="Z257" s="4">
        <v>4</v>
      </c>
      <c r="AA257" t="s">
        <v>37</v>
      </c>
      <c r="AB257" t="s">
        <v>38</v>
      </c>
      <c r="AC257" s="7">
        <v>0</v>
      </c>
      <c r="AD257" t="s">
        <v>39</v>
      </c>
      <c r="AE257">
        <f t="shared" si="3"/>
        <v>0</v>
      </c>
    </row>
    <row r="258" spans="1:31" x14ac:dyDescent="0.35">
      <c r="A258">
        <v>100257</v>
      </c>
      <c r="B258" s="3">
        <v>45960</v>
      </c>
      <c r="C258">
        <v>1103</v>
      </c>
      <c r="D258" t="s">
        <v>59</v>
      </c>
      <c r="E258" t="s">
        <v>68</v>
      </c>
      <c r="F258" t="s">
        <v>32</v>
      </c>
      <c r="G258" t="s">
        <v>63</v>
      </c>
      <c r="H258" t="s">
        <v>57</v>
      </c>
      <c r="I258" t="s">
        <v>35</v>
      </c>
      <c r="J258" s="4">
        <v>22.5</v>
      </c>
      <c r="K258" s="4">
        <v>12.1</v>
      </c>
      <c r="L258">
        <v>0</v>
      </c>
      <c r="M258" s="4">
        <v>0</v>
      </c>
      <c r="N258" s="4">
        <v>272.25</v>
      </c>
      <c r="O258" s="4">
        <v>153.69</v>
      </c>
      <c r="P258" s="4">
        <v>3.62</v>
      </c>
      <c r="Q258" s="4">
        <v>1.91</v>
      </c>
      <c r="R258" s="4">
        <v>3.97</v>
      </c>
      <c r="S258" s="4">
        <v>0</v>
      </c>
      <c r="T258" s="4">
        <v>0</v>
      </c>
      <c r="U258" s="4">
        <v>163.19</v>
      </c>
      <c r="V258" s="4">
        <v>109.06</v>
      </c>
      <c r="W258" t="s">
        <v>21</v>
      </c>
      <c r="X258" t="s">
        <v>36</v>
      </c>
      <c r="Y258" s="4">
        <v>7</v>
      </c>
      <c r="Z258" s="4">
        <v>0</v>
      </c>
      <c r="AA258" t="s">
        <v>37</v>
      </c>
      <c r="AB258" t="s">
        <v>38</v>
      </c>
      <c r="AC258" s="7">
        <v>0</v>
      </c>
      <c r="AD258" t="s">
        <v>39</v>
      </c>
      <c r="AE258">
        <f t="shared" si="3"/>
        <v>0</v>
      </c>
    </row>
    <row r="259" spans="1:31" x14ac:dyDescent="0.35">
      <c r="A259">
        <v>100258</v>
      </c>
      <c r="B259" s="3">
        <v>45947</v>
      </c>
      <c r="C259">
        <v>1061</v>
      </c>
      <c r="D259" t="s">
        <v>59</v>
      </c>
      <c r="E259" t="s">
        <v>60</v>
      </c>
      <c r="F259" t="s">
        <v>49</v>
      </c>
      <c r="G259" t="s">
        <v>63</v>
      </c>
      <c r="H259" t="s">
        <v>34</v>
      </c>
      <c r="I259" t="s">
        <v>35</v>
      </c>
      <c r="J259" s="4">
        <v>13.56</v>
      </c>
      <c r="K259" s="4">
        <v>12.43</v>
      </c>
      <c r="L259">
        <v>10</v>
      </c>
      <c r="M259" s="4">
        <v>16.86</v>
      </c>
      <c r="N259" s="4">
        <v>151.69</v>
      </c>
      <c r="O259" s="4">
        <v>75.58</v>
      </c>
      <c r="P259" s="4">
        <v>5.62</v>
      </c>
      <c r="Q259" s="4">
        <v>1.18</v>
      </c>
      <c r="R259" s="4">
        <v>11.61</v>
      </c>
      <c r="S259" s="4">
        <v>0</v>
      </c>
      <c r="T259" s="4">
        <v>0</v>
      </c>
      <c r="U259" s="4">
        <v>93.99</v>
      </c>
      <c r="V259" s="4">
        <v>57.7</v>
      </c>
      <c r="W259" t="s">
        <v>21</v>
      </c>
      <c r="X259" t="s">
        <v>36</v>
      </c>
      <c r="Y259" s="4">
        <v>7</v>
      </c>
      <c r="Z259" s="4">
        <v>0</v>
      </c>
      <c r="AA259" t="s">
        <v>37</v>
      </c>
      <c r="AB259" t="s">
        <v>38</v>
      </c>
      <c r="AC259" s="7">
        <v>0</v>
      </c>
      <c r="AD259" t="s">
        <v>39</v>
      </c>
      <c r="AE259">
        <f t="shared" ref="AE259:AE322" si="4">IF(AB259="Yes",1,0)</f>
        <v>0</v>
      </c>
    </row>
    <row r="260" spans="1:31" x14ac:dyDescent="0.35">
      <c r="A260">
        <v>100259</v>
      </c>
      <c r="B260" s="3">
        <v>45988</v>
      </c>
      <c r="C260">
        <v>1083</v>
      </c>
      <c r="D260" t="s">
        <v>64</v>
      </c>
      <c r="E260" t="s">
        <v>76</v>
      </c>
      <c r="F260" t="s">
        <v>41</v>
      </c>
      <c r="G260" t="s">
        <v>46</v>
      </c>
      <c r="H260" t="s">
        <v>34</v>
      </c>
      <c r="I260" t="s">
        <v>42</v>
      </c>
      <c r="J260" s="4">
        <v>31.47</v>
      </c>
      <c r="K260" s="4">
        <v>14.77</v>
      </c>
      <c r="L260">
        <v>10</v>
      </c>
      <c r="M260" s="4">
        <v>46.48</v>
      </c>
      <c r="N260" s="4">
        <v>418.33</v>
      </c>
      <c r="O260" s="4">
        <v>204.32</v>
      </c>
      <c r="P260" s="4">
        <v>7.01</v>
      </c>
      <c r="Q260" s="4">
        <v>6.97</v>
      </c>
      <c r="R260" s="4">
        <v>11.14</v>
      </c>
      <c r="S260" s="4">
        <v>229.54</v>
      </c>
      <c r="T260" s="4">
        <v>0</v>
      </c>
      <c r="U260" s="4">
        <v>458.98</v>
      </c>
      <c r="V260" s="4">
        <v>-40.65</v>
      </c>
      <c r="W260" t="s">
        <v>58</v>
      </c>
      <c r="X260" t="s">
        <v>66</v>
      </c>
      <c r="Y260" s="4">
        <v>12</v>
      </c>
      <c r="Z260" s="4">
        <v>25</v>
      </c>
      <c r="AA260" t="s">
        <v>37</v>
      </c>
      <c r="AB260" t="s">
        <v>44</v>
      </c>
      <c r="AC260" s="7">
        <v>2</v>
      </c>
      <c r="AD260" t="s">
        <v>45</v>
      </c>
      <c r="AE260">
        <f t="shared" si="4"/>
        <v>1</v>
      </c>
    </row>
    <row r="261" spans="1:31" x14ac:dyDescent="0.35">
      <c r="A261">
        <v>100260</v>
      </c>
      <c r="B261" s="3">
        <v>45949</v>
      </c>
      <c r="C261">
        <v>1055</v>
      </c>
      <c r="D261" t="s">
        <v>47</v>
      </c>
      <c r="E261" t="s">
        <v>48</v>
      </c>
      <c r="F261" t="s">
        <v>49</v>
      </c>
      <c r="G261" t="s">
        <v>63</v>
      </c>
      <c r="H261" t="s">
        <v>34</v>
      </c>
      <c r="I261" t="s">
        <v>42</v>
      </c>
      <c r="J261" s="4">
        <v>32.08</v>
      </c>
      <c r="K261" s="4">
        <v>13.24</v>
      </c>
      <c r="L261">
        <v>0</v>
      </c>
      <c r="M261" s="4">
        <v>0</v>
      </c>
      <c r="N261" s="4">
        <v>424.74</v>
      </c>
      <c r="O261" s="4">
        <v>210.84</v>
      </c>
      <c r="P261" s="4">
        <v>6.6</v>
      </c>
      <c r="Q261" s="4">
        <v>6.37</v>
      </c>
      <c r="R261" s="4">
        <v>8.8699999999999992</v>
      </c>
      <c r="S261" s="4">
        <v>0</v>
      </c>
      <c r="T261" s="4">
        <v>0</v>
      </c>
      <c r="U261" s="4">
        <v>232.68</v>
      </c>
      <c r="V261" s="4">
        <v>192.06</v>
      </c>
      <c r="W261" t="s">
        <v>21</v>
      </c>
      <c r="X261" t="s">
        <v>36</v>
      </c>
      <c r="Y261" s="4">
        <v>2</v>
      </c>
      <c r="Z261" s="4">
        <v>2</v>
      </c>
      <c r="AA261" t="s">
        <v>37</v>
      </c>
      <c r="AB261" t="s">
        <v>38</v>
      </c>
      <c r="AC261" s="7">
        <v>0</v>
      </c>
      <c r="AD261" t="s">
        <v>39</v>
      </c>
      <c r="AE261">
        <f t="shared" si="4"/>
        <v>0</v>
      </c>
    </row>
    <row r="262" spans="1:31" x14ac:dyDescent="0.35">
      <c r="A262">
        <v>100261</v>
      </c>
      <c r="B262" s="3">
        <v>46002</v>
      </c>
      <c r="C262">
        <v>1084</v>
      </c>
      <c r="D262" t="s">
        <v>47</v>
      </c>
      <c r="E262" t="s">
        <v>74</v>
      </c>
      <c r="F262" t="s">
        <v>61</v>
      </c>
      <c r="G262" t="s">
        <v>33</v>
      </c>
      <c r="H262" t="s">
        <v>57</v>
      </c>
      <c r="I262" t="s">
        <v>35</v>
      </c>
      <c r="J262" s="4">
        <v>23.79</v>
      </c>
      <c r="K262" s="4">
        <v>18.43</v>
      </c>
      <c r="L262">
        <v>5</v>
      </c>
      <c r="M262" s="4">
        <v>21.92</v>
      </c>
      <c r="N262" s="4">
        <v>416.53</v>
      </c>
      <c r="O262" s="4">
        <v>193.84</v>
      </c>
      <c r="P262" s="4">
        <v>7.13</v>
      </c>
      <c r="Q262" s="4">
        <v>3.07</v>
      </c>
      <c r="R262" s="4">
        <v>8.1</v>
      </c>
      <c r="S262" s="4">
        <v>0</v>
      </c>
      <c r="T262" s="4">
        <v>0</v>
      </c>
      <c r="U262" s="4">
        <v>212.14</v>
      </c>
      <c r="V262" s="4">
        <v>204.39</v>
      </c>
      <c r="W262" t="s">
        <v>21</v>
      </c>
      <c r="X262" t="s">
        <v>36</v>
      </c>
      <c r="Y262" s="4">
        <v>12</v>
      </c>
      <c r="Z262" s="4">
        <v>2</v>
      </c>
      <c r="AA262" t="s">
        <v>37</v>
      </c>
      <c r="AB262" t="s">
        <v>38</v>
      </c>
      <c r="AC262" s="7">
        <v>0</v>
      </c>
      <c r="AD262" t="s">
        <v>39</v>
      </c>
      <c r="AE262">
        <f t="shared" si="4"/>
        <v>0</v>
      </c>
    </row>
    <row r="263" spans="1:31" x14ac:dyDescent="0.35">
      <c r="A263">
        <v>100262</v>
      </c>
      <c r="B263" s="3">
        <v>45959</v>
      </c>
      <c r="C263">
        <v>1091</v>
      </c>
      <c r="D263" t="s">
        <v>47</v>
      </c>
      <c r="E263" t="s">
        <v>53</v>
      </c>
      <c r="F263" t="s">
        <v>49</v>
      </c>
      <c r="G263" t="s">
        <v>63</v>
      </c>
      <c r="H263" t="s">
        <v>57</v>
      </c>
      <c r="I263" t="s">
        <v>35</v>
      </c>
      <c r="J263" s="4">
        <v>21.58</v>
      </c>
      <c r="K263" s="4">
        <v>12.53</v>
      </c>
      <c r="L263">
        <v>10</v>
      </c>
      <c r="M263" s="4">
        <v>27.04</v>
      </c>
      <c r="N263" s="4">
        <v>243.36</v>
      </c>
      <c r="O263" s="4">
        <v>177.03</v>
      </c>
      <c r="P263" s="4">
        <v>14.56</v>
      </c>
      <c r="Q263" s="4">
        <v>1.89</v>
      </c>
      <c r="R263" s="4">
        <v>10.5</v>
      </c>
      <c r="S263" s="4">
        <v>0</v>
      </c>
      <c r="T263" s="4">
        <v>0</v>
      </c>
      <c r="U263" s="4">
        <v>203.98</v>
      </c>
      <c r="V263" s="4">
        <v>39.380000000000003</v>
      </c>
      <c r="W263" t="s">
        <v>21</v>
      </c>
      <c r="X263" t="s">
        <v>36</v>
      </c>
      <c r="Y263" s="4">
        <v>30</v>
      </c>
      <c r="Z263" s="4">
        <v>2</v>
      </c>
      <c r="AA263" t="s">
        <v>52</v>
      </c>
      <c r="AB263" t="s">
        <v>44</v>
      </c>
      <c r="AC263" s="7">
        <v>2</v>
      </c>
      <c r="AD263" t="s">
        <v>45</v>
      </c>
      <c r="AE263">
        <f t="shared" si="4"/>
        <v>1</v>
      </c>
    </row>
    <row r="264" spans="1:31" x14ac:dyDescent="0.35">
      <c r="A264">
        <v>100263</v>
      </c>
      <c r="B264" s="3">
        <v>46001</v>
      </c>
      <c r="C264">
        <v>1121</v>
      </c>
      <c r="D264" t="s">
        <v>64</v>
      </c>
      <c r="E264" t="s">
        <v>76</v>
      </c>
      <c r="F264" t="s">
        <v>41</v>
      </c>
      <c r="G264" t="s">
        <v>46</v>
      </c>
      <c r="H264" t="s">
        <v>57</v>
      </c>
      <c r="I264" t="s">
        <v>35</v>
      </c>
      <c r="J264" s="4">
        <v>28.12</v>
      </c>
      <c r="K264" s="4">
        <v>14.59</v>
      </c>
      <c r="L264">
        <v>15</v>
      </c>
      <c r="M264" s="4">
        <v>61.54</v>
      </c>
      <c r="N264" s="4">
        <v>348.73</v>
      </c>
      <c r="O264" s="4">
        <v>222.88</v>
      </c>
      <c r="P264" s="4">
        <v>10.15</v>
      </c>
      <c r="Q264" s="4">
        <v>2.87</v>
      </c>
      <c r="R264" s="4">
        <v>2.85</v>
      </c>
      <c r="S264" s="4">
        <v>279.86</v>
      </c>
      <c r="T264" s="4">
        <v>12.08</v>
      </c>
      <c r="U264" s="4">
        <v>530.69000000000005</v>
      </c>
      <c r="V264" s="4">
        <v>-181.96</v>
      </c>
      <c r="W264" t="s">
        <v>58</v>
      </c>
      <c r="X264" t="s">
        <v>55</v>
      </c>
      <c r="Y264" s="4">
        <v>26</v>
      </c>
      <c r="Z264" s="4">
        <v>0</v>
      </c>
      <c r="AA264" t="s">
        <v>52</v>
      </c>
      <c r="AB264" t="s">
        <v>44</v>
      </c>
      <c r="AC264" s="7">
        <v>1</v>
      </c>
      <c r="AD264" t="s">
        <v>45</v>
      </c>
      <c r="AE264">
        <f t="shared" si="4"/>
        <v>1</v>
      </c>
    </row>
    <row r="265" spans="1:31" x14ac:dyDescent="0.35">
      <c r="A265">
        <v>100264</v>
      </c>
      <c r="B265" s="3">
        <v>45945</v>
      </c>
      <c r="C265">
        <v>1001</v>
      </c>
      <c r="D265" t="s">
        <v>64</v>
      </c>
      <c r="E265" t="s">
        <v>75</v>
      </c>
      <c r="F265" t="s">
        <v>32</v>
      </c>
      <c r="G265" t="s">
        <v>33</v>
      </c>
      <c r="H265" t="s">
        <v>51</v>
      </c>
      <c r="I265" t="s">
        <v>35</v>
      </c>
      <c r="J265" s="4">
        <v>26.88</v>
      </c>
      <c r="K265" s="4">
        <v>18.7</v>
      </c>
      <c r="L265">
        <v>5</v>
      </c>
      <c r="M265" s="4">
        <v>25.13</v>
      </c>
      <c r="N265" s="4">
        <v>477.53</v>
      </c>
      <c r="O265" s="4">
        <v>218.9</v>
      </c>
      <c r="P265" s="4">
        <v>8.3000000000000007</v>
      </c>
      <c r="Q265" s="4">
        <v>3.52</v>
      </c>
      <c r="R265" s="4">
        <v>1.61</v>
      </c>
      <c r="S265" s="4">
        <v>0</v>
      </c>
      <c r="T265" s="4">
        <v>0</v>
      </c>
      <c r="U265" s="4">
        <v>232.33</v>
      </c>
      <c r="V265" s="4">
        <v>245.2</v>
      </c>
      <c r="W265" t="s">
        <v>21</v>
      </c>
      <c r="X265" t="s">
        <v>36</v>
      </c>
      <c r="Y265" s="4">
        <v>24</v>
      </c>
      <c r="Z265" s="4">
        <v>24</v>
      </c>
      <c r="AA265" t="s">
        <v>52</v>
      </c>
      <c r="AB265" t="s">
        <v>44</v>
      </c>
      <c r="AC265" s="7">
        <v>1</v>
      </c>
      <c r="AD265" t="s">
        <v>45</v>
      </c>
      <c r="AE265">
        <f t="shared" si="4"/>
        <v>1</v>
      </c>
    </row>
    <row r="266" spans="1:31" x14ac:dyDescent="0.35">
      <c r="A266">
        <v>100265</v>
      </c>
      <c r="B266" s="3">
        <v>45990</v>
      </c>
      <c r="C266">
        <v>1024</v>
      </c>
      <c r="D266" t="s">
        <v>47</v>
      </c>
      <c r="E266" t="s">
        <v>53</v>
      </c>
      <c r="F266" t="s">
        <v>41</v>
      </c>
      <c r="G266" t="s">
        <v>63</v>
      </c>
      <c r="H266" t="s">
        <v>34</v>
      </c>
      <c r="I266" t="s">
        <v>35</v>
      </c>
      <c r="J266" s="4">
        <v>23.89</v>
      </c>
      <c r="K266" s="4">
        <v>11.65</v>
      </c>
      <c r="L266">
        <v>0</v>
      </c>
      <c r="M266" s="4">
        <v>0</v>
      </c>
      <c r="N266" s="4">
        <v>278.32</v>
      </c>
      <c r="O266" s="4">
        <v>164.29</v>
      </c>
      <c r="P266" s="4">
        <v>4.03</v>
      </c>
      <c r="Q266" s="4">
        <v>1.95</v>
      </c>
      <c r="R266" s="4">
        <v>2.41</v>
      </c>
      <c r="S266" s="4">
        <v>0</v>
      </c>
      <c r="T266" s="4">
        <v>0</v>
      </c>
      <c r="U266" s="4">
        <v>172.68</v>
      </c>
      <c r="V266" s="4">
        <v>105.64</v>
      </c>
      <c r="W266" t="s">
        <v>21</v>
      </c>
      <c r="X266" t="s">
        <v>36</v>
      </c>
      <c r="Y266" s="4">
        <v>15</v>
      </c>
      <c r="Z266" s="4">
        <v>3</v>
      </c>
      <c r="AA266" t="s">
        <v>37</v>
      </c>
      <c r="AB266" t="s">
        <v>38</v>
      </c>
      <c r="AC266" s="7">
        <v>0</v>
      </c>
      <c r="AD266" t="s">
        <v>39</v>
      </c>
      <c r="AE266">
        <f t="shared" si="4"/>
        <v>0</v>
      </c>
    </row>
    <row r="267" spans="1:31" x14ac:dyDescent="0.35">
      <c r="A267">
        <v>100266</v>
      </c>
      <c r="B267" s="3">
        <v>46020</v>
      </c>
      <c r="C267">
        <v>1146</v>
      </c>
      <c r="D267" t="s">
        <v>59</v>
      </c>
      <c r="E267" t="s">
        <v>68</v>
      </c>
      <c r="F267" t="s">
        <v>49</v>
      </c>
      <c r="G267" t="s">
        <v>33</v>
      </c>
      <c r="H267" t="s">
        <v>34</v>
      </c>
      <c r="I267" t="s">
        <v>35</v>
      </c>
      <c r="J267" s="4">
        <v>30.34</v>
      </c>
      <c r="K267" s="4">
        <v>18.600000000000001</v>
      </c>
      <c r="L267">
        <v>0</v>
      </c>
      <c r="M267" s="4">
        <v>0</v>
      </c>
      <c r="N267" s="4">
        <v>564.32000000000005</v>
      </c>
      <c r="O267" s="4">
        <v>189.14</v>
      </c>
      <c r="P267" s="4">
        <v>10.01</v>
      </c>
      <c r="Q267" s="4">
        <v>3.95</v>
      </c>
      <c r="R267" s="4">
        <v>4.12</v>
      </c>
      <c r="S267" s="4">
        <v>0</v>
      </c>
      <c r="T267" s="4">
        <v>0</v>
      </c>
      <c r="U267" s="4">
        <v>207.22</v>
      </c>
      <c r="V267" s="4">
        <v>357.1</v>
      </c>
      <c r="W267" t="s">
        <v>21</v>
      </c>
      <c r="X267" t="s">
        <v>36</v>
      </c>
      <c r="Y267" s="4">
        <v>5</v>
      </c>
      <c r="Z267" s="4">
        <v>9</v>
      </c>
      <c r="AA267" t="s">
        <v>37</v>
      </c>
      <c r="AB267" t="s">
        <v>38</v>
      </c>
      <c r="AC267" s="7">
        <v>0</v>
      </c>
      <c r="AD267" t="s">
        <v>39</v>
      </c>
      <c r="AE267">
        <f t="shared" si="4"/>
        <v>0</v>
      </c>
    </row>
    <row r="268" spans="1:31" x14ac:dyDescent="0.35">
      <c r="A268">
        <v>100267</v>
      </c>
      <c r="B268" s="3">
        <v>46012</v>
      </c>
      <c r="C268">
        <v>1133</v>
      </c>
      <c r="D268" t="s">
        <v>30</v>
      </c>
      <c r="E268" t="s">
        <v>62</v>
      </c>
      <c r="F268" t="s">
        <v>32</v>
      </c>
      <c r="G268" t="s">
        <v>63</v>
      </c>
      <c r="H268" t="s">
        <v>34</v>
      </c>
      <c r="I268" t="s">
        <v>54</v>
      </c>
      <c r="J268" s="4">
        <v>25.28</v>
      </c>
      <c r="K268" s="4">
        <v>12.85</v>
      </c>
      <c r="L268">
        <v>15</v>
      </c>
      <c r="M268" s="4">
        <v>48.73</v>
      </c>
      <c r="N268" s="4">
        <v>276.12</v>
      </c>
      <c r="O268" s="4">
        <v>167.83</v>
      </c>
      <c r="P268" s="4">
        <v>6.79</v>
      </c>
      <c r="Q268" s="4">
        <v>3.9</v>
      </c>
      <c r="R268" s="4">
        <v>5.14</v>
      </c>
      <c r="S268" s="4">
        <v>0</v>
      </c>
      <c r="T268" s="4">
        <v>0</v>
      </c>
      <c r="U268" s="4">
        <v>183.66</v>
      </c>
      <c r="V268" s="4">
        <v>92.46</v>
      </c>
      <c r="W268" t="s">
        <v>21</v>
      </c>
      <c r="X268" t="s">
        <v>36</v>
      </c>
      <c r="Y268" s="4">
        <v>13</v>
      </c>
      <c r="Z268" s="4">
        <v>5</v>
      </c>
      <c r="AA268" t="s">
        <v>37</v>
      </c>
      <c r="AB268" t="s">
        <v>38</v>
      </c>
      <c r="AC268" s="7">
        <v>0</v>
      </c>
      <c r="AD268" t="s">
        <v>39</v>
      </c>
      <c r="AE268">
        <f t="shared" si="4"/>
        <v>0</v>
      </c>
    </row>
    <row r="269" spans="1:31" x14ac:dyDescent="0.35">
      <c r="A269">
        <v>100268</v>
      </c>
      <c r="B269" s="3">
        <v>45971</v>
      </c>
      <c r="C269">
        <v>1146</v>
      </c>
      <c r="D269" t="s">
        <v>59</v>
      </c>
      <c r="E269" t="s">
        <v>73</v>
      </c>
      <c r="F269" t="s">
        <v>71</v>
      </c>
      <c r="G269" t="s">
        <v>50</v>
      </c>
      <c r="H269" t="s">
        <v>57</v>
      </c>
      <c r="I269" t="s">
        <v>54</v>
      </c>
      <c r="J269" s="4">
        <v>32.03</v>
      </c>
      <c r="K269" s="4">
        <v>17.16</v>
      </c>
      <c r="L269">
        <v>0</v>
      </c>
      <c r="M269" s="4">
        <v>0</v>
      </c>
      <c r="N269" s="4">
        <v>549.63</v>
      </c>
      <c r="O269" s="4">
        <v>226.39</v>
      </c>
      <c r="P269" s="4">
        <v>9.6</v>
      </c>
      <c r="Q269" s="4">
        <v>6.6</v>
      </c>
      <c r="R269" s="4">
        <v>14.61</v>
      </c>
      <c r="S269" s="4">
        <v>0</v>
      </c>
      <c r="T269" s="4">
        <v>0</v>
      </c>
      <c r="U269" s="4">
        <v>257.2</v>
      </c>
      <c r="V269" s="4">
        <v>292.43</v>
      </c>
      <c r="W269" t="s">
        <v>21</v>
      </c>
      <c r="X269" t="s">
        <v>36</v>
      </c>
      <c r="Y269" s="4">
        <v>16</v>
      </c>
      <c r="Z269" s="4">
        <v>13</v>
      </c>
      <c r="AA269" t="s">
        <v>52</v>
      </c>
      <c r="AB269" t="s">
        <v>38</v>
      </c>
      <c r="AC269" s="7">
        <v>0</v>
      </c>
      <c r="AD269" t="s">
        <v>39</v>
      </c>
      <c r="AE269">
        <f t="shared" si="4"/>
        <v>0</v>
      </c>
    </row>
    <row r="270" spans="1:31" x14ac:dyDescent="0.35">
      <c r="A270">
        <v>100269</v>
      </c>
      <c r="B270" s="3">
        <v>45937</v>
      </c>
      <c r="C270">
        <v>1069</v>
      </c>
      <c r="D270" t="s">
        <v>59</v>
      </c>
      <c r="E270" t="s">
        <v>73</v>
      </c>
      <c r="F270" t="s">
        <v>41</v>
      </c>
      <c r="G270" t="s">
        <v>33</v>
      </c>
      <c r="H270" t="s">
        <v>34</v>
      </c>
      <c r="I270" t="s">
        <v>54</v>
      </c>
      <c r="J270" s="4">
        <v>37</v>
      </c>
      <c r="K270" s="4">
        <v>19.329999999999998</v>
      </c>
      <c r="L270">
        <v>0</v>
      </c>
      <c r="M270" s="4">
        <v>0</v>
      </c>
      <c r="N270" s="4">
        <v>715.21</v>
      </c>
      <c r="O270" s="4">
        <v>267.20999999999998</v>
      </c>
      <c r="P270" s="4">
        <v>9.68</v>
      </c>
      <c r="Q270" s="4">
        <v>8.58</v>
      </c>
      <c r="R270" s="4">
        <v>7.57</v>
      </c>
      <c r="S270" s="4">
        <v>0</v>
      </c>
      <c r="T270" s="4">
        <v>0</v>
      </c>
      <c r="U270" s="4">
        <v>293.04000000000002</v>
      </c>
      <c r="V270" s="4">
        <v>422.17</v>
      </c>
      <c r="W270" t="s">
        <v>21</v>
      </c>
      <c r="X270" t="s">
        <v>36</v>
      </c>
      <c r="Y270" s="4">
        <v>31</v>
      </c>
      <c r="Z270" s="4">
        <v>3</v>
      </c>
      <c r="AA270" t="s">
        <v>43</v>
      </c>
      <c r="AB270" t="s">
        <v>44</v>
      </c>
      <c r="AC270" s="7">
        <v>1</v>
      </c>
      <c r="AD270" t="s">
        <v>45</v>
      </c>
      <c r="AE270">
        <f t="shared" si="4"/>
        <v>1</v>
      </c>
    </row>
    <row r="271" spans="1:31" x14ac:dyDescent="0.35">
      <c r="A271">
        <v>100270</v>
      </c>
      <c r="B271" s="3">
        <v>45936</v>
      </c>
      <c r="C271">
        <v>1132</v>
      </c>
      <c r="D271" t="s">
        <v>30</v>
      </c>
      <c r="E271" t="s">
        <v>31</v>
      </c>
      <c r="F271" t="s">
        <v>32</v>
      </c>
      <c r="G271" t="s">
        <v>63</v>
      </c>
      <c r="H271" t="s">
        <v>34</v>
      </c>
      <c r="I271" t="s">
        <v>35</v>
      </c>
      <c r="J271" s="4">
        <v>28.03</v>
      </c>
      <c r="K271" s="4">
        <v>12.58</v>
      </c>
      <c r="L271">
        <v>0</v>
      </c>
      <c r="M271" s="4">
        <v>0</v>
      </c>
      <c r="N271" s="4">
        <v>352.62</v>
      </c>
      <c r="O271" s="4">
        <v>225.67</v>
      </c>
      <c r="P271" s="4">
        <v>8.6300000000000008</v>
      </c>
      <c r="Q271" s="4">
        <v>2.4700000000000002</v>
      </c>
      <c r="R271" s="4">
        <v>6.56</v>
      </c>
      <c r="S271" s="4">
        <v>0</v>
      </c>
      <c r="T271" s="4">
        <v>0</v>
      </c>
      <c r="U271" s="4">
        <v>243.33</v>
      </c>
      <c r="V271" s="4">
        <v>109.29</v>
      </c>
      <c r="W271" t="s">
        <v>21</v>
      </c>
      <c r="X271" t="s">
        <v>36</v>
      </c>
      <c r="Y271" s="4">
        <v>29</v>
      </c>
      <c r="Z271" s="4">
        <v>8</v>
      </c>
      <c r="AA271" t="s">
        <v>52</v>
      </c>
      <c r="AB271" t="s">
        <v>44</v>
      </c>
      <c r="AC271" s="7">
        <v>1</v>
      </c>
      <c r="AD271" t="s">
        <v>45</v>
      </c>
      <c r="AE271">
        <f t="shared" si="4"/>
        <v>1</v>
      </c>
    </row>
    <row r="272" spans="1:31" x14ac:dyDescent="0.35">
      <c r="A272">
        <v>100271</v>
      </c>
      <c r="B272" s="3">
        <v>45999</v>
      </c>
      <c r="C272">
        <v>1107</v>
      </c>
      <c r="D272" t="s">
        <v>47</v>
      </c>
      <c r="E272" t="s">
        <v>53</v>
      </c>
      <c r="F272" t="s">
        <v>49</v>
      </c>
      <c r="G272" t="s">
        <v>63</v>
      </c>
      <c r="H272" t="s">
        <v>34</v>
      </c>
      <c r="I272" t="s">
        <v>35</v>
      </c>
      <c r="J272" s="4">
        <v>13.16</v>
      </c>
      <c r="K272" s="4">
        <v>12.19</v>
      </c>
      <c r="L272">
        <v>10</v>
      </c>
      <c r="M272" s="4">
        <v>16.04</v>
      </c>
      <c r="N272" s="4">
        <v>144.38</v>
      </c>
      <c r="O272" s="4">
        <v>89.68</v>
      </c>
      <c r="P272" s="4">
        <v>8.1199999999999992</v>
      </c>
      <c r="Q272" s="4">
        <v>1.1200000000000001</v>
      </c>
      <c r="R272" s="4">
        <v>0.88</v>
      </c>
      <c r="S272" s="4">
        <v>0</v>
      </c>
      <c r="T272" s="4">
        <v>0</v>
      </c>
      <c r="U272" s="4">
        <v>99.8</v>
      </c>
      <c r="V272" s="4">
        <v>44.58</v>
      </c>
      <c r="W272" t="s">
        <v>21</v>
      </c>
      <c r="X272" t="s">
        <v>36</v>
      </c>
      <c r="Y272" s="4">
        <v>4</v>
      </c>
      <c r="Z272" s="4">
        <v>9</v>
      </c>
      <c r="AA272" t="s">
        <v>37</v>
      </c>
      <c r="AB272" t="s">
        <v>38</v>
      </c>
      <c r="AC272" s="7">
        <v>0</v>
      </c>
      <c r="AD272" t="s">
        <v>39</v>
      </c>
      <c r="AE272">
        <f t="shared" si="4"/>
        <v>0</v>
      </c>
    </row>
    <row r="273" spans="1:31" x14ac:dyDescent="0.35">
      <c r="A273">
        <v>100272</v>
      </c>
      <c r="B273" s="3">
        <v>46017</v>
      </c>
      <c r="C273">
        <v>1116</v>
      </c>
      <c r="D273" t="s">
        <v>30</v>
      </c>
      <c r="E273" t="s">
        <v>62</v>
      </c>
      <c r="F273" t="s">
        <v>49</v>
      </c>
      <c r="G273" t="s">
        <v>33</v>
      </c>
      <c r="H273" t="s">
        <v>57</v>
      </c>
      <c r="I273" t="s">
        <v>54</v>
      </c>
      <c r="J273" s="4">
        <v>36.36</v>
      </c>
      <c r="K273" s="4">
        <v>18.600000000000001</v>
      </c>
      <c r="L273">
        <v>0</v>
      </c>
      <c r="M273" s="4">
        <v>0</v>
      </c>
      <c r="N273" s="4">
        <v>676.3</v>
      </c>
      <c r="O273" s="4">
        <v>223.61</v>
      </c>
      <c r="P273" s="4">
        <v>4.1399999999999997</v>
      </c>
      <c r="Q273" s="4">
        <v>8.1199999999999992</v>
      </c>
      <c r="R273" s="4">
        <v>7.21</v>
      </c>
      <c r="S273" s="4">
        <v>0</v>
      </c>
      <c r="T273" s="4">
        <v>0</v>
      </c>
      <c r="U273" s="4">
        <v>243.08</v>
      </c>
      <c r="V273" s="4">
        <v>433.22</v>
      </c>
      <c r="W273" t="s">
        <v>21</v>
      </c>
      <c r="X273" t="s">
        <v>36</v>
      </c>
      <c r="Y273" s="4">
        <v>3</v>
      </c>
      <c r="Z273" s="4">
        <v>5</v>
      </c>
      <c r="AA273" t="s">
        <v>37</v>
      </c>
      <c r="AB273" t="s">
        <v>38</v>
      </c>
      <c r="AC273" s="7">
        <v>0</v>
      </c>
      <c r="AD273" t="s">
        <v>39</v>
      </c>
      <c r="AE273">
        <f t="shared" si="4"/>
        <v>0</v>
      </c>
    </row>
    <row r="274" spans="1:31" x14ac:dyDescent="0.35">
      <c r="A274">
        <v>100273</v>
      </c>
      <c r="B274" s="3">
        <v>46002</v>
      </c>
      <c r="C274">
        <v>1122</v>
      </c>
      <c r="D274" t="s">
        <v>47</v>
      </c>
      <c r="E274" t="s">
        <v>48</v>
      </c>
      <c r="F274" t="s">
        <v>61</v>
      </c>
      <c r="G274" t="s">
        <v>50</v>
      </c>
      <c r="H274" t="s">
        <v>34</v>
      </c>
      <c r="I274" t="s">
        <v>35</v>
      </c>
      <c r="J274" s="4">
        <v>23.82</v>
      </c>
      <c r="K274" s="4">
        <v>17.399999999999999</v>
      </c>
      <c r="L274">
        <v>10</v>
      </c>
      <c r="M274" s="4">
        <v>41.45</v>
      </c>
      <c r="N274" s="4">
        <v>373.02</v>
      </c>
      <c r="O274" s="4">
        <v>167.23</v>
      </c>
      <c r="P274" s="4">
        <v>5.6</v>
      </c>
      <c r="Q274" s="4">
        <v>2.9</v>
      </c>
      <c r="R274" s="4">
        <v>7.12</v>
      </c>
      <c r="S274" s="4">
        <v>0</v>
      </c>
      <c r="T274" s="4">
        <v>0</v>
      </c>
      <c r="U274" s="4">
        <v>182.85</v>
      </c>
      <c r="V274" s="4">
        <v>190.17</v>
      </c>
      <c r="W274" t="s">
        <v>21</v>
      </c>
      <c r="X274" t="s">
        <v>36</v>
      </c>
      <c r="Y274" s="4">
        <v>9</v>
      </c>
      <c r="Z274" s="4">
        <v>14</v>
      </c>
      <c r="AA274" t="s">
        <v>37</v>
      </c>
      <c r="AB274" t="s">
        <v>38</v>
      </c>
      <c r="AC274" s="7">
        <v>0</v>
      </c>
      <c r="AD274" t="s">
        <v>39</v>
      </c>
      <c r="AE274">
        <f t="shared" si="4"/>
        <v>0</v>
      </c>
    </row>
    <row r="275" spans="1:31" x14ac:dyDescent="0.35">
      <c r="A275">
        <v>100274</v>
      </c>
      <c r="B275" s="3">
        <v>45988</v>
      </c>
      <c r="C275">
        <v>1107</v>
      </c>
      <c r="D275" t="s">
        <v>47</v>
      </c>
      <c r="E275" t="s">
        <v>56</v>
      </c>
      <c r="F275" t="s">
        <v>71</v>
      </c>
      <c r="G275" t="s">
        <v>63</v>
      </c>
      <c r="H275" t="s">
        <v>34</v>
      </c>
      <c r="I275" t="s">
        <v>42</v>
      </c>
      <c r="J275" s="4">
        <v>30.84</v>
      </c>
      <c r="K275" s="4">
        <v>12.27</v>
      </c>
      <c r="L275">
        <v>5</v>
      </c>
      <c r="M275" s="4">
        <v>18.920000000000002</v>
      </c>
      <c r="N275" s="4">
        <v>359.49</v>
      </c>
      <c r="O275" s="4">
        <v>226.99</v>
      </c>
      <c r="P275" s="4">
        <v>11.82</v>
      </c>
      <c r="Q275" s="4">
        <v>5.68</v>
      </c>
      <c r="R275" s="4">
        <v>0.18</v>
      </c>
      <c r="S275" s="4">
        <v>190.8</v>
      </c>
      <c r="T275" s="4">
        <v>0</v>
      </c>
      <c r="U275" s="4">
        <v>435.47</v>
      </c>
      <c r="V275" s="4">
        <v>-75.98</v>
      </c>
      <c r="W275" t="s">
        <v>58</v>
      </c>
      <c r="X275" t="s">
        <v>55</v>
      </c>
      <c r="Y275" s="4">
        <v>7</v>
      </c>
      <c r="Z275" s="4">
        <v>3</v>
      </c>
      <c r="AA275" t="s">
        <v>37</v>
      </c>
      <c r="AB275" t="s">
        <v>44</v>
      </c>
      <c r="AC275" s="7">
        <v>2</v>
      </c>
      <c r="AD275" t="s">
        <v>45</v>
      </c>
      <c r="AE275">
        <f t="shared" si="4"/>
        <v>1</v>
      </c>
    </row>
    <row r="276" spans="1:31" x14ac:dyDescent="0.35">
      <c r="A276">
        <v>100275</v>
      </c>
      <c r="B276" s="3">
        <v>45972</v>
      </c>
      <c r="C276">
        <v>1136</v>
      </c>
      <c r="D276" t="s">
        <v>59</v>
      </c>
      <c r="E276" t="s">
        <v>70</v>
      </c>
      <c r="F276" t="s">
        <v>41</v>
      </c>
      <c r="G276" t="s">
        <v>46</v>
      </c>
      <c r="H276" t="s">
        <v>34</v>
      </c>
      <c r="I276" t="s">
        <v>35</v>
      </c>
      <c r="J276" s="4">
        <v>6.98</v>
      </c>
      <c r="K276" s="4">
        <v>15.19</v>
      </c>
      <c r="L276">
        <v>15</v>
      </c>
      <c r="M276" s="4">
        <v>15.9</v>
      </c>
      <c r="N276" s="4">
        <v>90.13</v>
      </c>
      <c r="O276" s="4">
        <v>50.82</v>
      </c>
      <c r="P276" s="4">
        <v>6.46</v>
      </c>
      <c r="Q276" s="4">
        <v>0.74</v>
      </c>
      <c r="R276" s="4">
        <v>6.1</v>
      </c>
      <c r="S276" s="4">
        <v>98.5</v>
      </c>
      <c r="T276" s="4">
        <v>0</v>
      </c>
      <c r="U276" s="4">
        <v>162.62</v>
      </c>
      <c r="V276" s="4">
        <v>-72.489999999999995</v>
      </c>
      <c r="W276" t="s">
        <v>58</v>
      </c>
      <c r="X276" t="s">
        <v>66</v>
      </c>
      <c r="Y276" s="4">
        <v>4</v>
      </c>
      <c r="Z276" s="4">
        <v>1</v>
      </c>
      <c r="AA276" t="s">
        <v>37</v>
      </c>
      <c r="AB276" t="s">
        <v>38</v>
      </c>
      <c r="AC276" s="7">
        <v>1</v>
      </c>
      <c r="AD276" t="s">
        <v>45</v>
      </c>
      <c r="AE276">
        <f t="shared" si="4"/>
        <v>0</v>
      </c>
    </row>
    <row r="277" spans="1:31" x14ac:dyDescent="0.35">
      <c r="A277">
        <v>100276</v>
      </c>
      <c r="B277" s="3">
        <v>45943</v>
      </c>
      <c r="C277">
        <v>1070</v>
      </c>
      <c r="D277" t="s">
        <v>64</v>
      </c>
      <c r="E277" t="s">
        <v>65</v>
      </c>
      <c r="F277" t="s">
        <v>71</v>
      </c>
      <c r="G277" t="s">
        <v>46</v>
      </c>
      <c r="H277" t="s">
        <v>34</v>
      </c>
      <c r="I277" t="s">
        <v>69</v>
      </c>
      <c r="J277" s="4">
        <v>32.89</v>
      </c>
      <c r="K277" s="4">
        <v>16.11</v>
      </c>
      <c r="L277">
        <v>0</v>
      </c>
      <c r="M277" s="4">
        <v>0</v>
      </c>
      <c r="N277" s="4">
        <v>529.86</v>
      </c>
      <c r="O277" s="4">
        <v>186.47</v>
      </c>
      <c r="P277" s="4">
        <v>10.99</v>
      </c>
      <c r="Q277" s="4">
        <v>2.12</v>
      </c>
      <c r="R277" s="4">
        <v>13.28</v>
      </c>
      <c r="S277" s="4">
        <v>0</v>
      </c>
      <c r="T277" s="4">
        <v>0</v>
      </c>
      <c r="U277" s="4">
        <v>212.86</v>
      </c>
      <c r="V277" s="4">
        <v>317</v>
      </c>
      <c r="W277" t="s">
        <v>21</v>
      </c>
      <c r="X277" t="s">
        <v>36</v>
      </c>
      <c r="Y277" s="4">
        <v>6</v>
      </c>
      <c r="Z277" s="4">
        <v>7</v>
      </c>
      <c r="AA277" t="s">
        <v>37</v>
      </c>
      <c r="AB277" t="s">
        <v>38</v>
      </c>
      <c r="AC277" s="7">
        <v>0</v>
      </c>
      <c r="AD277" t="s">
        <v>39</v>
      </c>
      <c r="AE277">
        <f t="shared" si="4"/>
        <v>0</v>
      </c>
    </row>
    <row r="278" spans="1:31" x14ac:dyDescent="0.35">
      <c r="A278">
        <v>100277</v>
      </c>
      <c r="B278" s="3">
        <v>45956</v>
      </c>
      <c r="C278">
        <v>1150</v>
      </c>
      <c r="D278" t="s">
        <v>64</v>
      </c>
      <c r="E278" t="s">
        <v>76</v>
      </c>
      <c r="F278" t="s">
        <v>41</v>
      </c>
      <c r="G278" t="s">
        <v>63</v>
      </c>
      <c r="H278" t="s">
        <v>34</v>
      </c>
      <c r="I278" t="s">
        <v>35</v>
      </c>
      <c r="J278" s="4">
        <v>16.920000000000002</v>
      </c>
      <c r="K278" s="4">
        <v>11.18</v>
      </c>
      <c r="L278">
        <v>0</v>
      </c>
      <c r="M278" s="4">
        <v>0</v>
      </c>
      <c r="N278" s="4">
        <v>189.17</v>
      </c>
      <c r="O278" s="4">
        <v>119.51</v>
      </c>
      <c r="P278" s="4">
        <v>7.97</v>
      </c>
      <c r="Q278" s="4">
        <v>1.32</v>
      </c>
      <c r="R278" s="4">
        <v>0</v>
      </c>
      <c r="S278" s="4">
        <v>0</v>
      </c>
      <c r="T278" s="4">
        <v>0</v>
      </c>
      <c r="U278" s="4">
        <v>128.80000000000001</v>
      </c>
      <c r="V278" s="4">
        <v>60.37</v>
      </c>
      <c r="W278" t="s">
        <v>21</v>
      </c>
      <c r="X278" t="s">
        <v>36</v>
      </c>
      <c r="Y278" s="4">
        <v>6</v>
      </c>
      <c r="Z278" s="4">
        <v>1</v>
      </c>
      <c r="AA278" t="s">
        <v>37</v>
      </c>
      <c r="AB278" t="s">
        <v>38</v>
      </c>
      <c r="AC278" s="7">
        <v>0</v>
      </c>
      <c r="AD278" t="s">
        <v>39</v>
      </c>
      <c r="AE278">
        <f t="shared" si="4"/>
        <v>0</v>
      </c>
    </row>
    <row r="279" spans="1:31" x14ac:dyDescent="0.35">
      <c r="A279">
        <v>100278</v>
      </c>
      <c r="B279" s="3">
        <v>46002</v>
      </c>
      <c r="C279">
        <v>1077</v>
      </c>
      <c r="D279" t="s">
        <v>59</v>
      </c>
      <c r="E279" t="s">
        <v>70</v>
      </c>
      <c r="F279" t="s">
        <v>61</v>
      </c>
      <c r="G279" t="s">
        <v>46</v>
      </c>
      <c r="H279" t="s">
        <v>51</v>
      </c>
      <c r="I279" t="s">
        <v>42</v>
      </c>
      <c r="J279" s="4">
        <v>31.13</v>
      </c>
      <c r="K279" s="4">
        <v>15.7</v>
      </c>
      <c r="L279">
        <v>0</v>
      </c>
      <c r="M279" s="4">
        <v>0</v>
      </c>
      <c r="N279" s="4">
        <v>488.74</v>
      </c>
      <c r="O279" s="4">
        <v>250.12</v>
      </c>
      <c r="P279" s="4">
        <v>6.56</v>
      </c>
      <c r="Q279" s="4">
        <v>7.33</v>
      </c>
      <c r="R279" s="4">
        <v>2.86</v>
      </c>
      <c r="S279" s="4">
        <v>0</v>
      </c>
      <c r="T279" s="4">
        <v>0</v>
      </c>
      <c r="U279" s="4">
        <v>266.87</v>
      </c>
      <c r="V279" s="4">
        <v>221.87</v>
      </c>
      <c r="W279" t="s">
        <v>21</v>
      </c>
      <c r="X279" t="s">
        <v>36</v>
      </c>
      <c r="Y279" s="4">
        <v>24</v>
      </c>
      <c r="Z279" s="4">
        <v>3</v>
      </c>
      <c r="AA279" t="s">
        <v>52</v>
      </c>
      <c r="AB279" t="s">
        <v>44</v>
      </c>
      <c r="AC279" s="7">
        <v>2</v>
      </c>
      <c r="AD279" t="s">
        <v>45</v>
      </c>
      <c r="AE279">
        <f t="shared" si="4"/>
        <v>1</v>
      </c>
    </row>
    <row r="280" spans="1:31" x14ac:dyDescent="0.35">
      <c r="A280">
        <v>100279</v>
      </c>
      <c r="B280" s="3">
        <v>45966</v>
      </c>
      <c r="C280">
        <v>1086</v>
      </c>
      <c r="D280" t="s">
        <v>30</v>
      </c>
      <c r="E280" t="s">
        <v>40</v>
      </c>
      <c r="F280" t="s">
        <v>71</v>
      </c>
      <c r="G280" t="s">
        <v>63</v>
      </c>
      <c r="H280" t="s">
        <v>34</v>
      </c>
      <c r="I280" t="s">
        <v>69</v>
      </c>
      <c r="J280" s="4">
        <v>13.65</v>
      </c>
      <c r="K280" s="4">
        <v>13.03</v>
      </c>
      <c r="L280">
        <v>5</v>
      </c>
      <c r="M280" s="4">
        <v>8.89</v>
      </c>
      <c r="N280" s="4">
        <v>168.97</v>
      </c>
      <c r="O280" s="4">
        <v>93.73</v>
      </c>
      <c r="P280" s="4">
        <v>10.58</v>
      </c>
      <c r="Q280" s="4">
        <v>0.71</v>
      </c>
      <c r="R280" s="4">
        <v>4.24</v>
      </c>
      <c r="S280" s="4">
        <v>0</v>
      </c>
      <c r="T280" s="4">
        <v>0</v>
      </c>
      <c r="U280" s="4">
        <v>109.26</v>
      </c>
      <c r="V280" s="4">
        <v>59.71</v>
      </c>
      <c r="W280" t="s">
        <v>21</v>
      </c>
      <c r="X280" t="s">
        <v>36</v>
      </c>
      <c r="Y280" s="4">
        <v>15</v>
      </c>
      <c r="Z280" s="4">
        <v>9</v>
      </c>
      <c r="AA280" t="s">
        <v>37</v>
      </c>
      <c r="AB280" t="s">
        <v>38</v>
      </c>
      <c r="AC280" s="7">
        <v>0</v>
      </c>
      <c r="AD280" t="s">
        <v>39</v>
      </c>
      <c r="AE280">
        <f t="shared" si="4"/>
        <v>0</v>
      </c>
    </row>
    <row r="281" spans="1:31" x14ac:dyDescent="0.35">
      <c r="A281">
        <v>100280</v>
      </c>
      <c r="B281" s="3">
        <v>45985</v>
      </c>
      <c r="C281">
        <v>1147</v>
      </c>
      <c r="D281" t="s">
        <v>47</v>
      </c>
      <c r="E281" t="s">
        <v>74</v>
      </c>
      <c r="F281" t="s">
        <v>32</v>
      </c>
      <c r="G281" t="s">
        <v>63</v>
      </c>
      <c r="H281" t="s">
        <v>34</v>
      </c>
      <c r="I281" t="s">
        <v>35</v>
      </c>
      <c r="J281" s="4">
        <v>12.57</v>
      </c>
      <c r="K281" s="4">
        <v>12.68</v>
      </c>
      <c r="L281">
        <v>10</v>
      </c>
      <c r="M281" s="4">
        <v>15.94</v>
      </c>
      <c r="N281" s="4">
        <v>143.44999999999999</v>
      </c>
      <c r="O281" s="4">
        <v>69.27</v>
      </c>
      <c r="P281" s="4">
        <v>9.92</v>
      </c>
      <c r="Q281" s="4">
        <v>1.1200000000000001</v>
      </c>
      <c r="R281" s="4">
        <v>8.02</v>
      </c>
      <c r="S281" s="4">
        <v>0</v>
      </c>
      <c r="T281" s="4">
        <v>0</v>
      </c>
      <c r="U281" s="4">
        <v>88.33</v>
      </c>
      <c r="V281" s="4">
        <v>55.12</v>
      </c>
      <c r="W281" t="s">
        <v>21</v>
      </c>
      <c r="X281" t="s">
        <v>36</v>
      </c>
      <c r="Y281" s="4">
        <v>4</v>
      </c>
      <c r="Z281" s="4">
        <v>1</v>
      </c>
      <c r="AA281" t="s">
        <v>37</v>
      </c>
      <c r="AB281" t="s">
        <v>38</v>
      </c>
      <c r="AC281" s="7">
        <v>0</v>
      </c>
      <c r="AD281" t="s">
        <v>39</v>
      </c>
      <c r="AE281">
        <f t="shared" si="4"/>
        <v>0</v>
      </c>
    </row>
    <row r="282" spans="1:31" x14ac:dyDescent="0.35">
      <c r="A282">
        <v>100281</v>
      </c>
      <c r="B282" s="3">
        <v>45961</v>
      </c>
      <c r="C282">
        <v>1053</v>
      </c>
      <c r="D282" t="s">
        <v>47</v>
      </c>
      <c r="E282" t="s">
        <v>56</v>
      </c>
      <c r="F282" t="s">
        <v>41</v>
      </c>
      <c r="G282" t="s">
        <v>46</v>
      </c>
      <c r="H282" t="s">
        <v>34</v>
      </c>
      <c r="I282" t="s">
        <v>42</v>
      </c>
      <c r="J282" s="4">
        <v>28.36</v>
      </c>
      <c r="K282" s="4">
        <v>16.57</v>
      </c>
      <c r="L282">
        <v>10</v>
      </c>
      <c r="M282" s="4">
        <v>46.99</v>
      </c>
      <c r="N282" s="4">
        <v>422.94</v>
      </c>
      <c r="O282" s="4">
        <v>239.27</v>
      </c>
      <c r="P282" s="4">
        <v>6.94</v>
      </c>
      <c r="Q282" s="4">
        <v>7.05</v>
      </c>
      <c r="R282" s="4">
        <v>4.8499999999999996</v>
      </c>
      <c r="S282" s="4">
        <v>0</v>
      </c>
      <c r="T282" s="4">
        <v>0</v>
      </c>
      <c r="U282" s="4">
        <v>258.11</v>
      </c>
      <c r="V282" s="4">
        <v>164.83</v>
      </c>
      <c r="W282" t="s">
        <v>21</v>
      </c>
      <c r="X282" t="s">
        <v>36</v>
      </c>
      <c r="Y282" s="4">
        <v>12</v>
      </c>
      <c r="Z282" s="4">
        <v>1</v>
      </c>
      <c r="AA282" t="s">
        <v>37</v>
      </c>
      <c r="AB282" t="s">
        <v>38</v>
      </c>
      <c r="AC282" s="7">
        <v>0</v>
      </c>
      <c r="AD282" t="s">
        <v>39</v>
      </c>
      <c r="AE282">
        <f t="shared" si="4"/>
        <v>0</v>
      </c>
    </row>
    <row r="283" spans="1:31" x14ac:dyDescent="0.35">
      <c r="A283">
        <v>100282</v>
      </c>
      <c r="B283" s="3">
        <v>45957</v>
      </c>
      <c r="C283">
        <v>1082</v>
      </c>
      <c r="D283" t="s">
        <v>59</v>
      </c>
      <c r="E283" t="s">
        <v>68</v>
      </c>
      <c r="F283" t="s">
        <v>61</v>
      </c>
      <c r="G283" t="s">
        <v>33</v>
      </c>
      <c r="H283" t="s">
        <v>34</v>
      </c>
      <c r="I283" t="s">
        <v>42</v>
      </c>
      <c r="J283" s="4">
        <v>49.67</v>
      </c>
      <c r="K283" s="4">
        <v>20.59</v>
      </c>
      <c r="L283">
        <v>10</v>
      </c>
      <c r="M283" s="4">
        <v>102.27</v>
      </c>
      <c r="N283" s="4">
        <v>920.44</v>
      </c>
      <c r="O283" s="4">
        <v>303.67</v>
      </c>
      <c r="P283" s="4">
        <v>16.93</v>
      </c>
      <c r="Q283" s="4">
        <v>15.34</v>
      </c>
      <c r="R283" s="4">
        <v>9.15</v>
      </c>
      <c r="S283" s="4">
        <v>0</v>
      </c>
      <c r="T283" s="4">
        <v>0</v>
      </c>
      <c r="U283" s="4">
        <v>345.09</v>
      </c>
      <c r="V283" s="4">
        <v>575.35</v>
      </c>
      <c r="W283" t="s">
        <v>21</v>
      </c>
      <c r="X283" t="s">
        <v>36</v>
      </c>
      <c r="Y283" s="4">
        <v>17</v>
      </c>
      <c r="Z283" s="4">
        <v>12</v>
      </c>
      <c r="AA283" t="s">
        <v>52</v>
      </c>
      <c r="AB283" t="s">
        <v>38</v>
      </c>
      <c r="AC283" s="7">
        <v>0</v>
      </c>
      <c r="AD283" t="s">
        <v>39</v>
      </c>
      <c r="AE283">
        <f t="shared" si="4"/>
        <v>0</v>
      </c>
    </row>
    <row r="284" spans="1:31" x14ac:dyDescent="0.35">
      <c r="A284">
        <v>100283</v>
      </c>
      <c r="B284" s="3">
        <v>46008</v>
      </c>
      <c r="C284">
        <v>1017</v>
      </c>
      <c r="D284" t="s">
        <v>59</v>
      </c>
      <c r="E284" t="s">
        <v>73</v>
      </c>
      <c r="F284" t="s">
        <v>71</v>
      </c>
      <c r="G284" t="s">
        <v>63</v>
      </c>
      <c r="H284" t="s">
        <v>57</v>
      </c>
      <c r="I284" t="s">
        <v>35</v>
      </c>
      <c r="J284" s="4">
        <v>6.01</v>
      </c>
      <c r="K284" s="4">
        <v>11.35</v>
      </c>
      <c r="L284">
        <v>5</v>
      </c>
      <c r="M284" s="4">
        <v>3.41</v>
      </c>
      <c r="N284" s="4">
        <v>64.8</v>
      </c>
      <c r="O284" s="4">
        <v>38.18</v>
      </c>
      <c r="P284" s="4">
        <v>16.27</v>
      </c>
      <c r="Q284" s="4">
        <v>0.48</v>
      </c>
      <c r="R284" s="4">
        <v>4.59</v>
      </c>
      <c r="S284" s="4">
        <v>63.11</v>
      </c>
      <c r="T284" s="4">
        <v>14.88</v>
      </c>
      <c r="U284" s="4">
        <v>137.51</v>
      </c>
      <c r="V284" s="4">
        <v>-72.709999999999994</v>
      </c>
      <c r="W284" t="s">
        <v>58</v>
      </c>
      <c r="X284" t="s">
        <v>55</v>
      </c>
      <c r="Y284" s="4">
        <v>0</v>
      </c>
      <c r="Z284" s="4">
        <v>9</v>
      </c>
      <c r="AA284" t="s">
        <v>37</v>
      </c>
      <c r="AB284" t="s">
        <v>44</v>
      </c>
      <c r="AC284" s="7">
        <v>4</v>
      </c>
      <c r="AD284" t="s">
        <v>45</v>
      </c>
      <c r="AE284">
        <f t="shared" si="4"/>
        <v>1</v>
      </c>
    </row>
    <row r="285" spans="1:31" x14ac:dyDescent="0.35">
      <c r="A285">
        <v>100284</v>
      </c>
      <c r="B285" s="3">
        <v>45967</v>
      </c>
      <c r="C285">
        <v>1021</v>
      </c>
      <c r="D285" t="s">
        <v>64</v>
      </c>
      <c r="E285" t="s">
        <v>65</v>
      </c>
      <c r="F285" t="s">
        <v>32</v>
      </c>
      <c r="G285" t="s">
        <v>50</v>
      </c>
      <c r="H285" t="s">
        <v>51</v>
      </c>
      <c r="I285" t="s">
        <v>35</v>
      </c>
      <c r="J285" s="4">
        <v>26.37</v>
      </c>
      <c r="K285" s="4">
        <v>16.989999999999998</v>
      </c>
      <c r="L285">
        <v>0</v>
      </c>
      <c r="M285" s="4">
        <v>0</v>
      </c>
      <c r="N285" s="4">
        <v>448.03</v>
      </c>
      <c r="O285" s="4">
        <v>199.6</v>
      </c>
      <c r="P285" s="4">
        <v>9.48</v>
      </c>
      <c r="Q285" s="4">
        <v>3.14</v>
      </c>
      <c r="R285" s="4">
        <v>9.14</v>
      </c>
      <c r="S285" s="4">
        <v>0</v>
      </c>
      <c r="T285" s="4">
        <v>0</v>
      </c>
      <c r="U285" s="4">
        <v>221.36</v>
      </c>
      <c r="V285" s="4">
        <v>226.67</v>
      </c>
      <c r="W285" t="s">
        <v>21</v>
      </c>
      <c r="X285" t="s">
        <v>36</v>
      </c>
      <c r="Y285" s="4">
        <v>2</v>
      </c>
      <c r="Z285" s="4">
        <v>5</v>
      </c>
      <c r="AA285" t="s">
        <v>37</v>
      </c>
      <c r="AB285" t="s">
        <v>38</v>
      </c>
      <c r="AC285" s="7">
        <v>0</v>
      </c>
      <c r="AD285" t="s">
        <v>39</v>
      </c>
      <c r="AE285">
        <f t="shared" si="4"/>
        <v>0</v>
      </c>
    </row>
    <row r="286" spans="1:31" x14ac:dyDescent="0.35">
      <c r="A286">
        <v>100285</v>
      </c>
      <c r="B286" s="3">
        <v>45964</v>
      </c>
      <c r="C286">
        <v>1107</v>
      </c>
      <c r="D286" t="s">
        <v>30</v>
      </c>
      <c r="E286" t="s">
        <v>62</v>
      </c>
      <c r="F286" t="s">
        <v>61</v>
      </c>
      <c r="G286" t="s">
        <v>63</v>
      </c>
      <c r="H286" t="s">
        <v>34</v>
      </c>
      <c r="I286" t="s">
        <v>35</v>
      </c>
      <c r="J286" s="4">
        <v>10.82</v>
      </c>
      <c r="K286" s="4">
        <v>12.19</v>
      </c>
      <c r="L286">
        <v>0</v>
      </c>
      <c r="M286" s="4">
        <v>0</v>
      </c>
      <c r="N286" s="4">
        <v>131.9</v>
      </c>
      <c r="O286" s="4">
        <v>78.14</v>
      </c>
      <c r="P286" s="4">
        <v>5.6</v>
      </c>
      <c r="Q286" s="4">
        <v>0.92</v>
      </c>
      <c r="R286" s="4">
        <v>0</v>
      </c>
      <c r="S286" s="4">
        <v>0</v>
      </c>
      <c r="T286" s="4">
        <v>0</v>
      </c>
      <c r="U286" s="4">
        <v>84.66</v>
      </c>
      <c r="V286" s="4">
        <v>47.24</v>
      </c>
      <c r="W286" t="s">
        <v>21</v>
      </c>
      <c r="X286" t="s">
        <v>36</v>
      </c>
      <c r="Y286" s="4">
        <v>4</v>
      </c>
      <c r="Z286" s="4">
        <v>15</v>
      </c>
      <c r="AA286" t="s">
        <v>37</v>
      </c>
      <c r="AB286" t="s">
        <v>38</v>
      </c>
      <c r="AC286" s="7">
        <v>1</v>
      </c>
      <c r="AD286" t="s">
        <v>39</v>
      </c>
      <c r="AE286">
        <f t="shared" si="4"/>
        <v>0</v>
      </c>
    </row>
    <row r="287" spans="1:31" x14ac:dyDescent="0.35">
      <c r="A287">
        <v>100286</v>
      </c>
      <c r="B287" s="3">
        <v>45980</v>
      </c>
      <c r="C287">
        <v>1006</v>
      </c>
      <c r="D287" t="s">
        <v>30</v>
      </c>
      <c r="E287" t="s">
        <v>40</v>
      </c>
      <c r="F287" t="s">
        <v>61</v>
      </c>
      <c r="G287" t="s">
        <v>33</v>
      </c>
      <c r="H287" t="s">
        <v>34</v>
      </c>
      <c r="I287" t="s">
        <v>35</v>
      </c>
      <c r="J287" s="4">
        <v>33.86</v>
      </c>
      <c r="K287" s="4">
        <v>19.53</v>
      </c>
      <c r="L287">
        <v>0</v>
      </c>
      <c r="M287" s="4">
        <v>0</v>
      </c>
      <c r="N287" s="4">
        <v>661.29</v>
      </c>
      <c r="O287" s="4">
        <v>215.75</v>
      </c>
      <c r="P287" s="4">
        <v>10.94</v>
      </c>
      <c r="Q287" s="4">
        <v>4.63</v>
      </c>
      <c r="R287" s="4">
        <v>5.52</v>
      </c>
      <c r="S287" s="4">
        <v>0</v>
      </c>
      <c r="T287" s="4">
        <v>0</v>
      </c>
      <c r="U287" s="4">
        <v>236.84</v>
      </c>
      <c r="V287" s="4">
        <v>424.45</v>
      </c>
      <c r="W287" t="s">
        <v>21</v>
      </c>
      <c r="X287" t="s">
        <v>36</v>
      </c>
      <c r="Y287" s="4">
        <v>12</v>
      </c>
      <c r="Z287" s="4">
        <v>7</v>
      </c>
      <c r="AA287" t="s">
        <v>37</v>
      </c>
      <c r="AB287" t="s">
        <v>38</v>
      </c>
      <c r="AC287" s="7">
        <v>0</v>
      </c>
      <c r="AD287" t="s">
        <v>39</v>
      </c>
      <c r="AE287">
        <f t="shared" si="4"/>
        <v>0</v>
      </c>
    </row>
    <row r="288" spans="1:31" x14ac:dyDescent="0.35">
      <c r="A288">
        <v>100287</v>
      </c>
      <c r="B288" s="3">
        <v>45951</v>
      </c>
      <c r="C288">
        <v>1145</v>
      </c>
      <c r="D288" t="s">
        <v>47</v>
      </c>
      <c r="E288" t="s">
        <v>53</v>
      </c>
      <c r="F288" t="s">
        <v>41</v>
      </c>
      <c r="G288" t="s">
        <v>63</v>
      </c>
      <c r="H288" t="s">
        <v>51</v>
      </c>
      <c r="I288" t="s">
        <v>42</v>
      </c>
      <c r="J288" s="4">
        <v>19.23</v>
      </c>
      <c r="K288" s="4">
        <v>13.33</v>
      </c>
      <c r="L288">
        <v>0</v>
      </c>
      <c r="M288" s="4">
        <v>0</v>
      </c>
      <c r="N288" s="4">
        <v>256.33999999999997</v>
      </c>
      <c r="O288" s="4">
        <v>159.97</v>
      </c>
      <c r="P288" s="4">
        <v>10.97</v>
      </c>
      <c r="Q288" s="4">
        <v>3.85</v>
      </c>
      <c r="R288" s="4">
        <v>4.55</v>
      </c>
      <c r="S288" s="4">
        <v>0</v>
      </c>
      <c r="T288" s="4">
        <v>0</v>
      </c>
      <c r="U288" s="4">
        <v>179.34</v>
      </c>
      <c r="V288" s="4">
        <v>77</v>
      </c>
      <c r="W288" t="s">
        <v>21</v>
      </c>
      <c r="X288" t="s">
        <v>36</v>
      </c>
      <c r="Y288" s="4">
        <v>1</v>
      </c>
      <c r="Z288" s="4">
        <v>5</v>
      </c>
      <c r="AA288" t="s">
        <v>37</v>
      </c>
      <c r="AB288" t="s">
        <v>38</v>
      </c>
      <c r="AC288" s="7">
        <v>0</v>
      </c>
      <c r="AD288" t="s">
        <v>39</v>
      </c>
      <c r="AE288">
        <f t="shared" si="4"/>
        <v>0</v>
      </c>
    </row>
    <row r="289" spans="1:31" x14ac:dyDescent="0.35">
      <c r="A289">
        <v>100288</v>
      </c>
      <c r="B289" s="3">
        <v>45967</v>
      </c>
      <c r="C289">
        <v>1042</v>
      </c>
      <c r="D289" t="s">
        <v>30</v>
      </c>
      <c r="E289" t="s">
        <v>72</v>
      </c>
      <c r="F289" t="s">
        <v>32</v>
      </c>
      <c r="G289" t="s">
        <v>33</v>
      </c>
      <c r="H289" t="s">
        <v>34</v>
      </c>
      <c r="I289" t="s">
        <v>35</v>
      </c>
      <c r="J289" s="4">
        <v>7.84</v>
      </c>
      <c r="K289" s="4">
        <v>19.23</v>
      </c>
      <c r="L289">
        <v>0</v>
      </c>
      <c r="M289" s="4">
        <v>0</v>
      </c>
      <c r="N289" s="4">
        <v>150.76</v>
      </c>
      <c r="O289" s="4">
        <v>57.08</v>
      </c>
      <c r="P289" s="4">
        <v>9.89</v>
      </c>
      <c r="Q289" s="4">
        <v>1.06</v>
      </c>
      <c r="R289" s="4">
        <v>8.33</v>
      </c>
      <c r="S289" s="4">
        <v>0</v>
      </c>
      <c r="T289" s="4">
        <v>0</v>
      </c>
      <c r="U289" s="4">
        <v>76.36</v>
      </c>
      <c r="V289" s="4">
        <v>74.400000000000006</v>
      </c>
      <c r="W289" t="s">
        <v>21</v>
      </c>
      <c r="X289" t="s">
        <v>36</v>
      </c>
      <c r="Y289" s="4">
        <v>0</v>
      </c>
      <c r="Z289" s="4">
        <v>16</v>
      </c>
      <c r="AA289" t="s">
        <v>37</v>
      </c>
      <c r="AB289" t="s">
        <v>44</v>
      </c>
      <c r="AC289" s="7">
        <v>1</v>
      </c>
      <c r="AD289" t="s">
        <v>45</v>
      </c>
      <c r="AE289">
        <f t="shared" si="4"/>
        <v>1</v>
      </c>
    </row>
    <row r="290" spans="1:31" x14ac:dyDescent="0.35">
      <c r="A290">
        <v>100289</v>
      </c>
      <c r="B290" s="3">
        <v>46001</v>
      </c>
      <c r="C290">
        <v>1083</v>
      </c>
      <c r="D290" t="s">
        <v>47</v>
      </c>
      <c r="E290" t="s">
        <v>48</v>
      </c>
      <c r="F290" t="s">
        <v>71</v>
      </c>
      <c r="G290" t="s">
        <v>63</v>
      </c>
      <c r="H290" t="s">
        <v>34</v>
      </c>
      <c r="I290" t="s">
        <v>35</v>
      </c>
      <c r="J290" s="4">
        <v>13.74</v>
      </c>
      <c r="K290" s="4">
        <v>12.9</v>
      </c>
      <c r="L290">
        <v>0</v>
      </c>
      <c r="M290" s="4">
        <v>0</v>
      </c>
      <c r="N290" s="4">
        <v>177.25</v>
      </c>
      <c r="O290" s="4">
        <v>70.97</v>
      </c>
      <c r="P290" s="4">
        <v>9.41</v>
      </c>
      <c r="Q290" s="4">
        <v>1.24</v>
      </c>
      <c r="R290" s="4">
        <v>12.72</v>
      </c>
      <c r="S290" s="4">
        <v>160.52000000000001</v>
      </c>
      <c r="T290" s="4">
        <v>0</v>
      </c>
      <c r="U290" s="4">
        <v>254.86</v>
      </c>
      <c r="V290" s="4">
        <v>-77.61</v>
      </c>
      <c r="W290" t="s">
        <v>58</v>
      </c>
      <c r="X290" t="s">
        <v>66</v>
      </c>
      <c r="Y290" s="4">
        <v>21</v>
      </c>
      <c r="Z290" s="4">
        <v>2</v>
      </c>
      <c r="AA290" t="s">
        <v>52</v>
      </c>
      <c r="AB290" t="s">
        <v>44</v>
      </c>
      <c r="AC290" s="7">
        <v>1</v>
      </c>
      <c r="AD290" t="s">
        <v>45</v>
      </c>
      <c r="AE290">
        <f t="shared" si="4"/>
        <v>1</v>
      </c>
    </row>
    <row r="291" spans="1:31" x14ac:dyDescent="0.35">
      <c r="A291">
        <v>100290</v>
      </c>
      <c r="B291" s="3">
        <v>45982</v>
      </c>
      <c r="C291">
        <v>1054</v>
      </c>
      <c r="D291" t="s">
        <v>30</v>
      </c>
      <c r="E291" t="s">
        <v>62</v>
      </c>
      <c r="F291" t="s">
        <v>41</v>
      </c>
      <c r="G291" t="s">
        <v>50</v>
      </c>
      <c r="H291" t="s">
        <v>34</v>
      </c>
      <c r="I291" t="s">
        <v>35</v>
      </c>
      <c r="J291" s="4">
        <v>9.91</v>
      </c>
      <c r="K291" s="4">
        <v>16.72</v>
      </c>
      <c r="L291">
        <v>0</v>
      </c>
      <c r="M291" s="4">
        <v>0</v>
      </c>
      <c r="N291" s="4">
        <v>165.7</v>
      </c>
      <c r="O291" s="4">
        <v>76.650000000000006</v>
      </c>
      <c r="P291" s="4">
        <v>10.1</v>
      </c>
      <c r="Q291" s="4">
        <v>1.1599999999999999</v>
      </c>
      <c r="R291" s="4">
        <v>0</v>
      </c>
      <c r="S291" s="4">
        <v>0</v>
      </c>
      <c r="T291" s="4">
        <v>0</v>
      </c>
      <c r="U291" s="4">
        <v>87.91</v>
      </c>
      <c r="V291" s="4">
        <v>77.790000000000006</v>
      </c>
      <c r="W291" t="s">
        <v>21</v>
      </c>
      <c r="X291" t="s">
        <v>36</v>
      </c>
      <c r="Y291" s="4">
        <v>3</v>
      </c>
      <c r="Z291" s="4">
        <v>4</v>
      </c>
      <c r="AA291" t="s">
        <v>37</v>
      </c>
      <c r="AB291" t="s">
        <v>38</v>
      </c>
      <c r="AC291" s="7">
        <v>0</v>
      </c>
      <c r="AD291" t="s">
        <v>39</v>
      </c>
      <c r="AE291">
        <f t="shared" si="4"/>
        <v>0</v>
      </c>
    </row>
    <row r="292" spans="1:31" x14ac:dyDescent="0.35">
      <c r="A292">
        <v>100291</v>
      </c>
      <c r="B292" s="3">
        <v>45977</v>
      </c>
      <c r="C292">
        <v>1132</v>
      </c>
      <c r="D292" t="s">
        <v>47</v>
      </c>
      <c r="E292" t="s">
        <v>56</v>
      </c>
      <c r="F292" t="s">
        <v>71</v>
      </c>
      <c r="G292" t="s">
        <v>50</v>
      </c>
      <c r="H292" t="s">
        <v>57</v>
      </c>
      <c r="I292" t="s">
        <v>42</v>
      </c>
      <c r="J292" s="4">
        <v>14.02</v>
      </c>
      <c r="K292" s="4">
        <v>16.57</v>
      </c>
      <c r="L292">
        <v>10</v>
      </c>
      <c r="M292" s="4">
        <v>23.23</v>
      </c>
      <c r="N292" s="4">
        <v>209.08</v>
      </c>
      <c r="O292" s="4">
        <v>112.12</v>
      </c>
      <c r="P292" s="4">
        <v>9.99</v>
      </c>
      <c r="Q292" s="4">
        <v>3.48</v>
      </c>
      <c r="R292" s="4">
        <v>13.12</v>
      </c>
      <c r="S292" s="4">
        <v>0</v>
      </c>
      <c r="T292" s="4">
        <v>0</v>
      </c>
      <c r="U292" s="4">
        <v>138.71</v>
      </c>
      <c r="V292" s="4">
        <v>70.37</v>
      </c>
      <c r="W292" t="s">
        <v>21</v>
      </c>
      <c r="X292" t="s">
        <v>36</v>
      </c>
      <c r="Y292" s="4">
        <v>4</v>
      </c>
      <c r="Z292" s="4">
        <v>11</v>
      </c>
      <c r="AA292" t="s">
        <v>37</v>
      </c>
      <c r="AB292" t="s">
        <v>38</v>
      </c>
      <c r="AC292" s="7">
        <v>0</v>
      </c>
      <c r="AD292" t="s">
        <v>39</v>
      </c>
      <c r="AE292">
        <f t="shared" si="4"/>
        <v>0</v>
      </c>
    </row>
    <row r="293" spans="1:31" x14ac:dyDescent="0.35">
      <c r="A293">
        <v>100292</v>
      </c>
      <c r="B293" s="3">
        <v>46018</v>
      </c>
      <c r="C293">
        <v>1115</v>
      </c>
      <c r="D293" t="s">
        <v>64</v>
      </c>
      <c r="E293" t="s">
        <v>67</v>
      </c>
      <c r="F293" t="s">
        <v>61</v>
      </c>
      <c r="G293" t="s">
        <v>63</v>
      </c>
      <c r="H293" t="s">
        <v>34</v>
      </c>
      <c r="I293" t="s">
        <v>69</v>
      </c>
      <c r="J293" s="4">
        <v>20.9</v>
      </c>
      <c r="K293" s="4">
        <v>12.77</v>
      </c>
      <c r="L293">
        <v>0</v>
      </c>
      <c r="M293" s="4">
        <v>0</v>
      </c>
      <c r="N293" s="4">
        <v>266.89</v>
      </c>
      <c r="O293" s="4">
        <v>146.41999999999999</v>
      </c>
      <c r="P293" s="4">
        <v>11.03</v>
      </c>
      <c r="Q293" s="4">
        <v>1.07</v>
      </c>
      <c r="R293" s="4">
        <v>0</v>
      </c>
      <c r="S293" s="4">
        <v>0</v>
      </c>
      <c r="T293" s="4">
        <v>0</v>
      </c>
      <c r="U293" s="4">
        <v>158.52000000000001</v>
      </c>
      <c r="V293" s="4">
        <v>108.37</v>
      </c>
      <c r="W293" t="s">
        <v>21</v>
      </c>
      <c r="X293" t="s">
        <v>36</v>
      </c>
      <c r="Y293" s="4">
        <v>0</v>
      </c>
      <c r="Z293" s="4">
        <v>17</v>
      </c>
      <c r="AA293" t="s">
        <v>37</v>
      </c>
      <c r="AB293" t="s">
        <v>44</v>
      </c>
      <c r="AC293" s="7">
        <v>1</v>
      </c>
      <c r="AD293" t="s">
        <v>45</v>
      </c>
      <c r="AE293">
        <f t="shared" si="4"/>
        <v>1</v>
      </c>
    </row>
    <row r="294" spans="1:31" x14ac:dyDescent="0.35">
      <c r="A294">
        <v>100293</v>
      </c>
      <c r="B294" s="3">
        <v>45943</v>
      </c>
      <c r="C294">
        <v>1032</v>
      </c>
      <c r="D294" t="s">
        <v>30</v>
      </c>
      <c r="E294" t="s">
        <v>72</v>
      </c>
      <c r="F294" t="s">
        <v>49</v>
      </c>
      <c r="G294" t="s">
        <v>50</v>
      </c>
      <c r="H294" t="s">
        <v>34</v>
      </c>
      <c r="I294" t="s">
        <v>42</v>
      </c>
      <c r="J294" s="4">
        <v>25.37</v>
      </c>
      <c r="K294" s="4">
        <v>17.2</v>
      </c>
      <c r="L294">
        <v>0</v>
      </c>
      <c r="M294" s="4">
        <v>0</v>
      </c>
      <c r="N294" s="4">
        <v>436.36</v>
      </c>
      <c r="O294" s="4">
        <v>180.7</v>
      </c>
      <c r="P294" s="4">
        <v>12.82</v>
      </c>
      <c r="Q294" s="4">
        <v>6.55</v>
      </c>
      <c r="R294" s="4">
        <v>10.26</v>
      </c>
      <c r="S294" s="4">
        <v>0</v>
      </c>
      <c r="T294" s="4">
        <v>0</v>
      </c>
      <c r="U294" s="4">
        <v>210.33</v>
      </c>
      <c r="V294" s="4">
        <v>226.03</v>
      </c>
      <c r="W294" t="s">
        <v>21</v>
      </c>
      <c r="X294" t="s">
        <v>36</v>
      </c>
      <c r="Y294" s="4">
        <v>5</v>
      </c>
      <c r="Z294" s="4">
        <v>3</v>
      </c>
      <c r="AA294" t="s">
        <v>37</v>
      </c>
      <c r="AB294" t="s">
        <v>38</v>
      </c>
      <c r="AC294" s="7">
        <v>0</v>
      </c>
      <c r="AD294" t="s">
        <v>39</v>
      </c>
      <c r="AE294">
        <f t="shared" si="4"/>
        <v>0</v>
      </c>
    </row>
    <row r="295" spans="1:31" x14ac:dyDescent="0.35">
      <c r="A295">
        <v>100294</v>
      </c>
      <c r="B295" s="3">
        <v>45992</v>
      </c>
      <c r="C295">
        <v>1103</v>
      </c>
      <c r="D295" t="s">
        <v>47</v>
      </c>
      <c r="E295" t="s">
        <v>56</v>
      </c>
      <c r="F295" t="s">
        <v>71</v>
      </c>
      <c r="G295" t="s">
        <v>33</v>
      </c>
      <c r="H295" t="s">
        <v>57</v>
      </c>
      <c r="I295" t="s">
        <v>35</v>
      </c>
      <c r="J295" s="4">
        <v>27.59</v>
      </c>
      <c r="K295" s="4">
        <v>19.43</v>
      </c>
      <c r="L295">
        <v>0</v>
      </c>
      <c r="M295" s="4">
        <v>0</v>
      </c>
      <c r="N295" s="4">
        <v>536.07000000000005</v>
      </c>
      <c r="O295" s="4">
        <v>193.57</v>
      </c>
      <c r="P295" s="4">
        <v>11.33</v>
      </c>
      <c r="Q295" s="4">
        <v>3.75</v>
      </c>
      <c r="R295" s="4">
        <v>3.98</v>
      </c>
      <c r="S295" s="4">
        <v>0</v>
      </c>
      <c r="T295" s="4">
        <v>0</v>
      </c>
      <c r="U295" s="4">
        <v>212.63</v>
      </c>
      <c r="V295" s="4">
        <v>323.44</v>
      </c>
      <c r="W295" t="s">
        <v>21</v>
      </c>
      <c r="X295" t="s">
        <v>36</v>
      </c>
      <c r="Y295" s="4">
        <v>19</v>
      </c>
      <c r="Z295" s="4">
        <v>4</v>
      </c>
      <c r="AA295" t="s">
        <v>52</v>
      </c>
      <c r="AB295" t="s">
        <v>38</v>
      </c>
      <c r="AC295" s="7">
        <v>0</v>
      </c>
      <c r="AD295" t="s">
        <v>39</v>
      </c>
      <c r="AE295">
        <f t="shared" si="4"/>
        <v>0</v>
      </c>
    </row>
    <row r="296" spans="1:31" x14ac:dyDescent="0.35">
      <c r="A296">
        <v>100295</v>
      </c>
      <c r="B296" s="3">
        <v>46019</v>
      </c>
      <c r="C296">
        <v>1030</v>
      </c>
      <c r="D296" t="s">
        <v>47</v>
      </c>
      <c r="E296" t="s">
        <v>53</v>
      </c>
      <c r="F296" t="s">
        <v>41</v>
      </c>
      <c r="G296" t="s">
        <v>63</v>
      </c>
      <c r="H296" t="s">
        <v>34</v>
      </c>
      <c r="I296" t="s">
        <v>69</v>
      </c>
      <c r="J296" s="4">
        <v>13.84</v>
      </c>
      <c r="K296" s="4">
        <v>13.03</v>
      </c>
      <c r="L296">
        <v>10</v>
      </c>
      <c r="M296" s="4">
        <v>18.03</v>
      </c>
      <c r="N296" s="4">
        <v>162.31</v>
      </c>
      <c r="O296" s="4">
        <v>96.87</v>
      </c>
      <c r="P296" s="4">
        <v>4</v>
      </c>
      <c r="Q296" s="4">
        <v>0.72</v>
      </c>
      <c r="R296" s="4">
        <v>4.46</v>
      </c>
      <c r="S296" s="4">
        <v>0</v>
      </c>
      <c r="T296" s="4">
        <v>0</v>
      </c>
      <c r="U296" s="4">
        <v>106.05</v>
      </c>
      <c r="V296" s="4">
        <v>56.26</v>
      </c>
      <c r="W296" t="s">
        <v>21</v>
      </c>
      <c r="X296" t="s">
        <v>36</v>
      </c>
      <c r="Y296" s="4">
        <v>1</v>
      </c>
      <c r="Z296" s="4">
        <v>7</v>
      </c>
      <c r="AA296" t="s">
        <v>37</v>
      </c>
      <c r="AB296" t="s">
        <v>38</v>
      </c>
      <c r="AC296" s="7">
        <v>0</v>
      </c>
      <c r="AD296" t="s">
        <v>39</v>
      </c>
      <c r="AE296">
        <f t="shared" si="4"/>
        <v>0</v>
      </c>
    </row>
    <row r="297" spans="1:31" x14ac:dyDescent="0.35">
      <c r="A297">
        <v>100296</v>
      </c>
      <c r="B297" s="3">
        <v>45947</v>
      </c>
      <c r="C297">
        <v>1022</v>
      </c>
      <c r="D297" t="s">
        <v>59</v>
      </c>
      <c r="E297" t="s">
        <v>68</v>
      </c>
      <c r="F297" t="s">
        <v>41</v>
      </c>
      <c r="G297" t="s">
        <v>50</v>
      </c>
      <c r="H297" t="s">
        <v>34</v>
      </c>
      <c r="I297" t="s">
        <v>35</v>
      </c>
      <c r="J297" s="4">
        <v>31.69</v>
      </c>
      <c r="K297" s="4">
        <v>17.239999999999998</v>
      </c>
      <c r="L297">
        <v>15</v>
      </c>
      <c r="M297" s="4">
        <v>81.95</v>
      </c>
      <c r="N297" s="4">
        <v>464.39</v>
      </c>
      <c r="O297" s="4">
        <v>204.65</v>
      </c>
      <c r="P297" s="4">
        <v>7.27</v>
      </c>
      <c r="Q297" s="4">
        <v>3.82</v>
      </c>
      <c r="R297" s="4">
        <v>6.4</v>
      </c>
      <c r="S297" s="4">
        <v>0</v>
      </c>
      <c r="T297" s="4">
        <v>0</v>
      </c>
      <c r="U297" s="4">
        <v>222.14</v>
      </c>
      <c r="V297" s="4">
        <v>242.25</v>
      </c>
      <c r="W297" t="s">
        <v>21</v>
      </c>
      <c r="X297" t="s">
        <v>36</v>
      </c>
      <c r="Y297" s="4">
        <v>32</v>
      </c>
      <c r="Z297" s="4">
        <v>12</v>
      </c>
      <c r="AA297" t="s">
        <v>43</v>
      </c>
      <c r="AB297" t="s">
        <v>44</v>
      </c>
      <c r="AC297" s="7">
        <v>1</v>
      </c>
      <c r="AD297" t="s">
        <v>45</v>
      </c>
      <c r="AE297">
        <f t="shared" si="4"/>
        <v>1</v>
      </c>
    </row>
    <row r="298" spans="1:31" x14ac:dyDescent="0.35">
      <c r="A298">
        <v>100297</v>
      </c>
      <c r="B298" s="3">
        <v>45952</v>
      </c>
      <c r="C298">
        <v>1071</v>
      </c>
      <c r="D298" t="s">
        <v>30</v>
      </c>
      <c r="E298" t="s">
        <v>40</v>
      </c>
      <c r="F298" t="s">
        <v>71</v>
      </c>
      <c r="G298" t="s">
        <v>50</v>
      </c>
      <c r="H298" t="s">
        <v>34</v>
      </c>
      <c r="I298" t="s">
        <v>35</v>
      </c>
      <c r="J298" s="4">
        <v>48.04</v>
      </c>
      <c r="K298" s="4">
        <v>18.559999999999999</v>
      </c>
      <c r="L298">
        <v>5</v>
      </c>
      <c r="M298" s="4">
        <v>44.58</v>
      </c>
      <c r="N298" s="4">
        <v>847.04</v>
      </c>
      <c r="O298" s="4">
        <v>345.38</v>
      </c>
      <c r="P298" s="4">
        <v>2.95</v>
      </c>
      <c r="Q298" s="4">
        <v>6.24</v>
      </c>
      <c r="R298" s="4">
        <v>8.16</v>
      </c>
      <c r="S298" s="4">
        <v>440.7</v>
      </c>
      <c r="T298" s="4">
        <v>0</v>
      </c>
      <c r="U298" s="4">
        <v>803.43</v>
      </c>
      <c r="V298" s="4">
        <v>43.61</v>
      </c>
      <c r="W298" t="s">
        <v>21</v>
      </c>
      <c r="X298" t="s">
        <v>66</v>
      </c>
      <c r="Y298" s="4">
        <v>9</v>
      </c>
      <c r="Z298" s="4">
        <v>44</v>
      </c>
      <c r="AA298" t="s">
        <v>37</v>
      </c>
      <c r="AB298" t="s">
        <v>44</v>
      </c>
      <c r="AC298" s="7">
        <v>3</v>
      </c>
      <c r="AD298" t="s">
        <v>45</v>
      </c>
      <c r="AE298">
        <f t="shared" si="4"/>
        <v>1</v>
      </c>
    </row>
    <row r="299" spans="1:31" x14ac:dyDescent="0.35">
      <c r="A299">
        <v>100298</v>
      </c>
      <c r="B299" s="3">
        <v>45962</v>
      </c>
      <c r="C299">
        <v>1111</v>
      </c>
      <c r="D299" t="s">
        <v>30</v>
      </c>
      <c r="E299" t="s">
        <v>62</v>
      </c>
      <c r="F299" t="s">
        <v>49</v>
      </c>
      <c r="G299" t="s">
        <v>63</v>
      </c>
      <c r="H299" t="s">
        <v>34</v>
      </c>
      <c r="I299" t="s">
        <v>35</v>
      </c>
      <c r="J299" s="4">
        <v>22.1</v>
      </c>
      <c r="K299" s="4">
        <v>11.83</v>
      </c>
      <c r="L299">
        <v>0</v>
      </c>
      <c r="M299" s="4">
        <v>0</v>
      </c>
      <c r="N299" s="4">
        <v>261.44</v>
      </c>
      <c r="O299" s="4">
        <v>182.17</v>
      </c>
      <c r="P299" s="4">
        <v>3.96</v>
      </c>
      <c r="Q299" s="4">
        <v>1.83</v>
      </c>
      <c r="R299" s="4">
        <v>11.26</v>
      </c>
      <c r="S299" s="4">
        <v>0</v>
      </c>
      <c r="T299" s="4">
        <v>0</v>
      </c>
      <c r="U299" s="4">
        <v>199.22</v>
      </c>
      <c r="V299" s="4">
        <v>62.22</v>
      </c>
      <c r="W299" t="s">
        <v>21</v>
      </c>
      <c r="X299" t="s">
        <v>36</v>
      </c>
      <c r="Y299" s="4">
        <v>5</v>
      </c>
      <c r="Z299" s="4">
        <v>2</v>
      </c>
      <c r="AA299" t="s">
        <v>37</v>
      </c>
      <c r="AB299" t="s">
        <v>38</v>
      </c>
      <c r="AC299" s="7">
        <v>0</v>
      </c>
      <c r="AD299" t="s">
        <v>39</v>
      </c>
      <c r="AE299">
        <f t="shared" si="4"/>
        <v>0</v>
      </c>
    </row>
    <row r="300" spans="1:31" x14ac:dyDescent="0.35">
      <c r="A300">
        <v>100299</v>
      </c>
      <c r="B300" s="3">
        <v>45973</v>
      </c>
      <c r="C300">
        <v>1040</v>
      </c>
      <c r="D300" t="s">
        <v>64</v>
      </c>
      <c r="E300" t="s">
        <v>65</v>
      </c>
      <c r="F300" t="s">
        <v>32</v>
      </c>
      <c r="G300" t="s">
        <v>46</v>
      </c>
      <c r="H300" t="s">
        <v>57</v>
      </c>
      <c r="I300" t="s">
        <v>54</v>
      </c>
      <c r="J300" s="4">
        <v>26.17</v>
      </c>
      <c r="K300" s="4">
        <v>15.55</v>
      </c>
      <c r="L300">
        <v>0</v>
      </c>
      <c r="M300" s="4">
        <v>0</v>
      </c>
      <c r="N300" s="4">
        <v>406.94</v>
      </c>
      <c r="O300" s="4">
        <v>148.96</v>
      </c>
      <c r="P300" s="4">
        <v>8.4499999999999993</v>
      </c>
      <c r="Q300" s="4">
        <v>4.88</v>
      </c>
      <c r="R300" s="4">
        <v>7.64</v>
      </c>
      <c r="S300" s="4">
        <v>0</v>
      </c>
      <c r="T300" s="4">
        <v>0</v>
      </c>
      <c r="U300" s="4">
        <v>169.93</v>
      </c>
      <c r="V300" s="4">
        <v>237.01</v>
      </c>
      <c r="W300" t="s">
        <v>21</v>
      </c>
      <c r="X300" t="s">
        <v>36</v>
      </c>
      <c r="Y300" s="4">
        <v>41</v>
      </c>
      <c r="Z300" s="4">
        <v>18</v>
      </c>
      <c r="AA300" t="s">
        <v>43</v>
      </c>
      <c r="AB300" t="s">
        <v>44</v>
      </c>
      <c r="AC300" s="7">
        <v>1</v>
      </c>
      <c r="AD300" t="s">
        <v>45</v>
      </c>
      <c r="AE300">
        <f t="shared" si="4"/>
        <v>1</v>
      </c>
    </row>
    <row r="301" spans="1:31" x14ac:dyDescent="0.35">
      <c r="A301">
        <v>100300</v>
      </c>
      <c r="B301" s="3">
        <v>45969</v>
      </c>
      <c r="C301">
        <v>1014</v>
      </c>
      <c r="D301" t="s">
        <v>64</v>
      </c>
      <c r="E301" t="s">
        <v>75</v>
      </c>
      <c r="F301" t="s">
        <v>71</v>
      </c>
      <c r="G301" t="s">
        <v>50</v>
      </c>
      <c r="H301" t="s">
        <v>34</v>
      </c>
      <c r="I301" t="s">
        <v>35</v>
      </c>
      <c r="J301" s="4">
        <v>30.59</v>
      </c>
      <c r="K301" s="4">
        <v>18.350000000000001</v>
      </c>
      <c r="L301">
        <v>5</v>
      </c>
      <c r="M301" s="4">
        <v>28.07</v>
      </c>
      <c r="N301" s="4">
        <v>533.26</v>
      </c>
      <c r="O301" s="4">
        <v>173.65</v>
      </c>
      <c r="P301" s="4">
        <v>4.26</v>
      </c>
      <c r="Q301" s="4">
        <v>3.93</v>
      </c>
      <c r="R301" s="4">
        <v>9.17</v>
      </c>
      <c r="S301" s="4">
        <v>0</v>
      </c>
      <c r="T301" s="4">
        <v>0</v>
      </c>
      <c r="U301" s="4">
        <v>191.01</v>
      </c>
      <c r="V301" s="4">
        <v>342.25</v>
      </c>
      <c r="W301" t="s">
        <v>21</v>
      </c>
      <c r="X301" t="s">
        <v>36</v>
      </c>
      <c r="Y301" s="4">
        <v>0</v>
      </c>
      <c r="Z301" s="4">
        <v>16</v>
      </c>
      <c r="AA301" t="s">
        <v>37</v>
      </c>
      <c r="AB301" t="s">
        <v>44</v>
      </c>
      <c r="AC301" s="7">
        <v>2</v>
      </c>
      <c r="AD301" t="s">
        <v>45</v>
      </c>
      <c r="AE301">
        <f t="shared" si="4"/>
        <v>1</v>
      </c>
    </row>
    <row r="302" spans="1:31" x14ac:dyDescent="0.35">
      <c r="A302">
        <v>100301</v>
      </c>
      <c r="B302" s="3">
        <v>45977</v>
      </c>
      <c r="C302">
        <v>1112</v>
      </c>
      <c r="D302" t="s">
        <v>30</v>
      </c>
      <c r="E302" t="s">
        <v>40</v>
      </c>
      <c r="F302" t="s">
        <v>49</v>
      </c>
      <c r="G302" t="s">
        <v>46</v>
      </c>
      <c r="H302" t="s">
        <v>34</v>
      </c>
      <c r="I302" t="s">
        <v>35</v>
      </c>
      <c r="J302" s="4">
        <v>41.06</v>
      </c>
      <c r="K302" s="4">
        <v>16.02</v>
      </c>
      <c r="L302">
        <v>0</v>
      </c>
      <c r="M302" s="4">
        <v>0</v>
      </c>
      <c r="N302" s="4">
        <v>657.78</v>
      </c>
      <c r="O302" s="4">
        <v>313.79000000000002</v>
      </c>
      <c r="P302" s="4">
        <v>5.86</v>
      </c>
      <c r="Q302" s="4">
        <v>4.5999999999999996</v>
      </c>
      <c r="R302" s="4">
        <v>0</v>
      </c>
      <c r="S302" s="4">
        <v>0</v>
      </c>
      <c r="T302" s="4">
        <v>0</v>
      </c>
      <c r="U302" s="4">
        <v>324.25</v>
      </c>
      <c r="V302" s="4">
        <v>333.53</v>
      </c>
      <c r="W302" t="s">
        <v>21</v>
      </c>
      <c r="X302" t="s">
        <v>36</v>
      </c>
      <c r="Y302" s="4">
        <v>6</v>
      </c>
      <c r="Z302" s="4">
        <v>4</v>
      </c>
      <c r="AA302" t="s">
        <v>37</v>
      </c>
      <c r="AB302" t="s">
        <v>38</v>
      </c>
      <c r="AC302" s="7">
        <v>0</v>
      </c>
      <c r="AD302" t="s">
        <v>39</v>
      </c>
      <c r="AE302">
        <f t="shared" si="4"/>
        <v>0</v>
      </c>
    </row>
    <row r="303" spans="1:31" x14ac:dyDescent="0.35">
      <c r="A303">
        <v>100302</v>
      </c>
      <c r="B303" s="3">
        <v>45973</v>
      </c>
      <c r="C303">
        <v>1060</v>
      </c>
      <c r="D303" t="s">
        <v>30</v>
      </c>
      <c r="E303" t="s">
        <v>62</v>
      </c>
      <c r="F303" t="s">
        <v>61</v>
      </c>
      <c r="G303" t="s">
        <v>63</v>
      </c>
      <c r="H303" t="s">
        <v>57</v>
      </c>
      <c r="I303" t="s">
        <v>69</v>
      </c>
      <c r="J303" s="4">
        <v>22.17</v>
      </c>
      <c r="K303" s="4">
        <v>12.06</v>
      </c>
      <c r="L303">
        <v>0</v>
      </c>
      <c r="M303" s="4">
        <v>0</v>
      </c>
      <c r="N303" s="4">
        <v>267.37</v>
      </c>
      <c r="O303" s="4">
        <v>149.59</v>
      </c>
      <c r="P303" s="4">
        <v>8.9499999999999993</v>
      </c>
      <c r="Q303" s="4">
        <v>1.07</v>
      </c>
      <c r="R303" s="4">
        <v>0</v>
      </c>
      <c r="S303" s="4">
        <v>0</v>
      </c>
      <c r="T303" s="4">
        <v>0</v>
      </c>
      <c r="U303" s="4">
        <v>159.61000000000001</v>
      </c>
      <c r="V303" s="4">
        <v>107.76</v>
      </c>
      <c r="W303" t="s">
        <v>21</v>
      </c>
      <c r="X303" t="s">
        <v>36</v>
      </c>
      <c r="Y303" s="4">
        <v>5</v>
      </c>
      <c r="Z303" s="4">
        <v>10</v>
      </c>
      <c r="AA303" t="s">
        <v>37</v>
      </c>
      <c r="AB303" t="s">
        <v>38</v>
      </c>
      <c r="AC303" s="7">
        <v>0</v>
      </c>
      <c r="AD303" t="s">
        <v>39</v>
      </c>
      <c r="AE303">
        <f t="shared" si="4"/>
        <v>0</v>
      </c>
    </row>
    <row r="304" spans="1:31" x14ac:dyDescent="0.35">
      <c r="A304">
        <v>100303</v>
      </c>
      <c r="B304" s="3">
        <v>46004</v>
      </c>
      <c r="C304">
        <v>1021</v>
      </c>
      <c r="D304" t="s">
        <v>30</v>
      </c>
      <c r="E304" t="s">
        <v>62</v>
      </c>
      <c r="F304" t="s">
        <v>49</v>
      </c>
      <c r="G304" t="s">
        <v>33</v>
      </c>
      <c r="H304" t="s">
        <v>34</v>
      </c>
      <c r="I304" t="s">
        <v>42</v>
      </c>
      <c r="J304" s="4">
        <v>25.27</v>
      </c>
      <c r="K304" s="4">
        <v>18.670000000000002</v>
      </c>
      <c r="L304">
        <v>5</v>
      </c>
      <c r="M304" s="4">
        <v>23.59</v>
      </c>
      <c r="N304" s="4">
        <v>448.2</v>
      </c>
      <c r="O304" s="4">
        <v>181.76</v>
      </c>
      <c r="P304" s="4">
        <v>8.3699999999999992</v>
      </c>
      <c r="Q304" s="4">
        <v>7.08</v>
      </c>
      <c r="R304" s="4">
        <v>6.84</v>
      </c>
      <c r="S304" s="4">
        <v>0</v>
      </c>
      <c r="T304" s="4">
        <v>0</v>
      </c>
      <c r="U304" s="4">
        <v>204.05</v>
      </c>
      <c r="V304" s="4">
        <v>244.15</v>
      </c>
      <c r="W304" t="s">
        <v>21</v>
      </c>
      <c r="X304" t="s">
        <v>36</v>
      </c>
      <c r="Y304" s="4">
        <v>11</v>
      </c>
      <c r="Z304" s="4">
        <v>3</v>
      </c>
      <c r="AA304" t="s">
        <v>37</v>
      </c>
      <c r="AB304" t="s">
        <v>38</v>
      </c>
      <c r="AC304" s="7">
        <v>0</v>
      </c>
      <c r="AD304" t="s">
        <v>39</v>
      </c>
      <c r="AE304">
        <f t="shared" si="4"/>
        <v>0</v>
      </c>
    </row>
    <row r="305" spans="1:31" x14ac:dyDescent="0.35">
      <c r="A305">
        <v>100304</v>
      </c>
      <c r="B305" s="3">
        <v>45996</v>
      </c>
      <c r="C305">
        <v>1022</v>
      </c>
      <c r="D305" t="s">
        <v>30</v>
      </c>
      <c r="E305" t="s">
        <v>40</v>
      </c>
      <c r="F305" t="s">
        <v>49</v>
      </c>
      <c r="G305" t="s">
        <v>63</v>
      </c>
      <c r="H305" t="s">
        <v>57</v>
      </c>
      <c r="I305" t="s">
        <v>69</v>
      </c>
      <c r="J305" s="4">
        <v>13.3</v>
      </c>
      <c r="K305" s="4">
        <v>12.1</v>
      </c>
      <c r="L305">
        <v>0</v>
      </c>
      <c r="M305" s="4">
        <v>0</v>
      </c>
      <c r="N305" s="4">
        <v>160.93</v>
      </c>
      <c r="O305" s="4">
        <v>88.67</v>
      </c>
      <c r="P305" s="4">
        <v>6.71</v>
      </c>
      <c r="Q305" s="4">
        <v>0.64</v>
      </c>
      <c r="R305" s="4">
        <v>2.96</v>
      </c>
      <c r="S305" s="4">
        <v>0</v>
      </c>
      <c r="T305" s="4">
        <v>0</v>
      </c>
      <c r="U305" s="4">
        <v>98.98</v>
      </c>
      <c r="V305" s="4">
        <v>61.95</v>
      </c>
      <c r="W305" t="s">
        <v>21</v>
      </c>
      <c r="X305" t="s">
        <v>36</v>
      </c>
      <c r="Y305" s="4">
        <v>2</v>
      </c>
      <c r="Z305" s="4">
        <v>2</v>
      </c>
      <c r="AA305" t="s">
        <v>37</v>
      </c>
      <c r="AB305" t="s">
        <v>38</v>
      </c>
      <c r="AC305" s="7">
        <v>0</v>
      </c>
      <c r="AD305" t="s">
        <v>39</v>
      </c>
      <c r="AE305">
        <f t="shared" si="4"/>
        <v>0</v>
      </c>
    </row>
    <row r="306" spans="1:31" x14ac:dyDescent="0.35">
      <c r="A306">
        <v>100305</v>
      </c>
      <c r="B306" s="3">
        <v>46007</v>
      </c>
      <c r="C306">
        <v>1146</v>
      </c>
      <c r="D306" t="s">
        <v>59</v>
      </c>
      <c r="E306" t="s">
        <v>73</v>
      </c>
      <c r="F306" t="s">
        <v>49</v>
      </c>
      <c r="G306" t="s">
        <v>63</v>
      </c>
      <c r="H306" t="s">
        <v>34</v>
      </c>
      <c r="I306" t="s">
        <v>54</v>
      </c>
      <c r="J306" s="4">
        <v>5.96</v>
      </c>
      <c r="K306" s="4">
        <v>12.56</v>
      </c>
      <c r="L306">
        <v>5</v>
      </c>
      <c r="M306" s="4">
        <v>3.74</v>
      </c>
      <c r="N306" s="4">
        <v>71.12</v>
      </c>
      <c r="O306" s="4">
        <v>31.56</v>
      </c>
      <c r="P306" s="4">
        <v>4.5599999999999996</v>
      </c>
      <c r="Q306" s="4">
        <v>0.9</v>
      </c>
      <c r="R306" s="4">
        <v>7.71</v>
      </c>
      <c r="S306" s="4">
        <v>37.03</v>
      </c>
      <c r="T306" s="4">
        <v>0</v>
      </c>
      <c r="U306" s="4">
        <v>81.760000000000005</v>
      </c>
      <c r="V306" s="4">
        <v>-10.64</v>
      </c>
      <c r="W306" t="s">
        <v>58</v>
      </c>
      <c r="X306" t="s">
        <v>55</v>
      </c>
      <c r="Y306" s="4">
        <v>7</v>
      </c>
      <c r="Z306" s="4">
        <v>0</v>
      </c>
      <c r="AA306" t="s">
        <v>37</v>
      </c>
      <c r="AB306" t="s">
        <v>44</v>
      </c>
      <c r="AC306" s="7">
        <v>2</v>
      </c>
      <c r="AD306" t="s">
        <v>45</v>
      </c>
      <c r="AE306">
        <f t="shared" si="4"/>
        <v>1</v>
      </c>
    </row>
    <row r="307" spans="1:31" x14ac:dyDescent="0.35">
      <c r="A307">
        <v>100306</v>
      </c>
      <c r="B307" s="3">
        <v>45962</v>
      </c>
      <c r="C307">
        <v>1091</v>
      </c>
      <c r="D307" t="s">
        <v>47</v>
      </c>
      <c r="E307" t="s">
        <v>53</v>
      </c>
      <c r="F307" t="s">
        <v>49</v>
      </c>
      <c r="G307" t="s">
        <v>50</v>
      </c>
      <c r="H307" t="s">
        <v>34</v>
      </c>
      <c r="I307" t="s">
        <v>35</v>
      </c>
      <c r="J307" s="4">
        <v>33.85</v>
      </c>
      <c r="K307" s="4">
        <v>17.690000000000001</v>
      </c>
      <c r="L307">
        <v>15</v>
      </c>
      <c r="M307" s="4">
        <v>89.82</v>
      </c>
      <c r="N307" s="4">
        <v>508.99</v>
      </c>
      <c r="O307" s="4">
        <v>236.51</v>
      </c>
      <c r="P307" s="4">
        <v>7.14</v>
      </c>
      <c r="Q307" s="4">
        <v>4.1900000000000004</v>
      </c>
      <c r="R307" s="4">
        <v>3.52</v>
      </c>
      <c r="S307" s="4">
        <v>0</v>
      </c>
      <c r="T307" s="4">
        <v>0</v>
      </c>
      <c r="U307" s="4">
        <v>251.36</v>
      </c>
      <c r="V307" s="4">
        <v>257.63</v>
      </c>
      <c r="W307" t="s">
        <v>21</v>
      </c>
      <c r="X307" t="s">
        <v>36</v>
      </c>
      <c r="Y307" s="4">
        <v>1</v>
      </c>
      <c r="Z307" s="4">
        <v>3</v>
      </c>
      <c r="AA307" t="s">
        <v>37</v>
      </c>
      <c r="AB307" t="s">
        <v>38</v>
      </c>
      <c r="AC307" s="7">
        <v>0</v>
      </c>
      <c r="AD307" t="s">
        <v>39</v>
      </c>
      <c r="AE307">
        <f t="shared" si="4"/>
        <v>0</v>
      </c>
    </row>
    <row r="308" spans="1:31" x14ac:dyDescent="0.35">
      <c r="A308">
        <v>100307</v>
      </c>
      <c r="B308" s="3">
        <v>45992</v>
      </c>
      <c r="C308">
        <v>1005</v>
      </c>
      <c r="D308" t="s">
        <v>30</v>
      </c>
      <c r="E308" t="s">
        <v>31</v>
      </c>
      <c r="F308" t="s">
        <v>71</v>
      </c>
      <c r="G308" t="s">
        <v>63</v>
      </c>
      <c r="H308" t="s">
        <v>57</v>
      </c>
      <c r="I308" t="s">
        <v>54</v>
      </c>
      <c r="J308" s="4">
        <v>15.44</v>
      </c>
      <c r="K308" s="4">
        <v>14.52</v>
      </c>
      <c r="L308">
        <v>0</v>
      </c>
      <c r="M308" s="4">
        <v>0</v>
      </c>
      <c r="N308" s="4">
        <v>224.19</v>
      </c>
      <c r="O308" s="4">
        <v>100.28</v>
      </c>
      <c r="P308" s="4">
        <v>7.47</v>
      </c>
      <c r="Q308" s="4">
        <v>2.69</v>
      </c>
      <c r="R308" s="4">
        <v>2.69</v>
      </c>
      <c r="S308" s="4">
        <v>181.47</v>
      </c>
      <c r="T308" s="4">
        <v>11.84</v>
      </c>
      <c r="U308" s="4">
        <v>306.44</v>
      </c>
      <c r="V308" s="4">
        <v>-82.25</v>
      </c>
      <c r="W308" t="s">
        <v>58</v>
      </c>
      <c r="X308" t="s">
        <v>66</v>
      </c>
      <c r="Y308" s="4">
        <v>4</v>
      </c>
      <c r="Z308" s="4">
        <v>38</v>
      </c>
      <c r="AA308" t="s">
        <v>37</v>
      </c>
      <c r="AB308" t="s">
        <v>44</v>
      </c>
      <c r="AC308" s="7">
        <v>1</v>
      </c>
      <c r="AD308" t="s">
        <v>45</v>
      </c>
      <c r="AE308">
        <f t="shared" si="4"/>
        <v>1</v>
      </c>
    </row>
    <row r="309" spans="1:31" x14ac:dyDescent="0.35">
      <c r="A309">
        <v>100308</v>
      </c>
      <c r="B309" s="3">
        <v>45986</v>
      </c>
      <c r="C309">
        <v>1058</v>
      </c>
      <c r="D309" t="s">
        <v>47</v>
      </c>
      <c r="E309" t="s">
        <v>74</v>
      </c>
      <c r="F309" t="s">
        <v>71</v>
      </c>
      <c r="G309" t="s">
        <v>63</v>
      </c>
      <c r="H309" t="s">
        <v>34</v>
      </c>
      <c r="I309" t="s">
        <v>35</v>
      </c>
      <c r="J309" s="4">
        <v>18.8</v>
      </c>
      <c r="K309" s="4">
        <v>12.79</v>
      </c>
      <c r="L309">
        <v>5</v>
      </c>
      <c r="M309" s="4">
        <v>12.02</v>
      </c>
      <c r="N309" s="4">
        <v>228.43</v>
      </c>
      <c r="O309" s="4">
        <v>121.28</v>
      </c>
      <c r="P309" s="4">
        <v>10.99</v>
      </c>
      <c r="Q309" s="4">
        <v>1.68</v>
      </c>
      <c r="R309" s="4">
        <v>0.81</v>
      </c>
      <c r="S309" s="4">
        <v>195.17</v>
      </c>
      <c r="T309" s="4">
        <v>0</v>
      </c>
      <c r="U309" s="4">
        <v>329.93</v>
      </c>
      <c r="V309" s="4">
        <v>-101.5</v>
      </c>
      <c r="W309" t="s">
        <v>58</v>
      </c>
      <c r="X309" t="s">
        <v>66</v>
      </c>
      <c r="Y309" s="4">
        <v>21</v>
      </c>
      <c r="Z309" s="4">
        <v>1</v>
      </c>
      <c r="AA309" t="s">
        <v>52</v>
      </c>
      <c r="AB309" t="s">
        <v>44</v>
      </c>
      <c r="AC309" s="7">
        <v>4</v>
      </c>
      <c r="AD309" t="s">
        <v>45</v>
      </c>
      <c r="AE309">
        <f t="shared" si="4"/>
        <v>1</v>
      </c>
    </row>
    <row r="310" spans="1:31" x14ac:dyDescent="0.35">
      <c r="A310">
        <v>100309</v>
      </c>
      <c r="B310" s="3">
        <v>45974</v>
      </c>
      <c r="C310">
        <v>1031</v>
      </c>
      <c r="D310" t="s">
        <v>47</v>
      </c>
      <c r="E310" t="s">
        <v>74</v>
      </c>
      <c r="F310" t="s">
        <v>41</v>
      </c>
      <c r="G310" t="s">
        <v>46</v>
      </c>
      <c r="H310" t="s">
        <v>57</v>
      </c>
      <c r="I310" t="s">
        <v>54</v>
      </c>
      <c r="J310" s="4">
        <v>29.63</v>
      </c>
      <c r="K310" s="4">
        <v>14.71</v>
      </c>
      <c r="L310">
        <v>15</v>
      </c>
      <c r="M310" s="4">
        <v>65.38</v>
      </c>
      <c r="N310" s="4">
        <v>370.48</v>
      </c>
      <c r="O310" s="4">
        <v>146.93</v>
      </c>
      <c r="P310" s="4">
        <v>5.85</v>
      </c>
      <c r="Q310" s="4">
        <v>5.23</v>
      </c>
      <c r="R310" s="4">
        <v>8.91</v>
      </c>
      <c r="S310" s="4">
        <v>0</v>
      </c>
      <c r="T310" s="4">
        <v>0</v>
      </c>
      <c r="U310" s="4">
        <v>166.92</v>
      </c>
      <c r="V310" s="4">
        <v>203.56</v>
      </c>
      <c r="W310" t="s">
        <v>21</v>
      </c>
      <c r="X310" t="s">
        <v>36</v>
      </c>
      <c r="Y310" s="4">
        <v>6</v>
      </c>
      <c r="Z310" s="4">
        <v>2</v>
      </c>
      <c r="AA310" t="s">
        <v>37</v>
      </c>
      <c r="AB310" t="s">
        <v>38</v>
      </c>
      <c r="AC310" s="7">
        <v>0</v>
      </c>
      <c r="AD310" t="s">
        <v>39</v>
      </c>
      <c r="AE310">
        <f t="shared" si="4"/>
        <v>0</v>
      </c>
    </row>
    <row r="311" spans="1:31" x14ac:dyDescent="0.35">
      <c r="A311">
        <v>100310</v>
      </c>
      <c r="B311" s="3">
        <v>45993</v>
      </c>
      <c r="C311">
        <v>1051</v>
      </c>
      <c r="D311" t="s">
        <v>47</v>
      </c>
      <c r="E311" t="s">
        <v>56</v>
      </c>
      <c r="F311" t="s">
        <v>61</v>
      </c>
      <c r="G311" t="s">
        <v>46</v>
      </c>
      <c r="H311" t="s">
        <v>34</v>
      </c>
      <c r="I311" t="s">
        <v>35</v>
      </c>
      <c r="J311" s="4">
        <v>35.020000000000003</v>
      </c>
      <c r="K311" s="4">
        <v>15.04</v>
      </c>
      <c r="L311">
        <v>10</v>
      </c>
      <c r="M311" s="4">
        <v>52.67</v>
      </c>
      <c r="N311" s="4">
        <v>474.03</v>
      </c>
      <c r="O311" s="4">
        <v>280.58</v>
      </c>
      <c r="P311" s="4">
        <v>8.09</v>
      </c>
      <c r="Q311" s="4">
        <v>3.69</v>
      </c>
      <c r="R311" s="4">
        <v>10.4</v>
      </c>
      <c r="S311" s="4">
        <v>0</v>
      </c>
      <c r="T311" s="4">
        <v>0</v>
      </c>
      <c r="U311" s="4">
        <v>302.76</v>
      </c>
      <c r="V311" s="4">
        <v>171.27</v>
      </c>
      <c r="W311" t="s">
        <v>21</v>
      </c>
      <c r="X311" t="s">
        <v>36</v>
      </c>
      <c r="Y311" s="4">
        <v>2</v>
      </c>
      <c r="Z311" s="4">
        <v>5</v>
      </c>
      <c r="AA311" t="s">
        <v>37</v>
      </c>
      <c r="AB311" t="s">
        <v>38</v>
      </c>
      <c r="AC311" s="7">
        <v>0</v>
      </c>
      <c r="AD311" t="s">
        <v>39</v>
      </c>
      <c r="AE311">
        <f t="shared" si="4"/>
        <v>0</v>
      </c>
    </row>
    <row r="312" spans="1:31" x14ac:dyDescent="0.35">
      <c r="A312">
        <v>100311</v>
      </c>
      <c r="B312" s="3">
        <v>45976</v>
      </c>
      <c r="C312">
        <v>1029</v>
      </c>
      <c r="D312" t="s">
        <v>47</v>
      </c>
      <c r="E312" t="s">
        <v>56</v>
      </c>
      <c r="F312" t="s">
        <v>61</v>
      </c>
      <c r="G312" t="s">
        <v>46</v>
      </c>
      <c r="H312" t="s">
        <v>34</v>
      </c>
      <c r="I312" t="s">
        <v>35</v>
      </c>
      <c r="J312" s="4">
        <v>28.02</v>
      </c>
      <c r="K312" s="4">
        <v>15.75</v>
      </c>
      <c r="L312">
        <v>0</v>
      </c>
      <c r="M312" s="4">
        <v>0</v>
      </c>
      <c r="N312" s="4">
        <v>441.32</v>
      </c>
      <c r="O312" s="4">
        <v>244.12</v>
      </c>
      <c r="P312" s="4">
        <v>10.19</v>
      </c>
      <c r="Q312" s="4">
        <v>3.09</v>
      </c>
      <c r="R312" s="4">
        <v>10.31</v>
      </c>
      <c r="S312" s="4">
        <v>0</v>
      </c>
      <c r="T312" s="4">
        <v>0</v>
      </c>
      <c r="U312" s="4">
        <v>267.70999999999998</v>
      </c>
      <c r="V312" s="4">
        <v>173.61</v>
      </c>
      <c r="W312" t="s">
        <v>21</v>
      </c>
      <c r="X312" t="s">
        <v>36</v>
      </c>
      <c r="Y312" s="4">
        <v>7</v>
      </c>
      <c r="Z312" s="4">
        <v>5</v>
      </c>
      <c r="AA312" t="s">
        <v>37</v>
      </c>
      <c r="AB312" t="s">
        <v>38</v>
      </c>
      <c r="AC312" s="7">
        <v>0</v>
      </c>
      <c r="AD312" t="s">
        <v>39</v>
      </c>
      <c r="AE312">
        <f t="shared" si="4"/>
        <v>0</v>
      </c>
    </row>
    <row r="313" spans="1:31" x14ac:dyDescent="0.35">
      <c r="A313">
        <v>100312</v>
      </c>
      <c r="B313" s="3">
        <v>46013</v>
      </c>
      <c r="C313">
        <v>1057</v>
      </c>
      <c r="D313" t="s">
        <v>59</v>
      </c>
      <c r="E313" t="s">
        <v>73</v>
      </c>
      <c r="F313" t="s">
        <v>61</v>
      </c>
      <c r="G313" t="s">
        <v>50</v>
      </c>
      <c r="H313" t="s">
        <v>34</v>
      </c>
      <c r="I313" t="s">
        <v>42</v>
      </c>
      <c r="J313" s="4">
        <v>31.29</v>
      </c>
      <c r="K313" s="4">
        <v>16.600000000000001</v>
      </c>
      <c r="L313">
        <v>0</v>
      </c>
      <c r="M313" s="4">
        <v>0</v>
      </c>
      <c r="N313" s="4">
        <v>519.41</v>
      </c>
      <c r="O313" s="4">
        <v>193.06</v>
      </c>
      <c r="P313" s="4">
        <v>6.04</v>
      </c>
      <c r="Q313" s="4">
        <v>7.79</v>
      </c>
      <c r="R313" s="4">
        <v>5.81</v>
      </c>
      <c r="S313" s="4">
        <v>0</v>
      </c>
      <c r="T313" s="4">
        <v>0</v>
      </c>
      <c r="U313" s="4">
        <v>212.7</v>
      </c>
      <c r="V313" s="4">
        <v>306.70999999999998</v>
      </c>
      <c r="W313" t="s">
        <v>21</v>
      </c>
      <c r="X313" t="s">
        <v>36</v>
      </c>
      <c r="Y313" s="4">
        <v>3</v>
      </c>
      <c r="Z313" s="4">
        <v>19</v>
      </c>
      <c r="AA313" t="s">
        <v>37</v>
      </c>
      <c r="AB313" t="s">
        <v>44</v>
      </c>
      <c r="AC313" s="7">
        <v>1</v>
      </c>
      <c r="AD313" t="s">
        <v>45</v>
      </c>
      <c r="AE313">
        <f t="shared" si="4"/>
        <v>1</v>
      </c>
    </row>
    <row r="314" spans="1:31" x14ac:dyDescent="0.35">
      <c r="A314">
        <v>100313</v>
      </c>
      <c r="B314" s="3">
        <v>46000</v>
      </c>
      <c r="C314">
        <v>1009</v>
      </c>
      <c r="D314" t="s">
        <v>64</v>
      </c>
      <c r="E314" t="s">
        <v>65</v>
      </c>
      <c r="F314" t="s">
        <v>61</v>
      </c>
      <c r="G314" t="s">
        <v>46</v>
      </c>
      <c r="H314" t="s">
        <v>34</v>
      </c>
      <c r="I314" t="s">
        <v>42</v>
      </c>
      <c r="J314" s="4">
        <v>31.51</v>
      </c>
      <c r="K314" s="4">
        <v>15.15</v>
      </c>
      <c r="L314">
        <v>0</v>
      </c>
      <c r="M314" s="4">
        <v>0</v>
      </c>
      <c r="N314" s="4">
        <v>477.38</v>
      </c>
      <c r="O314" s="4">
        <v>163.76</v>
      </c>
      <c r="P314" s="4">
        <v>8.64</v>
      </c>
      <c r="Q314" s="4">
        <v>7.16</v>
      </c>
      <c r="R314" s="4">
        <v>6.03</v>
      </c>
      <c r="S314" s="4">
        <v>0</v>
      </c>
      <c r="T314" s="4">
        <v>0</v>
      </c>
      <c r="U314" s="4">
        <v>185.59</v>
      </c>
      <c r="V314" s="4">
        <v>291.79000000000002</v>
      </c>
      <c r="W314" t="s">
        <v>21</v>
      </c>
      <c r="X314" t="s">
        <v>36</v>
      </c>
      <c r="Y314" s="4">
        <v>10</v>
      </c>
      <c r="Z314" s="4">
        <v>6</v>
      </c>
      <c r="AA314" t="s">
        <v>37</v>
      </c>
      <c r="AB314" t="s">
        <v>38</v>
      </c>
      <c r="AC314" s="7">
        <v>0</v>
      </c>
      <c r="AD314" t="s">
        <v>39</v>
      </c>
      <c r="AE314">
        <f t="shared" si="4"/>
        <v>0</v>
      </c>
    </row>
    <row r="315" spans="1:31" x14ac:dyDescent="0.35">
      <c r="A315">
        <v>100314</v>
      </c>
      <c r="B315" s="3">
        <v>46003</v>
      </c>
      <c r="C315">
        <v>1020</v>
      </c>
      <c r="D315" t="s">
        <v>59</v>
      </c>
      <c r="E315" t="s">
        <v>68</v>
      </c>
      <c r="F315" t="s">
        <v>61</v>
      </c>
      <c r="G315" t="s">
        <v>46</v>
      </c>
      <c r="H315" t="s">
        <v>34</v>
      </c>
      <c r="I315" t="s">
        <v>35</v>
      </c>
      <c r="J315" s="4">
        <v>34.659999999999997</v>
      </c>
      <c r="K315" s="4">
        <v>14.71</v>
      </c>
      <c r="L315">
        <v>0</v>
      </c>
      <c r="M315" s="4">
        <v>0</v>
      </c>
      <c r="N315" s="4">
        <v>509.85</v>
      </c>
      <c r="O315" s="4">
        <v>287.60000000000002</v>
      </c>
      <c r="P315" s="4">
        <v>6.47</v>
      </c>
      <c r="Q315" s="4">
        <v>3.57</v>
      </c>
      <c r="R315" s="4">
        <v>3.07</v>
      </c>
      <c r="S315" s="4">
        <v>0</v>
      </c>
      <c r="T315" s="4">
        <v>0</v>
      </c>
      <c r="U315" s="4">
        <v>300.70999999999998</v>
      </c>
      <c r="V315" s="4">
        <v>209.14</v>
      </c>
      <c r="W315" t="s">
        <v>21</v>
      </c>
      <c r="X315" t="s">
        <v>36</v>
      </c>
      <c r="Y315" s="4">
        <v>1</v>
      </c>
      <c r="Z315" s="4">
        <v>19</v>
      </c>
      <c r="AA315" t="s">
        <v>37</v>
      </c>
      <c r="AB315" t="s">
        <v>44</v>
      </c>
      <c r="AC315" s="7">
        <v>3</v>
      </c>
      <c r="AD315" t="s">
        <v>45</v>
      </c>
      <c r="AE315">
        <f t="shared" si="4"/>
        <v>1</v>
      </c>
    </row>
    <row r="316" spans="1:31" x14ac:dyDescent="0.35">
      <c r="A316">
        <v>100315</v>
      </c>
      <c r="B316" s="3">
        <v>46022</v>
      </c>
      <c r="C316">
        <v>1108</v>
      </c>
      <c r="D316" t="s">
        <v>47</v>
      </c>
      <c r="E316" t="s">
        <v>53</v>
      </c>
      <c r="F316" t="s">
        <v>41</v>
      </c>
      <c r="G316" t="s">
        <v>50</v>
      </c>
      <c r="H316" t="s">
        <v>57</v>
      </c>
      <c r="I316" t="s">
        <v>69</v>
      </c>
      <c r="J316" s="4">
        <v>25</v>
      </c>
      <c r="K316" s="4">
        <v>17.559999999999999</v>
      </c>
      <c r="L316">
        <v>0</v>
      </c>
      <c r="M316" s="4">
        <v>0</v>
      </c>
      <c r="N316" s="4">
        <v>439</v>
      </c>
      <c r="O316" s="4">
        <v>167.15</v>
      </c>
      <c r="P316" s="4">
        <v>6.02</v>
      </c>
      <c r="Q316" s="4">
        <v>1.76</v>
      </c>
      <c r="R316" s="4">
        <v>3.29</v>
      </c>
      <c r="S316" s="4">
        <v>0</v>
      </c>
      <c r="T316" s="4">
        <v>0</v>
      </c>
      <c r="U316" s="4">
        <v>178.22</v>
      </c>
      <c r="V316" s="4">
        <v>260.77999999999997</v>
      </c>
      <c r="W316" t="s">
        <v>21</v>
      </c>
      <c r="X316" t="s">
        <v>36</v>
      </c>
      <c r="Y316" s="4">
        <v>2</v>
      </c>
      <c r="Z316" s="4">
        <v>2</v>
      </c>
      <c r="AA316" t="s">
        <v>37</v>
      </c>
      <c r="AB316" t="s">
        <v>38</v>
      </c>
      <c r="AC316" s="7">
        <v>0</v>
      </c>
      <c r="AD316" t="s">
        <v>39</v>
      </c>
      <c r="AE316">
        <f t="shared" si="4"/>
        <v>0</v>
      </c>
    </row>
    <row r="317" spans="1:31" x14ac:dyDescent="0.35">
      <c r="A317">
        <v>100316</v>
      </c>
      <c r="B317" s="3">
        <v>45998</v>
      </c>
      <c r="C317">
        <v>1020</v>
      </c>
      <c r="D317" t="s">
        <v>30</v>
      </c>
      <c r="E317" t="s">
        <v>31</v>
      </c>
      <c r="F317" t="s">
        <v>71</v>
      </c>
      <c r="G317" t="s">
        <v>63</v>
      </c>
      <c r="H317" t="s">
        <v>34</v>
      </c>
      <c r="I317" t="s">
        <v>35</v>
      </c>
      <c r="J317" s="4">
        <v>9.4</v>
      </c>
      <c r="K317" s="4">
        <v>11.99</v>
      </c>
      <c r="L317">
        <v>15</v>
      </c>
      <c r="M317" s="4">
        <v>16.91</v>
      </c>
      <c r="N317" s="4">
        <v>95.8</v>
      </c>
      <c r="O317" s="4">
        <v>65.260000000000005</v>
      </c>
      <c r="P317" s="4">
        <v>11.15</v>
      </c>
      <c r="Q317" s="4">
        <v>0.79</v>
      </c>
      <c r="R317" s="4">
        <v>0.73</v>
      </c>
      <c r="S317" s="4">
        <v>0</v>
      </c>
      <c r="T317" s="4">
        <v>0</v>
      </c>
      <c r="U317" s="4">
        <v>77.930000000000007</v>
      </c>
      <c r="V317" s="4">
        <v>17.87</v>
      </c>
      <c r="W317" t="s">
        <v>21</v>
      </c>
      <c r="X317" t="s">
        <v>36</v>
      </c>
      <c r="Y317" s="4">
        <v>6</v>
      </c>
      <c r="Z317" s="4">
        <v>1</v>
      </c>
      <c r="AA317" t="s">
        <v>37</v>
      </c>
      <c r="AB317" t="s">
        <v>38</v>
      </c>
      <c r="AC317" s="7">
        <v>0</v>
      </c>
      <c r="AD317" t="s">
        <v>39</v>
      </c>
      <c r="AE317">
        <f t="shared" si="4"/>
        <v>0</v>
      </c>
    </row>
    <row r="318" spans="1:31" x14ac:dyDescent="0.35">
      <c r="A318">
        <v>100317</v>
      </c>
      <c r="B318" s="3">
        <v>45944</v>
      </c>
      <c r="C318">
        <v>1131</v>
      </c>
      <c r="D318" t="s">
        <v>30</v>
      </c>
      <c r="E318" t="s">
        <v>62</v>
      </c>
      <c r="F318" t="s">
        <v>41</v>
      </c>
      <c r="G318" t="s">
        <v>46</v>
      </c>
      <c r="H318" t="s">
        <v>34</v>
      </c>
      <c r="I318" t="s">
        <v>69</v>
      </c>
      <c r="J318" s="4">
        <v>37.17</v>
      </c>
      <c r="K318" s="4">
        <v>15.36</v>
      </c>
      <c r="L318">
        <v>20</v>
      </c>
      <c r="M318" s="4">
        <v>114.19</v>
      </c>
      <c r="N318" s="4">
        <v>456.74</v>
      </c>
      <c r="O318" s="4">
        <v>237.72</v>
      </c>
      <c r="P318" s="4">
        <v>5.8</v>
      </c>
      <c r="Q318" s="4">
        <v>2.2799999999999998</v>
      </c>
      <c r="R318" s="4">
        <v>6.59</v>
      </c>
      <c r="S318" s="4">
        <v>0</v>
      </c>
      <c r="T318" s="4">
        <v>0</v>
      </c>
      <c r="U318" s="4">
        <v>252.39</v>
      </c>
      <c r="V318" s="4">
        <v>204.35</v>
      </c>
      <c r="W318" t="s">
        <v>21</v>
      </c>
      <c r="X318" t="s">
        <v>36</v>
      </c>
      <c r="Y318" s="4">
        <v>6</v>
      </c>
      <c r="Z318" s="4">
        <v>19</v>
      </c>
      <c r="AA318" t="s">
        <v>37</v>
      </c>
      <c r="AB318" t="s">
        <v>44</v>
      </c>
      <c r="AC318" s="7">
        <v>1</v>
      </c>
      <c r="AD318" t="s">
        <v>45</v>
      </c>
      <c r="AE318">
        <f t="shared" si="4"/>
        <v>1</v>
      </c>
    </row>
    <row r="319" spans="1:31" x14ac:dyDescent="0.35">
      <c r="A319">
        <v>100318</v>
      </c>
      <c r="B319" s="3">
        <v>45949</v>
      </c>
      <c r="C319">
        <v>1006</v>
      </c>
      <c r="D319" t="s">
        <v>64</v>
      </c>
      <c r="E319" t="s">
        <v>75</v>
      </c>
      <c r="F319" t="s">
        <v>71</v>
      </c>
      <c r="G319" t="s">
        <v>63</v>
      </c>
      <c r="H319" t="s">
        <v>57</v>
      </c>
      <c r="I319" t="s">
        <v>35</v>
      </c>
      <c r="J319" s="4">
        <v>31.96</v>
      </c>
      <c r="K319" s="4">
        <v>12.98</v>
      </c>
      <c r="L319">
        <v>5</v>
      </c>
      <c r="M319" s="4">
        <v>20.74</v>
      </c>
      <c r="N319" s="4">
        <v>394.1</v>
      </c>
      <c r="O319" s="4">
        <v>231.03</v>
      </c>
      <c r="P319" s="4">
        <v>5.72</v>
      </c>
      <c r="Q319" s="4">
        <v>2.9</v>
      </c>
      <c r="R319" s="4">
        <v>8.57</v>
      </c>
      <c r="S319" s="4">
        <v>0</v>
      </c>
      <c r="T319" s="4">
        <v>0</v>
      </c>
      <c r="U319" s="4">
        <v>248.22</v>
      </c>
      <c r="V319" s="4">
        <v>145.88</v>
      </c>
      <c r="W319" t="s">
        <v>21</v>
      </c>
      <c r="X319" t="s">
        <v>36</v>
      </c>
      <c r="Y319" s="4">
        <v>18</v>
      </c>
      <c r="Z319" s="4">
        <v>0</v>
      </c>
      <c r="AA319" t="s">
        <v>52</v>
      </c>
      <c r="AB319" t="s">
        <v>38</v>
      </c>
      <c r="AC319" s="7">
        <v>0</v>
      </c>
      <c r="AD319" t="s">
        <v>39</v>
      </c>
      <c r="AE319">
        <f t="shared" si="4"/>
        <v>0</v>
      </c>
    </row>
    <row r="320" spans="1:31" x14ac:dyDescent="0.35">
      <c r="A320">
        <v>100319</v>
      </c>
      <c r="B320" s="3">
        <v>46004</v>
      </c>
      <c r="C320">
        <v>1144</v>
      </c>
      <c r="D320" t="s">
        <v>30</v>
      </c>
      <c r="E320" t="s">
        <v>40</v>
      </c>
      <c r="F320" t="s">
        <v>49</v>
      </c>
      <c r="G320" t="s">
        <v>33</v>
      </c>
      <c r="H320" t="s">
        <v>57</v>
      </c>
      <c r="I320" t="s">
        <v>42</v>
      </c>
      <c r="J320" s="4">
        <v>39.369999999999997</v>
      </c>
      <c r="K320" s="4">
        <v>19.96</v>
      </c>
      <c r="L320">
        <v>10</v>
      </c>
      <c r="M320" s="4">
        <v>78.58</v>
      </c>
      <c r="N320" s="4">
        <v>707.25</v>
      </c>
      <c r="O320" s="4">
        <v>267.22000000000003</v>
      </c>
      <c r="P320" s="4">
        <v>5.98</v>
      </c>
      <c r="Q320" s="4">
        <v>11.79</v>
      </c>
      <c r="R320" s="4">
        <v>7.83</v>
      </c>
      <c r="S320" s="4">
        <v>0</v>
      </c>
      <c r="T320" s="4">
        <v>0</v>
      </c>
      <c r="U320" s="4">
        <v>292.82</v>
      </c>
      <c r="V320" s="4">
        <v>414.43</v>
      </c>
      <c r="W320" t="s">
        <v>21</v>
      </c>
      <c r="X320" t="s">
        <v>36</v>
      </c>
      <c r="Y320" s="4">
        <v>4</v>
      </c>
      <c r="Z320" s="4">
        <v>9</v>
      </c>
      <c r="AA320" t="s">
        <v>37</v>
      </c>
      <c r="AB320" t="s">
        <v>38</v>
      </c>
      <c r="AC320" s="7">
        <v>0</v>
      </c>
      <c r="AD320" t="s">
        <v>39</v>
      </c>
      <c r="AE320">
        <f t="shared" si="4"/>
        <v>0</v>
      </c>
    </row>
    <row r="321" spans="1:31" x14ac:dyDescent="0.35">
      <c r="A321">
        <v>100320</v>
      </c>
      <c r="B321" s="3">
        <v>46003</v>
      </c>
      <c r="C321">
        <v>1058</v>
      </c>
      <c r="D321" t="s">
        <v>64</v>
      </c>
      <c r="E321" t="s">
        <v>65</v>
      </c>
      <c r="F321" t="s">
        <v>49</v>
      </c>
      <c r="G321" t="s">
        <v>33</v>
      </c>
      <c r="H321" t="s">
        <v>51</v>
      </c>
      <c r="I321" t="s">
        <v>35</v>
      </c>
      <c r="J321" s="4">
        <v>22.06</v>
      </c>
      <c r="K321" s="4">
        <v>18.579999999999998</v>
      </c>
      <c r="L321">
        <v>0</v>
      </c>
      <c r="M321" s="4">
        <v>0</v>
      </c>
      <c r="N321" s="4">
        <v>409.87</v>
      </c>
      <c r="O321" s="4">
        <v>157.77000000000001</v>
      </c>
      <c r="P321" s="4">
        <v>7.11</v>
      </c>
      <c r="Q321" s="4">
        <v>2.87</v>
      </c>
      <c r="R321" s="4">
        <v>10.029999999999999</v>
      </c>
      <c r="S321" s="4">
        <v>0</v>
      </c>
      <c r="T321" s="4">
        <v>0</v>
      </c>
      <c r="U321" s="4">
        <v>177.78</v>
      </c>
      <c r="V321" s="4">
        <v>232.09</v>
      </c>
      <c r="W321" t="s">
        <v>21</v>
      </c>
      <c r="X321" t="s">
        <v>36</v>
      </c>
      <c r="Y321" s="4">
        <v>4</v>
      </c>
      <c r="Z321" s="4">
        <v>5</v>
      </c>
      <c r="AA321" t="s">
        <v>37</v>
      </c>
      <c r="AB321" t="s">
        <v>38</v>
      </c>
      <c r="AC321" s="7">
        <v>0</v>
      </c>
      <c r="AD321" t="s">
        <v>39</v>
      </c>
      <c r="AE321">
        <f t="shared" si="4"/>
        <v>0</v>
      </c>
    </row>
    <row r="322" spans="1:31" x14ac:dyDescent="0.35">
      <c r="A322">
        <v>100321</v>
      </c>
      <c r="B322" s="3">
        <v>45990</v>
      </c>
      <c r="C322">
        <v>1138</v>
      </c>
      <c r="D322" t="s">
        <v>47</v>
      </c>
      <c r="E322" t="s">
        <v>74</v>
      </c>
      <c r="F322" t="s">
        <v>71</v>
      </c>
      <c r="G322" t="s">
        <v>46</v>
      </c>
      <c r="H322" t="s">
        <v>34</v>
      </c>
      <c r="I322" t="s">
        <v>35</v>
      </c>
      <c r="J322" s="4">
        <v>29.8</v>
      </c>
      <c r="K322" s="4">
        <v>16.02</v>
      </c>
      <c r="L322">
        <v>5</v>
      </c>
      <c r="M322" s="4">
        <v>23.87</v>
      </c>
      <c r="N322" s="4">
        <v>453.53</v>
      </c>
      <c r="O322" s="4">
        <v>242.5</v>
      </c>
      <c r="P322" s="4">
        <v>5.66</v>
      </c>
      <c r="Q322" s="4">
        <v>3.34</v>
      </c>
      <c r="R322" s="4">
        <v>4.4400000000000004</v>
      </c>
      <c r="S322" s="4">
        <v>226.77</v>
      </c>
      <c r="T322" s="4">
        <v>0</v>
      </c>
      <c r="U322" s="4">
        <v>482.71</v>
      </c>
      <c r="V322" s="4">
        <v>-29.18</v>
      </c>
      <c r="W322" t="s">
        <v>58</v>
      </c>
      <c r="X322" t="s">
        <v>66</v>
      </c>
      <c r="Y322" s="4">
        <v>12</v>
      </c>
      <c r="Z322" s="4">
        <v>4</v>
      </c>
      <c r="AA322" t="s">
        <v>37</v>
      </c>
      <c r="AB322" t="s">
        <v>38</v>
      </c>
      <c r="AC322" s="7">
        <v>2</v>
      </c>
      <c r="AD322" t="s">
        <v>45</v>
      </c>
      <c r="AE322">
        <f t="shared" si="4"/>
        <v>0</v>
      </c>
    </row>
    <row r="323" spans="1:31" x14ac:dyDescent="0.35">
      <c r="A323">
        <v>100322</v>
      </c>
      <c r="B323" s="3">
        <v>45947</v>
      </c>
      <c r="C323">
        <v>1061</v>
      </c>
      <c r="D323" t="s">
        <v>59</v>
      </c>
      <c r="E323" t="s">
        <v>68</v>
      </c>
      <c r="F323" t="s">
        <v>61</v>
      </c>
      <c r="G323" t="s">
        <v>33</v>
      </c>
      <c r="H323" t="s">
        <v>34</v>
      </c>
      <c r="I323" t="s">
        <v>35</v>
      </c>
      <c r="J323" s="4">
        <v>32.21</v>
      </c>
      <c r="K323" s="4">
        <v>19.260000000000002</v>
      </c>
      <c r="L323">
        <v>10</v>
      </c>
      <c r="M323" s="4">
        <v>62.04</v>
      </c>
      <c r="N323" s="4">
        <v>558.32000000000005</v>
      </c>
      <c r="O323" s="4">
        <v>211.41</v>
      </c>
      <c r="P323" s="4">
        <v>10.35</v>
      </c>
      <c r="Q323" s="4">
        <v>4.34</v>
      </c>
      <c r="R323" s="4">
        <v>10.61</v>
      </c>
      <c r="S323" s="4">
        <v>0</v>
      </c>
      <c r="T323" s="4">
        <v>0</v>
      </c>
      <c r="U323" s="4">
        <v>236.71</v>
      </c>
      <c r="V323" s="4">
        <v>321.61</v>
      </c>
      <c r="W323" t="s">
        <v>21</v>
      </c>
      <c r="X323" t="s">
        <v>36</v>
      </c>
      <c r="Y323" s="4">
        <v>28</v>
      </c>
      <c r="Z323" s="4">
        <v>4</v>
      </c>
      <c r="AA323" t="s">
        <v>52</v>
      </c>
      <c r="AB323" t="s">
        <v>44</v>
      </c>
      <c r="AC323" s="7">
        <v>1</v>
      </c>
      <c r="AD323" t="s">
        <v>45</v>
      </c>
      <c r="AE323">
        <f t="shared" ref="AE323:AE386" si="5">IF(AB323="Yes",1,0)</f>
        <v>1</v>
      </c>
    </row>
    <row r="324" spans="1:31" x14ac:dyDescent="0.35">
      <c r="A324">
        <v>100323</v>
      </c>
      <c r="B324" s="3">
        <v>45944</v>
      </c>
      <c r="C324">
        <v>1073</v>
      </c>
      <c r="D324" t="s">
        <v>30</v>
      </c>
      <c r="E324" t="s">
        <v>40</v>
      </c>
      <c r="F324" t="s">
        <v>61</v>
      </c>
      <c r="G324" t="s">
        <v>46</v>
      </c>
      <c r="H324" t="s">
        <v>57</v>
      </c>
      <c r="I324" t="s">
        <v>35</v>
      </c>
      <c r="J324" s="4">
        <v>21.39</v>
      </c>
      <c r="K324" s="4">
        <v>16.059999999999999</v>
      </c>
      <c r="L324">
        <v>0</v>
      </c>
      <c r="M324" s="4">
        <v>0</v>
      </c>
      <c r="N324" s="4">
        <v>343.52</v>
      </c>
      <c r="O324" s="4">
        <v>149.4</v>
      </c>
      <c r="P324" s="4">
        <v>9.4700000000000006</v>
      </c>
      <c r="Q324" s="4">
        <v>2.4</v>
      </c>
      <c r="R324" s="4">
        <v>2.48</v>
      </c>
      <c r="S324" s="4">
        <v>0</v>
      </c>
      <c r="T324" s="4">
        <v>0</v>
      </c>
      <c r="U324" s="4">
        <v>163.75</v>
      </c>
      <c r="V324" s="4">
        <v>179.77</v>
      </c>
      <c r="W324" t="s">
        <v>21</v>
      </c>
      <c r="X324" t="s">
        <v>36</v>
      </c>
      <c r="Y324" s="4">
        <v>6</v>
      </c>
      <c r="Z324" s="4">
        <v>20</v>
      </c>
      <c r="AA324" t="s">
        <v>37</v>
      </c>
      <c r="AB324" t="s">
        <v>44</v>
      </c>
      <c r="AC324" s="7">
        <v>1</v>
      </c>
      <c r="AD324" t="s">
        <v>45</v>
      </c>
      <c r="AE324">
        <f t="shared" si="5"/>
        <v>1</v>
      </c>
    </row>
    <row r="325" spans="1:31" x14ac:dyDescent="0.35">
      <c r="A325">
        <v>100324</v>
      </c>
      <c r="B325" s="3">
        <v>45949</v>
      </c>
      <c r="C325">
        <v>1073</v>
      </c>
      <c r="D325" t="s">
        <v>59</v>
      </c>
      <c r="E325" t="s">
        <v>60</v>
      </c>
      <c r="F325" t="s">
        <v>32</v>
      </c>
      <c r="G325" t="s">
        <v>63</v>
      </c>
      <c r="H325" t="s">
        <v>34</v>
      </c>
      <c r="I325" t="s">
        <v>35</v>
      </c>
      <c r="J325" s="4">
        <v>10.9</v>
      </c>
      <c r="K325" s="4">
        <v>12.1</v>
      </c>
      <c r="L325">
        <v>0</v>
      </c>
      <c r="M325" s="4">
        <v>0</v>
      </c>
      <c r="N325" s="4">
        <v>131.88999999999999</v>
      </c>
      <c r="O325" s="4">
        <v>80.81</v>
      </c>
      <c r="P325" s="4">
        <v>9.33</v>
      </c>
      <c r="Q325" s="4">
        <v>0.92</v>
      </c>
      <c r="R325" s="4">
        <v>7.59</v>
      </c>
      <c r="S325" s="4">
        <v>0</v>
      </c>
      <c r="T325" s="4">
        <v>0</v>
      </c>
      <c r="U325" s="4">
        <v>98.65</v>
      </c>
      <c r="V325" s="4">
        <v>33.24</v>
      </c>
      <c r="W325" t="s">
        <v>21</v>
      </c>
      <c r="X325" t="s">
        <v>36</v>
      </c>
      <c r="Y325" s="4">
        <v>11</v>
      </c>
      <c r="Z325" s="4">
        <v>31</v>
      </c>
      <c r="AA325" t="s">
        <v>37</v>
      </c>
      <c r="AB325" t="s">
        <v>44</v>
      </c>
      <c r="AC325" s="7">
        <v>1</v>
      </c>
      <c r="AD325" t="s">
        <v>45</v>
      </c>
      <c r="AE325">
        <f t="shared" si="5"/>
        <v>1</v>
      </c>
    </row>
    <row r="326" spans="1:31" x14ac:dyDescent="0.35">
      <c r="A326">
        <v>100325</v>
      </c>
      <c r="B326" s="3">
        <v>46013</v>
      </c>
      <c r="C326">
        <v>1139</v>
      </c>
      <c r="D326" t="s">
        <v>64</v>
      </c>
      <c r="E326" t="s">
        <v>75</v>
      </c>
      <c r="F326" t="s">
        <v>41</v>
      </c>
      <c r="G326" t="s">
        <v>50</v>
      </c>
      <c r="H326" t="s">
        <v>34</v>
      </c>
      <c r="I326" t="s">
        <v>35</v>
      </c>
      <c r="J326" s="4">
        <v>38.700000000000003</v>
      </c>
      <c r="K326" s="4">
        <v>18.77</v>
      </c>
      <c r="L326">
        <v>10</v>
      </c>
      <c r="M326" s="4">
        <v>72.64</v>
      </c>
      <c r="N326" s="4">
        <v>653.76</v>
      </c>
      <c r="O326" s="4">
        <v>309.61</v>
      </c>
      <c r="P326" s="4">
        <v>9.27</v>
      </c>
      <c r="Q326" s="4">
        <v>5.08</v>
      </c>
      <c r="R326" s="4">
        <v>3.27</v>
      </c>
      <c r="S326" s="4">
        <v>0</v>
      </c>
      <c r="T326" s="4">
        <v>0</v>
      </c>
      <c r="U326" s="4">
        <v>327.23</v>
      </c>
      <c r="V326" s="4">
        <v>326.52999999999997</v>
      </c>
      <c r="W326" t="s">
        <v>21</v>
      </c>
      <c r="X326" t="s">
        <v>36</v>
      </c>
      <c r="Y326" s="4">
        <v>9</v>
      </c>
      <c r="Z326" s="4">
        <v>0</v>
      </c>
      <c r="AA326" t="s">
        <v>37</v>
      </c>
      <c r="AB326" t="s">
        <v>38</v>
      </c>
      <c r="AC326" s="7">
        <v>0</v>
      </c>
      <c r="AD326" t="s">
        <v>39</v>
      </c>
      <c r="AE326">
        <f t="shared" si="5"/>
        <v>0</v>
      </c>
    </row>
    <row r="327" spans="1:31" x14ac:dyDescent="0.35">
      <c r="A327">
        <v>100326</v>
      </c>
      <c r="B327" s="3">
        <v>45992</v>
      </c>
      <c r="C327">
        <v>1081</v>
      </c>
      <c r="D327" t="s">
        <v>59</v>
      </c>
      <c r="E327" t="s">
        <v>68</v>
      </c>
      <c r="F327" t="s">
        <v>71</v>
      </c>
      <c r="G327" t="s">
        <v>46</v>
      </c>
      <c r="H327" t="s">
        <v>57</v>
      </c>
      <c r="I327" t="s">
        <v>69</v>
      </c>
      <c r="J327" s="4">
        <v>34.76</v>
      </c>
      <c r="K327" s="4">
        <v>16.13</v>
      </c>
      <c r="L327">
        <v>10</v>
      </c>
      <c r="M327" s="4">
        <v>56.07</v>
      </c>
      <c r="N327" s="4">
        <v>504.61</v>
      </c>
      <c r="O327" s="4">
        <v>233.5</v>
      </c>
      <c r="P327" s="4">
        <v>6.65</v>
      </c>
      <c r="Q327" s="4">
        <v>2.2400000000000002</v>
      </c>
      <c r="R327" s="4">
        <v>7.81</v>
      </c>
      <c r="S327" s="4">
        <v>0</v>
      </c>
      <c r="T327" s="4">
        <v>0</v>
      </c>
      <c r="U327" s="4">
        <v>250.2</v>
      </c>
      <c r="V327" s="4">
        <v>254.41</v>
      </c>
      <c r="W327" t="s">
        <v>21</v>
      </c>
      <c r="X327" t="s">
        <v>36</v>
      </c>
      <c r="Y327" s="4">
        <v>0</v>
      </c>
      <c r="Z327" s="4">
        <v>28</v>
      </c>
      <c r="AA327" t="s">
        <v>37</v>
      </c>
      <c r="AB327" t="s">
        <v>44</v>
      </c>
      <c r="AC327" s="7">
        <v>2</v>
      </c>
      <c r="AD327" t="s">
        <v>45</v>
      </c>
      <c r="AE327">
        <f t="shared" si="5"/>
        <v>1</v>
      </c>
    </row>
    <row r="328" spans="1:31" x14ac:dyDescent="0.35">
      <c r="A328">
        <v>100327</v>
      </c>
      <c r="B328" s="3">
        <v>45996</v>
      </c>
      <c r="C328">
        <v>1099</v>
      </c>
      <c r="D328" t="s">
        <v>59</v>
      </c>
      <c r="E328" t="s">
        <v>73</v>
      </c>
      <c r="F328" t="s">
        <v>71</v>
      </c>
      <c r="G328" t="s">
        <v>50</v>
      </c>
      <c r="H328" t="s">
        <v>57</v>
      </c>
      <c r="I328" t="s">
        <v>35</v>
      </c>
      <c r="J328" s="4">
        <v>24.56</v>
      </c>
      <c r="K328" s="4">
        <v>19.63</v>
      </c>
      <c r="L328">
        <v>0</v>
      </c>
      <c r="M328" s="4">
        <v>0</v>
      </c>
      <c r="N328" s="4">
        <v>482.11</v>
      </c>
      <c r="O328" s="4">
        <v>192.83</v>
      </c>
      <c r="P328" s="4">
        <v>8.7899999999999991</v>
      </c>
      <c r="Q328" s="4">
        <v>3.37</v>
      </c>
      <c r="R328" s="4">
        <v>1.48</v>
      </c>
      <c r="S328" s="4">
        <v>0</v>
      </c>
      <c r="T328" s="4">
        <v>0</v>
      </c>
      <c r="U328" s="4">
        <v>206.47</v>
      </c>
      <c r="V328" s="4">
        <v>275.64</v>
      </c>
      <c r="W328" t="s">
        <v>21</v>
      </c>
      <c r="X328" t="s">
        <v>36</v>
      </c>
      <c r="Y328" s="4">
        <v>14</v>
      </c>
      <c r="Z328" s="4">
        <v>2</v>
      </c>
      <c r="AA328" t="s">
        <v>37</v>
      </c>
      <c r="AB328" t="s">
        <v>38</v>
      </c>
      <c r="AC328" s="7">
        <v>0</v>
      </c>
      <c r="AD328" t="s">
        <v>39</v>
      </c>
      <c r="AE328">
        <f t="shared" si="5"/>
        <v>0</v>
      </c>
    </row>
    <row r="329" spans="1:31" x14ac:dyDescent="0.35">
      <c r="A329">
        <v>100328</v>
      </c>
      <c r="B329" s="3">
        <v>46018</v>
      </c>
      <c r="C329">
        <v>1062</v>
      </c>
      <c r="D329" t="s">
        <v>47</v>
      </c>
      <c r="E329" t="s">
        <v>48</v>
      </c>
      <c r="F329" t="s">
        <v>32</v>
      </c>
      <c r="G329" t="s">
        <v>46</v>
      </c>
      <c r="H329" t="s">
        <v>57</v>
      </c>
      <c r="I329" t="s">
        <v>42</v>
      </c>
      <c r="J329" s="4">
        <v>16.72</v>
      </c>
      <c r="K329" s="4">
        <v>15.72</v>
      </c>
      <c r="L329">
        <v>0</v>
      </c>
      <c r="M329" s="4">
        <v>0</v>
      </c>
      <c r="N329" s="4">
        <v>262.83999999999997</v>
      </c>
      <c r="O329" s="4">
        <v>127.56</v>
      </c>
      <c r="P329" s="4">
        <v>2.34</v>
      </c>
      <c r="Q329" s="4">
        <v>3.94</v>
      </c>
      <c r="R329" s="4">
        <v>12.06</v>
      </c>
      <c r="S329" s="4">
        <v>0</v>
      </c>
      <c r="T329" s="4">
        <v>0</v>
      </c>
      <c r="U329" s="4">
        <v>145.9</v>
      </c>
      <c r="V329" s="4">
        <v>116.94</v>
      </c>
      <c r="W329" t="s">
        <v>21</v>
      </c>
      <c r="X329" t="s">
        <v>36</v>
      </c>
      <c r="Y329" s="4">
        <v>1</v>
      </c>
      <c r="Z329" s="4">
        <v>12</v>
      </c>
      <c r="AA329" t="s">
        <v>37</v>
      </c>
      <c r="AB329" t="s">
        <v>38</v>
      </c>
      <c r="AC329" s="7">
        <v>2</v>
      </c>
      <c r="AD329" t="s">
        <v>39</v>
      </c>
      <c r="AE329">
        <f t="shared" si="5"/>
        <v>0</v>
      </c>
    </row>
    <row r="330" spans="1:31" x14ac:dyDescent="0.35">
      <c r="A330">
        <v>100329</v>
      </c>
      <c r="B330" s="3">
        <v>45984</v>
      </c>
      <c r="C330">
        <v>1026</v>
      </c>
      <c r="D330" t="s">
        <v>30</v>
      </c>
      <c r="E330" t="s">
        <v>40</v>
      </c>
      <c r="F330" t="s">
        <v>61</v>
      </c>
      <c r="G330" t="s">
        <v>46</v>
      </c>
      <c r="H330" t="s">
        <v>34</v>
      </c>
      <c r="I330" t="s">
        <v>69</v>
      </c>
      <c r="J330" s="4">
        <v>25.93</v>
      </c>
      <c r="K330" s="4">
        <v>15.38</v>
      </c>
      <c r="L330">
        <v>5</v>
      </c>
      <c r="M330" s="4">
        <v>19.940000000000001</v>
      </c>
      <c r="N330" s="4">
        <v>378.86</v>
      </c>
      <c r="O330" s="4">
        <v>208.48</v>
      </c>
      <c r="P330" s="4">
        <v>6.68</v>
      </c>
      <c r="Q330" s="4">
        <v>1.6</v>
      </c>
      <c r="R330" s="4">
        <v>0</v>
      </c>
      <c r="S330" s="4">
        <v>144.77000000000001</v>
      </c>
      <c r="T330" s="4">
        <v>0</v>
      </c>
      <c r="U330" s="4">
        <v>361.53</v>
      </c>
      <c r="V330" s="4">
        <v>17.329999999999998</v>
      </c>
      <c r="W330" t="s">
        <v>21</v>
      </c>
      <c r="X330" t="s">
        <v>66</v>
      </c>
      <c r="Y330" s="4">
        <v>4</v>
      </c>
      <c r="Z330" s="4">
        <v>40</v>
      </c>
      <c r="AA330" t="s">
        <v>37</v>
      </c>
      <c r="AB330" t="s">
        <v>44</v>
      </c>
      <c r="AC330" s="7">
        <v>2</v>
      </c>
      <c r="AD330" t="s">
        <v>45</v>
      </c>
      <c r="AE330">
        <f t="shared" si="5"/>
        <v>1</v>
      </c>
    </row>
    <row r="331" spans="1:31" x14ac:dyDescent="0.35">
      <c r="A331">
        <v>100330</v>
      </c>
      <c r="B331" s="3">
        <v>45966</v>
      </c>
      <c r="C331">
        <v>1013</v>
      </c>
      <c r="D331" t="s">
        <v>59</v>
      </c>
      <c r="E331" t="s">
        <v>68</v>
      </c>
      <c r="F331" t="s">
        <v>49</v>
      </c>
      <c r="G331" t="s">
        <v>46</v>
      </c>
      <c r="H331" t="s">
        <v>34</v>
      </c>
      <c r="I331" t="s">
        <v>35</v>
      </c>
      <c r="J331" s="4">
        <v>26.05</v>
      </c>
      <c r="K331" s="4">
        <v>17.48</v>
      </c>
      <c r="L331">
        <v>5</v>
      </c>
      <c r="M331" s="4">
        <v>22.77</v>
      </c>
      <c r="N331" s="4">
        <v>432.58</v>
      </c>
      <c r="O331" s="4">
        <v>192.55</v>
      </c>
      <c r="P331" s="4">
        <v>9.11</v>
      </c>
      <c r="Q331" s="4">
        <v>3.19</v>
      </c>
      <c r="R331" s="4">
        <v>10.52</v>
      </c>
      <c r="S331" s="4">
        <v>0</v>
      </c>
      <c r="T331" s="4">
        <v>0</v>
      </c>
      <c r="U331" s="4">
        <v>215.37</v>
      </c>
      <c r="V331" s="4">
        <v>217.21</v>
      </c>
      <c r="W331" t="s">
        <v>21</v>
      </c>
      <c r="X331" t="s">
        <v>36</v>
      </c>
      <c r="Y331" s="4">
        <v>30</v>
      </c>
      <c r="Z331" s="4">
        <v>8</v>
      </c>
      <c r="AA331" t="s">
        <v>52</v>
      </c>
      <c r="AB331" t="s">
        <v>44</v>
      </c>
      <c r="AC331" s="7">
        <v>2</v>
      </c>
      <c r="AD331" t="s">
        <v>45</v>
      </c>
      <c r="AE331">
        <f t="shared" si="5"/>
        <v>1</v>
      </c>
    </row>
    <row r="332" spans="1:31" x14ac:dyDescent="0.35">
      <c r="A332">
        <v>100331</v>
      </c>
      <c r="B332" s="3">
        <v>46014</v>
      </c>
      <c r="C332">
        <v>1023</v>
      </c>
      <c r="D332" t="s">
        <v>59</v>
      </c>
      <c r="E332" t="s">
        <v>70</v>
      </c>
      <c r="F332" t="s">
        <v>41</v>
      </c>
      <c r="G332" t="s">
        <v>46</v>
      </c>
      <c r="H332" t="s">
        <v>34</v>
      </c>
      <c r="I332" t="s">
        <v>35</v>
      </c>
      <c r="J332" s="4">
        <v>31.42</v>
      </c>
      <c r="K332" s="4">
        <v>15.38</v>
      </c>
      <c r="L332">
        <v>15</v>
      </c>
      <c r="M332" s="4">
        <v>72.489999999999995</v>
      </c>
      <c r="N332" s="4">
        <v>410.75</v>
      </c>
      <c r="O332" s="4">
        <v>230.19</v>
      </c>
      <c r="P332" s="4">
        <v>5.87</v>
      </c>
      <c r="Q332" s="4">
        <v>3.38</v>
      </c>
      <c r="R332" s="4">
        <v>2.77</v>
      </c>
      <c r="S332" s="4">
        <v>0</v>
      </c>
      <c r="T332" s="4">
        <v>0</v>
      </c>
      <c r="U332" s="4">
        <v>242.21</v>
      </c>
      <c r="V332" s="4">
        <v>168.54</v>
      </c>
      <c r="W332" t="s">
        <v>21</v>
      </c>
      <c r="X332" t="s">
        <v>36</v>
      </c>
      <c r="Y332" s="4">
        <v>21</v>
      </c>
      <c r="Z332" s="4">
        <v>1</v>
      </c>
      <c r="AA332" t="s">
        <v>52</v>
      </c>
      <c r="AB332" t="s">
        <v>44</v>
      </c>
      <c r="AC332" s="7">
        <v>1</v>
      </c>
      <c r="AD332" t="s">
        <v>45</v>
      </c>
      <c r="AE332">
        <f t="shared" si="5"/>
        <v>1</v>
      </c>
    </row>
    <row r="333" spans="1:31" x14ac:dyDescent="0.35">
      <c r="A333">
        <v>100332</v>
      </c>
      <c r="B333" s="3">
        <v>46014</v>
      </c>
      <c r="C333">
        <v>1085</v>
      </c>
      <c r="D333" t="s">
        <v>30</v>
      </c>
      <c r="E333" t="s">
        <v>31</v>
      </c>
      <c r="F333" t="s">
        <v>71</v>
      </c>
      <c r="G333" t="s">
        <v>46</v>
      </c>
      <c r="H333" t="s">
        <v>34</v>
      </c>
      <c r="I333" t="s">
        <v>35</v>
      </c>
      <c r="J333" s="4">
        <v>14.08</v>
      </c>
      <c r="K333" s="4">
        <v>14.31</v>
      </c>
      <c r="L333">
        <v>15</v>
      </c>
      <c r="M333" s="4">
        <v>30.22</v>
      </c>
      <c r="N333" s="4">
        <v>171.26</v>
      </c>
      <c r="O333" s="4">
        <v>101.1</v>
      </c>
      <c r="P333" s="4">
        <v>8.89</v>
      </c>
      <c r="Q333" s="4">
        <v>1.41</v>
      </c>
      <c r="R333" s="4">
        <v>19.29</v>
      </c>
      <c r="S333" s="4">
        <v>0</v>
      </c>
      <c r="T333" s="4">
        <v>0</v>
      </c>
      <c r="U333" s="4">
        <v>130.69</v>
      </c>
      <c r="V333" s="4">
        <v>40.57</v>
      </c>
      <c r="W333" t="s">
        <v>21</v>
      </c>
      <c r="X333" t="s">
        <v>36</v>
      </c>
      <c r="Y333" s="4">
        <v>7</v>
      </c>
      <c r="Z333" s="4">
        <v>5</v>
      </c>
      <c r="AA333" t="s">
        <v>37</v>
      </c>
      <c r="AB333" t="s">
        <v>38</v>
      </c>
      <c r="AC333" s="7">
        <v>1</v>
      </c>
      <c r="AD333" t="s">
        <v>39</v>
      </c>
      <c r="AE333">
        <f t="shared" si="5"/>
        <v>0</v>
      </c>
    </row>
    <row r="334" spans="1:31" x14ac:dyDescent="0.35">
      <c r="A334">
        <v>100333</v>
      </c>
      <c r="B334" s="3">
        <v>46008</v>
      </c>
      <c r="C334">
        <v>1124</v>
      </c>
      <c r="D334" t="s">
        <v>47</v>
      </c>
      <c r="E334" t="s">
        <v>74</v>
      </c>
      <c r="F334" t="s">
        <v>32</v>
      </c>
      <c r="G334" t="s">
        <v>63</v>
      </c>
      <c r="H334" t="s">
        <v>34</v>
      </c>
      <c r="I334" t="s">
        <v>35</v>
      </c>
      <c r="J334" s="4">
        <v>20.2</v>
      </c>
      <c r="K334" s="4">
        <v>11.98</v>
      </c>
      <c r="L334">
        <v>0</v>
      </c>
      <c r="M334" s="4">
        <v>0</v>
      </c>
      <c r="N334" s="4">
        <v>242</v>
      </c>
      <c r="O334" s="4">
        <v>132.34</v>
      </c>
      <c r="P334" s="4">
        <v>8.89</v>
      </c>
      <c r="Q334" s="4">
        <v>1.69</v>
      </c>
      <c r="R334" s="4">
        <v>4.7699999999999996</v>
      </c>
      <c r="S334" s="4">
        <v>0</v>
      </c>
      <c r="T334" s="4">
        <v>0</v>
      </c>
      <c r="U334" s="4">
        <v>147.69</v>
      </c>
      <c r="V334" s="4">
        <v>94.31</v>
      </c>
      <c r="W334" t="s">
        <v>21</v>
      </c>
      <c r="X334" t="s">
        <v>36</v>
      </c>
      <c r="Y334" s="4">
        <v>15</v>
      </c>
      <c r="Z334" s="4">
        <v>15</v>
      </c>
      <c r="AA334" t="s">
        <v>37</v>
      </c>
      <c r="AB334" t="s">
        <v>38</v>
      </c>
      <c r="AC334" s="7">
        <v>0</v>
      </c>
      <c r="AD334" t="s">
        <v>39</v>
      </c>
      <c r="AE334">
        <f t="shared" si="5"/>
        <v>0</v>
      </c>
    </row>
    <row r="335" spans="1:31" x14ac:dyDescent="0.35">
      <c r="A335">
        <v>100334</v>
      </c>
      <c r="B335" s="3">
        <v>45949</v>
      </c>
      <c r="C335">
        <v>1075</v>
      </c>
      <c r="D335" t="s">
        <v>30</v>
      </c>
      <c r="E335" t="s">
        <v>31</v>
      </c>
      <c r="F335" t="s">
        <v>49</v>
      </c>
      <c r="G335" t="s">
        <v>63</v>
      </c>
      <c r="H335" t="s">
        <v>34</v>
      </c>
      <c r="I335" t="s">
        <v>35</v>
      </c>
      <c r="J335" s="4">
        <v>19.79</v>
      </c>
      <c r="K335" s="4">
        <v>13.93</v>
      </c>
      <c r="L335">
        <v>10</v>
      </c>
      <c r="M335" s="4">
        <v>27.57</v>
      </c>
      <c r="N335" s="4">
        <v>248.1</v>
      </c>
      <c r="O335" s="4">
        <v>154.46</v>
      </c>
      <c r="P335" s="4">
        <v>8.2100000000000009</v>
      </c>
      <c r="Q335" s="4">
        <v>1.93</v>
      </c>
      <c r="R335" s="4">
        <v>3.45</v>
      </c>
      <c r="S335" s="4">
        <v>0</v>
      </c>
      <c r="T335" s="4">
        <v>0</v>
      </c>
      <c r="U335" s="4">
        <v>168.05</v>
      </c>
      <c r="V335" s="4">
        <v>80.05</v>
      </c>
      <c r="W335" t="s">
        <v>21</v>
      </c>
      <c r="X335" t="s">
        <v>36</v>
      </c>
      <c r="Y335" s="4">
        <v>28</v>
      </c>
      <c r="Z335" s="4">
        <v>5</v>
      </c>
      <c r="AA335" t="s">
        <v>52</v>
      </c>
      <c r="AB335" t="s">
        <v>44</v>
      </c>
      <c r="AC335" s="7">
        <v>1</v>
      </c>
      <c r="AD335" t="s">
        <v>45</v>
      </c>
      <c r="AE335">
        <f t="shared" si="5"/>
        <v>1</v>
      </c>
    </row>
    <row r="336" spans="1:31" x14ac:dyDescent="0.35">
      <c r="A336">
        <v>100335</v>
      </c>
      <c r="B336" s="3">
        <v>45950</v>
      </c>
      <c r="C336">
        <v>1068</v>
      </c>
      <c r="D336" t="s">
        <v>59</v>
      </c>
      <c r="E336" t="s">
        <v>68</v>
      </c>
      <c r="F336" t="s">
        <v>61</v>
      </c>
      <c r="G336" t="s">
        <v>46</v>
      </c>
      <c r="H336" t="s">
        <v>57</v>
      </c>
      <c r="I336" t="s">
        <v>35</v>
      </c>
      <c r="J336" s="4">
        <v>22.85</v>
      </c>
      <c r="K336" s="4">
        <v>14.83</v>
      </c>
      <c r="L336">
        <v>0</v>
      </c>
      <c r="M336" s="4">
        <v>0</v>
      </c>
      <c r="N336" s="4">
        <v>338.87</v>
      </c>
      <c r="O336" s="4">
        <v>170.43</v>
      </c>
      <c r="P336" s="4">
        <v>7.4</v>
      </c>
      <c r="Q336" s="4">
        <v>2.37</v>
      </c>
      <c r="R336" s="4">
        <v>0.37</v>
      </c>
      <c r="S336" s="4">
        <v>0</v>
      </c>
      <c r="T336" s="4">
        <v>0</v>
      </c>
      <c r="U336" s="4">
        <v>180.57</v>
      </c>
      <c r="V336" s="4">
        <v>158.30000000000001</v>
      </c>
      <c r="W336" t="s">
        <v>21</v>
      </c>
      <c r="X336" t="s">
        <v>36</v>
      </c>
      <c r="Y336" s="4">
        <v>2</v>
      </c>
      <c r="Z336" s="4">
        <v>30</v>
      </c>
      <c r="AA336" t="s">
        <v>37</v>
      </c>
      <c r="AB336" t="s">
        <v>44</v>
      </c>
      <c r="AC336" s="7">
        <v>4</v>
      </c>
      <c r="AD336" t="s">
        <v>45</v>
      </c>
      <c r="AE336">
        <f t="shared" si="5"/>
        <v>1</v>
      </c>
    </row>
    <row r="337" spans="1:31" x14ac:dyDescent="0.35">
      <c r="A337">
        <v>100336</v>
      </c>
      <c r="B337" s="3">
        <v>45969</v>
      </c>
      <c r="C337">
        <v>1122</v>
      </c>
      <c r="D337" t="s">
        <v>59</v>
      </c>
      <c r="E337" t="s">
        <v>73</v>
      </c>
      <c r="F337" t="s">
        <v>49</v>
      </c>
      <c r="G337" t="s">
        <v>33</v>
      </c>
      <c r="H337" t="s">
        <v>34</v>
      </c>
      <c r="I337" t="s">
        <v>35</v>
      </c>
      <c r="J337" s="4">
        <v>23.26</v>
      </c>
      <c r="K337" s="4">
        <v>18.93</v>
      </c>
      <c r="L337">
        <v>5</v>
      </c>
      <c r="M337" s="4">
        <v>22.02</v>
      </c>
      <c r="N337" s="4">
        <v>418.29</v>
      </c>
      <c r="O337" s="4">
        <v>139.51</v>
      </c>
      <c r="P337" s="4">
        <v>7.26</v>
      </c>
      <c r="Q337" s="4">
        <v>3.08</v>
      </c>
      <c r="R337" s="4">
        <v>6.21</v>
      </c>
      <c r="S337" s="4">
        <v>0</v>
      </c>
      <c r="T337" s="4">
        <v>0</v>
      </c>
      <c r="U337" s="4">
        <v>156.06</v>
      </c>
      <c r="V337" s="4">
        <v>262.23</v>
      </c>
      <c r="W337" t="s">
        <v>21</v>
      </c>
      <c r="X337" t="s">
        <v>36</v>
      </c>
      <c r="Y337" s="4">
        <v>5</v>
      </c>
      <c r="Z337" s="4">
        <v>9</v>
      </c>
      <c r="AA337" t="s">
        <v>37</v>
      </c>
      <c r="AB337" t="s">
        <v>38</v>
      </c>
      <c r="AC337" s="7">
        <v>0</v>
      </c>
      <c r="AD337" t="s">
        <v>39</v>
      </c>
      <c r="AE337">
        <f t="shared" si="5"/>
        <v>0</v>
      </c>
    </row>
    <row r="338" spans="1:31" x14ac:dyDescent="0.35">
      <c r="A338">
        <v>100337</v>
      </c>
      <c r="B338" s="3">
        <v>45945</v>
      </c>
      <c r="C338">
        <v>1150</v>
      </c>
      <c r="D338" t="s">
        <v>64</v>
      </c>
      <c r="E338" t="s">
        <v>76</v>
      </c>
      <c r="F338" t="s">
        <v>71</v>
      </c>
      <c r="G338" t="s">
        <v>63</v>
      </c>
      <c r="H338" t="s">
        <v>34</v>
      </c>
      <c r="I338" t="s">
        <v>69</v>
      </c>
      <c r="J338" s="4">
        <v>8.27</v>
      </c>
      <c r="K338" s="4">
        <v>12.06</v>
      </c>
      <c r="L338">
        <v>0</v>
      </c>
      <c r="M338" s="4">
        <v>0</v>
      </c>
      <c r="N338" s="4">
        <v>99.74</v>
      </c>
      <c r="O338" s="4">
        <v>63.35</v>
      </c>
      <c r="P338" s="4">
        <v>6.77</v>
      </c>
      <c r="Q338" s="4">
        <v>0.4</v>
      </c>
      <c r="R338" s="4">
        <v>6.53</v>
      </c>
      <c r="S338" s="4">
        <v>0</v>
      </c>
      <c r="T338" s="4">
        <v>0</v>
      </c>
      <c r="U338" s="4">
        <v>77.05</v>
      </c>
      <c r="V338" s="4">
        <v>22.69</v>
      </c>
      <c r="W338" t="s">
        <v>21</v>
      </c>
      <c r="X338" t="s">
        <v>36</v>
      </c>
      <c r="Y338" s="4">
        <v>8</v>
      </c>
      <c r="Z338" s="4">
        <v>23</v>
      </c>
      <c r="AA338" t="s">
        <v>37</v>
      </c>
      <c r="AB338" t="s">
        <v>44</v>
      </c>
      <c r="AC338" s="7">
        <v>1</v>
      </c>
      <c r="AD338" t="s">
        <v>45</v>
      </c>
      <c r="AE338">
        <f t="shared" si="5"/>
        <v>1</v>
      </c>
    </row>
    <row r="339" spans="1:31" x14ac:dyDescent="0.35">
      <c r="A339">
        <v>100338</v>
      </c>
      <c r="B339" s="3">
        <v>45945</v>
      </c>
      <c r="C339">
        <v>1139</v>
      </c>
      <c r="D339" t="s">
        <v>59</v>
      </c>
      <c r="E339" t="s">
        <v>60</v>
      </c>
      <c r="F339" t="s">
        <v>49</v>
      </c>
      <c r="G339" t="s">
        <v>50</v>
      </c>
      <c r="H339" t="s">
        <v>34</v>
      </c>
      <c r="I339" t="s">
        <v>35</v>
      </c>
      <c r="J339" s="4">
        <v>26.3</v>
      </c>
      <c r="K339" s="4">
        <v>17.52</v>
      </c>
      <c r="L339">
        <v>0</v>
      </c>
      <c r="M339" s="4">
        <v>0</v>
      </c>
      <c r="N339" s="4">
        <v>460.78</v>
      </c>
      <c r="O339" s="4">
        <v>171.66</v>
      </c>
      <c r="P339" s="4">
        <v>6.31</v>
      </c>
      <c r="Q339" s="4">
        <v>3.23</v>
      </c>
      <c r="R339" s="4">
        <v>6.75</v>
      </c>
      <c r="S339" s="4">
        <v>0</v>
      </c>
      <c r="T339" s="4">
        <v>0</v>
      </c>
      <c r="U339" s="4">
        <v>187.95</v>
      </c>
      <c r="V339" s="4">
        <v>272.83</v>
      </c>
      <c r="W339" t="s">
        <v>21</v>
      </c>
      <c r="X339" t="s">
        <v>36</v>
      </c>
      <c r="Y339" s="4">
        <v>6</v>
      </c>
      <c r="Z339" s="4">
        <v>3</v>
      </c>
      <c r="AA339" t="s">
        <v>37</v>
      </c>
      <c r="AB339" t="s">
        <v>38</v>
      </c>
      <c r="AC339" s="7">
        <v>0</v>
      </c>
      <c r="AD339" t="s">
        <v>39</v>
      </c>
      <c r="AE339">
        <f t="shared" si="5"/>
        <v>0</v>
      </c>
    </row>
    <row r="340" spans="1:31" x14ac:dyDescent="0.35">
      <c r="A340">
        <v>100339</v>
      </c>
      <c r="B340" s="3">
        <v>45956</v>
      </c>
      <c r="C340">
        <v>1015</v>
      </c>
      <c r="D340" t="s">
        <v>30</v>
      </c>
      <c r="E340" t="s">
        <v>62</v>
      </c>
      <c r="F340" t="s">
        <v>32</v>
      </c>
      <c r="G340" t="s">
        <v>46</v>
      </c>
      <c r="H340" t="s">
        <v>34</v>
      </c>
      <c r="I340" t="s">
        <v>35</v>
      </c>
      <c r="J340" s="4">
        <v>26.11</v>
      </c>
      <c r="K340" s="4">
        <v>16.690000000000001</v>
      </c>
      <c r="L340">
        <v>0</v>
      </c>
      <c r="M340" s="4">
        <v>0</v>
      </c>
      <c r="N340" s="4">
        <v>435.78</v>
      </c>
      <c r="O340" s="4">
        <v>165.29</v>
      </c>
      <c r="P340" s="4">
        <v>8.27</v>
      </c>
      <c r="Q340" s="4">
        <v>3.05</v>
      </c>
      <c r="R340" s="4">
        <v>5.9</v>
      </c>
      <c r="S340" s="4">
        <v>0</v>
      </c>
      <c r="T340" s="4">
        <v>0</v>
      </c>
      <c r="U340" s="4">
        <v>182.51</v>
      </c>
      <c r="V340" s="4">
        <v>253.27</v>
      </c>
      <c r="W340" t="s">
        <v>21</v>
      </c>
      <c r="X340" t="s">
        <v>36</v>
      </c>
      <c r="Y340" s="4">
        <v>18</v>
      </c>
      <c r="Z340" s="4">
        <v>9</v>
      </c>
      <c r="AA340" t="s">
        <v>52</v>
      </c>
      <c r="AB340" t="s">
        <v>38</v>
      </c>
      <c r="AC340" s="7">
        <v>0</v>
      </c>
      <c r="AD340" t="s">
        <v>39</v>
      </c>
      <c r="AE340">
        <f t="shared" si="5"/>
        <v>0</v>
      </c>
    </row>
    <row r="341" spans="1:31" x14ac:dyDescent="0.35">
      <c r="A341">
        <v>100340</v>
      </c>
      <c r="B341" s="3">
        <v>45986</v>
      </c>
      <c r="C341">
        <v>1072</v>
      </c>
      <c r="D341" t="s">
        <v>64</v>
      </c>
      <c r="E341" t="s">
        <v>67</v>
      </c>
      <c r="F341" t="s">
        <v>61</v>
      </c>
      <c r="G341" t="s">
        <v>63</v>
      </c>
      <c r="H341" t="s">
        <v>57</v>
      </c>
      <c r="I341" t="s">
        <v>35</v>
      </c>
      <c r="J341" s="4">
        <v>23.76</v>
      </c>
      <c r="K341" s="4">
        <v>12.26</v>
      </c>
      <c r="L341">
        <v>10</v>
      </c>
      <c r="M341" s="4">
        <v>29.13</v>
      </c>
      <c r="N341" s="4">
        <v>262.17</v>
      </c>
      <c r="O341" s="4">
        <v>159.05000000000001</v>
      </c>
      <c r="P341" s="4">
        <v>11.35</v>
      </c>
      <c r="Q341" s="4">
        <v>2.04</v>
      </c>
      <c r="R341" s="4">
        <v>3.31</v>
      </c>
      <c r="S341" s="4">
        <v>0</v>
      </c>
      <c r="T341" s="4">
        <v>0</v>
      </c>
      <c r="U341" s="4">
        <v>175.75</v>
      </c>
      <c r="V341" s="4">
        <v>86.42</v>
      </c>
      <c r="W341" t="s">
        <v>21</v>
      </c>
      <c r="X341" t="s">
        <v>36</v>
      </c>
      <c r="Y341" s="4">
        <v>27</v>
      </c>
      <c r="Z341" s="4">
        <v>0</v>
      </c>
      <c r="AA341" t="s">
        <v>52</v>
      </c>
      <c r="AB341" t="s">
        <v>44</v>
      </c>
      <c r="AC341" s="7">
        <v>2</v>
      </c>
      <c r="AD341" t="s">
        <v>45</v>
      </c>
      <c r="AE341">
        <f t="shared" si="5"/>
        <v>1</v>
      </c>
    </row>
    <row r="342" spans="1:31" x14ac:dyDescent="0.35">
      <c r="A342">
        <v>100341</v>
      </c>
      <c r="B342" s="3">
        <v>45955</v>
      </c>
      <c r="C342">
        <v>1002</v>
      </c>
      <c r="D342" t="s">
        <v>47</v>
      </c>
      <c r="E342" t="s">
        <v>74</v>
      </c>
      <c r="F342" t="s">
        <v>61</v>
      </c>
      <c r="G342" t="s">
        <v>63</v>
      </c>
      <c r="H342" t="s">
        <v>34</v>
      </c>
      <c r="I342" t="s">
        <v>35</v>
      </c>
      <c r="J342" s="4">
        <v>14.36</v>
      </c>
      <c r="K342" s="4">
        <v>12.26</v>
      </c>
      <c r="L342">
        <v>0</v>
      </c>
      <c r="M342" s="4">
        <v>0</v>
      </c>
      <c r="N342" s="4">
        <v>176.05</v>
      </c>
      <c r="O342" s="4">
        <v>111.79</v>
      </c>
      <c r="P342" s="4">
        <v>6.01</v>
      </c>
      <c r="Q342" s="4">
        <v>1.23</v>
      </c>
      <c r="R342" s="4">
        <v>9.61</v>
      </c>
      <c r="S342" s="4">
        <v>0</v>
      </c>
      <c r="T342" s="4">
        <v>0</v>
      </c>
      <c r="U342" s="4">
        <v>128.63999999999999</v>
      </c>
      <c r="V342" s="4">
        <v>47.41</v>
      </c>
      <c r="W342" t="s">
        <v>21</v>
      </c>
      <c r="X342" t="s">
        <v>36</v>
      </c>
      <c r="Y342" s="4">
        <v>28</v>
      </c>
      <c r="Z342" s="4">
        <v>7</v>
      </c>
      <c r="AA342" t="s">
        <v>52</v>
      </c>
      <c r="AB342" t="s">
        <v>44</v>
      </c>
      <c r="AC342" s="7">
        <v>1</v>
      </c>
      <c r="AD342" t="s">
        <v>45</v>
      </c>
      <c r="AE342">
        <f t="shared" si="5"/>
        <v>1</v>
      </c>
    </row>
    <row r="343" spans="1:31" x14ac:dyDescent="0.35">
      <c r="A343">
        <v>100342</v>
      </c>
      <c r="B343" s="3">
        <v>45972</v>
      </c>
      <c r="C343">
        <v>1118</v>
      </c>
      <c r="D343" t="s">
        <v>64</v>
      </c>
      <c r="E343" t="s">
        <v>76</v>
      </c>
      <c r="F343" t="s">
        <v>61</v>
      </c>
      <c r="G343" t="s">
        <v>46</v>
      </c>
      <c r="H343" t="s">
        <v>51</v>
      </c>
      <c r="I343" t="s">
        <v>35</v>
      </c>
      <c r="J343" s="4">
        <v>13.59</v>
      </c>
      <c r="K343" s="4">
        <v>16.47</v>
      </c>
      <c r="L343">
        <v>10</v>
      </c>
      <c r="M343" s="4">
        <v>22.38</v>
      </c>
      <c r="N343" s="4">
        <v>201.45</v>
      </c>
      <c r="O343" s="4">
        <v>95.88</v>
      </c>
      <c r="P343" s="4">
        <v>8.7799999999999994</v>
      </c>
      <c r="Q343" s="4">
        <v>1.57</v>
      </c>
      <c r="R343" s="4">
        <v>9.93</v>
      </c>
      <c r="S343" s="4">
        <v>0</v>
      </c>
      <c r="T343" s="4">
        <v>0</v>
      </c>
      <c r="U343" s="4">
        <v>116.16</v>
      </c>
      <c r="V343" s="4">
        <v>85.29</v>
      </c>
      <c r="W343" t="s">
        <v>21</v>
      </c>
      <c r="X343" t="s">
        <v>36</v>
      </c>
      <c r="Y343" s="4">
        <v>30</v>
      </c>
      <c r="Z343" s="4">
        <v>6</v>
      </c>
      <c r="AA343" t="s">
        <v>52</v>
      </c>
      <c r="AB343" t="s">
        <v>44</v>
      </c>
      <c r="AC343" s="7">
        <v>4</v>
      </c>
      <c r="AD343" t="s">
        <v>45</v>
      </c>
      <c r="AE343">
        <f t="shared" si="5"/>
        <v>1</v>
      </c>
    </row>
    <row r="344" spans="1:31" x14ac:dyDescent="0.35">
      <c r="A344">
        <v>100343</v>
      </c>
      <c r="B344" s="3">
        <v>46009</v>
      </c>
      <c r="C344">
        <v>1023</v>
      </c>
      <c r="D344" t="s">
        <v>64</v>
      </c>
      <c r="E344" t="s">
        <v>75</v>
      </c>
      <c r="F344" t="s">
        <v>41</v>
      </c>
      <c r="G344" t="s">
        <v>50</v>
      </c>
      <c r="H344" t="s">
        <v>57</v>
      </c>
      <c r="I344" t="s">
        <v>42</v>
      </c>
      <c r="J344" s="4">
        <v>30.24</v>
      </c>
      <c r="K344" s="4">
        <v>17.78</v>
      </c>
      <c r="L344">
        <v>0</v>
      </c>
      <c r="M344" s="4">
        <v>0</v>
      </c>
      <c r="N344" s="4">
        <v>537.66999999999996</v>
      </c>
      <c r="O344" s="4">
        <v>215.24</v>
      </c>
      <c r="P344" s="4">
        <v>7.69</v>
      </c>
      <c r="Q344" s="4">
        <v>8.07</v>
      </c>
      <c r="R344" s="4">
        <v>3.78</v>
      </c>
      <c r="S344" s="4">
        <v>520.41999999999996</v>
      </c>
      <c r="T344" s="4">
        <v>9.82</v>
      </c>
      <c r="U344" s="4">
        <v>765.02</v>
      </c>
      <c r="V344" s="4">
        <v>-227.35</v>
      </c>
      <c r="W344" t="s">
        <v>58</v>
      </c>
      <c r="X344" t="s">
        <v>66</v>
      </c>
      <c r="Y344" s="4">
        <v>4</v>
      </c>
      <c r="Z344" s="4">
        <v>0</v>
      </c>
      <c r="AA344" t="s">
        <v>37</v>
      </c>
      <c r="AB344" t="s">
        <v>38</v>
      </c>
      <c r="AC344" s="7">
        <v>1</v>
      </c>
      <c r="AD344" t="s">
        <v>45</v>
      </c>
      <c r="AE344">
        <f t="shared" si="5"/>
        <v>0</v>
      </c>
    </row>
    <row r="345" spans="1:31" x14ac:dyDescent="0.35">
      <c r="A345">
        <v>100344</v>
      </c>
      <c r="B345" s="3">
        <v>45975</v>
      </c>
      <c r="C345">
        <v>1022</v>
      </c>
      <c r="D345" t="s">
        <v>30</v>
      </c>
      <c r="E345" t="s">
        <v>72</v>
      </c>
      <c r="F345" t="s">
        <v>49</v>
      </c>
      <c r="G345" t="s">
        <v>46</v>
      </c>
      <c r="H345" t="s">
        <v>34</v>
      </c>
      <c r="I345" t="s">
        <v>54</v>
      </c>
      <c r="J345" s="4">
        <v>25.47</v>
      </c>
      <c r="K345" s="4">
        <v>15.58</v>
      </c>
      <c r="L345">
        <v>15</v>
      </c>
      <c r="M345" s="4">
        <v>59.52</v>
      </c>
      <c r="N345" s="4">
        <v>337.3</v>
      </c>
      <c r="O345" s="4">
        <v>214.59</v>
      </c>
      <c r="P345" s="4">
        <v>2.13</v>
      </c>
      <c r="Q345" s="4">
        <v>4.76</v>
      </c>
      <c r="R345" s="4">
        <v>6.77</v>
      </c>
      <c r="S345" s="4">
        <v>0</v>
      </c>
      <c r="T345" s="4">
        <v>0</v>
      </c>
      <c r="U345" s="4">
        <v>228.25</v>
      </c>
      <c r="V345" s="4">
        <v>109.05</v>
      </c>
      <c r="W345" t="s">
        <v>21</v>
      </c>
      <c r="X345" t="s">
        <v>36</v>
      </c>
      <c r="Y345" s="4">
        <v>20</v>
      </c>
      <c r="Z345" s="4">
        <v>0</v>
      </c>
      <c r="AA345" t="s">
        <v>52</v>
      </c>
      <c r="AB345" t="s">
        <v>38</v>
      </c>
      <c r="AC345" s="7">
        <v>0</v>
      </c>
      <c r="AD345" t="s">
        <v>39</v>
      </c>
      <c r="AE345">
        <f t="shared" si="5"/>
        <v>0</v>
      </c>
    </row>
    <row r="346" spans="1:31" x14ac:dyDescent="0.35">
      <c r="A346">
        <v>100345</v>
      </c>
      <c r="B346" s="3">
        <v>45935</v>
      </c>
      <c r="C346">
        <v>1060</v>
      </c>
      <c r="D346" t="s">
        <v>64</v>
      </c>
      <c r="E346" t="s">
        <v>76</v>
      </c>
      <c r="F346" t="s">
        <v>32</v>
      </c>
      <c r="G346" t="s">
        <v>33</v>
      </c>
      <c r="H346" t="s">
        <v>34</v>
      </c>
      <c r="I346" t="s">
        <v>35</v>
      </c>
      <c r="J346" s="4">
        <v>31.25</v>
      </c>
      <c r="K346" s="4">
        <v>19.559999999999999</v>
      </c>
      <c r="L346">
        <v>0</v>
      </c>
      <c r="M346" s="4">
        <v>0</v>
      </c>
      <c r="N346" s="4">
        <v>611.25</v>
      </c>
      <c r="O346" s="4">
        <v>254.47</v>
      </c>
      <c r="P346" s="4">
        <v>8.98</v>
      </c>
      <c r="Q346" s="4">
        <v>4.28</v>
      </c>
      <c r="R346" s="4">
        <v>4.04</v>
      </c>
      <c r="S346" s="4">
        <v>0</v>
      </c>
      <c r="T346" s="4">
        <v>0</v>
      </c>
      <c r="U346" s="4">
        <v>271.77</v>
      </c>
      <c r="V346" s="4">
        <v>339.48</v>
      </c>
      <c r="W346" t="s">
        <v>21</v>
      </c>
      <c r="X346" t="s">
        <v>36</v>
      </c>
      <c r="Y346" s="4">
        <v>25</v>
      </c>
      <c r="Z346" s="4">
        <v>0</v>
      </c>
      <c r="AA346" t="s">
        <v>52</v>
      </c>
      <c r="AB346" t="s">
        <v>44</v>
      </c>
      <c r="AC346" s="7">
        <v>1</v>
      </c>
      <c r="AD346" t="s">
        <v>45</v>
      </c>
      <c r="AE346">
        <f t="shared" si="5"/>
        <v>1</v>
      </c>
    </row>
    <row r="347" spans="1:31" x14ac:dyDescent="0.35">
      <c r="A347">
        <v>100346</v>
      </c>
      <c r="B347" s="3">
        <v>45956</v>
      </c>
      <c r="C347">
        <v>1101</v>
      </c>
      <c r="D347" t="s">
        <v>59</v>
      </c>
      <c r="E347" t="s">
        <v>70</v>
      </c>
      <c r="F347" t="s">
        <v>41</v>
      </c>
      <c r="G347" t="s">
        <v>63</v>
      </c>
      <c r="H347" t="s">
        <v>57</v>
      </c>
      <c r="I347" t="s">
        <v>42</v>
      </c>
      <c r="J347" s="4">
        <v>42.01</v>
      </c>
      <c r="K347" s="4">
        <v>12.29</v>
      </c>
      <c r="L347">
        <v>5</v>
      </c>
      <c r="M347" s="4">
        <v>25.82</v>
      </c>
      <c r="N347" s="4">
        <v>490.48</v>
      </c>
      <c r="O347" s="4">
        <v>298.11</v>
      </c>
      <c r="P347" s="4">
        <v>9.9499999999999993</v>
      </c>
      <c r="Q347" s="4">
        <v>7.74</v>
      </c>
      <c r="R347" s="4">
        <v>0</v>
      </c>
      <c r="S347" s="4">
        <v>0</v>
      </c>
      <c r="T347" s="4">
        <v>0</v>
      </c>
      <c r="U347" s="4">
        <v>315.8</v>
      </c>
      <c r="V347" s="4">
        <v>174.68</v>
      </c>
      <c r="W347" t="s">
        <v>21</v>
      </c>
      <c r="X347" t="s">
        <v>36</v>
      </c>
      <c r="Y347" s="4">
        <v>2</v>
      </c>
      <c r="Z347" s="4">
        <v>0</v>
      </c>
      <c r="AA347" t="s">
        <v>37</v>
      </c>
      <c r="AB347" t="s">
        <v>38</v>
      </c>
      <c r="AC347" s="7">
        <v>2</v>
      </c>
      <c r="AD347" t="s">
        <v>39</v>
      </c>
      <c r="AE347">
        <f t="shared" si="5"/>
        <v>0</v>
      </c>
    </row>
    <row r="348" spans="1:31" x14ac:dyDescent="0.35">
      <c r="A348">
        <v>100347</v>
      </c>
      <c r="B348" s="3">
        <v>45974</v>
      </c>
      <c r="C348">
        <v>1006</v>
      </c>
      <c r="D348" t="s">
        <v>30</v>
      </c>
      <c r="E348" t="s">
        <v>72</v>
      </c>
      <c r="F348" t="s">
        <v>49</v>
      </c>
      <c r="G348" t="s">
        <v>33</v>
      </c>
      <c r="H348" t="s">
        <v>34</v>
      </c>
      <c r="I348" t="s">
        <v>42</v>
      </c>
      <c r="J348" s="4">
        <v>32.69</v>
      </c>
      <c r="K348" s="4">
        <v>18.489999999999998</v>
      </c>
      <c r="L348">
        <v>15</v>
      </c>
      <c r="M348" s="4">
        <v>90.67</v>
      </c>
      <c r="N348" s="4">
        <v>513.77</v>
      </c>
      <c r="O348" s="4">
        <v>240.15</v>
      </c>
      <c r="P348" s="4">
        <v>11.53</v>
      </c>
      <c r="Q348" s="4">
        <v>9.07</v>
      </c>
      <c r="R348" s="4">
        <v>7.87</v>
      </c>
      <c r="S348" s="4">
        <v>0</v>
      </c>
      <c r="T348" s="4">
        <v>0</v>
      </c>
      <c r="U348" s="4">
        <v>268.62</v>
      </c>
      <c r="V348" s="4">
        <v>245.15</v>
      </c>
      <c r="W348" t="s">
        <v>21</v>
      </c>
      <c r="X348" t="s">
        <v>36</v>
      </c>
      <c r="Y348" s="4">
        <v>2</v>
      </c>
      <c r="Z348" s="4">
        <v>2</v>
      </c>
      <c r="AA348" t="s">
        <v>37</v>
      </c>
      <c r="AB348" t="s">
        <v>38</v>
      </c>
      <c r="AC348" s="7">
        <v>0</v>
      </c>
      <c r="AD348" t="s">
        <v>39</v>
      </c>
      <c r="AE348">
        <f t="shared" si="5"/>
        <v>0</v>
      </c>
    </row>
    <row r="349" spans="1:31" x14ac:dyDescent="0.35">
      <c r="A349">
        <v>100348</v>
      </c>
      <c r="B349" s="3">
        <v>45959</v>
      </c>
      <c r="C349">
        <v>1127</v>
      </c>
      <c r="D349" t="s">
        <v>64</v>
      </c>
      <c r="E349" t="s">
        <v>76</v>
      </c>
      <c r="F349" t="s">
        <v>71</v>
      </c>
      <c r="G349" t="s">
        <v>63</v>
      </c>
      <c r="H349" t="s">
        <v>34</v>
      </c>
      <c r="I349" t="s">
        <v>69</v>
      </c>
      <c r="J349" s="4">
        <v>12.42</v>
      </c>
      <c r="K349" s="4">
        <v>14.12</v>
      </c>
      <c r="L349">
        <v>10</v>
      </c>
      <c r="M349" s="4">
        <v>17.54</v>
      </c>
      <c r="N349" s="4">
        <v>157.83000000000001</v>
      </c>
      <c r="O349" s="4">
        <v>122.09</v>
      </c>
      <c r="P349" s="4">
        <v>8.9499999999999993</v>
      </c>
      <c r="Q349" s="4">
        <v>0.7</v>
      </c>
      <c r="R349" s="4">
        <v>0</v>
      </c>
      <c r="S349" s="4">
        <v>0</v>
      </c>
      <c r="T349" s="4">
        <v>0</v>
      </c>
      <c r="U349" s="4">
        <v>131.74</v>
      </c>
      <c r="V349" s="4">
        <v>26.09</v>
      </c>
      <c r="W349" t="s">
        <v>21</v>
      </c>
      <c r="X349" t="s">
        <v>36</v>
      </c>
      <c r="Y349" s="4">
        <v>12</v>
      </c>
      <c r="Z349" s="4">
        <v>15</v>
      </c>
      <c r="AA349" t="s">
        <v>37</v>
      </c>
      <c r="AB349" t="s">
        <v>38</v>
      </c>
      <c r="AC349" s="7">
        <v>0</v>
      </c>
      <c r="AD349" t="s">
        <v>39</v>
      </c>
      <c r="AE349">
        <f t="shared" si="5"/>
        <v>0</v>
      </c>
    </row>
    <row r="350" spans="1:31" x14ac:dyDescent="0.35">
      <c r="A350">
        <v>100349</v>
      </c>
      <c r="B350" s="3">
        <v>45983</v>
      </c>
      <c r="C350">
        <v>1008</v>
      </c>
      <c r="D350" t="s">
        <v>47</v>
      </c>
      <c r="E350" t="s">
        <v>48</v>
      </c>
      <c r="F350" t="s">
        <v>71</v>
      </c>
      <c r="G350" t="s">
        <v>63</v>
      </c>
      <c r="H350" t="s">
        <v>34</v>
      </c>
      <c r="I350" t="s">
        <v>69</v>
      </c>
      <c r="J350" s="4">
        <v>15.7</v>
      </c>
      <c r="K350" s="4">
        <v>13.69</v>
      </c>
      <c r="L350">
        <v>0</v>
      </c>
      <c r="M350" s="4">
        <v>0</v>
      </c>
      <c r="N350" s="4">
        <v>214.93</v>
      </c>
      <c r="O350" s="4">
        <v>129.46</v>
      </c>
      <c r="P350" s="4">
        <v>5.19</v>
      </c>
      <c r="Q350" s="4">
        <v>0.86</v>
      </c>
      <c r="R350" s="4">
        <v>8.16</v>
      </c>
      <c r="S350" s="4">
        <v>0</v>
      </c>
      <c r="T350" s="4">
        <v>0</v>
      </c>
      <c r="U350" s="4">
        <v>143.66999999999999</v>
      </c>
      <c r="V350" s="4">
        <v>71.260000000000005</v>
      </c>
      <c r="W350" t="s">
        <v>21</v>
      </c>
      <c r="X350" t="s">
        <v>36</v>
      </c>
      <c r="Y350" s="4">
        <v>2</v>
      </c>
      <c r="Z350" s="4">
        <v>14</v>
      </c>
      <c r="AA350" t="s">
        <v>37</v>
      </c>
      <c r="AB350" t="s">
        <v>38</v>
      </c>
      <c r="AC350" s="7">
        <v>1</v>
      </c>
      <c r="AD350" t="s">
        <v>39</v>
      </c>
      <c r="AE350">
        <f t="shared" si="5"/>
        <v>0</v>
      </c>
    </row>
    <row r="351" spans="1:31" x14ac:dyDescent="0.35">
      <c r="A351">
        <v>100350</v>
      </c>
      <c r="B351" s="3">
        <v>45990</v>
      </c>
      <c r="C351">
        <v>1142</v>
      </c>
      <c r="D351" t="s">
        <v>30</v>
      </c>
      <c r="E351" t="s">
        <v>72</v>
      </c>
      <c r="F351" t="s">
        <v>49</v>
      </c>
      <c r="G351" t="s">
        <v>46</v>
      </c>
      <c r="H351" t="s">
        <v>57</v>
      </c>
      <c r="I351" t="s">
        <v>35</v>
      </c>
      <c r="J351" s="4">
        <v>25.65</v>
      </c>
      <c r="K351" s="4">
        <v>15.19</v>
      </c>
      <c r="L351">
        <v>15</v>
      </c>
      <c r="M351" s="4">
        <v>58.44</v>
      </c>
      <c r="N351" s="4">
        <v>331.18</v>
      </c>
      <c r="O351" s="4">
        <v>159.33000000000001</v>
      </c>
      <c r="P351" s="4">
        <v>7.08</v>
      </c>
      <c r="Q351" s="4">
        <v>2.73</v>
      </c>
      <c r="R351" s="4">
        <v>3.59</v>
      </c>
      <c r="S351" s="4">
        <v>0</v>
      </c>
      <c r="T351" s="4">
        <v>0</v>
      </c>
      <c r="U351" s="4">
        <v>172.73</v>
      </c>
      <c r="V351" s="4">
        <v>158.44999999999999</v>
      </c>
      <c r="W351" t="s">
        <v>21</v>
      </c>
      <c r="X351" t="s">
        <v>36</v>
      </c>
      <c r="Y351" s="4">
        <v>2</v>
      </c>
      <c r="Z351" s="4">
        <v>0</v>
      </c>
      <c r="AA351" t="s">
        <v>37</v>
      </c>
      <c r="AB351" t="s">
        <v>38</v>
      </c>
      <c r="AC351" s="7">
        <v>0</v>
      </c>
      <c r="AD351" t="s">
        <v>39</v>
      </c>
      <c r="AE351">
        <f t="shared" si="5"/>
        <v>0</v>
      </c>
    </row>
    <row r="352" spans="1:31" x14ac:dyDescent="0.35">
      <c r="A352">
        <v>100351</v>
      </c>
      <c r="B352" s="3">
        <v>45969</v>
      </c>
      <c r="C352">
        <v>1059</v>
      </c>
      <c r="D352" t="s">
        <v>64</v>
      </c>
      <c r="E352" t="s">
        <v>76</v>
      </c>
      <c r="F352" t="s">
        <v>41</v>
      </c>
      <c r="G352" t="s">
        <v>63</v>
      </c>
      <c r="H352" t="s">
        <v>34</v>
      </c>
      <c r="I352" t="s">
        <v>35</v>
      </c>
      <c r="J352" s="4">
        <v>31.63</v>
      </c>
      <c r="K352" s="4">
        <v>12.39</v>
      </c>
      <c r="L352">
        <v>15</v>
      </c>
      <c r="M352" s="4">
        <v>58.78</v>
      </c>
      <c r="N352" s="4">
        <v>333.12</v>
      </c>
      <c r="O352" s="4">
        <v>215.09</v>
      </c>
      <c r="P352" s="4">
        <v>10.19</v>
      </c>
      <c r="Q352" s="4">
        <v>2.74</v>
      </c>
      <c r="R352" s="4">
        <v>9.1300000000000008</v>
      </c>
      <c r="S352" s="4">
        <v>0</v>
      </c>
      <c r="T352" s="4">
        <v>0</v>
      </c>
      <c r="U352" s="4">
        <v>237.15</v>
      </c>
      <c r="V352" s="4">
        <v>95.97</v>
      </c>
      <c r="W352" t="s">
        <v>21</v>
      </c>
      <c r="X352" t="s">
        <v>36</v>
      </c>
      <c r="Y352" s="4">
        <v>0</v>
      </c>
      <c r="Z352" s="4">
        <v>5</v>
      </c>
      <c r="AA352" t="s">
        <v>37</v>
      </c>
      <c r="AB352" t="s">
        <v>38</v>
      </c>
      <c r="AC352" s="7">
        <v>0</v>
      </c>
      <c r="AD352" t="s">
        <v>39</v>
      </c>
      <c r="AE352">
        <f t="shared" si="5"/>
        <v>0</v>
      </c>
    </row>
    <row r="353" spans="1:31" x14ac:dyDescent="0.35">
      <c r="A353">
        <v>100352</v>
      </c>
      <c r="B353" s="3">
        <v>45937</v>
      </c>
      <c r="C353">
        <v>1002</v>
      </c>
      <c r="D353" t="s">
        <v>30</v>
      </c>
      <c r="E353" t="s">
        <v>40</v>
      </c>
      <c r="F353" t="s">
        <v>41</v>
      </c>
      <c r="G353" t="s">
        <v>33</v>
      </c>
      <c r="H353" t="s">
        <v>34</v>
      </c>
      <c r="I353" t="s">
        <v>35</v>
      </c>
      <c r="J353" s="4">
        <v>34.659999999999997</v>
      </c>
      <c r="K353" s="4">
        <v>19.010000000000002</v>
      </c>
      <c r="L353">
        <v>10</v>
      </c>
      <c r="M353" s="4">
        <v>65.89</v>
      </c>
      <c r="N353" s="4">
        <v>593</v>
      </c>
      <c r="O353" s="4">
        <v>164.67</v>
      </c>
      <c r="P353" s="4">
        <v>5.69</v>
      </c>
      <c r="Q353" s="4">
        <v>4.6100000000000003</v>
      </c>
      <c r="R353" s="4">
        <v>4.24</v>
      </c>
      <c r="S353" s="4">
        <v>0</v>
      </c>
      <c r="T353" s="4">
        <v>0</v>
      </c>
      <c r="U353" s="4">
        <v>179.21</v>
      </c>
      <c r="V353" s="4">
        <v>413.79</v>
      </c>
      <c r="W353" t="s">
        <v>21</v>
      </c>
      <c r="X353" t="s">
        <v>36</v>
      </c>
      <c r="Y353" s="4">
        <v>1</v>
      </c>
      <c r="Z353" s="4">
        <v>2</v>
      </c>
      <c r="AA353" t="s">
        <v>37</v>
      </c>
      <c r="AB353" t="s">
        <v>38</v>
      </c>
      <c r="AC353" s="7">
        <v>0</v>
      </c>
      <c r="AD353" t="s">
        <v>39</v>
      </c>
      <c r="AE353">
        <f t="shared" si="5"/>
        <v>0</v>
      </c>
    </row>
    <row r="354" spans="1:31" x14ac:dyDescent="0.35">
      <c r="A354">
        <v>100353</v>
      </c>
      <c r="B354" s="3">
        <v>46016</v>
      </c>
      <c r="C354">
        <v>1099</v>
      </c>
      <c r="D354" t="s">
        <v>30</v>
      </c>
      <c r="E354" t="s">
        <v>72</v>
      </c>
      <c r="F354" t="s">
        <v>61</v>
      </c>
      <c r="G354" t="s">
        <v>63</v>
      </c>
      <c r="H354" t="s">
        <v>57</v>
      </c>
      <c r="I354" t="s">
        <v>35</v>
      </c>
      <c r="J354" s="4">
        <v>21.37</v>
      </c>
      <c r="K354" s="4">
        <v>13.14</v>
      </c>
      <c r="L354">
        <v>0</v>
      </c>
      <c r="M354" s="4">
        <v>0</v>
      </c>
      <c r="N354" s="4">
        <v>280.8</v>
      </c>
      <c r="O354" s="4">
        <v>147.5</v>
      </c>
      <c r="P354" s="4">
        <v>7.91</v>
      </c>
      <c r="Q354" s="4">
        <v>1.97</v>
      </c>
      <c r="R354" s="4">
        <v>2.9</v>
      </c>
      <c r="S354" s="4">
        <v>0</v>
      </c>
      <c r="T354" s="4">
        <v>0</v>
      </c>
      <c r="U354" s="4">
        <v>160.28</v>
      </c>
      <c r="V354" s="4">
        <v>120.52</v>
      </c>
      <c r="W354" t="s">
        <v>21</v>
      </c>
      <c r="X354" t="s">
        <v>36</v>
      </c>
      <c r="Y354" s="4">
        <v>14</v>
      </c>
      <c r="Z354" s="4">
        <v>6</v>
      </c>
      <c r="AA354" t="s">
        <v>37</v>
      </c>
      <c r="AB354" t="s">
        <v>38</v>
      </c>
      <c r="AC354" s="7">
        <v>0</v>
      </c>
      <c r="AD354" t="s">
        <v>39</v>
      </c>
      <c r="AE354">
        <f t="shared" si="5"/>
        <v>0</v>
      </c>
    </row>
    <row r="355" spans="1:31" x14ac:dyDescent="0.35">
      <c r="A355">
        <v>100354</v>
      </c>
      <c r="B355" s="3">
        <v>46007</v>
      </c>
      <c r="C355">
        <v>1150</v>
      </c>
      <c r="D355" t="s">
        <v>30</v>
      </c>
      <c r="E355" t="s">
        <v>40</v>
      </c>
      <c r="F355" t="s">
        <v>32</v>
      </c>
      <c r="G355" t="s">
        <v>50</v>
      </c>
      <c r="H355" t="s">
        <v>34</v>
      </c>
      <c r="I355" t="s">
        <v>35</v>
      </c>
      <c r="J355" s="4">
        <v>33.43</v>
      </c>
      <c r="K355" s="4">
        <v>18.25</v>
      </c>
      <c r="L355">
        <v>0</v>
      </c>
      <c r="M355" s="4">
        <v>0</v>
      </c>
      <c r="N355" s="4">
        <v>610.1</v>
      </c>
      <c r="O355" s="4">
        <v>224.18</v>
      </c>
      <c r="P355" s="4">
        <v>10.220000000000001</v>
      </c>
      <c r="Q355" s="4">
        <v>4.2699999999999996</v>
      </c>
      <c r="R355" s="4">
        <v>12.67</v>
      </c>
      <c r="S355" s="4">
        <v>0</v>
      </c>
      <c r="T355" s="4">
        <v>0</v>
      </c>
      <c r="U355" s="4">
        <v>251.34</v>
      </c>
      <c r="V355" s="4">
        <v>358.76</v>
      </c>
      <c r="W355" t="s">
        <v>21</v>
      </c>
      <c r="X355" t="s">
        <v>36</v>
      </c>
      <c r="Y355" s="4">
        <v>5</v>
      </c>
      <c r="Z355" s="4">
        <v>8</v>
      </c>
      <c r="AA355" t="s">
        <v>37</v>
      </c>
      <c r="AB355" t="s">
        <v>38</v>
      </c>
      <c r="AC355" s="7">
        <v>0</v>
      </c>
      <c r="AD355" t="s">
        <v>39</v>
      </c>
      <c r="AE355">
        <f t="shared" si="5"/>
        <v>0</v>
      </c>
    </row>
    <row r="356" spans="1:31" x14ac:dyDescent="0.35">
      <c r="A356">
        <v>100355</v>
      </c>
      <c r="B356" s="3">
        <v>46004</v>
      </c>
      <c r="C356">
        <v>1147</v>
      </c>
      <c r="D356" t="s">
        <v>47</v>
      </c>
      <c r="E356" t="s">
        <v>74</v>
      </c>
      <c r="F356" t="s">
        <v>41</v>
      </c>
      <c r="G356" t="s">
        <v>50</v>
      </c>
      <c r="H356" t="s">
        <v>34</v>
      </c>
      <c r="I356" t="s">
        <v>35</v>
      </c>
      <c r="J356" s="4">
        <v>32.799999999999997</v>
      </c>
      <c r="K356" s="4">
        <v>18.55</v>
      </c>
      <c r="L356">
        <v>0</v>
      </c>
      <c r="M356" s="4">
        <v>0</v>
      </c>
      <c r="N356" s="4">
        <v>608.44000000000005</v>
      </c>
      <c r="O356" s="4">
        <v>259.06</v>
      </c>
      <c r="P356" s="4">
        <v>9.32</v>
      </c>
      <c r="Q356" s="4">
        <v>4.26</v>
      </c>
      <c r="R356" s="4">
        <v>9.18</v>
      </c>
      <c r="S356" s="4">
        <v>0</v>
      </c>
      <c r="T356" s="4">
        <v>0</v>
      </c>
      <c r="U356" s="4">
        <v>281.82</v>
      </c>
      <c r="V356" s="4">
        <v>326.62</v>
      </c>
      <c r="W356" t="s">
        <v>21</v>
      </c>
      <c r="X356" t="s">
        <v>36</v>
      </c>
      <c r="Y356" s="4">
        <v>17</v>
      </c>
      <c r="Z356" s="4">
        <v>3</v>
      </c>
      <c r="AA356" t="s">
        <v>52</v>
      </c>
      <c r="AB356" t="s">
        <v>38</v>
      </c>
      <c r="AC356" s="7">
        <v>0</v>
      </c>
      <c r="AD356" t="s">
        <v>39</v>
      </c>
      <c r="AE356">
        <f t="shared" si="5"/>
        <v>0</v>
      </c>
    </row>
    <row r="357" spans="1:31" x14ac:dyDescent="0.35">
      <c r="A357">
        <v>100356</v>
      </c>
      <c r="B357" s="3">
        <v>46021</v>
      </c>
      <c r="C357">
        <v>1104</v>
      </c>
      <c r="D357" t="s">
        <v>59</v>
      </c>
      <c r="E357" t="s">
        <v>70</v>
      </c>
      <c r="F357" t="s">
        <v>61</v>
      </c>
      <c r="G357" t="s">
        <v>46</v>
      </c>
      <c r="H357" t="s">
        <v>57</v>
      </c>
      <c r="I357" t="s">
        <v>35</v>
      </c>
      <c r="J357" s="4">
        <v>26</v>
      </c>
      <c r="K357" s="4">
        <v>17.18</v>
      </c>
      <c r="L357">
        <v>0</v>
      </c>
      <c r="M357" s="4">
        <v>0</v>
      </c>
      <c r="N357" s="4">
        <v>446.68</v>
      </c>
      <c r="O357" s="4">
        <v>166.16</v>
      </c>
      <c r="P357" s="4">
        <v>3.02</v>
      </c>
      <c r="Q357" s="4">
        <v>3.13</v>
      </c>
      <c r="R357" s="4">
        <v>7.19</v>
      </c>
      <c r="S357" s="4">
        <v>0</v>
      </c>
      <c r="T357" s="4">
        <v>0</v>
      </c>
      <c r="U357" s="4">
        <v>179.5</v>
      </c>
      <c r="V357" s="4">
        <v>267.18</v>
      </c>
      <c r="W357" t="s">
        <v>21</v>
      </c>
      <c r="X357" t="s">
        <v>36</v>
      </c>
      <c r="Y357" s="4">
        <v>47</v>
      </c>
      <c r="Z357" s="4">
        <v>5</v>
      </c>
      <c r="AA357" t="s">
        <v>43</v>
      </c>
      <c r="AB357" t="s">
        <v>44</v>
      </c>
      <c r="AC357" s="7">
        <v>3</v>
      </c>
      <c r="AD357" t="s">
        <v>45</v>
      </c>
      <c r="AE357">
        <f t="shared" si="5"/>
        <v>1</v>
      </c>
    </row>
    <row r="358" spans="1:31" x14ac:dyDescent="0.35">
      <c r="A358">
        <v>100357</v>
      </c>
      <c r="B358" s="3">
        <v>45948</v>
      </c>
      <c r="C358">
        <v>1095</v>
      </c>
      <c r="D358" t="s">
        <v>59</v>
      </c>
      <c r="E358" t="s">
        <v>73</v>
      </c>
      <c r="F358" t="s">
        <v>41</v>
      </c>
      <c r="G358" t="s">
        <v>46</v>
      </c>
      <c r="H358" t="s">
        <v>51</v>
      </c>
      <c r="I358" t="s">
        <v>35</v>
      </c>
      <c r="J358" s="4">
        <v>23.84</v>
      </c>
      <c r="K358" s="4">
        <v>15.61</v>
      </c>
      <c r="L358">
        <v>15</v>
      </c>
      <c r="M358" s="4">
        <v>55.82</v>
      </c>
      <c r="N358" s="4">
        <v>316.32</v>
      </c>
      <c r="O358" s="4">
        <v>143.66</v>
      </c>
      <c r="P358" s="4">
        <v>9.68</v>
      </c>
      <c r="Q358" s="4">
        <v>2.6</v>
      </c>
      <c r="R358" s="4">
        <v>7.65</v>
      </c>
      <c r="S358" s="4">
        <v>0</v>
      </c>
      <c r="T358" s="4">
        <v>0</v>
      </c>
      <c r="U358" s="4">
        <v>163.59</v>
      </c>
      <c r="V358" s="4">
        <v>152.72999999999999</v>
      </c>
      <c r="W358" t="s">
        <v>21</v>
      </c>
      <c r="X358" t="s">
        <v>36</v>
      </c>
      <c r="Y358" s="4">
        <v>39</v>
      </c>
      <c r="Z358" s="4">
        <v>5</v>
      </c>
      <c r="AA358" t="s">
        <v>43</v>
      </c>
      <c r="AB358" t="s">
        <v>44</v>
      </c>
      <c r="AC358" s="7">
        <v>1</v>
      </c>
      <c r="AD358" t="s">
        <v>45</v>
      </c>
      <c r="AE358">
        <f t="shared" si="5"/>
        <v>1</v>
      </c>
    </row>
    <row r="359" spans="1:31" x14ac:dyDescent="0.35">
      <c r="A359">
        <v>100358</v>
      </c>
      <c r="B359" s="3">
        <v>46006</v>
      </c>
      <c r="C359">
        <v>1009</v>
      </c>
      <c r="D359" t="s">
        <v>59</v>
      </c>
      <c r="E359" t="s">
        <v>60</v>
      </c>
      <c r="F359" t="s">
        <v>61</v>
      </c>
      <c r="G359" t="s">
        <v>63</v>
      </c>
      <c r="H359" t="s">
        <v>34</v>
      </c>
      <c r="I359" t="s">
        <v>35</v>
      </c>
      <c r="J359" s="4">
        <v>11.28</v>
      </c>
      <c r="K359" s="4">
        <v>12.56</v>
      </c>
      <c r="L359">
        <v>5</v>
      </c>
      <c r="M359" s="4">
        <v>7.08</v>
      </c>
      <c r="N359" s="4">
        <v>134.6</v>
      </c>
      <c r="O359" s="4">
        <v>97.02</v>
      </c>
      <c r="P359" s="4">
        <v>9.67</v>
      </c>
      <c r="Q359" s="4">
        <v>0.99</v>
      </c>
      <c r="R359" s="4">
        <v>5.52</v>
      </c>
      <c r="S359" s="4">
        <v>0</v>
      </c>
      <c r="T359" s="4">
        <v>0</v>
      </c>
      <c r="U359" s="4">
        <v>113.2</v>
      </c>
      <c r="V359" s="4">
        <v>21.4</v>
      </c>
      <c r="W359" t="s">
        <v>21</v>
      </c>
      <c r="X359" t="s">
        <v>36</v>
      </c>
      <c r="Y359" s="4">
        <v>16</v>
      </c>
      <c r="Z359" s="4">
        <v>15</v>
      </c>
      <c r="AA359" t="s">
        <v>52</v>
      </c>
      <c r="AB359" t="s">
        <v>38</v>
      </c>
      <c r="AC359" s="7">
        <v>0</v>
      </c>
      <c r="AD359" t="s">
        <v>39</v>
      </c>
      <c r="AE359">
        <f t="shared" si="5"/>
        <v>0</v>
      </c>
    </row>
    <row r="360" spans="1:31" x14ac:dyDescent="0.35">
      <c r="A360">
        <v>100359</v>
      </c>
      <c r="B360" s="3">
        <v>45979</v>
      </c>
      <c r="C360">
        <v>1014</v>
      </c>
      <c r="D360" t="s">
        <v>64</v>
      </c>
      <c r="E360" t="s">
        <v>65</v>
      </c>
      <c r="F360" t="s">
        <v>61</v>
      </c>
      <c r="G360" t="s">
        <v>50</v>
      </c>
      <c r="H360" t="s">
        <v>34</v>
      </c>
      <c r="I360" t="s">
        <v>42</v>
      </c>
      <c r="J360" s="4">
        <v>9.77</v>
      </c>
      <c r="K360" s="4">
        <v>18.97</v>
      </c>
      <c r="L360">
        <v>0</v>
      </c>
      <c r="M360" s="4">
        <v>0</v>
      </c>
      <c r="N360" s="4">
        <v>185.34</v>
      </c>
      <c r="O360" s="4">
        <v>58.25</v>
      </c>
      <c r="P360" s="4">
        <v>15.1</v>
      </c>
      <c r="Q360" s="4">
        <v>2.78</v>
      </c>
      <c r="R360" s="4">
        <v>9.83</v>
      </c>
      <c r="S360" s="4">
        <v>0</v>
      </c>
      <c r="T360" s="4">
        <v>0</v>
      </c>
      <c r="U360" s="4">
        <v>85.96</v>
      </c>
      <c r="V360" s="4">
        <v>99.38</v>
      </c>
      <c r="W360" t="s">
        <v>21</v>
      </c>
      <c r="X360" t="s">
        <v>36</v>
      </c>
      <c r="Y360" s="4">
        <v>15</v>
      </c>
      <c r="Z360" s="4">
        <v>8</v>
      </c>
      <c r="AA360" t="s">
        <v>37</v>
      </c>
      <c r="AB360" t="s">
        <v>38</v>
      </c>
      <c r="AC360" s="7">
        <v>0</v>
      </c>
      <c r="AD360" t="s">
        <v>39</v>
      </c>
      <c r="AE360">
        <f t="shared" si="5"/>
        <v>0</v>
      </c>
    </row>
    <row r="361" spans="1:31" x14ac:dyDescent="0.35">
      <c r="A361">
        <v>100360</v>
      </c>
      <c r="B361" s="3">
        <v>46018</v>
      </c>
      <c r="C361">
        <v>1061</v>
      </c>
      <c r="D361" t="s">
        <v>59</v>
      </c>
      <c r="E361" t="s">
        <v>70</v>
      </c>
      <c r="F361" t="s">
        <v>71</v>
      </c>
      <c r="G361" t="s">
        <v>63</v>
      </c>
      <c r="H361" t="s">
        <v>51</v>
      </c>
      <c r="I361" t="s">
        <v>35</v>
      </c>
      <c r="J361" s="4">
        <v>22.91</v>
      </c>
      <c r="K361" s="4">
        <v>12.27</v>
      </c>
      <c r="L361">
        <v>0</v>
      </c>
      <c r="M361" s="4">
        <v>0</v>
      </c>
      <c r="N361" s="4">
        <v>281.11</v>
      </c>
      <c r="O361" s="4">
        <v>153.41999999999999</v>
      </c>
      <c r="P361" s="4">
        <v>11.07</v>
      </c>
      <c r="Q361" s="4">
        <v>1.97</v>
      </c>
      <c r="R361" s="4">
        <v>7.33</v>
      </c>
      <c r="S361" s="4">
        <v>157.07</v>
      </c>
      <c r="T361" s="4">
        <v>17.52</v>
      </c>
      <c r="U361" s="4">
        <v>348.38</v>
      </c>
      <c r="V361" s="4">
        <v>-67.27</v>
      </c>
      <c r="W361" t="s">
        <v>58</v>
      </c>
      <c r="X361" t="s">
        <v>55</v>
      </c>
      <c r="Y361" s="4">
        <v>3</v>
      </c>
      <c r="Z361" s="4">
        <v>17</v>
      </c>
      <c r="AA361" t="s">
        <v>37</v>
      </c>
      <c r="AB361" t="s">
        <v>44</v>
      </c>
      <c r="AC361" s="7">
        <v>1</v>
      </c>
      <c r="AD361" t="s">
        <v>45</v>
      </c>
      <c r="AE361">
        <f t="shared" si="5"/>
        <v>1</v>
      </c>
    </row>
    <row r="362" spans="1:31" x14ac:dyDescent="0.35">
      <c r="A362">
        <v>100361</v>
      </c>
      <c r="B362" s="3">
        <v>45981</v>
      </c>
      <c r="C362">
        <v>1143</v>
      </c>
      <c r="D362" t="s">
        <v>59</v>
      </c>
      <c r="E362" t="s">
        <v>60</v>
      </c>
      <c r="F362" t="s">
        <v>71</v>
      </c>
      <c r="G362" t="s">
        <v>33</v>
      </c>
      <c r="H362" t="s">
        <v>34</v>
      </c>
      <c r="I362" t="s">
        <v>42</v>
      </c>
      <c r="J362" s="4">
        <v>22.29</v>
      </c>
      <c r="K362" s="4">
        <v>18.440000000000001</v>
      </c>
      <c r="L362">
        <v>20</v>
      </c>
      <c r="M362" s="4">
        <v>82.21</v>
      </c>
      <c r="N362" s="4">
        <v>328.82</v>
      </c>
      <c r="O362" s="4">
        <v>139.91</v>
      </c>
      <c r="P362" s="4">
        <v>7.71</v>
      </c>
      <c r="Q362" s="4">
        <v>6.17</v>
      </c>
      <c r="R362" s="4">
        <v>13.54</v>
      </c>
      <c r="S362" s="4">
        <v>0</v>
      </c>
      <c r="T362" s="4">
        <v>0</v>
      </c>
      <c r="U362" s="4">
        <v>167.33</v>
      </c>
      <c r="V362" s="4">
        <v>161.49</v>
      </c>
      <c r="W362" t="s">
        <v>21</v>
      </c>
      <c r="X362" t="s">
        <v>36</v>
      </c>
      <c r="Y362" s="4">
        <v>7</v>
      </c>
      <c r="Z362" s="4">
        <v>20</v>
      </c>
      <c r="AA362" t="s">
        <v>37</v>
      </c>
      <c r="AB362" t="s">
        <v>44</v>
      </c>
      <c r="AC362" s="7">
        <v>1</v>
      </c>
      <c r="AD362" t="s">
        <v>45</v>
      </c>
      <c r="AE362">
        <f t="shared" si="5"/>
        <v>1</v>
      </c>
    </row>
    <row r="363" spans="1:31" x14ac:dyDescent="0.35">
      <c r="A363">
        <v>100362</v>
      </c>
      <c r="B363" s="3">
        <v>45952</v>
      </c>
      <c r="C363">
        <v>1085</v>
      </c>
      <c r="D363" t="s">
        <v>30</v>
      </c>
      <c r="E363" t="s">
        <v>62</v>
      </c>
      <c r="F363" t="s">
        <v>71</v>
      </c>
      <c r="G363" t="s">
        <v>63</v>
      </c>
      <c r="H363" t="s">
        <v>57</v>
      </c>
      <c r="I363" t="s">
        <v>42</v>
      </c>
      <c r="J363" s="4">
        <v>11.82</v>
      </c>
      <c r="K363" s="4">
        <v>12.02</v>
      </c>
      <c r="L363">
        <v>5</v>
      </c>
      <c r="M363" s="4">
        <v>7.1</v>
      </c>
      <c r="N363" s="4">
        <v>134.97999999999999</v>
      </c>
      <c r="O363" s="4">
        <v>87.55</v>
      </c>
      <c r="P363" s="4">
        <v>10.14</v>
      </c>
      <c r="Q363" s="4">
        <v>2.13</v>
      </c>
      <c r="R363" s="4">
        <v>7.12</v>
      </c>
      <c r="S363" s="4">
        <v>0</v>
      </c>
      <c r="T363" s="4">
        <v>0</v>
      </c>
      <c r="U363" s="4">
        <v>106.94</v>
      </c>
      <c r="V363" s="4">
        <v>28.04</v>
      </c>
      <c r="W363" t="s">
        <v>21</v>
      </c>
      <c r="X363" t="s">
        <v>36</v>
      </c>
      <c r="Y363" s="4">
        <v>21</v>
      </c>
      <c r="Z363" s="4">
        <v>6</v>
      </c>
      <c r="AA363" t="s">
        <v>52</v>
      </c>
      <c r="AB363" t="s">
        <v>44</v>
      </c>
      <c r="AC363" s="7">
        <v>1</v>
      </c>
      <c r="AD363" t="s">
        <v>45</v>
      </c>
      <c r="AE363">
        <f t="shared" si="5"/>
        <v>1</v>
      </c>
    </row>
    <row r="364" spans="1:31" x14ac:dyDescent="0.35">
      <c r="A364">
        <v>100363</v>
      </c>
      <c r="B364" s="3">
        <v>45983</v>
      </c>
      <c r="C364">
        <v>1098</v>
      </c>
      <c r="D364" t="s">
        <v>30</v>
      </c>
      <c r="E364" t="s">
        <v>72</v>
      </c>
      <c r="F364" t="s">
        <v>71</v>
      </c>
      <c r="G364" t="s">
        <v>33</v>
      </c>
      <c r="H364" t="s">
        <v>57</v>
      </c>
      <c r="I364" t="s">
        <v>69</v>
      </c>
      <c r="J364" s="4">
        <v>26.32</v>
      </c>
      <c r="K364" s="4">
        <v>19.03</v>
      </c>
      <c r="L364">
        <v>0</v>
      </c>
      <c r="M364" s="4">
        <v>0</v>
      </c>
      <c r="N364" s="4">
        <v>500.87</v>
      </c>
      <c r="O364" s="4">
        <v>194.92</v>
      </c>
      <c r="P364" s="4">
        <v>10.11</v>
      </c>
      <c r="Q364" s="4">
        <v>2</v>
      </c>
      <c r="R364" s="4">
        <v>0</v>
      </c>
      <c r="S364" s="4">
        <v>0</v>
      </c>
      <c r="T364" s="4">
        <v>0</v>
      </c>
      <c r="U364" s="4">
        <v>207.03</v>
      </c>
      <c r="V364" s="4">
        <v>293.83999999999997</v>
      </c>
      <c r="W364" t="s">
        <v>21</v>
      </c>
      <c r="X364" t="s">
        <v>36</v>
      </c>
      <c r="Y364" s="4">
        <v>6</v>
      </c>
      <c r="Z364" s="4">
        <v>9</v>
      </c>
      <c r="AA364" t="s">
        <v>37</v>
      </c>
      <c r="AB364" t="s">
        <v>38</v>
      </c>
      <c r="AC364" s="7">
        <v>0</v>
      </c>
      <c r="AD364" t="s">
        <v>39</v>
      </c>
      <c r="AE364">
        <f t="shared" si="5"/>
        <v>0</v>
      </c>
    </row>
    <row r="365" spans="1:31" x14ac:dyDescent="0.35">
      <c r="A365">
        <v>100364</v>
      </c>
      <c r="B365" s="3">
        <v>45945</v>
      </c>
      <c r="C365">
        <v>1013</v>
      </c>
      <c r="D365" t="s">
        <v>64</v>
      </c>
      <c r="E365" t="s">
        <v>75</v>
      </c>
      <c r="F365" t="s">
        <v>61</v>
      </c>
      <c r="G365" t="s">
        <v>63</v>
      </c>
      <c r="H365" t="s">
        <v>34</v>
      </c>
      <c r="I365" t="s">
        <v>35</v>
      </c>
      <c r="J365" s="4">
        <v>38.89</v>
      </c>
      <c r="K365" s="4">
        <v>12.94</v>
      </c>
      <c r="L365">
        <v>15</v>
      </c>
      <c r="M365" s="4">
        <v>75.489999999999995</v>
      </c>
      <c r="N365" s="4">
        <v>427.75</v>
      </c>
      <c r="O365" s="4">
        <v>308.5</v>
      </c>
      <c r="P365" s="4">
        <v>8.25</v>
      </c>
      <c r="Q365" s="4">
        <v>3.52</v>
      </c>
      <c r="R365" s="4">
        <v>5.0599999999999996</v>
      </c>
      <c r="S365" s="4">
        <v>0</v>
      </c>
      <c r="T365" s="4">
        <v>0</v>
      </c>
      <c r="U365" s="4">
        <v>325.33</v>
      </c>
      <c r="V365" s="4">
        <v>102.42</v>
      </c>
      <c r="W365" t="s">
        <v>21</v>
      </c>
      <c r="X365" t="s">
        <v>36</v>
      </c>
      <c r="Y365" s="4">
        <v>0</v>
      </c>
      <c r="Z365" s="4">
        <v>6</v>
      </c>
      <c r="AA365" t="s">
        <v>37</v>
      </c>
      <c r="AB365" t="s">
        <v>38</v>
      </c>
      <c r="AC365" s="7">
        <v>0</v>
      </c>
      <c r="AD365" t="s">
        <v>39</v>
      </c>
      <c r="AE365">
        <f t="shared" si="5"/>
        <v>0</v>
      </c>
    </row>
    <row r="366" spans="1:31" x14ac:dyDescent="0.35">
      <c r="A366">
        <v>100365</v>
      </c>
      <c r="B366" s="3">
        <v>45977</v>
      </c>
      <c r="C366">
        <v>1068</v>
      </c>
      <c r="D366" t="s">
        <v>47</v>
      </c>
      <c r="E366" t="s">
        <v>74</v>
      </c>
      <c r="F366" t="s">
        <v>41</v>
      </c>
      <c r="G366" t="s">
        <v>63</v>
      </c>
      <c r="H366" t="s">
        <v>34</v>
      </c>
      <c r="I366" t="s">
        <v>42</v>
      </c>
      <c r="J366" s="4">
        <v>22.64</v>
      </c>
      <c r="K366" s="4">
        <v>12.48</v>
      </c>
      <c r="L366">
        <v>10</v>
      </c>
      <c r="M366" s="4">
        <v>28.26</v>
      </c>
      <c r="N366" s="4">
        <v>254.29</v>
      </c>
      <c r="O366" s="4">
        <v>177.95</v>
      </c>
      <c r="P366" s="4">
        <v>10.26</v>
      </c>
      <c r="Q366" s="4">
        <v>4.24</v>
      </c>
      <c r="R366" s="4">
        <v>1.28</v>
      </c>
      <c r="S366" s="4">
        <v>0</v>
      </c>
      <c r="T366" s="4">
        <v>0</v>
      </c>
      <c r="U366" s="4">
        <v>193.73</v>
      </c>
      <c r="V366" s="4">
        <v>60.56</v>
      </c>
      <c r="W366" t="s">
        <v>21</v>
      </c>
      <c r="X366" t="s">
        <v>36</v>
      </c>
      <c r="Y366" s="4">
        <v>2</v>
      </c>
      <c r="Z366" s="4">
        <v>3</v>
      </c>
      <c r="AA366" t="s">
        <v>37</v>
      </c>
      <c r="AB366" t="s">
        <v>38</v>
      </c>
      <c r="AC366" s="7">
        <v>0</v>
      </c>
      <c r="AD366" t="s">
        <v>39</v>
      </c>
      <c r="AE366">
        <f t="shared" si="5"/>
        <v>0</v>
      </c>
    </row>
    <row r="367" spans="1:31" x14ac:dyDescent="0.35">
      <c r="A367">
        <v>100366</v>
      </c>
      <c r="B367" s="3">
        <v>45962</v>
      </c>
      <c r="C367">
        <v>1078</v>
      </c>
      <c r="D367" t="s">
        <v>30</v>
      </c>
      <c r="E367" t="s">
        <v>31</v>
      </c>
      <c r="F367" t="s">
        <v>32</v>
      </c>
      <c r="G367" t="s">
        <v>63</v>
      </c>
      <c r="H367" t="s">
        <v>34</v>
      </c>
      <c r="I367" t="s">
        <v>69</v>
      </c>
      <c r="J367" s="4">
        <v>17.29</v>
      </c>
      <c r="K367" s="4">
        <v>12.04</v>
      </c>
      <c r="L367">
        <v>0</v>
      </c>
      <c r="M367" s="4">
        <v>0</v>
      </c>
      <c r="N367" s="4">
        <v>208.17</v>
      </c>
      <c r="O367" s="4">
        <v>126.27</v>
      </c>
      <c r="P367" s="4">
        <v>10.68</v>
      </c>
      <c r="Q367" s="4">
        <v>0.83</v>
      </c>
      <c r="R367" s="4">
        <v>3.96</v>
      </c>
      <c r="S367" s="4">
        <v>0</v>
      </c>
      <c r="T367" s="4">
        <v>0</v>
      </c>
      <c r="U367" s="4">
        <v>141.74</v>
      </c>
      <c r="V367" s="4">
        <v>66.430000000000007</v>
      </c>
      <c r="W367" t="s">
        <v>21</v>
      </c>
      <c r="X367" t="s">
        <v>36</v>
      </c>
      <c r="Y367" s="4">
        <v>0</v>
      </c>
      <c r="Z367" s="4">
        <v>5</v>
      </c>
      <c r="AA367" t="s">
        <v>37</v>
      </c>
      <c r="AB367" t="s">
        <v>38</v>
      </c>
      <c r="AC367" s="7">
        <v>0</v>
      </c>
      <c r="AD367" t="s">
        <v>39</v>
      </c>
      <c r="AE367">
        <f t="shared" si="5"/>
        <v>0</v>
      </c>
    </row>
    <row r="368" spans="1:31" x14ac:dyDescent="0.35">
      <c r="A368">
        <v>100367</v>
      </c>
      <c r="B368" s="3">
        <v>45966</v>
      </c>
      <c r="C368">
        <v>1009</v>
      </c>
      <c r="D368" t="s">
        <v>59</v>
      </c>
      <c r="E368" t="s">
        <v>73</v>
      </c>
      <c r="F368" t="s">
        <v>71</v>
      </c>
      <c r="G368" t="s">
        <v>63</v>
      </c>
      <c r="H368" t="s">
        <v>57</v>
      </c>
      <c r="I368" t="s">
        <v>54</v>
      </c>
      <c r="J368" s="4">
        <v>16.239999999999998</v>
      </c>
      <c r="K368" s="4">
        <v>11.92</v>
      </c>
      <c r="L368">
        <v>5</v>
      </c>
      <c r="M368" s="4">
        <v>9.68</v>
      </c>
      <c r="N368" s="4">
        <v>183.9</v>
      </c>
      <c r="O368" s="4">
        <v>95.56</v>
      </c>
      <c r="P368" s="4">
        <v>8.69</v>
      </c>
      <c r="Q368" s="4">
        <v>2.3199999999999998</v>
      </c>
      <c r="R368" s="4">
        <v>5.91</v>
      </c>
      <c r="S368" s="4">
        <v>118.83</v>
      </c>
      <c r="T368" s="4">
        <v>17.91</v>
      </c>
      <c r="U368" s="4">
        <v>249.22</v>
      </c>
      <c r="V368" s="4">
        <v>-65.319999999999993</v>
      </c>
      <c r="W368" t="s">
        <v>58</v>
      </c>
      <c r="X368" t="s">
        <v>55</v>
      </c>
      <c r="Y368" s="4">
        <v>10</v>
      </c>
      <c r="Z368" s="4">
        <v>0</v>
      </c>
      <c r="AA368" t="s">
        <v>37</v>
      </c>
      <c r="AB368" t="s">
        <v>44</v>
      </c>
      <c r="AC368" s="7">
        <v>1</v>
      </c>
      <c r="AD368" t="s">
        <v>45</v>
      </c>
      <c r="AE368">
        <f t="shared" si="5"/>
        <v>1</v>
      </c>
    </row>
    <row r="369" spans="1:31" x14ac:dyDescent="0.35">
      <c r="A369">
        <v>100368</v>
      </c>
      <c r="B369" s="3">
        <v>46011</v>
      </c>
      <c r="C369">
        <v>1011</v>
      </c>
      <c r="D369" t="s">
        <v>59</v>
      </c>
      <c r="E369" t="s">
        <v>60</v>
      </c>
      <c r="F369" t="s">
        <v>41</v>
      </c>
      <c r="G369" t="s">
        <v>33</v>
      </c>
      <c r="H369" t="s">
        <v>34</v>
      </c>
      <c r="I369" t="s">
        <v>35</v>
      </c>
      <c r="J369" s="4">
        <v>37.97</v>
      </c>
      <c r="K369" s="4">
        <v>18.89</v>
      </c>
      <c r="L369">
        <v>5</v>
      </c>
      <c r="M369" s="4">
        <v>35.86</v>
      </c>
      <c r="N369" s="4">
        <v>681.39</v>
      </c>
      <c r="O369" s="4">
        <v>306.52</v>
      </c>
      <c r="P369" s="4">
        <v>7.1</v>
      </c>
      <c r="Q369" s="4">
        <v>5.0199999999999996</v>
      </c>
      <c r="R369" s="4">
        <v>2.46</v>
      </c>
      <c r="S369" s="4">
        <v>0</v>
      </c>
      <c r="T369" s="4">
        <v>0</v>
      </c>
      <c r="U369" s="4">
        <v>321.10000000000002</v>
      </c>
      <c r="V369" s="4">
        <v>360.29</v>
      </c>
      <c r="W369" t="s">
        <v>21</v>
      </c>
      <c r="X369" t="s">
        <v>36</v>
      </c>
      <c r="Y369" s="4">
        <v>10</v>
      </c>
      <c r="Z369" s="4">
        <v>3</v>
      </c>
      <c r="AA369" t="s">
        <v>37</v>
      </c>
      <c r="AB369" t="s">
        <v>38</v>
      </c>
      <c r="AC369" s="7">
        <v>0</v>
      </c>
      <c r="AD369" t="s">
        <v>39</v>
      </c>
      <c r="AE369">
        <f t="shared" si="5"/>
        <v>0</v>
      </c>
    </row>
    <row r="370" spans="1:31" x14ac:dyDescent="0.35">
      <c r="A370">
        <v>100369</v>
      </c>
      <c r="B370" s="3">
        <v>45987</v>
      </c>
      <c r="C370">
        <v>1145</v>
      </c>
      <c r="D370" t="s">
        <v>64</v>
      </c>
      <c r="E370" t="s">
        <v>75</v>
      </c>
      <c r="F370" t="s">
        <v>41</v>
      </c>
      <c r="G370" t="s">
        <v>46</v>
      </c>
      <c r="H370" t="s">
        <v>34</v>
      </c>
      <c r="I370" t="s">
        <v>42</v>
      </c>
      <c r="J370" s="4">
        <v>14.44</v>
      </c>
      <c r="K370" s="4">
        <v>15.23</v>
      </c>
      <c r="L370">
        <v>0</v>
      </c>
      <c r="M370" s="4">
        <v>0</v>
      </c>
      <c r="N370" s="4">
        <v>219.92</v>
      </c>
      <c r="O370" s="4">
        <v>101.19</v>
      </c>
      <c r="P370" s="4">
        <v>10.25</v>
      </c>
      <c r="Q370" s="4">
        <v>3.3</v>
      </c>
      <c r="R370" s="4">
        <v>7.32</v>
      </c>
      <c r="S370" s="4">
        <v>0</v>
      </c>
      <c r="T370" s="4">
        <v>0</v>
      </c>
      <c r="U370" s="4">
        <v>122.06</v>
      </c>
      <c r="V370" s="4">
        <v>97.86</v>
      </c>
      <c r="W370" t="s">
        <v>21</v>
      </c>
      <c r="X370" t="s">
        <v>36</v>
      </c>
      <c r="Y370" s="4">
        <v>29</v>
      </c>
      <c r="Z370" s="4">
        <v>1</v>
      </c>
      <c r="AA370" t="s">
        <v>52</v>
      </c>
      <c r="AB370" t="s">
        <v>44</v>
      </c>
      <c r="AC370" s="7">
        <v>1</v>
      </c>
      <c r="AD370" t="s">
        <v>45</v>
      </c>
      <c r="AE370">
        <f t="shared" si="5"/>
        <v>1</v>
      </c>
    </row>
    <row r="371" spans="1:31" x14ac:dyDescent="0.35">
      <c r="A371">
        <v>100370</v>
      </c>
      <c r="B371" s="3">
        <v>45956</v>
      </c>
      <c r="C371">
        <v>1052</v>
      </c>
      <c r="D371" t="s">
        <v>47</v>
      </c>
      <c r="E371" t="s">
        <v>74</v>
      </c>
      <c r="F371" t="s">
        <v>32</v>
      </c>
      <c r="G371" t="s">
        <v>46</v>
      </c>
      <c r="H371" t="s">
        <v>51</v>
      </c>
      <c r="I371" t="s">
        <v>35</v>
      </c>
      <c r="J371" s="4">
        <v>23.19</v>
      </c>
      <c r="K371" s="4">
        <v>17.07</v>
      </c>
      <c r="L371">
        <v>0</v>
      </c>
      <c r="M371" s="4">
        <v>0</v>
      </c>
      <c r="N371" s="4">
        <v>395.85</v>
      </c>
      <c r="O371" s="4">
        <v>183.38</v>
      </c>
      <c r="P371" s="4">
        <v>8.07</v>
      </c>
      <c r="Q371" s="4">
        <v>2.77</v>
      </c>
      <c r="R371" s="4">
        <v>1.07</v>
      </c>
      <c r="S371" s="4">
        <v>0</v>
      </c>
      <c r="T371" s="4">
        <v>0</v>
      </c>
      <c r="U371" s="4">
        <v>195.29</v>
      </c>
      <c r="V371" s="4">
        <v>200.56</v>
      </c>
      <c r="W371" t="s">
        <v>21</v>
      </c>
      <c r="X371" t="s">
        <v>36</v>
      </c>
      <c r="Y371" s="4">
        <v>4</v>
      </c>
      <c r="Z371" s="4">
        <v>11</v>
      </c>
      <c r="AA371" t="s">
        <v>37</v>
      </c>
      <c r="AB371" t="s">
        <v>38</v>
      </c>
      <c r="AC371" s="7">
        <v>1</v>
      </c>
      <c r="AD371" t="s">
        <v>39</v>
      </c>
      <c r="AE371">
        <f t="shared" si="5"/>
        <v>0</v>
      </c>
    </row>
    <row r="372" spans="1:31" x14ac:dyDescent="0.35">
      <c r="A372">
        <v>100371</v>
      </c>
      <c r="B372" s="3">
        <v>45933</v>
      </c>
      <c r="C372">
        <v>1030</v>
      </c>
      <c r="D372" t="s">
        <v>64</v>
      </c>
      <c r="E372" t="s">
        <v>67</v>
      </c>
      <c r="F372" t="s">
        <v>49</v>
      </c>
      <c r="G372" t="s">
        <v>46</v>
      </c>
      <c r="H372" t="s">
        <v>34</v>
      </c>
      <c r="I372" t="s">
        <v>35</v>
      </c>
      <c r="J372" s="4">
        <v>25.22</v>
      </c>
      <c r="K372" s="4">
        <v>15.3</v>
      </c>
      <c r="L372">
        <v>10</v>
      </c>
      <c r="M372" s="4">
        <v>38.590000000000003</v>
      </c>
      <c r="N372" s="4">
        <v>347.28</v>
      </c>
      <c r="O372" s="4">
        <v>192.33</v>
      </c>
      <c r="P372" s="4">
        <v>5.32</v>
      </c>
      <c r="Q372" s="4">
        <v>2.7</v>
      </c>
      <c r="R372" s="4">
        <v>7.44</v>
      </c>
      <c r="S372" s="4">
        <v>0</v>
      </c>
      <c r="T372" s="4">
        <v>0</v>
      </c>
      <c r="U372" s="4">
        <v>207.79</v>
      </c>
      <c r="V372" s="4">
        <v>139.49</v>
      </c>
      <c r="W372" t="s">
        <v>21</v>
      </c>
      <c r="X372" t="s">
        <v>36</v>
      </c>
      <c r="Y372" s="4">
        <v>3</v>
      </c>
      <c r="Z372" s="4">
        <v>9</v>
      </c>
      <c r="AA372" t="s">
        <v>37</v>
      </c>
      <c r="AB372" t="s">
        <v>38</v>
      </c>
      <c r="AC372" s="7">
        <v>0</v>
      </c>
      <c r="AD372" t="s">
        <v>39</v>
      </c>
      <c r="AE372">
        <f t="shared" si="5"/>
        <v>0</v>
      </c>
    </row>
    <row r="373" spans="1:31" x14ac:dyDescent="0.35">
      <c r="A373">
        <v>100372</v>
      </c>
      <c r="B373" s="3">
        <v>45975</v>
      </c>
      <c r="C373">
        <v>1116</v>
      </c>
      <c r="D373" t="s">
        <v>59</v>
      </c>
      <c r="E373" t="s">
        <v>68</v>
      </c>
      <c r="F373" t="s">
        <v>32</v>
      </c>
      <c r="G373" t="s">
        <v>50</v>
      </c>
      <c r="H373" t="s">
        <v>34</v>
      </c>
      <c r="I373" t="s">
        <v>54</v>
      </c>
      <c r="J373" s="4">
        <v>25.49</v>
      </c>
      <c r="K373" s="4">
        <v>17.28</v>
      </c>
      <c r="L373">
        <v>10</v>
      </c>
      <c r="M373" s="4">
        <v>44.05</v>
      </c>
      <c r="N373" s="4">
        <v>396.42</v>
      </c>
      <c r="O373" s="4">
        <v>204.18</v>
      </c>
      <c r="P373" s="4">
        <v>3.99</v>
      </c>
      <c r="Q373" s="4">
        <v>5.29</v>
      </c>
      <c r="R373" s="4">
        <v>3.3</v>
      </c>
      <c r="S373" s="4">
        <v>0</v>
      </c>
      <c r="T373" s="4">
        <v>0</v>
      </c>
      <c r="U373" s="4">
        <v>216.76</v>
      </c>
      <c r="V373" s="4">
        <v>179.66</v>
      </c>
      <c r="W373" t="s">
        <v>21</v>
      </c>
      <c r="X373" t="s">
        <v>36</v>
      </c>
      <c r="Y373" s="4">
        <v>1</v>
      </c>
      <c r="Z373" s="4">
        <v>4</v>
      </c>
      <c r="AA373" t="s">
        <v>37</v>
      </c>
      <c r="AB373" t="s">
        <v>38</v>
      </c>
      <c r="AC373" s="7">
        <v>0</v>
      </c>
      <c r="AD373" t="s">
        <v>39</v>
      </c>
      <c r="AE373">
        <f t="shared" si="5"/>
        <v>0</v>
      </c>
    </row>
    <row r="374" spans="1:31" x14ac:dyDescent="0.35">
      <c r="A374">
        <v>100373</v>
      </c>
      <c r="B374" s="3">
        <v>45955</v>
      </c>
      <c r="C374">
        <v>1121</v>
      </c>
      <c r="D374" t="s">
        <v>59</v>
      </c>
      <c r="E374" t="s">
        <v>70</v>
      </c>
      <c r="F374" t="s">
        <v>71</v>
      </c>
      <c r="G374" t="s">
        <v>63</v>
      </c>
      <c r="H374" t="s">
        <v>57</v>
      </c>
      <c r="I374" t="s">
        <v>35</v>
      </c>
      <c r="J374" s="4">
        <v>9.01</v>
      </c>
      <c r="K374" s="4">
        <v>13.23</v>
      </c>
      <c r="L374">
        <v>15</v>
      </c>
      <c r="M374" s="4">
        <v>17.88</v>
      </c>
      <c r="N374" s="4">
        <v>101.32</v>
      </c>
      <c r="O374" s="4">
        <v>59.01</v>
      </c>
      <c r="P374" s="4">
        <v>10.57</v>
      </c>
      <c r="Q374" s="4">
        <v>0.83</v>
      </c>
      <c r="R374" s="4">
        <v>9.58</v>
      </c>
      <c r="S374" s="4">
        <v>0</v>
      </c>
      <c r="T374" s="4">
        <v>0</v>
      </c>
      <c r="U374" s="4">
        <v>79.989999999999995</v>
      </c>
      <c r="V374" s="4">
        <v>21.33</v>
      </c>
      <c r="W374" t="s">
        <v>21</v>
      </c>
      <c r="X374" t="s">
        <v>36</v>
      </c>
      <c r="Y374" s="4">
        <v>29</v>
      </c>
      <c r="Z374" s="4">
        <v>7</v>
      </c>
      <c r="AA374" t="s">
        <v>52</v>
      </c>
      <c r="AB374" t="s">
        <v>44</v>
      </c>
      <c r="AC374" s="7">
        <v>2</v>
      </c>
      <c r="AD374" t="s">
        <v>45</v>
      </c>
      <c r="AE374">
        <f t="shared" si="5"/>
        <v>1</v>
      </c>
    </row>
    <row r="375" spans="1:31" x14ac:dyDescent="0.35">
      <c r="A375">
        <v>100374</v>
      </c>
      <c r="B375" s="3">
        <v>45965</v>
      </c>
      <c r="C375">
        <v>1113</v>
      </c>
      <c r="D375" t="s">
        <v>59</v>
      </c>
      <c r="E375" t="s">
        <v>73</v>
      </c>
      <c r="F375" t="s">
        <v>32</v>
      </c>
      <c r="G375" t="s">
        <v>33</v>
      </c>
      <c r="H375" t="s">
        <v>57</v>
      </c>
      <c r="I375" t="s">
        <v>69</v>
      </c>
      <c r="J375" s="4">
        <v>38.5</v>
      </c>
      <c r="K375" s="4">
        <v>19.03</v>
      </c>
      <c r="L375">
        <v>10</v>
      </c>
      <c r="M375" s="4">
        <v>73.27</v>
      </c>
      <c r="N375" s="4">
        <v>659.39</v>
      </c>
      <c r="O375" s="4">
        <v>275.60000000000002</v>
      </c>
      <c r="P375" s="4">
        <v>10.54</v>
      </c>
      <c r="Q375" s="4">
        <v>2.93</v>
      </c>
      <c r="R375" s="4">
        <v>2.7</v>
      </c>
      <c r="S375" s="4">
        <v>298.67</v>
      </c>
      <c r="T375" s="4">
        <v>3.24</v>
      </c>
      <c r="U375" s="4">
        <v>593.67999999999995</v>
      </c>
      <c r="V375" s="4">
        <v>65.709999999999994</v>
      </c>
      <c r="W375" t="s">
        <v>21</v>
      </c>
      <c r="X375" t="s">
        <v>55</v>
      </c>
      <c r="Y375" s="4">
        <v>4</v>
      </c>
      <c r="Z375" s="4">
        <v>14</v>
      </c>
      <c r="AA375" t="s">
        <v>37</v>
      </c>
      <c r="AB375" t="s">
        <v>44</v>
      </c>
      <c r="AC375" s="7">
        <v>3</v>
      </c>
      <c r="AD375" t="s">
        <v>45</v>
      </c>
      <c r="AE375">
        <f t="shared" si="5"/>
        <v>1</v>
      </c>
    </row>
    <row r="376" spans="1:31" x14ac:dyDescent="0.35">
      <c r="A376">
        <v>100375</v>
      </c>
      <c r="B376" s="3">
        <v>46014</v>
      </c>
      <c r="C376">
        <v>1004</v>
      </c>
      <c r="D376" t="s">
        <v>64</v>
      </c>
      <c r="E376" t="s">
        <v>76</v>
      </c>
      <c r="F376" t="s">
        <v>71</v>
      </c>
      <c r="G376" t="s">
        <v>63</v>
      </c>
      <c r="H376" t="s">
        <v>57</v>
      </c>
      <c r="I376" t="s">
        <v>35</v>
      </c>
      <c r="J376" s="4">
        <v>25.93</v>
      </c>
      <c r="K376" s="4">
        <v>12.73</v>
      </c>
      <c r="L376">
        <v>0</v>
      </c>
      <c r="M376" s="4">
        <v>0</v>
      </c>
      <c r="N376" s="4">
        <v>330.09</v>
      </c>
      <c r="O376" s="4">
        <v>185.51</v>
      </c>
      <c r="P376" s="4">
        <v>10.69</v>
      </c>
      <c r="Q376" s="4">
        <v>2.31</v>
      </c>
      <c r="R376" s="4">
        <v>13.1</v>
      </c>
      <c r="S376" s="4">
        <v>0</v>
      </c>
      <c r="T376" s="4">
        <v>0</v>
      </c>
      <c r="U376" s="4">
        <v>211.61</v>
      </c>
      <c r="V376" s="4">
        <v>118.48</v>
      </c>
      <c r="W376" t="s">
        <v>21</v>
      </c>
      <c r="X376" t="s">
        <v>36</v>
      </c>
      <c r="Y376" s="4">
        <v>41</v>
      </c>
      <c r="Z376" s="4">
        <v>11</v>
      </c>
      <c r="AA376" t="s">
        <v>43</v>
      </c>
      <c r="AB376" t="s">
        <v>44</v>
      </c>
      <c r="AC376" s="7">
        <v>3</v>
      </c>
      <c r="AD376" t="s">
        <v>45</v>
      </c>
      <c r="AE376">
        <f t="shared" si="5"/>
        <v>1</v>
      </c>
    </row>
    <row r="377" spans="1:31" x14ac:dyDescent="0.35">
      <c r="A377">
        <v>100376</v>
      </c>
      <c r="B377" s="3">
        <v>46002</v>
      </c>
      <c r="C377">
        <v>1031</v>
      </c>
      <c r="D377" t="s">
        <v>64</v>
      </c>
      <c r="E377" t="s">
        <v>65</v>
      </c>
      <c r="F377" t="s">
        <v>49</v>
      </c>
      <c r="G377" t="s">
        <v>50</v>
      </c>
      <c r="H377" t="s">
        <v>57</v>
      </c>
      <c r="I377" t="s">
        <v>42</v>
      </c>
      <c r="J377" s="4">
        <v>20.93</v>
      </c>
      <c r="K377" s="4">
        <v>18.2</v>
      </c>
      <c r="L377">
        <v>10</v>
      </c>
      <c r="M377" s="4">
        <v>38.090000000000003</v>
      </c>
      <c r="N377" s="4">
        <v>342.84</v>
      </c>
      <c r="O377" s="4">
        <v>155.65</v>
      </c>
      <c r="P377" s="4">
        <v>11.53</v>
      </c>
      <c r="Q377" s="4">
        <v>5.71</v>
      </c>
      <c r="R377" s="4">
        <v>17</v>
      </c>
      <c r="S377" s="4">
        <v>376.32</v>
      </c>
      <c r="T377" s="4">
        <v>17.5</v>
      </c>
      <c r="U377" s="4">
        <v>583.71</v>
      </c>
      <c r="V377" s="4">
        <v>-240.87</v>
      </c>
      <c r="W377" t="s">
        <v>58</v>
      </c>
      <c r="X377" t="s">
        <v>55</v>
      </c>
      <c r="Y377" s="4">
        <v>0</v>
      </c>
      <c r="Z377" s="4">
        <v>9</v>
      </c>
      <c r="AA377" t="s">
        <v>37</v>
      </c>
      <c r="AB377" t="s">
        <v>44</v>
      </c>
      <c r="AC377" s="7">
        <v>1</v>
      </c>
      <c r="AD377" t="s">
        <v>45</v>
      </c>
      <c r="AE377">
        <f t="shared" si="5"/>
        <v>1</v>
      </c>
    </row>
    <row r="378" spans="1:31" x14ac:dyDescent="0.35">
      <c r="A378">
        <v>100377</v>
      </c>
      <c r="B378" s="3">
        <v>45966</v>
      </c>
      <c r="C378">
        <v>1095</v>
      </c>
      <c r="D378" t="s">
        <v>59</v>
      </c>
      <c r="E378" t="s">
        <v>73</v>
      </c>
      <c r="F378" t="s">
        <v>32</v>
      </c>
      <c r="G378" t="s">
        <v>33</v>
      </c>
      <c r="H378" t="s">
        <v>34</v>
      </c>
      <c r="I378" t="s">
        <v>54</v>
      </c>
      <c r="J378" s="4">
        <v>40.93</v>
      </c>
      <c r="K378" s="4">
        <v>18.760000000000002</v>
      </c>
      <c r="L378">
        <v>5</v>
      </c>
      <c r="M378" s="4">
        <v>38.39</v>
      </c>
      <c r="N378" s="4">
        <v>729.46</v>
      </c>
      <c r="O378" s="4">
        <v>279.26</v>
      </c>
      <c r="P378" s="4">
        <v>9.41</v>
      </c>
      <c r="Q378" s="4">
        <v>9.2100000000000009</v>
      </c>
      <c r="R378" s="4">
        <v>7.77</v>
      </c>
      <c r="S378" s="4">
        <v>0</v>
      </c>
      <c r="T378" s="4">
        <v>0</v>
      </c>
      <c r="U378" s="4">
        <v>305.64999999999998</v>
      </c>
      <c r="V378" s="4">
        <v>423.81</v>
      </c>
      <c r="W378" t="s">
        <v>21</v>
      </c>
      <c r="X378" t="s">
        <v>36</v>
      </c>
      <c r="Y378" s="4">
        <v>18</v>
      </c>
      <c r="Z378" s="4">
        <v>6</v>
      </c>
      <c r="AA378" t="s">
        <v>52</v>
      </c>
      <c r="AB378" t="s">
        <v>38</v>
      </c>
      <c r="AC378" s="7">
        <v>0</v>
      </c>
      <c r="AD378" t="s">
        <v>39</v>
      </c>
      <c r="AE378">
        <f t="shared" si="5"/>
        <v>0</v>
      </c>
    </row>
    <row r="379" spans="1:31" x14ac:dyDescent="0.35">
      <c r="A379">
        <v>100378</v>
      </c>
      <c r="B379" s="3">
        <v>45967</v>
      </c>
      <c r="C379">
        <v>1035</v>
      </c>
      <c r="D379" t="s">
        <v>59</v>
      </c>
      <c r="E379" t="s">
        <v>73</v>
      </c>
      <c r="F379" t="s">
        <v>41</v>
      </c>
      <c r="G379" t="s">
        <v>63</v>
      </c>
      <c r="H379" t="s">
        <v>34</v>
      </c>
      <c r="I379" t="s">
        <v>35</v>
      </c>
      <c r="J379" s="4">
        <v>15.48</v>
      </c>
      <c r="K379" s="4">
        <v>13.5</v>
      </c>
      <c r="L379">
        <v>15</v>
      </c>
      <c r="M379" s="4">
        <v>31.35</v>
      </c>
      <c r="N379" s="4">
        <v>177.63</v>
      </c>
      <c r="O379" s="4">
        <v>109.29</v>
      </c>
      <c r="P379" s="4">
        <v>8.6199999999999992</v>
      </c>
      <c r="Q379" s="4">
        <v>1.46</v>
      </c>
      <c r="R379" s="4">
        <v>10.92</v>
      </c>
      <c r="S379" s="4">
        <v>0</v>
      </c>
      <c r="T379" s="4">
        <v>0</v>
      </c>
      <c r="U379" s="4">
        <v>130.29</v>
      </c>
      <c r="V379" s="4">
        <v>47.34</v>
      </c>
      <c r="W379" t="s">
        <v>21</v>
      </c>
      <c r="X379" t="s">
        <v>36</v>
      </c>
      <c r="Y379" s="4">
        <v>2</v>
      </c>
      <c r="Z379" s="4">
        <v>13</v>
      </c>
      <c r="AA379" t="s">
        <v>37</v>
      </c>
      <c r="AB379" t="s">
        <v>38</v>
      </c>
      <c r="AC379" s="7">
        <v>0</v>
      </c>
      <c r="AD379" t="s">
        <v>39</v>
      </c>
      <c r="AE379">
        <f t="shared" si="5"/>
        <v>0</v>
      </c>
    </row>
    <row r="380" spans="1:31" x14ac:dyDescent="0.35">
      <c r="A380">
        <v>100379</v>
      </c>
      <c r="B380" s="3">
        <v>45983</v>
      </c>
      <c r="C380">
        <v>1105</v>
      </c>
      <c r="D380" t="s">
        <v>47</v>
      </c>
      <c r="E380" t="s">
        <v>48</v>
      </c>
      <c r="F380" t="s">
        <v>49</v>
      </c>
      <c r="G380" t="s">
        <v>50</v>
      </c>
      <c r="H380" t="s">
        <v>51</v>
      </c>
      <c r="I380" t="s">
        <v>35</v>
      </c>
      <c r="J380" s="4">
        <v>27.48</v>
      </c>
      <c r="K380" s="4">
        <v>18.34</v>
      </c>
      <c r="L380">
        <v>10</v>
      </c>
      <c r="M380" s="4">
        <v>50.4</v>
      </c>
      <c r="N380" s="4">
        <v>453.58</v>
      </c>
      <c r="O380" s="4">
        <v>235.29</v>
      </c>
      <c r="P380" s="4">
        <v>6.35</v>
      </c>
      <c r="Q380" s="4">
        <v>3.53</v>
      </c>
      <c r="R380" s="4">
        <v>0</v>
      </c>
      <c r="S380" s="4">
        <v>432.85</v>
      </c>
      <c r="T380" s="4">
        <v>3.42</v>
      </c>
      <c r="U380" s="4">
        <v>681.44</v>
      </c>
      <c r="V380" s="4">
        <v>-227.86</v>
      </c>
      <c r="W380" t="s">
        <v>58</v>
      </c>
      <c r="X380" t="s">
        <v>66</v>
      </c>
      <c r="Y380" s="4">
        <v>16</v>
      </c>
      <c r="Z380" s="4">
        <v>0</v>
      </c>
      <c r="AA380" t="s">
        <v>52</v>
      </c>
      <c r="AB380" t="s">
        <v>38</v>
      </c>
      <c r="AC380" s="7">
        <v>1</v>
      </c>
      <c r="AD380" t="s">
        <v>45</v>
      </c>
      <c r="AE380">
        <f t="shared" si="5"/>
        <v>0</v>
      </c>
    </row>
    <row r="381" spans="1:31" x14ac:dyDescent="0.35">
      <c r="A381">
        <v>100380</v>
      </c>
      <c r="B381" s="3">
        <v>45998</v>
      </c>
      <c r="C381">
        <v>1070</v>
      </c>
      <c r="D381" t="s">
        <v>64</v>
      </c>
      <c r="E381" t="s">
        <v>65</v>
      </c>
      <c r="F381" t="s">
        <v>32</v>
      </c>
      <c r="G381" t="s">
        <v>33</v>
      </c>
      <c r="H381" t="s">
        <v>34</v>
      </c>
      <c r="I381" t="s">
        <v>35</v>
      </c>
      <c r="J381" s="4">
        <v>22.58</v>
      </c>
      <c r="K381" s="4">
        <v>19.739999999999998</v>
      </c>
      <c r="L381">
        <v>0</v>
      </c>
      <c r="M381" s="4">
        <v>0</v>
      </c>
      <c r="N381" s="4">
        <v>445.73</v>
      </c>
      <c r="O381" s="4">
        <v>172.31</v>
      </c>
      <c r="P381" s="4">
        <v>9.84</v>
      </c>
      <c r="Q381" s="4">
        <v>3.12</v>
      </c>
      <c r="R381" s="4">
        <v>8.99</v>
      </c>
      <c r="S381" s="4">
        <v>0</v>
      </c>
      <c r="T381" s="4">
        <v>0</v>
      </c>
      <c r="U381" s="4">
        <v>194.26</v>
      </c>
      <c r="V381" s="4">
        <v>251.47</v>
      </c>
      <c r="W381" t="s">
        <v>21</v>
      </c>
      <c r="X381" t="s">
        <v>36</v>
      </c>
      <c r="Y381" s="4">
        <v>0</v>
      </c>
      <c r="Z381" s="4">
        <v>0</v>
      </c>
      <c r="AA381" t="s">
        <v>37</v>
      </c>
      <c r="AB381" t="s">
        <v>38</v>
      </c>
      <c r="AC381" s="7">
        <v>0</v>
      </c>
      <c r="AD381" t="s">
        <v>39</v>
      </c>
      <c r="AE381">
        <f t="shared" si="5"/>
        <v>0</v>
      </c>
    </row>
    <row r="382" spans="1:31" x14ac:dyDescent="0.35">
      <c r="A382">
        <v>100381</v>
      </c>
      <c r="B382" s="3">
        <v>46003</v>
      </c>
      <c r="C382">
        <v>1144</v>
      </c>
      <c r="D382" t="s">
        <v>30</v>
      </c>
      <c r="E382" t="s">
        <v>62</v>
      </c>
      <c r="F382" t="s">
        <v>32</v>
      </c>
      <c r="G382" t="s">
        <v>63</v>
      </c>
      <c r="H382" t="s">
        <v>51</v>
      </c>
      <c r="I382" t="s">
        <v>35</v>
      </c>
      <c r="J382" s="4">
        <v>29.75</v>
      </c>
      <c r="K382" s="4">
        <v>11.82</v>
      </c>
      <c r="L382">
        <v>5</v>
      </c>
      <c r="M382" s="4">
        <v>17.579999999999998</v>
      </c>
      <c r="N382" s="4">
        <v>334.06</v>
      </c>
      <c r="O382" s="4">
        <v>227.3</v>
      </c>
      <c r="P382" s="4">
        <v>12.96</v>
      </c>
      <c r="Q382" s="4">
        <v>2.46</v>
      </c>
      <c r="R382" s="4">
        <v>4.63</v>
      </c>
      <c r="S382" s="4">
        <v>0</v>
      </c>
      <c r="T382" s="4">
        <v>0</v>
      </c>
      <c r="U382" s="4">
        <v>247.35</v>
      </c>
      <c r="V382" s="4">
        <v>86.71</v>
      </c>
      <c r="W382" t="s">
        <v>21</v>
      </c>
      <c r="X382" t="s">
        <v>36</v>
      </c>
      <c r="Y382" s="4">
        <v>4</v>
      </c>
      <c r="Z382" s="4">
        <v>19</v>
      </c>
      <c r="AA382" t="s">
        <v>37</v>
      </c>
      <c r="AB382" t="s">
        <v>44</v>
      </c>
      <c r="AC382" s="7">
        <v>2</v>
      </c>
      <c r="AD382" t="s">
        <v>45</v>
      </c>
      <c r="AE382">
        <f t="shared" si="5"/>
        <v>1</v>
      </c>
    </row>
    <row r="383" spans="1:31" x14ac:dyDescent="0.35">
      <c r="A383">
        <v>100382</v>
      </c>
      <c r="B383" s="3">
        <v>45972</v>
      </c>
      <c r="C383">
        <v>1063</v>
      </c>
      <c r="D383" t="s">
        <v>64</v>
      </c>
      <c r="E383" t="s">
        <v>75</v>
      </c>
      <c r="F383" t="s">
        <v>32</v>
      </c>
      <c r="G383" t="s">
        <v>50</v>
      </c>
      <c r="H383" t="s">
        <v>34</v>
      </c>
      <c r="I383" t="s">
        <v>42</v>
      </c>
      <c r="J383" s="4">
        <v>30.12</v>
      </c>
      <c r="K383" s="4">
        <v>17.809999999999999</v>
      </c>
      <c r="L383">
        <v>10</v>
      </c>
      <c r="M383" s="4">
        <v>53.64</v>
      </c>
      <c r="N383" s="4">
        <v>482.8</v>
      </c>
      <c r="O383" s="4">
        <v>222.78</v>
      </c>
      <c r="P383" s="4">
        <v>6.31</v>
      </c>
      <c r="Q383" s="4">
        <v>8.0500000000000007</v>
      </c>
      <c r="R383" s="4">
        <v>5.22</v>
      </c>
      <c r="S383" s="4">
        <v>0</v>
      </c>
      <c r="T383" s="4">
        <v>0</v>
      </c>
      <c r="U383" s="4">
        <v>242.36</v>
      </c>
      <c r="V383" s="4">
        <v>240.44</v>
      </c>
      <c r="W383" t="s">
        <v>21</v>
      </c>
      <c r="X383" t="s">
        <v>36</v>
      </c>
      <c r="Y383" s="4">
        <v>9</v>
      </c>
      <c r="Z383" s="4">
        <v>13</v>
      </c>
      <c r="AA383" t="s">
        <v>37</v>
      </c>
      <c r="AB383" t="s">
        <v>38</v>
      </c>
      <c r="AC383" s="7">
        <v>0</v>
      </c>
      <c r="AD383" t="s">
        <v>39</v>
      </c>
      <c r="AE383">
        <f t="shared" si="5"/>
        <v>0</v>
      </c>
    </row>
    <row r="384" spans="1:31" x14ac:dyDescent="0.35">
      <c r="A384">
        <v>100383</v>
      </c>
      <c r="B384" s="3">
        <v>46013</v>
      </c>
      <c r="C384">
        <v>1135</v>
      </c>
      <c r="D384" t="s">
        <v>47</v>
      </c>
      <c r="E384" t="s">
        <v>74</v>
      </c>
      <c r="F384" t="s">
        <v>61</v>
      </c>
      <c r="G384" t="s">
        <v>63</v>
      </c>
      <c r="H384" t="s">
        <v>51</v>
      </c>
      <c r="I384" t="s">
        <v>54</v>
      </c>
      <c r="J384" s="4">
        <v>3</v>
      </c>
      <c r="K384" s="4">
        <v>12.49</v>
      </c>
      <c r="L384">
        <v>5</v>
      </c>
      <c r="M384" s="4">
        <v>1.87</v>
      </c>
      <c r="N384" s="4">
        <v>35.6</v>
      </c>
      <c r="O384" s="4">
        <v>19.309999999999999</v>
      </c>
      <c r="P384" s="4">
        <v>1</v>
      </c>
      <c r="Q384" s="4">
        <v>0.45</v>
      </c>
      <c r="R384" s="4">
        <v>10.33</v>
      </c>
      <c r="S384" s="4">
        <v>0</v>
      </c>
      <c r="T384" s="4">
        <v>0</v>
      </c>
      <c r="U384" s="4">
        <v>31.09</v>
      </c>
      <c r="V384" s="4">
        <v>4.51</v>
      </c>
      <c r="W384" t="s">
        <v>21</v>
      </c>
      <c r="X384" t="s">
        <v>36</v>
      </c>
      <c r="Y384" s="4">
        <v>30</v>
      </c>
      <c r="Z384" s="4">
        <v>2</v>
      </c>
      <c r="AA384" t="s">
        <v>52</v>
      </c>
      <c r="AB384" t="s">
        <v>44</v>
      </c>
      <c r="AC384" s="7">
        <v>1</v>
      </c>
      <c r="AD384" t="s">
        <v>45</v>
      </c>
      <c r="AE384">
        <f t="shared" si="5"/>
        <v>1</v>
      </c>
    </row>
    <row r="385" spans="1:31" x14ac:dyDescent="0.35">
      <c r="A385">
        <v>100384</v>
      </c>
      <c r="B385" s="3">
        <v>45978</v>
      </c>
      <c r="C385">
        <v>1080</v>
      </c>
      <c r="D385" t="s">
        <v>30</v>
      </c>
      <c r="E385" t="s">
        <v>62</v>
      </c>
      <c r="F385" t="s">
        <v>32</v>
      </c>
      <c r="G385" t="s">
        <v>63</v>
      </c>
      <c r="H385" t="s">
        <v>34</v>
      </c>
      <c r="I385" t="s">
        <v>35</v>
      </c>
      <c r="J385" s="4">
        <v>24.64</v>
      </c>
      <c r="K385" s="4">
        <v>12.73</v>
      </c>
      <c r="L385">
        <v>0</v>
      </c>
      <c r="M385" s="4">
        <v>0</v>
      </c>
      <c r="N385" s="4">
        <v>313.67</v>
      </c>
      <c r="O385" s="4">
        <v>181.84</v>
      </c>
      <c r="P385" s="4">
        <v>6.77</v>
      </c>
      <c r="Q385" s="4">
        <v>2.2000000000000002</v>
      </c>
      <c r="R385" s="4">
        <v>8.33</v>
      </c>
      <c r="S385" s="4">
        <v>0</v>
      </c>
      <c r="T385" s="4">
        <v>0</v>
      </c>
      <c r="U385" s="4">
        <v>199.14</v>
      </c>
      <c r="V385" s="4">
        <v>114.53</v>
      </c>
      <c r="W385" t="s">
        <v>21</v>
      </c>
      <c r="X385" t="s">
        <v>36</v>
      </c>
      <c r="Y385" s="4">
        <v>9</v>
      </c>
      <c r="Z385" s="4">
        <v>8</v>
      </c>
      <c r="AA385" t="s">
        <v>37</v>
      </c>
      <c r="AB385" t="s">
        <v>38</v>
      </c>
      <c r="AC385" s="7">
        <v>0</v>
      </c>
      <c r="AD385" t="s">
        <v>39</v>
      </c>
      <c r="AE385">
        <f t="shared" si="5"/>
        <v>0</v>
      </c>
    </row>
    <row r="386" spans="1:31" x14ac:dyDescent="0.35">
      <c r="A386">
        <v>100385</v>
      </c>
      <c r="B386" s="3">
        <v>45987</v>
      </c>
      <c r="C386">
        <v>1132</v>
      </c>
      <c r="D386" t="s">
        <v>64</v>
      </c>
      <c r="E386" t="s">
        <v>75</v>
      </c>
      <c r="F386" t="s">
        <v>71</v>
      </c>
      <c r="G386" t="s">
        <v>63</v>
      </c>
      <c r="H386" t="s">
        <v>57</v>
      </c>
      <c r="I386" t="s">
        <v>54</v>
      </c>
      <c r="J386" s="4">
        <v>19.489999999999998</v>
      </c>
      <c r="K386" s="4">
        <v>12.9</v>
      </c>
      <c r="L386">
        <v>0</v>
      </c>
      <c r="M386" s="4">
        <v>0</v>
      </c>
      <c r="N386" s="4">
        <v>251.42</v>
      </c>
      <c r="O386" s="4">
        <v>145.79</v>
      </c>
      <c r="P386" s="4">
        <v>9.94</v>
      </c>
      <c r="Q386" s="4">
        <v>3.02</v>
      </c>
      <c r="R386" s="4">
        <v>1.42</v>
      </c>
      <c r="S386" s="4">
        <v>0</v>
      </c>
      <c r="T386" s="4">
        <v>0</v>
      </c>
      <c r="U386" s="4">
        <v>160.16999999999999</v>
      </c>
      <c r="V386" s="4">
        <v>91.25</v>
      </c>
      <c r="W386" t="s">
        <v>21</v>
      </c>
      <c r="X386" t="s">
        <v>36</v>
      </c>
      <c r="Y386" s="4">
        <v>3</v>
      </c>
      <c r="Z386" s="4">
        <v>6</v>
      </c>
      <c r="AA386" t="s">
        <v>37</v>
      </c>
      <c r="AB386" t="s">
        <v>38</v>
      </c>
      <c r="AC386" s="7">
        <v>0</v>
      </c>
      <c r="AD386" t="s">
        <v>39</v>
      </c>
      <c r="AE386">
        <f t="shared" si="5"/>
        <v>0</v>
      </c>
    </row>
    <row r="387" spans="1:31" x14ac:dyDescent="0.35">
      <c r="A387">
        <v>100386</v>
      </c>
      <c r="B387" s="3">
        <v>45951</v>
      </c>
      <c r="C387">
        <v>1018</v>
      </c>
      <c r="D387" t="s">
        <v>30</v>
      </c>
      <c r="E387" t="s">
        <v>72</v>
      </c>
      <c r="F387" t="s">
        <v>41</v>
      </c>
      <c r="G387" t="s">
        <v>63</v>
      </c>
      <c r="H387" t="s">
        <v>34</v>
      </c>
      <c r="I387" t="s">
        <v>35</v>
      </c>
      <c r="J387" s="4">
        <v>15.68</v>
      </c>
      <c r="K387" s="4">
        <v>12.18</v>
      </c>
      <c r="L387">
        <v>0</v>
      </c>
      <c r="M387" s="4">
        <v>0</v>
      </c>
      <c r="N387" s="4">
        <v>190.98</v>
      </c>
      <c r="O387" s="4">
        <v>137.79</v>
      </c>
      <c r="P387" s="4">
        <v>9.92</v>
      </c>
      <c r="Q387" s="4">
        <v>1.34</v>
      </c>
      <c r="R387" s="4">
        <v>6.32</v>
      </c>
      <c r="S387" s="4">
        <v>0</v>
      </c>
      <c r="T387" s="4">
        <v>0</v>
      </c>
      <c r="U387" s="4">
        <v>155.37</v>
      </c>
      <c r="V387" s="4">
        <v>35.61</v>
      </c>
      <c r="W387" t="s">
        <v>21</v>
      </c>
      <c r="X387" t="s">
        <v>36</v>
      </c>
      <c r="Y387" s="4">
        <v>10</v>
      </c>
      <c r="Z387" s="4">
        <v>4</v>
      </c>
      <c r="AA387" t="s">
        <v>37</v>
      </c>
      <c r="AB387" t="s">
        <v>38</v>
      </c>
      <c r="AC387" s="7">
        <v>0</v>
      </c>
      <c r="AD387" t="s">
        <v>39</v>
      </c>
      <c r="AE387">
        <f t="shared" ref="AE387:AE450" si="6">IF(AB387="Yes",1,0)</f>
        <v>0</v>
      </c>
    </row>
    <row r="388" spans="1:31" x14ac:dyDescent="0.35">
      <c r="A388">
        <v>100387</v>
      </c>
      <c r="B388" s="3">
        <v>45938</v>
      </c>
      <c r="C388">
        <v>1115</v>
      </c>
      <c r="D388" t="s">
        <v>30</v>
      </c>
      <c r="E388" t="s">
        <v>31</v>
      </c>
      <c r="F388" t="s">
        <v>32</v>
      </c>
      <c r="G388" t="s">
        <v>50</v>
      </c>
      <c r="H388" t="s">
        <v>34</v>
      </c>
      <c r="I388" t="s">
        <v>42</v>
      </c>
      <c r="J388" s="4">
        <v>32.28</v>
      </c>
      <c r="K388" s="4">
        <v>17.3</v>
      </c>
      <c r="L388">
        <v>5</v>
      </c>
      <c r="M388" s="4">
        <v>27.92</v>
      </c>
      <c r="N388" s="4">
        <v>530.52</v>
      </c>
      <c r="O388" s="4">
        <v>199.34</v>
      </c>
      <c r="P388" s="4">
        <v>13.62</v>
      </c>
      <c r="Q388" s="4">
        <v>8.3800000000000008</v>
      </c>
      <c r="R388" s="4">
        <v>2.5</v>
      </c>
      <c r="S388" s="4">
        <v>278.41000000000003</v>
      </c>
      <c r="T388" s="4">
        <v>0</v>
      </c>
      <c r="U388" s="4">
        <v>502.25</v>
      </c>
      <c r="V388" s="4">
        <v>28.27</v>
      </c>
      <c r="W388" t="s">
        <v>21</v>
      </c>
      <c r="X388" t="s">
        <v>66</v>
      </c>
      <c r="Y388" s="4">
        <v>4</v>
      </c>
      <c r="Z388" s="4">
        <v>12</v>
      </c>
      <c r="AA388" t="s">
        <v>37</v>
      </c>
      <c r="AB388" t="s">
        <v>38</v>
      </c>
      <c r="AC388" s="7">
        <v>3</v>
      </c>
      <c r="AD388" t="s">
        <v>45</v>
      </c>
      <c r="AE388">
        <f t="shared" si="6"/>
        <v>0</v>
      </c>
    </row>
    <row r="389" spans="1:31" x14ac:dyDescent="0.35">
      <c r="A389">
        <v>100388</v>
      </c>
      <c r="B389" s="3">
        <v>45971</v>
      </c>
      <c r="C389">
        <v>1001</v>
      </c>
      <c r="D389" t="s">
        <v>30</v>
      </c>
      <c r="E389" t="s">
        <v>31</v>
      </c>
      <c r="F389" t="s">
        <v>61</v>
      </c>
      <c r="G389" t="s">
        <v>50</v>
      </c>
      <c r="H389" t="s">
        <v>34</v>
      </c>
      <c r="I389" t="s">
        <v>35</v>
      </c>
      <c r="J389" s="4">
        <v>20.95</v>
      </c>
      <c r="K389" s="4">
        <v>17.22</v>
      </c>
      <c r="L389">
        <v>15</v>
      </c>
      <c r="M389" s="4">
        <v>54.11</v>
      </c>
      <c r="N389" s="4">
        <v>306.64999999999998</v>
      </c>
      <c r="O389" s="4">
        <v>153.9</v>
      </c>
      <c r="P389" s="4">
        <v>5.65</v>
      </c>
      <c r="Q389" s="4">
        <v>2.5299999999999998</v>
      </c>
      <c r="R389" s="4">
        <v>4.0599999999999996</v>
      </c>
      <c r="S389" s="4">
        <v>0</v>
      </c>
      <c r="T389" s="4">
        <v>0</v>
      </c>
      <c r="U389" s="4">
        <v>166.14</v>
      </c>
      <c r="V389" s="4">
        <v>140.51</v>
      </c>
      <c r="W389" t="s">
        <v>21</v>
      </c>
      <c r="X389" t="s">
        <v>36</v>
      </c>
      <c r="Y389" s="4">
        <v>3</v>
      </c>
      <c r="Z389" s="4">
        <v>5</v>
      </c>
      <c r="AA389" t="s">
        <v>37</v>
      </c>
      <c r="AB389" t="s">
        <v>38</v>
      </c>
      <c r="AC389" s="7">
        <v>0</v>
      </c>
      <c r="AD389" t="s">
        <v>39</v>
      </c>
      <c r="AE389">
        <f t="shared" si="6"/>
        <v>0</v>
      </c>
    </row>
    <row r="390" spans="1:31" x14ac:dyDescent="0.35">
      <c r="A390">
        <v>100389</v>
      </c>
      <c r="B390" s="3">
        <v>46000</v>
      </c>
      <c r="C390">
        <v>1075</v>
      </c>
      <c r="D390" t="s">
        <v>47</v>
      </c>
      <c r="E390" t="s">
        <v>74</v>
      </c>
      <c r="F390" t="s">
        <v>32</v>
      </c>
      <c r="G390" t="s">
        <v>46</v>
      </c>
      <c r="H390" t="s">
        <v>51</v>
      </c>
      <c r="I390" t="s">
        <v>54</v>
      </c>
      <c r="J390" s="4">
        <v>30.16</v>
      </c>
      <c r="K390" s="4">
        <v>15.51</v>
      </c>
      <c r="L390">
        <v>0</v>
      </c>
      <c r="M390" s="4">
        <v>0</v>
      </c>
      <c r="N390" s="4">
        <v>467.78</v>
      </c>
      <c r="O390" s="4">
        <v>192.64</v>
      </c>
      <c r="P390" s="4">
        <v>10.210000000000001</v>
      </c>
      <c r="Q390" s="4">
        <v>5.61</v>
      </c>
      <c r="R390" s="4">
        <v>4.49</v>
      </c>
      <c r="S390" s="4">
        <v>0</v>
      </c>
      <c r="T390" s="4">
        <v>0</v>
      </c>
      <c r="U390" s="4">
        <v>212.95</v>
      </c>
      <c r="V390" s="4">
        <v>254.83</v>
      </c>
      <c r="W390" t="s">
        <v>21</v>
      </c>
      <c r="X390" t="s">
        <v>36</v>
      </c>
      <c r="Y390" s="4">
        <v>1</v>
      </c>
      <c r="Z390" s="4">
        <v>6</v>
      </c>
      <c r="AA390" t="s">
        <v>37</v>
      </c>
      <c r="AB390" t="s">
        <v>38</v>
      </c>
      <c r="AC390" s="7">
        <v>1</v>
      </c>
      <c r="AD390" t="s">
        <v>39</v>
      </c>
      <c r="AE390">
        <f t="shared" si="6"/>
        <v>0</v>
      </c>
    </row>
    <row r="391" spans="1:31" x14ac:dyDescent="0.35">
      <c r="A391">
        <v>100390</v>
      </c>
      <c r="B391" s="3">
        <v>46020</v>
      </c>
      <c r="C391">
        <v>1048</v>
      </c>
      <c r="D391" t="s">
        <v>47</v>
      </c>
      <c r="E391" t="s">
        <v>48</v>
      </c>
      <c r="F391" t="s">
        <v>32</v>
      </c>
      <c r="G391" t="s">
        <v>50</v>
      </c>
      <c r="H391" t="s">
        <v>34</v>
      </c>
      <c r="I391" t="s">
        <v>69</v>
      </c>
      <c r="J391" s="4">
        <v>21.15</v>
      </c>
      <c r="K391" s="4">
        <v>19.489999999999998</v>
      </c>
      <c r="L391">
        <v>0</v>
      </c>
      <c r="M391" s="4">
        <v>0</v>
      </c>
      <c r="N391" s="4">
        <v>412.21</v>
      </c>
      <c r="O391" s="4">
        <v>153.79</v>
      </c>
      <c r="P391" s="4">
        <v>11.33</v>
      </c>
      <c r="Q391" s="4">
        <v>1.65</v>
      </c>
      <c r="R391" s="4">
        <v>8.36</v>
      </c>
      <c r="S391" s="4">
        <v>249.66</v>
      </c>
      <c r="T391" s="4">
        <v>0</v>
      </c>
      <c r="U391" s="4">
        <v>424.79</v>
      </c>
      <c r="V391" s="4">
        <v>-12.58</v>
      </c>
      <c r="W391" t="s">
        <v>58</v>
      </c>
      <c r="X391" t="s">
        <v>55</v>
      </c>
      <c r="Y391" s="4">
        <v>3</v>
      </c>
      <c r="Z391" s="4">
        <v>4</v>
      </c>
      <c r="AA391" t="s">
        <v>37</v>
      </c>
      <c r="AB391" t="s">
        <v>44</v>
      </c>
      <c r="AC391" s="7">
        <v>1</v>
      </c>
      <c r="AD391" t="s">
        <v>45</v>
      </c>
      <c r="AE391">
        <f t="shared" si="6"/>
        <v>1</v>
      </c>
    </row>
    <row r="392" spans="1:31" x14ac:dyDescent="0.35">
      <c r="A392">
        <v>100391</v>
      </c>
      <c r="B392" s="3">
        <v>46002</v>
      </c>
      <c r="C392">
        <v>1014</v>
      </c>
      <c r="D392" t="s">
        <v>59</v>
      </c>
      <c r="E392" t="s">
        <v>73</v>
      </c>
      <c r="F392" t="s">
        <v>41</v>
      </c>
      <c r="G392" t="s">
        <v>46</v>
      </c>
      <c r="H392" t="s">
        <v>34</v>
      </c>
      <c r="I392" t="s">
        <v>35</v>
      </c>
      <c r="J392" s="4">
        <v>13.04</v>
      </c>
      <c r="K392" s="4">
        <v>15.8</v>
      </c>
      <c r="L392">
        <v>15</v>
      </c>
      <c r="M392" s="4">
        <v>30.9</v>
      </c>
      <c r="N392" s="4">
        <v>175.13</v>
      </c>
      <c r="O392" s="4">
        <v>91.2</v>
      </c>
      <c r="P392" s="4">
        <v>10</v>
      </c>
      <c r="Q392" s="4">
        <v>1.44</v>
      </c>
      <c r="R392" s="4">
        <v>0.68</v>
      </c>
      <c r="S392" s="4">
        <v>0</v>
      </c>
      <c r="T392" s="4">
        <v>0</v>
      </c>
      <c r="U392" s="4">
        <v>103.32</v>
      </c>
      <c r="V392" s="4">
        <v>71.81</v>
      </c>
      <c r="W392" t="s">
        <v>21</v>
      </c>
      <c r="X392" t="s">
        <v>36</v>
      </c>
      <c r="Y392" s="4">
        <v>2</v>
      </c>
      <c r="Z392" s="4">
        <v>2</v>
      </c>
      <c r="AA392" t="s">
        <v>37</v>
      </c>
      <c r="AB392" t="s">
        <v>38</v>
      </c>
      <c r="AC392" s="7">
        <v>1</v>
      </c>
      <c r="AD392" t="s">
        <v>39</v>
      </c>
      <c r="AE392">
        <f t="shared" si="6"/>
        <v>0</v>
      </c>
    </row>
    <row r="393" spans="1:31" x14ac:dyDescent="0.35">
      <c r="A393">
        <v>100392</v>
      </c>
      <c r="B393" s="3">
        <v>45964</v>
      </c>
      <c r="C393">
        <v>1057</v>
      </c>
      <c r="D393" t="s">
        <v>59</v>
      </c>
      <c r="E393" t="s">
        <v>70</v>
      </c>
      <c r="F393" t="s">
        <v>41</v>
      </c>
      <c r="G393" t="s">
        <v>63</v>
      </c>
      <c r="H393" t="s">
        <v>57</v>
      </c>
      <c r="I393" t="s">
        <v>35</v>
      </c>
      <c r="J393" s="4">
        <v>18.170000000000002</v>
      </c>
      <c r="K393" s="4">
        <v>12.61</v>
      </c>
      <c r="L393">
        <v>10</v>
      </c>
      <c r="M393" s="4">
        <v>22.91</v>
      </c>
      <c r="N393" s="4">
        <v>206.21</v>
      </c>
      <c r="O393" s="4">
        <v>147.85</v>
      </c>
      <c r="P393" s="4">
        <v>5.42</v>
      </c>
      <c r="Q393" s="4">
        <v>1.6</v>
      </c>
      <c r="R393" s="4">
        <v>9.0399999999999991</v>
      </c>
      <c r="S393" s="4">
        <v>0</v>
      </c>
      <c r="T393" s="4">
        <v>0</v>
      </c>
      <c r="U393" s="4">
        <v>163.91</v>
      </c>
      <c r="V393" s="4">
        <v>42.3</v>
      </c>
      <c r="W393" t="s">
        <v>21</v>
      </c>
      <c r="X393" t="s">
        <v>36</v>
      </c>
      <c r="Y393" s="4">
        <v>13</v>
      </c>
      <c r="Z393" s="4">
        <v>7</v>
      </c>
      <c r="AA393" t="s">
        <v>37</v>
      </c>
      <c r="AB393" t="s">
        <v>38</v>
      </c>
      <c r="AC393" s="7">
        <v>0</v>
      </c>
      <c r="AD393" t="s">
        <v>39</v>
      </c>
      <c r="AE393">
        <f t="shared" si="6"/>
        <v>0</v>
      </c>
    </row>
    <row r="394" spans="1:31" x14ac:dyDescent="0.35">
      <c r="A394">
        <v>100393</v>
      </c>
      <c r="B394" s="3">
        <v>45941</v>
      </c>
      <c r="C394">
        <v>1011</v>
      </c>
      <c r="D394" t="s">
        <v>64</v>
      </c>
      <c r="E394" t="s">
        <v>76</v>
      </c>
      <c r="F394" t="s">
        <v>41</v>
      </c>
      <c r="G394" t="s">
        <v>63</v>
      </c>
      <c r="H394" t="s">
        <v>34</v>
      </c>
      <c r="I394" t="s">
        <v>42</v>
      </c>
      <c r="J394" s="4">
        <v>20.21</v>
      </c>
      <c r="K394" s="4">
        <v>10.9</v>
      </c>
      <c r="L394">
        <v>0</v>
      </c>
      <c r="M394" s="4">
        <v>0</v>
      </c>
      <c r="N394" s="4">
        <v>220.29</v>
      </c>
      <c r="O394" s="4">
        <v>137.29</v>
      </c>
      <c r="P394" s="4">
        <v>5.78</v>
      </c>
      <c r="Q394" s="4">
        <v>3.3</v>
      </c>
      <c r="R394" s="4">
        <v>0</v>
      </c>
      <c r="S394" s="4">
        <v>0</v>
      </c>
      <c r="T394" s="4">
        <v>0</v>
      </c>
      <c r="U394" s="4">
        <v>146.37</v>
      </c>
      <c r="V394" s="4">
        <v>73.92</v>
      </c>
      <c r="W394" t="s">
        <v>21</v>
      </c>
      <c r="X394" t="s">
        <v>36</v>
      </c>
      <c r="Y394" s="4">
        <v>23</v>
      </c>
      <c r="Z394" s="4">
        <v>3</v>
      </c>
      <c r="AA394" t="s">
        <v>52</v>
      </c>
      <c r="AB394" t="s">
        <v>44</v>
      </c>
      <c r="AC394" s="7">
        <v>3</v>
      </c>
      <c r="AD394" t="s">
        <v>45</v>
      </c>
      <c r="AE394">
        <f t="shared" si="6"/>
        <v>1</v>
      </c>
    </row>
    <row r="395" spans="1:31" x14ac:dyDescent="0.35">
      <c r="A395">
        <v>100394</v>
      </c>
      <c r="B395" s="3">
        <v>45951</v>
      </c>
      <c r="C395">
        <v>1070</v>
      </c>
      <c r="D395" t="s">
        <v>64</v>
      </c>
      <c r="E395" t="s">
        <v>75</v>
      </c>
      <c r="F395" t="s">
        <v>71</v>
      </c>
      <c r="G395" t="s">
        <v>50</v>
      </c>
      <c r="H395" t="s">
        <v>51</v>
      </c>
      <c r="I395" t="s">
        <v>42</v>
      </c>
      <c r="J395" s="4">
        <v>16.53</v>
      </c>
      <c r="K395" s="4">
        <v>16.45</v>
      </c>
      <c r="L395">
        <v>15</v>
      </c>
      <c r="M395" s="4">
        <v>40.79</v>
      </c>
      <c r="N395" s="4">
        <v>231.13</v>
      </c>
      <c r="O395" s="4">
        <v>140.88</v>
      </c>
      <c r="P395" s="4">
        <v>11.23</v>
      </c>
      <c r="Q395" s="4">
        <v>4.08</v>
      </c>
      <c r="R395" s="4">
        <v>4.93</v>
      </c>
      <c r="S395" s="4">
        <v>0</v>
      </c>
      <c r="T395" s="4">
        <v>0</v>
      </c>
      <c r="U395" s="4">
        <v>161.12</v>
      </c>
      <c r="V395" s="4">
        <v>70.010000000000005</v>
      </c>
      <c r="W395" t="s">
        <v>21</v>
      </c>
      <c r="X395" t="s">
        <v>36</v>
      </c>
      <c r="Y395" s="4">
        <v>4</v>
      </c>
      <c r="Z395" s="4">
        <v>11</v>
      </c>
      <c r="AA395" t="s">
        <v>37</v>
      </c>
      <c r="AB395" t="s">
        <v>38</v>
      </c>
      <c r="AC395" s="7">
        <v>0</v>
      </c>
      <c r="AD395" t="s">
        <v>39</v>
      </c>
      <c r="AE395">
        <f t="shared" si="6"/>
        <v>0</v>
      </c>
    </row>
    <row r="396" spans="1:31" x14ac:dyDescent="0.35">
      <c r="A396">
        <v>100395</v>
      </c>
      <c r="B396" s="3">
        <v>46014</v>
      </c>
      <c r="C396">
        <v>1112</v>
      </c>
      <c r="D396" t="s">
        <v>30</v>
      </c>
      <c r="E396" t="s">
        <v>31</v>
      </c>
      <c r="F396" t="s">
        <v>61</v>
      </c>
      <c r="G396" t="s">
        <v>63</v>
      </c>
      <c r="H396" t="s">
        <v>34</v>
      </c>
      <c r="I396" t="s">
        <v>42</v>
      </c>
      <c r="J396" s="4">
        <v>15.89</v>
      </c>
      <c r="K396" s="4">
        <v>11.52</v>
      </c>
      <c r="L396">
        <v>20</v>
      </c>
      <c r="M396" s="4">
        <v>36.61</v>
      </c>
      <c r="N396" s="4">
        <v>146.44</v>
      </c>
      <c r="O396" s="4">
        <v>126.09</v>
      </c>
      <c r="P396" s="4">
        <v>3.52</v>
      </c>
      <c r="Q396" s="4">
        <v>2.75</v>
      </c>
      <c r="R396" s="4">
        <v>0.37</v>
      </c>
      <c r="S396" s="4">
        <v>0</v>
      </c>
      <c r="T396" s="4">
        <v>0</v>
      </c>
      <c r="U396" s="4">
        <v>132.72999999999999</v>
      </c>
      <c r="V396" s="4">
        <v>13.71</v>
      </c>
      <c r="W396" t="s">
        <v>21</v>
      </c>
      <c r="X396" t="s">
        <v>36</v>
      </c>
      <c r="Y396" s="4">
        <v>11</v>
      </c>
      <c r="Z396" s="4">
        <v>11</v>
      </c>
      <c r="AA396" t="s">
        <v>37</v>
      </c>
      <c r="AB396" t="s">
        <v>38</v>
      </c>
      <c r="AC396" s="7">
        <v>0</v>
      </c>
      <c r="AD396" t="s">
        <v>39</v>
      </c>
      <c r="AE396">
        <f t="shared" si="6"/>
        <v>0</v>
      </c>
    </row>
    <row r="397" spans="1:31" x14ac:dyDescent="0.35">
      <c r="A397">
        <v>100396</v>
      </c>
      <c r="B397" s="3">
        <v>45953</v>
      </c>
      <c r="C397">
        <v>1076</v>
      </c>
      <c r="D397" t="s">
        <v>59</v>
      </c>
      <c r="E397" t="s">
        <v>60</v>
      </c>
      <c r="F397" t="s">
        <v>41</v>
      </c>
      <c r="G397" t="s">
        <v>63</v>
      </c>
      <c r="H397" t="s">
        <v>51</v>
      </c>
      <c r="I397" t="s">
        <v>35</v>
      </c>
      <c r="J397" s="4">
        <v>15.9</v>
      </c>
      <c r="K397" s="4">
        <v>12.84</v>
      </c>
      <c r="L397">
        <v>5</v>
      </c>
      <c r="M397" s="4">
        <v>10.210000000000001</v>
      </c>
      <c r="N397" s="4">
        <v>193.95</v>
      </c>
      <c r="O397" s="4">
        <v>86.45</v>
      </c>
      <c r="P397" s="4">
        <v>5.64</v>
      </c>
      <c r="Q397" s="4">
        <v>1.43</v>
      </c>
      <c r="R397" s="4">
        <v>8.16</v>
      </c>
      <c r="S397" s="4">
        <v>0</v>
      </c>
      <c r="T397" s="4">
        <v>0</v>
      </c>
      <c r="U397" s="4">
        <v>101.68</v>
      </c>
      <c r="V397" s="4">
        <v>92.27</v>
      </c>
      <c r="W397" t="s">
        <v>21</v>
      </c>
      <c r="X397" t="s">
        <v>36</v>
      </c>
      <c r="Y397" s="4">
        <v>24</v>
      </c>
      <c r="Z397" s="4">
        <v>17</v>
      </c>
      <c r="AA397" t="s">
        <v>52</v>
      </c>
      <c r="AB397" t="s">
        <v>44</v>
      </c>
      <c r="AC397" s="7">
        <v>2</v>
      </c>
      <c r="AD397" t="s">
        <v>45</v>
      </c>
      <c r="AE397">
        <f t="shared" si="6"/>
        <v>1</v>
      </c>
    </row>
    <row r="398" spans="1:31" x14ac:dyDescent="0.35">
      <c r="A398">
        <v>100397</v>
      </c>
      <c r="B398" s="3">
        <v>45973</v>
      </c>
      <c r="C398">
        <v>1135</v>
      </c>
      <c r="D398" t="s">
        <v>59</v>
      </c>
      <c r="E398" t="s">
        <v>60</v>
      </c>
      <c r="F398" t="s">
        <v>61</v>
      </c>
      <c r="G398" t="s">
        <v>63</v>
      </c>
      <c r="H398" t="s">
        <v>34</v>
      </c>
      <c r="I398" t="s">
        <v>69</v>
      </c>
      <c r="J398" s="4">
        <v>20.23</v>
      </c>
      <c r="K398" s="4">
        <v>12.32</v>
      </c>
      <c r="L398">
        <v>15</v>
      </c>
      <c r="M398" s="4">
        <v>37.380000000000003</v>
      </c>
      <c r="N398" s="4">
        <v>211.85</v>
      </c>
      <c r="O398" s="4">
        <v>147.72999999999999</v>
      </c>
      <c r="P398" s="4">
        <v>6.16</v>
      </c>
      <c r="Q398" s="4">
        <v>1</v>
      </c>
      <c r="R398" s="4">
        <v>3.4</v>
      </c>
      <c r="S398" s="4">
        <v>0</v>
      </c>
      <c r="T398" s="4">
        <v>0</v>
      </c>
      <c r="U398" s="4">
        <v>158.29</v>
      </c>
      <c r="V398" s="4">
        <v>53.56</v>
      </c>
      <c r="W398" t="s">
        <v>21</v>
      </c>
      <c r="X398" t="s">
        <v>36</v>
      </c>
      <c r="Y398" s="4">
        <v>13</v>
      </c>
      <c r="Z398" s="4">
        <v>2</v>
      </c>
      <c r="AA398" t="s">
        <v>37</v>
      </c>
      <c r="AB398" t="s">
        <v>38</v>
      </c>
      <c r="AC398" s="7">
        <v>1</v>
      </c>
      <c r="AD398" t="s">
        <v>39</v>
      </c>
      <c r="AE398">
        <f t="shared" si="6"/>
        <v>0</v>
      </c>
    </row>
    <row r="399" spans="1:31" x14ac:dyDescent="0.35">
      <c r="A399">
        <v>100398</v>
      </c>
      <c r="B399" s="3">
        <v>45962</v>
      </c>
      <c r="C399">
        <v>1079</v>
      </c>
      <c r="D399" t="s">
        <v>59</v>
      </c>
      <c r="E399" t="s">
        <v>70</v>
      </c>
      <c r="F399" t="s">
        <v>71</v>
      </c>
      <c r="G399" t="s">
        <v>50</v>
      </c>
      <c r="H399" t="s">
        <v>57</v>
      </c>
      <c r="I399" t="s">
        <v>54</v>
      </c>
      <c r="J399" s="4">
        <v>32.6</v>
      </c>
      <c r="K399" s="4">
        <v>17.399999999999999</v>
      </c>
      <c r="L399">
        <v>0</v>
      </c>
      <c r="M399" s="4">
        <v>0</v>
      </c>
      <c r="N399" s="4">
        <v>567.24</v>
      </c>
      <c r="O399" s="4">
        <v>269.93</v>
      </c>
      <c r="P399" s="4">
        <v>10.29</v>
      </c>
      <c r="Q399" s="4">
        <v>6.81</v>
      </c>
      <c r="R399" s="4">
        <v>12.74</v>
      </c>
      <c r="S399" s="4">
        <v>0</v>
      </c>
      <c r="T399" s="4">
        <v>0</v>
      </c>
      <c r="U399" s="4">
        <v>299.77</v>
      </c>
      <c r="V399" s="4">
        <v>267.47000000000003</v>
      </c>
      <c r="W399" t="s">
        <v>21</v>
      </c>
      <c r="X399" t="s">
        <v>36</v>
      </c>
      <c r="Y399" s="4">
        <v>5</v>
      </c>
      <c r="Z399" s="4">
        <v>4</v>
      </c>
      <c r="AA399" t="s">
        <v>37</v>
      </c>
      <c r="AB399" t="s">
        <v>38</v>
      </c>
      <c r="AC399" s="7">
        <v>0</v>
      </c>
      <c r="AD399" t="s">
        <v>39</v>
      </c>
      <c r="AE399">
        <f t="shared" si="6"/>
        <v>0</v>
      </c>
    </row>
    <row r="400" spans="1:31" x14ac:dyDescent="0.35">
      <c r="A400">
        <v>100399</v>
      </c>
      <c r="B400" s="3">
        <v>46011</v>
      </c>
      <c r="C400">
        <v>1047</v>
      </c>
      <c r="D400" t="s">
        <v>59</v>
      </c>
      <c r="E400" t="s">
        <v>73</v>
      </c>
      <c r="F400" t="s">
        <v>71</v>
      </c>
      <c r="G400" t="s">
        <v>63</v>
      </c>
      <c r="H400" t="s">
        <v>34</v>
      </c>
      <c r="I400" t="s">
        <v>42</v>
      </c>
      <c r="J400" s="4">
        <v>4.96</v>
      </c>
      <c r="K400" s="4">
        <v>12.9</v>
      </c>
      <c r="L400">
        <v>0</v>
      </c>
      <c r="M400" s="4">
        <v>0</v>
      </c>
      <c r="N400" s="4">
        <v>63.98</v>
      </c>
      <c r="O400" s="4">
        <v>33.68</v>
      </c>
      <c r="P400" s="4">
        <v>13.46</v>
      </c>
      <c r="Q400" s="4">
        <v>0.96</v>
      </c>
      <c r="R400" s="4">
        <v>6.62</v>
      </c>
      <c r="S400" s="4">
        <v>0</v>
      </c>
      <c r="T400" s="4">
        <v>0</v>
      </c>
      <c r="U400" s="4">
        <v>54.72</v>
      </c>
      <c r="V400" s="4">
        <v>9.26</v>
      </c>
      <c r="W400" t="s">
        <v>21</v>
      </c>
      <c r="X400" t="s">
        <v>36</v>
      </c>
      <c r="Y400" s="4">
        <v>11</v>
      </c>
      <c r="Z400" s="4">
        <v>9</v>
      </c>
      <c r="AA400" t="s">
        <v>37</v>
      </c>
      <c r="AB400" t="s">
        <v>38</v>
      </c>
      <c r="AC400" s="7">
        <v>0</v>
      </c>
      <c r="AD400" t="s">
        <v>39</v>
      </c>
      <c r="AE400">
        <f t="shared" si="6"/>
        <v>0</v>
      </c>
    </row>
    <row r="401" spans="1:31" x14ac:dyDescent="0.35">
      <c r="A401">
        <v>100400</v>
      </c>
      <c r="B401" s="3">
        <v>46005</v>
      </c>
      <c r="C401">
        <v>1004</v>
      </c>
      <c r="D401" t="s">
        <v>59</v>
      </c>
      <c r="E401" t="s">
        <v>60</v>
      </c>
      <c r="F401" t="s">
        <v>61</v>
      </c>
      <c r="G401" t="s">
        <v>46</v>
      </c>
      <c r="H401" t="s">
        <v>34</v>
      </c>
      <c r="I401" t="s">
        <v>35</v>
      </c>
      <c r="J401" s="4">
        <v>17.12</v>
      </c>
      <c r="K401" s="4">
        <v>16.47</v>
      </c>
      <c r="L401">
        <v>20</v>
      </c>
      <c r="M401" s="4">
        <v>56.39</v>
      </c>
      <c r="N401" s="4">
        <v>225.58</v>
      </c>
      <c r="O401" s="4">
        <v>129.80000000000001</v>
      </c>
      <c r="P401" s="4">
        <v>6.37</v>
      </c>
      <c r="Q401" s="4">
        <v>1.97</v>
      </c>
      <c r="R401" s="4">
        <v>4.3499999999999996</v>
      </c>
      <c r="S401" s="4">
        <v>0</v>
      </c>
      <c r="T401" s="4">
        <v>0</v>
      </c>
      <c r="U401" s="4">
        <v>142.49</v>
      </c>
      <c r="V401" s="4">
        <v>83.09</v>
      </c>
      <c r="W401" t="s">
        <v>21</v>
      </c>
      <c r="X401" t="s">
        <v>36</v>
      </c>
      <c r="Y401" s="4">
        <v>22</v>
      </c>
      <c r="Z401" s="4">
        <v>0</v>
      </c>
      <c r="AA401" t="s">
        <v>52</v>
      </c>
      <c r="AB401" t="s">
        <v>44</v>
      </c>
      <c r="AC401" s="7">
        <v>3</v>
      </c>
      <c r="AD401" t="s">
        <v>45</v>
      </c>
      <c r="AE401">
        <f t="shared" si="6"/>
        <v>1</v>
      </c>
    </row>
    <row r="402" spans="1:31" x14ac:dyDescent="0.35">
      <c r="A402">
        <v>100401</v>
      </c>
      <c r="B402" s="3">
        <v>45934</v>
      </c>
      <c r="C402">
        <v>1072</v>
      </c>
      <c r="D402" t="s">
        <v>59</v>
      </c>
      <c r="E402" t="s">
        <v>70</v>
      </c>
      <c r="F402" t="s">
        <v>71</v>
      </c>
      <c r="G402" t="s">
        <v>63</v>
      </c>
      <c r="H402" t="s">
        <v>57</v>
      </c>
      <c r="I402" t="s">
        <v>42</v>
      </c>
      <c r="J402" s="4">
        <v>21.03</v>
      </c>
      <c r="K402" s="4">
        <v>12.49</v>
      </c>
      <c r="L402">
        <v>0</v>
      </c>
      <c r="M402" s="4">
        <v>0</v>
      </c>
      <c r="N402" s="4">
        <v>262.66000000000003</v>
      </c>
      <c r="O402" s="4">
        <v>159.84</v>
      </c>
      <c r="P402" s="4">
        <v>7.41</v>
      </c>
      <c r="Q402" s="4">
        <v>3.94</v>
      </c>
      <c r="R402" s="4">
        <v>13.86</v>
      </c>
      <c r="S402" s="4">
        <v>0</v>
      </c>
      <c r="T402" s="4">
        <v>0</v>
      </c>
      <c r="U402" s="4">
        <v>185.05</v>
      </c>
      <c r="V402" s="4">
        <v>77.61</v>
      </c>
      <c r="W402" t="s">
        <v>21</v>
      </c>
      <c r="X402" t="s">
        <v>36</v>
      </c>
      <c r="Y402" s="4">
        <v>3</v>
      </c>
      <c r="Z402" s="4">
        <v>9</v>
      </c>
      <c r="AA402" t="s">
        <v>37</v>
      </c>
      <c r="AB402" t="s">
        <v>38</v>
      </c>
      <c r="AC402" s="7">
        <v>0</v>
      </c>
      <c r="AD402" t="s">
        <v>39</v>
      </c>
      <c r="AE402">
        <f t="shared" si="6"/>
        <v>0</v>
      </c>
    </row>
    <row r="403" spans="1:31" x14ac:dyDescent="0.35">
      <c r="A403">
        <v>100402</v>
      </c>
      <c r="B403" s="3">
        <v>45974</v>
      </c>
      <c r="C403">
        <v>1086</v>
      </c>
      <c r="D403" t="s">
        <v>47</v>
      </c>
      <c r="E403" t="s">
        <v>53</v>
      </c>
      <c r="F403" t="s">
        <v>49</v>
      </c>
      <c r="G403" t="s">
        <v>63</v>
      </c>
      <c r="H403" t="s">
        <v>51</v>
      </c>
      <c r="I403" t="s">
        <v>35</v>
      </c>
      <c r="J403" s="4">
        <v>8.24</v>
      </c>
      <c r="K403" s="4">
        <v>13.91</v>
      </c>
      <c r="L403">
        <v>0</v>
      </c>
      <c r="M403" s="4">
        <v>0</v>
      </c>
      <c r="N403" s="4">
        <v>114.62</v>
      </c>
      <c r="O403" s="4">
        <v>50.7</v>
      </c>
      <c r="P403" s="4">
        <v>7.27</v>
      </c>
      <c r="Q403" s="4">
        <v>0.8</v>
      </c>
      <c r="R403" s="4">
        <v>9.8000000000000007</v>
      </c>
      <c r="S403" s="4">
        <v>0</v>
      </c>
      <c r="T403" s="4">
        <v>0</v>
      </c>
      <c r="U403" s="4">
        <v>68.569999999999993</v>
      </c>
      <c r="V403" s="4">
        <v>46.05</v>
      </c>
      <c r="W403" t="s">
        <v>21</v>
      </c>
      <c r="X403" t="s">
        <v>36</v>
      </c>
      <c r="Y403" s="4">
        <v>1</v>
      </c>
      <c r="Z403" s="4">
        <v>3</v>
      </c>
      <c r="AA403" t="s">
        <v>37</v>
      </c>
      <c r="AB403" t="s">
        <v>38</v>
      </c>
      <c r="AC403" s="7">
        <v>0</v>
      </c>
      <c r="AD403" t="s">
        <v>39</v>
      </c>
      <c r="AE403">
        <f t="shared" si="6"/>
        <v>0</v>
      </c>
    </row>
    <row r="404" spans="1:31" x14ac:dyDescent="0.35">
      <c r="A404">
        <v>100403</v>
      </c>
      <c r="B404" s="3">
        <v>45987</v>
      </c>
      <c r="C404">
        <v>1060</v>
      </c>
      <c r="D404" t="s">
        <v>59</v>
      </c>
      <c r="E404" t="s">
        <v>73</v>
      </c>
      <c r="F404" t="s">
        <v>71</v>
      </c>
      <c r="G404" t="s">
        <v>33</v>
      </c>
      <c r="H404" t="s">
        <v>34</v>
      </c>
      <c r="I404" t="s">
        <v>35</v>
      </c>
      <c r="J404" s="4">
        <v>31.37</v>
      </c>
      <c r="K404" s="4">
        <v>19.07</v>
      </c>
      <c r="L404">
        <v>20</v>
      </c>
      <c r="M404" s="4">
        <v>119.65</v>
      </c>
      <c r="N404" s="4">
        <v>478.58</v>
      </c>
      <c r="O404" s="4">
        <v>238.34</v>
      </c>
      <c r="P404" s="4">
        <v>7.05</v>
      </c>
      <c r="Q404" s="4">
        <v>4.1900000000000004</v>
      </c>
      <c r="R404" s="4">
        <v>2.23</v>
      </c>
      <c r="S404" s="4">
        <v>217</v>
      </c>
      <c r="T404" s="4">
        <v>0</v>
      </c>
      <c r="U404" s="4">
        <v>468.81</v>
      </c>
      <c r="V404" s="4">
        <v>9.77</v>
      </c>
      <c r="W404" t="s">
        <v>21</v>
      </c>
      <c r="X404" t="s">
        <v>55</v>
      </c>
      <c r="Y404" s="4">
        <v>17</v>
      </c>
      <c r="Z404" s="4">
        <v>1</v>
      </c>
      <c r="AA404" t="s">
        <v>52</v>
      </c>
      <c r="AB404" t="s">
        <v>44</v>
      </c>
      <c r="AC404" s="7">
        <v>2</v>
      </c>
      <c r="AD404" t="s">
        <v>45</v>
      </c>
      <c r="AE404">
        <f t="shared" si="6"/>
        <v>1</v>
      </c>
    </row>
    <row r="405" spans="1:31" x14ac:dyDescent="0.35">
      <c r="A405">
        <v>100404</v>
      </c>
      <c r="B405" s="3">
        <v>46017</v>
      </c>
      <c r="C405">
        <v>1146</v>
      </c>
      <c r="D405" t="s">
        <v>59</v>
      </c>
      <c r="E405" t="s">
        <v>73</v>
      </c>
      <c r="F405" t="s">
        <v>61</v>
      </c>
      <c r="G405" t="s">
        <v>46</v>
      </c>
      <c r="H405" t="s">
        <v>34</v>
      </c>
      <c r="I405" t="s">
        <v>69</v>
      </c>
      <c r="J405" s="4">
        <v>34.26</v>
      </c>
      <c r="K405" s="4">
        <v>15.41</v>
      </c>
      <c r="L405">
        <v>0</v>
      </c>
      <c r="M405" s="4">
        <v>0</v>
      </c>
      <c r="N405" s="4">
        <v>527.95000000000005</v>
      </c>
      <c r="O405" s="4">
        <v>240.66</v>
      </c>
      <c r="P405" s="4">
        <v>7.12</v>
      </c>
      <c r="Q405" s="4">
        <v>2.11</v>
      </c>
      <c r="R405" s="4">
        <v>4.49</v>
      </c>
      <c r="S405" s="4">
        <v>427.65</v>
      </c>
      <c r="T405" s="4">
        <v>0</v>
      </c>
      <c r="U405" s="4">
        <v>682.03</v>
      </c>
      <c r="V405" s="4">
        <v>-154.08000000000001</v>
      </c>
      <c r="W405" t="s">
        <v>58</v>
      </c>
      <c r="X405" t="s">
        <v>55</v>
      </c>
      <c r="Y405" s="4">
        <v>39</v>
      </c>
      <c r="Z405" s="4">
        <v>3</v>
      </c>
      <c r="AA405" t="s">
        <v>43</v>
      </c>
      <c r="AB405" t="s">
        <v>44</v>
      </c>
      <c r="AC405" s="7">
        <v>1</v>
      </c>
      <c r="AD405" t="s">
        <v>45</v>
      </c>
      <c r="AE405">
        <f t="shared" si="6"/>
        <v>1</v>
      </c>
    </row>
    <row r="406" spans="1:31" x14ac:dyDescent="0.35">
      <c r="A406">
        <v>100405</v>
      </c>
      <c r="B406" s="3">
        <v>46017</v>
      </c>
      <c r="C406">
        <v>1089</v>
      </c>
      <c r="D406" t="s">
        <v>59</v>
      </c>
      <c r="E406" t="s">
        <v>70</v>
      </c>
      <c r="F406" t="s">
        <v>71</v>
      </c>
      <c r="G406" t="s">
        <v>46</v>
      </c>
      <c r="H406" t="s">
        <v>51</v>
      </c>
      <c r="I406" t="s">
        <v>54</v>
      </c>
      <c r="J406" s="4">
        <v>26.99</v>
      </c>
      <c r="K406" s="4">
        <v>16.010000000000002</v>
      </c>
      <c r="L406">
        <v>15</v>
      </c>
      <c r="M406" s="4">
        <v>64.819999999999993</v>
      </c>
      <c r="N406" s="4">
        <v>367.29</v>
      </c>
      <c r="O406" s="4">
        <v>215.27</v>
      </c>
      <c r="P406" s="4">
        <v>1</v>
      </c>
      <c r="Q406" s="4">
        <v>5.19</v>
      </c>
      <c r="R406" s="4">
        <v>6.06</v>
      </c>
      <c r="S406" s="4">
        <v>0</v>
      </c>
      <c r="T406" s="4">
        <v>0</v>
      </c>
      <c r="U406" s="4">
        <v>227.52</v>
      </c>
      <c r="V406" s="4">
        <v>139.77000000000001</v>
      </c>
      <c r="W406" t="s">
        <v>21</v>
      </c>
      <c r="X406" t="s">
        <v>36</v>
      </c>
      <c r="Y406" s="4">
        <v>3</v>
      </c>
      <c r="Z406" s="4">
        <v>3</v>
      </c>
      <c r="AA406" t="s">
        <v>37</v>
      </c>
      <c r="AB406" t="s">
        <v>38</v>
      </c>
      <c r="AC406" s="7">
        <v>0</v>
      </c>
      <c r="AD406" t="s">
        <v>39</v>
      </c>
      <c r="AE406">
        <f t="shared" si="6"/>
        <v>0</v>
      </c>
    </row>
    <row r="407" spans="1:31" x14ac:dyDescent="0.35">
      <c r="A407">
        <v>100406</v>
      </c>
      <c r="B407" s="3">
        <v>45965</v>
      </c>
      <c r="C407">
        <v>1069</v>
      </c>
      <c r="D407" t="s">
        <v>30</v>
      </c>
      <c r="E407" t="s">
        <v>40</v>
      </c>
      <c r="F407" t="s">
        <v>49</v>
      </c>
      <c r="G407" t="s">
        <v>46</v>
      </c>
      <c r="H407" t="s">
        <v>57</v>
      </c>
      <c r="I407" t="s">
        <v>69</v>
      </c>
      <c r="J407" s="4">
        <v>10.28</v>
      </c>
      <c r="K407" s="4">
        <v>14.92</v>
      </c>
      <c r="L407">
        <v>5</v>
      </c>
      <c r="M407" s="4">
        <v>7.67</v>
      </c>
      <c r="N407" s="4">
        <v>145.71</v>
      </c>
      <c r="O407" s="4">
        <v>59.72</v>
      </c>
      <c r="P407" s="4">
        <v>9.5500000000000007</v>
      </c>
      <c r="Q407" s="4">
        <v>0.61</v>
      </c>
      <c r="R407" s="4">
        <v>6.92</v>
      </c>
      <c r="S407" s="4">
        <v>0</v>
      </c>
      <c r="T407" s="4">
        <v>0</v>
      </c>
      <c r="U407" s="4">
        <v>76.8</v>
      </c>
      <c r="V407" s="4">
        <v>68.91</v>
      </c>
      <c r="W407" t="s">
        <v>21</v>
      </c>
      <c r="X407" t="s">
        <v>36</v>
      </c>
      <c r="Y407" s="4">
        <v>0</v>
      </c>
      <c r="Z407" s="4">
        <v>1</v>
      </c>
      <c r="AA407" t="s">
        <v>37</v>
      </c>
      <c r="AB407" t="s">
        <v>38</v>
      </c>
      <c r="AC407" s="7">
        <v>0</v>
      </c>
      <c r="AD407" t="s">
        <v>39</v>
      </c>
      <c r="AE407">
        <f t="shared" si="6"/>
        <v>0</v>
      </c>
    </row>
    <row r="408" spans="1:31" x14ac:dyDescent="0.35">
      <c r="A408">
        <v>100407</v>
      </c>
      <c r="B408" s="3">
        <v>45950</v>
      </c>
      <c r="C408">
        <v>1024</v>
      </c>
      <c r="D408" t="s">
        <v>59</v>
      </c>
      <c r="E408" t="s">
        <v>73</v>
      </c>
      <c r="F408" t="s">
        <v>49</v>
      </c>
      <c r="G408" t="s">
        <v>33</v>
      </c>
      <c r="H408" t="s">
        <v>34</v>
      </c>
      <c r="I408" t="s">
        <v>35</v>
      </c>
      <c r="J408" s="4">
        <v>33.64</v>
      </c>
      <c r="K408" s="4">
        <v>17.98</v>
      </c>
      <c r="L408">
        <v>0</v>
      </c>
      <c r="M408" s="4">
        <v>0</v>
      </c>
      <c r="N408" s="4">
        <v>604.85</v>
      </c>
      <c r="O408" s="4">
        <v>220.42</v>
      </c>
      <c r="P408" s="4">
        <v>17.41</v>
      </c>
      <c r="Q408" s="4">
        <v>4.2300000000000004</v>
      </c>
      <c r="R408" s="4">
        <v>1.97</v>
      </c>
      <c r="S408" s="4">
        <v>0</v>
      </c>
      <c r="T408" s="4">
        <v>0</v>
      </c>
      <c r="U408" s="4">
        <v>244.03</v>
      </c>
      <c r="V408" s="4">
        <v>360.82</v>
      </c>
      <c r="W408" t="s">
        <v>21</v>
      </c>
      <c r="X408" t="s">
        <v>36</v>
      </c>
      <c r="Y408" s="4">
        <v>2</v>
      </c>
      <c r="Z408" s="4">
        <v>10</v>
      </c>
      <c r="AA408" t="s">
        <v>37</v>
      </c>
      <c r="AB408" t="s">
        <v>38</v>
      </c>
      <c r="AC408" s="7">
        <v>0</v>
      </c>
      <c r="AD408" t="s">
        <v>39</v>
      </c>
      <c r="AE408">
        <f t="shared" si="6"/>
        <v>0</v>
      </c>
    </row>
    <row r="409" spans="1:31" x14ac:dyDescent="0.35">
      <c r="A409">
        <v>100408</v>
      </c>
      <c r="B409" s="3">
        <v>46009</v>
      </c>
      <c r="C409">
        <v>1106</v>
      </c>
      <c r="D409" t="s">
        <v>59</v>
      </c>
      <c r="E409" t="s">
        <v>60</v>
      </c>
      <c r="F409" t="s">
        <v>71</v>
      </c>
      <c r="G409" t="s">
        <v>50</v>
      </c>
      <c r="H409" t="s">
        <v>57</v>
      </c>
      <c r="I409" t="s">
        <v>42</v>
      </c>
      <c r="J409" s="4">
        <v>27.53</v>
      </c>
      <c r="K409" s="4">
        <v>16.5</v>
      </c>
      <c r="L409">
        <v>5</v>
      </c>
      <c r="M409" s="4">
        <v>22.71</v>
      </c>
      <c r="N409" s="4">
        <v>431.53</v>
      </c>
      <c r="O409" s="4">
        <v>153.18</v>
      </c>
      <c r="P409" s="4">
        <v>9.4</v>
      </c>
      <c r="Q409" s="4">
        <v>6.81</v>
      </c>
      <c r="R409" s="4">
        <v>0</v>
      </c>
      <c r="S409" s="4">
        <v>0</v>
      </c>
      <c r="T409" s="4">
        <v>0</v>
      </c>
      <c r="U409" s="4">
        <v>169.39</v>
      </c>
      <c r="V409" s="4">
        <v>262.14</v>
      </c>
      <c r="W409" t="s">
        <v>21</v>
      </c>
      <c r="X409" t="s">
        <v>36</v>
      </c>
      <c r="Y409" s="4">
        <v>9</v>
      </c>
      <c r="Z409" s="4">
        <v>2</v>
      </c>
      <c r="AA409" t="s">
        <v>37</v>
      </c>
      <c r="AB409" t="s">
        <v>38</v>
      </c>
      <c r="AC409" s="7">
        <v>1</v>
      </c>
      <c r="AD409" t="s">
        <v>39</v>
      </c>
      <c r="AE409">
        <f t="shared" si="6"/>
        <v>0</v>
      </c>
    </row>
    <row r="410" spans="1:31" x14ac:dyDescent="0.35">
      <c r="A410">
        <v>100409</v>
      </c>
      <c r="B410" s="3">
        <v>45942</v>
      </c>
      <c r="C410">
        <v>1082</v>
      </c>
      <c r="D410" t="s">
        <v>30</v>
      </c>
      <c r="E410" t="s">
        <v>62</v>
      </c>
      <c r="F410" t="s">
        <v>71</v>
      </c>
      <c r="G410" t="s">
        <v>50</v>
      </c>
      <c r="H410" t="s">
        <v>57</v>
      </c>
      <c r="I410" t="s">
        <v>35</v>
      </c>
      <c r="J410" s="4">
        <v>27.24</v>
      </c>
      <c r="K410" s="4">
        <v>17.7</v>
      </c>
      <c r="L410">
        <v>15</v>
      </c>
      <c r="M410" s="4">
        <v>72.319999999999993</v>
      </c>
      <c r="N410" s="4">
        <v>409.83</v>
      </c>
      <c r="O410" s="4">
        <v>226.36</v>
      </c>
      <c r="P410" s="4">
        <v>8.09</v>
      </c>
      <c r="Q410" s="4">
        <v>3.38</v>
      </c>
      <c r="R410" s="4">
        <v>4.41</v>
      </c>
      <c r="S410" s="4">
        <v>0</v>
      </c>
      <c r="T410" s="4">
        <v>0</v>
      </c>
      <c r="U410" s="4">
        <v>242.24</v>
      </c>
      <c r="V410" s="4">
        <v>167.59</v>
      </c>
      <c r="W410" t="s">
        <v>21</v>
      </c>
      <c r="X410" t="s">
        <v>36</v>
      </c>
      <c r="Y410" s="4">
        <v>28</v>
      </c>
      <c r="Z410" s="4">
        <v>10</v>
      </c>
      <c r="AA410" t="s">
        <v>52</v>
      </c>
      <c r="AB410" t="s">
        <v>44</v>
      </c>
      <c r="AC410" s="7">
        <v>2</v>
      </c>
      <c r="AD410" t="s">
        <v>45</v>
      </c>
      <c r="AE410">
        <f t="shared" si="6"/>
        <v>1</v>
      </c>
    </row>
    <row r="411" spans="1:31" x14ac:dyDescent="0.35">
      <c r="A411">
        <v>100410</v>
      </c>
      <c r="B411" s="3">
        <v>46022</v>
      </c>
      <c r="C411">
        <v>1095</v>
      </c>
      <c r="D411" t="s">
        <v>47</v>
      </c>
      <c r="E411" t="s">
        <v>56</v>
      </c>
      <c r="F411" t="s">
        <v>49</v>
      </c>
      <c r="G411" t="s">
        <v>63</v>
      </c>
      <c r="H411" t="s">
        <v>34</v>
      </c>
      <c r="I411" t="s">
        <v>35</v>
      </c>
      <c r="J411" s="4">
        <v>6.58</v>
      </c>
      <c r="K411" s="4">
        <v>12.95</v>
      </c>
      <c r="L411">
        <v>20</v>
      </c>
      <c r="M411" s="4">
        <v>17.04</v>
      </c>
      <c r="N411" s="4">
        <v>68.17</v>
      </c>
      <c r="O411" s="4">
        <v>52.13</v>
      </c>
      <c r="P411" s="4">
        <v>5.99</v>
      </c>
      <c r="Q411" s="4">
        <v>0.6</v>
      </c>
      <c r="R411" s="4">
        <v>4.83</v>
      </c>
      <c r="S411" s="4">
        <v>0</v>
      </c>
      <c r="T411" s="4">
        <v>0</v>
      </c>
      <c r="U411" s="4">
        <v>63.55</v>
      </c>
      <c r="V411" s="4">
        <v>4.62</v>
      </c>
      <c r="W411" t="s">
        <v>21</v>
      </c>
      <c r="X411" t="s">
        <v>36</v>
      </c>
      <c r="Y411" s="4">
        <v>2</v>
      </c>
      <c r="Z411" s="4">
        <v>1</v>
      </c>
      <c r="AA411" t="s">
        <v>37</v>
      </c>
      <c r="AB411" t="s">
        <v>38</v>
      </c>
      <c r="AC411" s="7">
        <v>0</v>
      </c>
      <c r="AD411" t="s">
        <v>39</v>
      </c>
      <c r="AE411">
        <f t="shared" si="6"/>
        <v>0</v>
      </c>
    </row>
    <row r="412" spans="1:31" x14ac:dyDescent="0.35">
      <c r="A412">
        <v>100411</v>
      </c>
      <c r="B412" s="3">
        <v>45970</v>
      </c>
      <c r="C412">
        <v>1070</v>
      </c>
      <c r="D412" t="s">
        <v>59</v>
      </c>
      <c r="E412" t="s">
        <v>60</v>
      </c>
      <c r="F412" t="s">
        <v>41</v>
      </c>
      <c r="G412" t="s">
        <v>50</v>
      </c>
      <c r="H412" t="s">
        <v>34</v>
      </c>
      <c r="I412" t="s">
        <v>42</v>
      </c>
      <c r="J412" s="4">
        <v>17.07</v>
      </c>
      <c r="K412" s="4">
        <v>17.61</v>
      </c>
      <c r="L412">
        <v>10</v>
      </c>
      <c r="M412" s="4">
        <v>30.06</v>
      </c>
      <c r="N412" s="4">
        <v>270.54000000000002</v>
      </c>
      <c r="O412" s="4">
        <v>119.32</v>
      </c>
      <c r="P412" s="4">
        <v>5.47</v>
      </c>
      <c r="Q412" s="4">
        <v>4.51</v>
      </c>
      <c r="R412" s="4">
        <v>11.46</v>
      </c>
      <c r="S412" s="4">
        <v>0</v>
      </c>
      <c r="T412" s="4">
        <v>0</v>
      </c>
      <c r="U412" s="4">
        <v>140.76</v>
      </c>
      <c r="V412" s="4">
        <v>129.78</v>
      </c>
      <c r="W412" t="s">
        <v>21</v>
      </c>
      <c r="X412" t="s">
        <v>36</v>
      </c>
      <c r="Y412" s="4">
        <v>0</v>
      </c>
      <c r="Z412" s="4">
        <v>2</v>
      </c>
      <c r="AA412" t="s">
        <v>37</v>
      </c>
      <c r="AB412" t="s">
        <v>38</v>
      </c>
      <c r="AC412" s="7">
        <v>0</v>
      </c>
      <c r="AD412" t="s">
        <v>39</v>
      </c>
      <c r="AE412">
        <f t="shared" si="6"/>
        <v>0</v>
      </c>
    </row>
    <row r="413" spans="1:31" x14ac:dyDescent="0.35">
      <c r="A413">
        <v>100412</v>
      </c>
      <c r="B413" s="3">
        <v>45959</v>
      </c>
      <c r="C413">
        <v>1083</v>
      </c>
      <c r="D413" t="s">
        <v>47</v>
      </c>
      <c r="E413" t="s">
        <v>56</v>
      </c>
      <c r="F413" t="s">
        <v>71</v>
      </c>
      <c r="G413" t="s">
        <v>46</v>
      </c>
      <c r="H413" t="s">
        <v>34</v>
      </c>
      <c r="I413" t="s">
        <v>54</v>
      </c>
      <c r="J413" s="4">
        <v>22.59</v>
      </c>
      <c r="K413" s="4">
        <v>15.84</v>
      </c>
      <c r="L413">
        <v>10</v>
      </c>
      <c r="M413" s="4">
        <v>35.78</v>
      </c>
      <c r="N413" s="4">
        <v>322.05</v>
      </c>
      <c r="O413" s="4">
        <v>181.8</v>
      </c>
      <c r="P413" s="4">
        <v>10.25</v>
      </c>
      <c r="Q413" s="4">
        <v>4.29</v>
      </c>
      <c r="R413" s="4">
        <v>9.16</v>
      </c>
      <c r="S413" s="4">
        <v>0</v>
      </c>
      <c r="T413" s="4">
        <v>0</v>
      </c>
      <c r="U413" s="4">
        <v>205.5</v>
      </c>
      <c r="V413" s="4">
        <v>116.55</v>
      </c>
      <c r="W413" t="s">
        <v>21</v>
      </c>
      <c r="X413" t="s">
        <v>36</v>
      </c>
      <c r="Y413" s="4">
        <v>7</v>
      </c>
      <c r="Z413" s="4">
        <v>5</v>
      </c>
      <c r="AA413" t="s">
        <v>37</v>
      </c>
      <c r="AB413" t="s">
        <v>38</v>
      </c>
      <c r="AC413" s="7">
        <v>0</v>
      </c>
      <c r="AD413" t="s">
        <v>39</v>
      </c>
      <c r="AE413">
        <f t="shared" si="6"/>
        <v>0</v>
      </c>
    </row>
    <row r="414" spans="1:31" x14ac:dyDescent="0.35">
      <c r="A414">
        <v>100413</v>
      </c>
      <c r="B414" s="3">
        <v>45981</v>
      </c>
      <c r="C414">
        <v>1128</v>
      </c>
      <c r="D414" t="s">
        <v>64</v>
      </c>
      <c r="E414" t="s">
        <v>75</v>
      </c>
      <c r="F414" t="s">
        <v>41</v>
      </c>
      <c r="G414" t="s">
        <v>46</v>
      </c>
      <c r="H414" t="s">
        <v>57</v>
      </c>
      <c r="I414" t="s">
        <v>35</v>
      </c>
      <c r="J414" s="4">
        <v>31.9</v>
      </c>
      <c r="K414" s="4">
        <v>16.86</v>
      </c>
      <c r="L414">
        <v>10</v>
      </c>
      <c r="M414" s="4">
        <v>53.78</v>
      </c>
      <c r="N414" s="4">
        <v>484.05</v>
      </c>
      <c r="O414" s="4">
        <v>210.77</v>
      </c>
      <c r="P414" s="4">
        <v>14.6</v>
      </c>
      <c r="Q414" s="4">
        <v>3.76</v>
      </c>
      <c r="R414" s="4">
        <v>10.37</v>
      </c>
      <c r="S414" s="4">
        <v>0</v>
      </c>
      <c r="T414" s="4">
        <v>0</v>
      </c>
      <c r="U414" s="4">
        <v>239.5</v>
      </c>
      <c r="V414" s="4">
        <v>244.55</v>
      </c>
      <c r="W414" t="s">
        <v>21</v>
      </c>
      <c r="X414" t="s">
        <v>36</v>
      </c>
      <c r="Y414" s="4">
        <v>0</v>
      </c>
      <c r="Z414" s="4">
        <v>22</v>
      </c>
      <c r="AA414" t="s">
        <v>37</v>
      </c>
      <c r="AB414" t="s">
        <v>44</v>
      </c>
      <c r="AC414" s="7">
        <v>3</v>
      </c>
      <c r="AD414" t="s">
        <v>45</v>
      </c>
      <c r="AE414">
        <f t="shared" si="6"/>
        <v>1</v>
      </c>
    </row>
    <row r="415" spans="1:31" x14ac:dyDescent="0.35">
      <c r="A415">
        <v>100414</v>
      </c>
      <c r="B415" s="3">
        <v>45963</v>
      </c>
      <c r="C415">
        <v>1109</v>
      </c>
      <c r="D415" t="s">
        <v>47</v>
      </c>
      <c r="E415" t="s">
        <v>74</v>
      </c>
      <c r="F415" t="s">
        <v>41</v>
      </c>
      <c r="G415" t="s">
        <v>33</v>
      </c>
      <c r="H415" t="s">
        <v>34</v>
      </c>
      <c r="I415" t="s">
        <v>69</v>
      </c>
      <c r="J415" s="4">
        <v>26.16</v>
      </c>
      <c r="K415" s="4">
        <v>20.25</v>
      </c>
      <c r="L415">
        <v>0</v>
      </c>
      <c r="M415" s="4">
        <v>0</v>
      </c>
      <c r="N415" s="4">
        <v>529.74</v>
      </c>
      <c r="O415" s="4">
        <v>183.31</v>
      </c>
      <c r="P415" s="4">
        <v>6.21</v>
      </c>
      <c r="Q415" s="4">
        <v>2.12</v>
      </c>
      <c r="R415" s="4">
        <v>8</v>
      </c>
      <c r="S415" s="4">
        <v>0</v>
      </c>
      <c r="T415" s="4">
        <v>0</v>
      </c>
      <c r="U415" s="4">
        <v>199.64</v>
      </c>
      <c r="V415" s="4">
        <v>330.1</v>
      </c>
      <c r="W415" t="s">
        <v>21</v>
      </c>
      <c r="X415" t="s">
        <v>36</v>
      </c>
      <c r="Y415" s="4">
        <v>7</v>
      </c>
      <c r="Z415" s="4">
        <v>7</v>
      </c>
      <c r="AA415" t="s">
        <v>37</v>
      </c>
      <c r="AB415" t="s">
        <v>38</v>
      </c>
      <c r="AC415" s="7">
        <v>0</v>
      </c>
      <c r="AD415" t="s">
        <v>39</v>
      </c>
      <c r="AE415">
        <f t="shared" si="6"/>
        <v>0</v>
      </c>
    </row>
    <row r="416" spans="1:31" x14ac:dyDescent="0.35">
      <c r="A416">
        <v>100415</v>
      </c>
      <c r="B416" s="3">
        <v>45976</v>
      </c>
      <c r="C416">
        <v>1108</v>
      </c>
      <c r="D416" t="s">
        <v>59</v>
      </c>
      <c r="E416" t="s">
        <v>68</v>
      </c>
      <c r="F416" t="s">
        <v>41</v>
      </c>
      <c r="G416" t="s">
        <v>63</v>
      </c>
      <c r="H416" t="s">
        <v>51</v>
      </c>
      <c r="I416" t="s">
        <v>35</v>
      </c>
      <c r="J416" s="4">
        <v>26.3</v>
      </c>
      <c r="K416" s="4">
        <v>12.04</v>
      </c>
      <c r="L416">
        <v>10</v>
      </c>
      <c r="M416" s="4">
        <v>31.66</v>
      </c>
      <c r="N416" s="4">
        <v>284.99</v>
      </c>
      <c r="O416" s="4">
        <v>204.6</v>
      </c>
      <c r="P416" s="4">
        <v>1.86</v>
      </c>
      <c r="Q416" s="4">
        <v>2.2200000000000002</v>
      </c>
      <c r="R416" s="4">
        <v>0</v>
      </c>
      <c r="S416" s="4">
        <v>174.36</v>
      </c>
      <c r="T416" s="4">
        <v>10.24</v>
      </c>
      <c r="U416" s="4">
        <v>393.28</v>
      </c>
      <c r="V416" s="4">
        <v>-108.29</v>
      </c>
      <c r="W416" t="s">
        <v>58</v>
      </c>
      <c r="X416" t="s">
        <v>55</v>
      </c>
      <c r="Y416" s="4">
        <v>8</v>
      </c>
      <c r="Z416" s="4">
        <v>2</v>
      </c>
      <c r="AA416" t="s">
        <v>37</v>
      </c>
      <c r="AB416" t="s">
        <v>44</v>
      </c>
      <c r="AC416" s="7">
        <v>1</v>
      </c>
      <c r="AD416" t="s">
        <v>45</v>
      </c>
      <c r="AE416">
        <f t="shared" si="6"/>
        <v>1</v>
      </c>
    </row>
    <row r="417" spans="1:31" x14ac:dyDescent="0.35">
      <c r="A417">
        <v>100416</v>
      </c>
      <c r="B417" s="3">
        <v>45940</v>
      </c>
      <c r="C417">
        <v>1007</v>
      </c>
      <c r="D417" t="s">
        <v>59</v>
      </c>
      <c r="E417" t="s">
        <v>60</v>
      </c>
      <c r="F417" t="s">
        <v>61</v>
      </c>
      <c r="G417" t="s">
        <v>50</v>
      </c>
      <c r="H417" t="s">
        <v>57</v>
      </c>
      <c r="I417" t="s">
        <v>54</v>
      </c>
      <c r="J417" s="4">
        <v>15</v>
      </c>
      <c r="K417" s="4">
        <v>18.04</v>
      </c>
      <c r="L417">
        <v>5</v>
      </c>
      <c r="M417" s="4">
        <v>13.53</v>
      </c>
      <c r="N417" s="4">
        <v>257.07</v>
      </c>
      <c r="O417" s="4">
        <v>110.74</v>
      </c>
      <c r="P417" s="4">
        <v>8.32</v>
      </c>
      <c r="Q417" s="4">
        <v>3.25</v>
      </c>
      <c r="R417" s="4">
        <v>2.69</v>
      </c>
      <c r="S417" s="4">
        <v>244.53</v>
      </c>
      <c r="T417" s="4">
        <v>17.03</v>
      </c>
      <c r="U417" s="4">
        <v>386.56</v>
      </c>
      <c r="V417" s="4">
        <v>-129.49</v>
      </c>
      <c r="W417" t="s">
        <v>58</v>
      </c>
      <c r="X417" t="s">
        <v>66</v>
      </c>
      <c r="Y417" s="4">
        <v>6</v>
      </c>
      <c r="Z417" s="4">
        <v>13</v>
      </c>
      <c r="AA417" t="s">
        <v>37</v>
      </c>
      <c r="AB417" t="s">
        <v>38</v>
      </c>
      <c r="AC417" s="7">
        <v>2</v>
      </c>
      <c r="AD417" t="s">
        <v>45</v>
      </c>
      <c r="AE417">
        <f t="shared" si="6"/>
        <v>0</v>
      </c>
    </row>
    <row r="418" spans="1:31" x14ac:dyDescent="0.35">
      <c r="A418">
        <v>100417</v>
      </c>
      <c r="B418" s="3">
        <v>46021</v>
      </c>
      <c r="C418">
        <v>1121</v>
      </c>
      <c r="D418" t="s">
        <v>30</v>
      </c>
      <c r="E418" t="s">
        <v>72</v>
      </c>
      <c r="F418" t="s">
        <v>61</v>
      </c>
      <c r="G418" t="s">
        <v>63</v>
      </c>
      <c r="H418" t="s">
        <v>34</v>
      </c>
      <c r="I418" t="s">
        <v>69</v>
      </c>
      <c r="J418" s="4">
        <v>20.63</v>
      </c>
      <c r="K418" s="4">
        <v>12.48</v>
      </c>
      <c r="L418">
        <v>10</v>
      </c>
      <c r="M418" s="4">
        <v>25.75</v>
      </c>
      <c r="N418" s="4">
        <v>231.71</v>
      </c>
      <c r="O418" s="4">
        <v>162.44999999999999</v>
      </c>
      <c r="P418" s="4">
        <v>5.38</v>
      </c>
      <c r="Q418" s="4">
        <v>1.03</v>
      </c>
      <c r="R418" s="4">
        <v>12.16</v>
      </c>
      <c r="S418" s="4">
        <v>0</v>
      </c>
      <c r="T418" s="4">
        <v>0</v>
      </c>
      <c r="U418" s="4">
        <v>181.02</v>
      </c>
      <c r="V418" s="4">
        <v>50.69</v>
      </c>
      <c r="W418" t="s">
        <v>21</v>
      </c>
      <c r="X418" t="s">
        <v>36</v>
      </c>
      <c r="Y418" s="4">
        <v>22</v>
      </c>
      <c r="Z418" s="4">
        <v>5</v>
      </c>
      <c r="AA418" t="s">
        <v>52</v>
      </c>
      <c r="AB418" t="s">
        <v>44</v>
      </c>
      <c r="AC418" s="7">
        <v>2</v>
      </c>
      <c r="AD418" t="s">
        <v>45</v>
      </c>
      <c r="AE418">
        <f t="shared" si="6"/>
        <v>1</v>
      </c>
    </row>
    <row r="419" spans="1:31" x14ac:dyDescent="0.35">
      <c r="A419">
        <v>100418</v>
      </c>
      <c r="B419" s="3">
        <v>46016</v>
      </c>
      <c r="C419">
        <v>1120</v>
      </c>
      <c r="D419" t="s">
        <v>30</v>
      </c>
      <c r="E419" t="s">
        <v>40</v>
      </c>
      <c r="F419" t="s">
        <v>32</v>
      </c>
      <c r="G419" t="s">
        <v>63</v>
      </c>
      <c r="H419" t="s">
        <v>51</v>
      </c>
      <c r="I419" t="s">
        <v>35</v>
      </c>
      <c r="J419" s="4">
        <v>28.89</v>
      </c>
      <c r="K419" s="4">
        <v>13.72</v>
      </c>
      <c r="L419">
        <v>20</v>
      </c>
      <c r="M419" s="4">
        <v>79.27</v>
      </c>
      <c r="N419" s="4">
        <v>317.10000000000002</v>
      </c>
      <c r="O419" s="4">
        <v>222.15</v>
      </c>
      <c r="P419" s="4">
        <v>5.28</v>
      </c>
      <c r="Q419" s="4">
        <v>2.77</v>
      </c>
      <c r="R419" s="4">
        <v>6.04</v>
      </c>
      <c r="S419" s="4">
        <v>0</v>
      </c>
      <c r="T419" s="4">
        <v>0</v>
      </c>
      <c r="U419" s="4">
        <v>236.24</v>
      </c>
      <c r="V419" s="4">
        <v>80.86</v>
      </c>
      <c r="W419" t="s">
        <v>21</v>
      </c>
      <c r="X419" t="s">
        <v>36</v>
      </c>
      <c r="Y419" s="4">
        <v>2</v>
      </c>
      <c r="Z419" s="4">
        <v>28</v>
      </c>
      <c r="AA419" t="s">
        <v>37</v>
      </c>
      <c r="AB419" t="s">
        <v>44</v>
      </c>
      <c r="AC419" s="7">
        <v>2</v>
      </c>
      <c r="AD419" t="s">
        <v>45</v>
      </c>
      <c r="AE419">
        <f t="shared" si="6"/>
        <v>1</v>
      </c>
    </row>
    <row r="420" spans="1:31" x14ac:dyDescent="0.35">
      <c r="A420">
        <v>100419</v>
      </c>
      <c r="B420" s="3">
        <v>45933</v>
      </c>
      <c r="C420">
        <v>1009</v>
      </c>
      <c r="D420" t="s">
        <v>47</v>
      </c>
      <c r="E420" t="s">
        <v>56</v>
      </c>
      <c r="F420" t="s">
        <v>41</v>
      </c>
      <c r="G420" t="s">
        <v>46</v>
      </c>
      <c r="H420" t="s">
        <v>57</v>
      </c>
      <c r="I420" t="s">
        <v>35</v>
      </c>
      <c r="J420" s="4">
        <v>19.170000000000002</v>
      </c>
      <c r="K420" s="4">
        <v>15.88</v>
      </c>
      <c r="L420">
        <v>10</v>
      </c>
      <c r="M420" s="4">
        <v>30.44</v>
      </c>
      <c r="N420" s="4">
        <v>273.98</v>
      </c>
      <c r="O420" s="4">
        <v>141.69999999999999</v>
      </c>
      <c r="P420" s="4">
        <v>2.2200000000000002</v>
      </c>
      <c r="Q420" s="4">
        <v>2.13</v>
      </c>
      <c r="R420" s="4">
        <v>2.23</v>
      </c>
      <c r="S420" s="4">
        <v>0</v>
      </c>
      <c r="T420" s="4">
        <v>0</v>
      </c>
      <c r="U420" s="4">
        <v>148.28</v>
      </c>
      <c r="V420" s="4">
        <v>125.7</v>
      </c>
      <c r="W420" t="s">
        <v>21</v>
      </c>
      <c r="X420" t="s">
        <v>36</v>
      </c>
      <c r="Y420" s="4">
        <v>20</v>
      </c>
      <c r="Z420" s="4">
        <v>3</v>
      </c>
      <c r="AA420" t="s">
        <v>52</v>
      </c>
      <c r="AB420" t="s">
        <v>38</v>
      </c>
      <c r="AC420" s="7">
        <v>0</v>
      </c>
      <c r="AD420" t="s">
        <v>39</v>
      </c>
      <c r="AE420">
        <f t="shared" si="6"/>
        <v>0</v>
      </c>
    </row>
    <row r="421" spans="1:31" x14ac:dyDescent="0.35">
      <c r="A421">
        <v>100420</v>
      </c>
      <c r="B421" s="3">
        <v>45982</v>
      </c>
      <c r="C421">
        <v>1146</v>
      </c>
      <c r="D421" t="s">
        <v>59</v>
      </c>
      <c r="E421" t="s">
        <v>73</v>
      </c>
      <c r="F421" t="s">
        <v>71</v>
      </c>
      <c r="G421" t="s">
        <v>63</v>
      </c>
      <c r="H421" t="s">
        <v>57</v>
      </c>
      <c r="I421" t="s">
        <v>35</v>
      </c>
      <c r="J421" s="4">
        <v>9.14</v>
      </c>
      <c r="K421" s="4">
        <v>12.23</v>
      </c>
      <c r="L421">
        <v>10</v>
      </c>
      <c r="M421" s="4">
        <v>11.18</v>
      </c>
      <c r="N421" s="4">
        <v>100.6</v>
      </c>
      <c r="O421" s="4">
        <v>73.349999999999994</v>
      </c>
      <c r="P421" s="4">
        <v>12.16</v>
      </c>
      <c r="Q421" s="4">
        <v>0.78</v>
      </c>
      <c r="R421" s="4">
        <v>9.93</v>
      </c>
      <c r="S421" s="4">
        <v>0</v>
      </c>
      <c r="T421" s="4">
        <v>0</v>
      </c>
      <c r="U421" s="4">
        <v>96.22</v>
      </c>
      <c r="V421" s="4">
        <v>4.38</v>
      </c>
      <c r="W421" t="s">
        <v>21</v>
      </c>
      <c r="X421" t="s">
        <v>36</v>
      </c>
      <c r="Y421" s="4">
        <v>8</v>
      </c>
      <c r="Z421" s="4">
        <v>6</v>
      </c>
      <c r="AA421" t="s">
        <v>37</v>
      </c>
      <c r="AB421" t="s">
        <v>38</v>
      </c>
      <c r="AC421" s="7">
        <v>0</v>
      </c>
      <c r="AD421" t="s">
        <v>39</v>
      </c>
      <c r="AE421">
        <f t="shared" si="6"/>
        <v>0</v>
      </c>
    </row>
    <row r="422" spans="1:31" x14ac:dyDescent="0.35">
      <c r="A422">
        <v>100421</v>
      </c>
      <c r="B422" s="3">
        <v>46017</v>
      </c>
      <c r="C422">
        <v>1073</v>
      </c>
      <c r="D422" t="s">
        <v>30</v>
      </c>
      <c r="E422" t="s">
        <v>62</v>
      </c>
      <c r="F422" t="s">
        <v>71</v>
      </c>
      <c r="G422" t="s">
        <v>63</v>
      </c>
      <c r="H422" t="s">
        <v>51</v>
      </c>
      <c r="I422" t="s">
        <v>35</v>
      </c>
      <c r="J422" s="4">
        <v>36.729999999999997</v>
      </c>
      <c r="K422" s="4">
        <v>12.96</v>
      </c>
      <c r="L422">
        <v>0</v>
      </c>
      <c r="M422" s="4">
        <v>0</v>
      </c>
      <c r="N422" s="4">
        <v>476.02</v>
      </c>
      <c r="O422" s="4">
        <v>245.64</v>
      </c>
      <c r="P422" s="4">
        <v>7.9</v>
      </c>
      <c r="Q422" s="4">
        <v>3.33</v>
      </c>
      <c r="R422" s="4">
        <v>5.08</v>
      </c>
      <c r="S422" s="4">
        <v>250.96</v>
      </c>
      <c r="T422" s="4">
        <v>0.08</v>
      </c>
      <c r="U422" s="4">
        <v>512.99</v>
      </c>
      <c r="V422" s="4">
        <v>-36.97</v>
      </c>
      <c r="W422" t="s">
        <v>58</v>
      </c>
      <c r="X422" t="s">
        <v>66</v>
      </c>
      <c r="Y422" s="4">
        <v>0</v>
      </c>
      <c r="Z422" s="4">
        <v>8</v>
      </c>
      <c r="AA422" t="s">
        <v>37</v>
      </c>
      <c r="AB422" t="s">
        <v>38</v>
      </c>
      <c r="AC422" s="7">
        <v>2</v>
      </c>
      <c r="AD422" t="s">
        <v>45</v>
      </c>
      <c r="AE422">
        <f t="shared" si="6"/>
        <v>0</v>
      </c>
    </row>
    <row r="423" spans="1:31" x14ac:dyDescent="0.35">
      <c r="A423">
        <v>100422</v>
      </c>
      <c r="B423" s="3">
        <v>45950</v>
      </c>
      <c r="C423">
        <v>1141</v>
      </c>
      <c r="D423" t="s">
        <v>64</v>
      </c>
      <c r="E423" t="s">
        <v>67</v>
      </c>
      <c r="F423" t="s">
        <v>71</v>
      </c>
      <c r="G423" t="s">
        <v>33</v>
      </c>
      <c r="H423" t="s">
        <v>34</v>
      </c>
      <c r="I423" t="s">
        <v>69</v>
      </c>
      <c r="J423" s="4">
        <v>26.18</v>
      </c>
      <c r="K423" s="4">
        <v>18.75</v>
      </c>
      <c r="L423">
        <v>0</v>
      </c>
      <c r="M423" s="4">
        <v>0</v>
      </c>
      <c r="N423" s="4">
        <v>490.88</v>
      </c>
      <c r="O423" s="4">
        <v>235.94</v>
      </c>
      <c r="P423" s="4">
        <v>7.56</v>
      </c>
      <c r="Q423" s="4">
        <v>1.96</v>
      </c>
      <c r="R423" s="4">
        <v>6.73</v>
      </c>
      <c r="S423" s="4">
        <v>0</v>
      </c>
      <c r="T423" s="4">
        <v>0</v>
      </c>
      <c r="U423" s="4">
        <v>252.19</v>
      </c>
      <c r="V423" s="4">
        <v>238.69</v>
      </c>
      <c r="W423" t="s">
        <v>21</v>
      </c>
      <c r="X423" t="s">
        <v>36</v>
      </c>
      <c r="Y423" s="4">
        <v>21</v>
      </c>
      <c r="Z423" s="4">
        <v>25</v>
      </c>
      <c r="AA423" t="s">
        <v>52</v>
      </c>
      <c r="AB423" t="s">
        <v>44</v>
      </c>
      <c r="AC423" s="7">
        <v>3</v>
      </c>
      <c r="AD423" t="s">
        <v>45</v>
      </c>
      <c r="AE423">
        <f t="shared" si="6"/>
        <v>1</v>
      </c>
    </row>
    <row r="424" spans="1:31" x14ac:dyDescent="0.35">
      <c r="A424">
        <v>100423</v>
      </c>
      <c r="B424" s="3">
        <v>46004</v>
      </c>
      <c r="C424">
        <v>1098</v>
      </c>
      <c r="D424" t="s">
        <v>30</v>
      </c>
      <c r="E424" t="s">
        <v>40</v>
      </c>
      <c r="F424" t="s">
        <v>49</v>
      </c>
      <c r="G424" t="s">
        <v>50</v>
      </c>
      <c r="H424" t="s">
        <v>34</v>
      </c>
      <c r="I424" t="s">
        <v>35</v>
      </c>
      <c r="J424" s="4">
        <v>23.25</v>
      </c>
      <c r="K424" s="4">
        <v>17</v>
      </c>
      <c r="L424">
        <v>5</v>
      </c>
      <c r="M424" s="4">
        <v>19.760000000000002</v>
      </c>
      <c r="N424" s="4">
        <v>375.49</v>
      </c>
      <c r="O424" s="4">
        <v>167.83</v>
      </c>
      <c r="P424" s="4">
        <v>7.87</v>
      </c>
      <c r="Q424" s="4">
        <v>2.77</v>
      </c>
      <c r="R424" s="4">
        <v>4.24</v>
      </c>
      <c r="S424" s="4">
        <v>0</v>
      </c>
      <c r="T424" s="4">
        <v>0</v>
      </c>
      <c r="U424" s="4">
        <v>182.71</v>
      </c>
      <c r="V424" s="4">
        <v>192.78</v>
      </c>
      <c r="W424" t="s">
        <v>21</v>
      </c>
      <c r="X424" t="s">
        <v>36</v>
      </c>
      <c r="Y424" s="4">
        <v>3</v>
      </c>
      <c r="Z424" s="4">
        <v>5</v>
      </c>
      <c r="AA424" t="s">
        <v>37</v>
      </c>
      <c r="AB424" t="s">
        <v>38</v>
      </c>
      <c r="AC424" s="7">
        <v>0</v>
      </c>
      <c r="AD424" t="s">
        <v>39</v>
      </c>
      <c r="AE424">
        <f t="shared" si="6"/>
        <v>0</v>
      </c>
    </row>
    <row r="425" spans="1:31" x14ac:dyDescent="0.35">
      <c r="A425">
        <v>100424</v>
      </c>
      <c r="B425" s="3">
        <v>45982</v>
      </c>
      <c r="C425">
        <v>1016</v>
      </c>
      <c r="D425" t="s">
        <v>64</v>
      </c>
      <c r="E425" t="s">
        <v>75</v>
      </c>
      <c r="F425" t="s">
        <v>61</v>
      </c>
      <c r="G425" t="s">
        <v>63</v>
      </c>
      <c r="H425" t="s">
        <v>34</v>
      </c>
      <c r="I425" t="s">
        <v>35</v>
      </c>
      <c r="J425" s="4">
        <v>20</v>
      </c>
      <c r="K425" s="4">
        <v>12.16</v>
      </c>
      <c r="L425">
        <v>0</v>
      </c>
      <c r="M425" s="4">
        <v>0</v>
      </c>
      <c r="N425" s="4">
        <v>243.2</v>
      </c>
      <c r="O425" s="4">
        <v>167.89</v>
      </c>
      <c r="P425" s="4">
        <v>5.8</v>
      </c>
      <c r="Q425" s="4">
        <v>1.7</v>
      </c>
      <c r="R425" s="4">
        <v>6.62</v>
      </c>
      <c r="S425" s="4">
        <v>0</v>
      </c>
      <c r="T425" s="4">
        <v>0</v>
      </c>
      <c r="U425" s="4">
        <v>182.01</v>
      </c>
      <c r="V425" s="4">
        <v>61.19</v>
      </c>
      <c r="W425" t="s">
        <v>21</v>
      </c>
      <c r="X425" t="s">
        <v>36</v>
      </c>
      <c r="Y425" s="4">
        <v>12</v>
      </c>
      <c r="Z425" s="4">
        <v>4</v>
      </c>
      <c r="AA425" t="s">
        <v>37</v>
      </c>
      <c r="AB425" t="s">
        <v>38</v>
      </c>
      <c r="AC425" s="7">
        <v>0</v>
      </c>
      <c r="AD425" t="s">
        <v>39</v>
      </c>
      <c r="AE425">
        <f t="shared" si="6"/>
        <v>0</v>
      </c>
    </row>
    <row r="426" spans="1:31" x14ac:dyDescent="0.35">
      <c r="A426">
        <v>100425</v>
      </c>
      <c r="B426" s="3">
        <v>45985</v>
      </c>
      <c r="C426">
        <v>1023</v>
      </c>
      <c r="D426" t="s">
        <v>30</v>
      </c>
      <c r="E426" t="s">
        <v>72</v>
      </c>
      <c r="F426" t="s">
        <v>49</v>
      </c>
      <c r="G426" t="s">
        <v>46</v>
      </c>
      <c r="H426" t="s">
        <v>57</v>
      </c>
      <c r="I426" t="s">
        <v>42</v>
      </c>
      <c r="J426" s="4">
        <v>37.22</v>
      </c>
      <c r="K426" s="4">
        <v>15.84</v>
      </c>
      <c r="L426">
        <v>0</v>
      </c>
      <c r="M426" s="4">
        <v>0</v>
      </c>
      <c r="N426" s="4">
        <v>589.55999999999995</v>
      </c>
      <c r="O426" s="4">
        <v>265.58</v>
      </c>
      <c r="P426" s="4">
        <v>6.88</v>
      </c>
      <c r="Q426" s="4">
        <v>8.84</v>
      </c>
      <c r="R426" s="4">
        <v>6.97</v>
      </c>
      <c r="S426" s="4">
        <v>0</v>
      </c>
      <c r="T426" s="4">
        <v>0</v>
      </c>
      <c r="U426" s="4">
        <v>288.27</v>
      </c>
      <c r="V426" s="4">
        <v>301.29000000000002</v>
      </c>
      <c r="W426" t="s">
        <v>21</v>
      </c>
      <c r="X426" t="s">
        <v>36</v>
      </c>
      <c r="Y426" s="4">
        <v>34</v>
      </c>
      <c r="Z426" s="4">
        <v>10</v>
      </c>
      <c r="AA426" t="s">
        <v>43</v>
      </c>
      <c r="AB426" t="s">
        <v>44</v>
      </c>
      <c r="AC426" s="7">
        <v>1</v>
      </c>
      <c r="AD426" t="s">
        <v>45</v>
      </c>
      <c r="AE426">
        <f t="shared" si="6"/>
        <v>1</v>
      </c>
    </row>
    <row r="427" spans="1:31" x14ac:dyDescent="0.35">
      <c r="A427">
        <v>100426</v>
      </c>
      <c r="B427" s="3">
        <v>45999</v>
      </c>
      <c r="C427">
        <v>1080</v>
      </c>
      <c r="D427" t="s">
        <v>30</v>
      </c>
      <c r="E427" t="s">
        <v>62</v>
      </c>
      <c r="F427" t="s">
        <v>49</v>
      </c>
      <c r="G427" t="s">
        <v>50</v>
      </c>
      <c r="H427" t="s">
        <v>34</v>
      </c>
      <c r="I427" t="s">
        <v>35</v>
      </c>
      <c r="J427" s="4">
        <v>28.48</v>
      </c>
      <c r="K427" s="4">
        <v>17.87</v>
      </c>
      <c r="L427">
        <v>0</v>
      </c>
      <c r="M427" s="4">
        <v>0</v>
      </c>
      <c r="N427" s="4">
        <v>508.94</v>
      </c>
      <c r="O427" s="4">
        <v>242</v>
      </c>
      <c r="P427" s="4">
        <v>1</v>
      </c>
      <c r="Q427" s="4">
        <v>3.56</v>
      </c>
      <c r="R427" s="4">
        <v>4.99</v>
      </c>
      <c r="S427" s="4">
        <v>0</v>
      </c>
      <c r="T427" s="4">
        <v>0</v>
      </c>
      <c r="U427" s="4">
        <v>251.55</v>
      </c>
      <c r="V427" s="4">
        <v>257.39</v>
      </c>
      <c r="W427" t="s">
        <v>21</v>
      </c>
      <c r="X427" t="s">
        <v>36</v>
      </c>
      <c r="Y427" s="4">
        <v>25</v>
      </c>
      <c r="Z427" s="4">
        <v>2</v>
      </c>
      <c r="AA427" t="s">
        <v>52</v>
      </c>
      <c r="AB427" t="s">
        <v>44</v>
      </c>
      <c r="AC427" s="7">
        <v>1</v>
      </c>
      <c r="AD427" t="s">
        <v>45</v>
      </c>
      <c r="AE427">
        <f t="shared" si="6"/>
        <v>1</v>
      </c>
    </row>
    <row r="428" spans="1:31" x14ac:dyDescent="0.35">
      <c r="A428">
        <v>100427</v>
      </c>
      <c r="B428" s="3">
        <v>45977</v>
      </c>
      <c r="C428">
        <v>1114</v>
      </c>
      <c r="D428" t="s">
        <v>47</v>
      </c>
      <c r="E428" t="s">
        <v>56</v>
      </c>
      <c r="F428" t="s">
        <v>61</v>
      </c>
      <c r="G428" t="s">
        <v>63</v>
      </c>
      <c r="H428" t="s">
        <v>34</v>
      </c>
      <c r="I428" t="s">
        <v>42</v>
      </c>
      <c r="J428" s="4">
        <v>16.04</v>
      </c>
      <c r="K428" s="4">
        <v>12.34</v>
      </c>
      <c r="L428">
        <v>10</v>
      </c>
      <c r="M428" s="4">
        <v>19.79</v>
      </c>
      <c r="N428" s="4">
        <v>178.14</v>
      </c>
      <c r="O428" s="4">
        <v>123.07</v>
      </c>
      <c r="P428" s="4">
        <v>8.1300000000000008</v>
      </c>
      <c r="Q428" s="4">
        <v>2.97</v>
      </c>
      <c r="R428" s="4">
        <v>10.53</v>
      </c>
      <c r="S428" s="4">
        <v>0</v>
      </c>
      <c r="T428" s="4">
        <v>0</v>
      </c>
      <c r="U428" s="4">
        <v>144.69999999999999</v>
      </c>
      <c r="V428" s="4">
        <v>33.44</v>
      </c>
      <c r="W428" t="s">
        <v>21</v>
      </c>
      <c r="X428" t="s">
        <v>36</v>
      </c>
      <c r="Y428" s="4">
        <v>3</v>
      </c>
      <c r="Z428" s="4">
        <v>2</v>
      </c>
      <c r="AA428" t="s">
        <v>37</v>
      </c>
      <c r="AB428" t="s">
        <v>38</v>
      </c>
      <c r="AC428" s="7">
        <v>0</v>
      </c>
      <c r="AD428" t="s">
        <v>39</v>
      </c>
      <c r="AE428">
        <f t="shared" si="6"/>
        <v>0</v>
      </c>
    </row>
    <row r="429" spans="1:31" x14ac:dyDescent="0.35">
      <c r="A429">
        <v>100428</v>
      </c>
      <c r="B429" s="3">
        <v>45969</v>
      </c>
      <c r="C429">
        <v>1050</v>
      </c>
      <c r="D429" t="s">
        <v>59</v>
      </c>
      <c r="E429" t="s">
        <v>73</v>
      </c>
      <c r="F429" t="s">
        <v>71</v>
      </c>
      <c r="G429" t="s">
        <v>63</v>
      </c>
      <c r="H429" t="s">
        <v>34</v>
      </c>
      <c r="I429" t="s">
        <v>35</v>
      </c>
      <c r="J429" s="4">
        <v>23.23</v>
      </c>
      <c r="K429" s="4">
        <v>12.44</v>
      </c>
      <c r="L429">
        <v>10</v>
      </c>
      <c r="M429" s="4">
        <v>28.9</v>
      </c>
      <c r="N429" s="4">
        <v>260.08</v>
      </c>
      <c r="O429" s="4">
        <v>183.97</v>
      </c>
      <c r="P429" s="4">
        <v>3.12</v>
      </c>
      <c r="Q429" s="4">
        <v>2.02</v>
      </c>
      <c r="R429" s="4">
        <v>2.5</v>
      </c>
      <c r="S429" s="4">
        <v>0</v>
      </c>
      <c r="T429" s="4">
        <v>0</v>
      </c>
      <c r="U429" s="4">
        <v>191.61</v>
      </c>
      <c r="V429" s="4">
        <v>68.47</v>
      </c>
      <c r="W429" t="s">
        <v>21</v>
      </c>
      <c r="X429" t="s">
        <v>36</v>
      </c>
      <c r="Y429" s="4">
        <v>3</v>
      </c>
      <c r="Z429" s="4">
        <v>19</v>
      </c>
      <c r="AA429" t="s">
        <v>37</v>
      </c>
      <c r="AB429" t="s">
        <v>44</v>
      </c>
      <c r="AC429" s="7">
        <v>1</v>
      </c>
      <c r="AD429" t="s">
        <v>45</v>
      </c>
      <c r="AE429">
        <f t="shared" si="6"/>
        <v>1</v>
      </c>
    </row>
    <row r="430" spans="1:31" x14ac:dyDescent="0.35">
      <c r="A430">
        <v>100429</v>
      </c>
      <c r="B430" s="3">
        <v>46004</v>
      </c>
      <c r="C430">
        <v>1128</v>
      </c>
      <c r="D430" t="s">
        <v>47</v>
      </c>
      <c r="E430" t="s">
        <v>56</v>
      </c>
      <c r="F430" t="s">
        <v>49</v>
      </c>
      <c r="G430" t="s">
        <v>33</v>
      </c>
      <c r="H430" t="s">
        <v>57</v>
      </c>
      <c r="I430" t="s">
        <v>35</v>
      </c>
      <c r="J430" s="4">
        <v>27.25</v>
      </c>
      <c r="K430" s="4">
        <v>18.63</v>
      </c>
      <c r="L430">
        <v>10</v>
      </c>
      <c r="M430" s="4">
        <v>50.77</v>
      </c>
      <c r="N430" s="4">
        <v>456.9</v>
      </c>
      <c r="O430" s="4">
        <v>210.12</v>
      </c>
      <c r="P430" s="4">
        <v>2.41</v>
      </c>
      <c r="Q430" s="4">
        <v>3.55</v>
      </c>
      <c r="R430" s="4">
        <v>7.39</v>
      </c>
      <c r="S430" s="4">
        <v>0</v>
      </c>
      <c r="T430" s="4">
        <v>0</v>
      </c>
      <c r="U430" s="4">
        <v>223.47</v>
      </c>
      <c r="V430" s="4">
        <v>233.43</v>
      </c>
      <c r="W430" t="s">
        <v>21</v>
      </c>
      <c r="X430" t="s">
        <v>36</v>
      </c>
      <c r="Y430" s="4">
        <v>19</v>
      </c>
      <c r="Z430" s="4">
        <v>2</v>
      </c>
      <c r="AA430" t="s">
        <v>52</v>
      </c>
      <c r="AB430" t="s">
        <v>38</v>
      </c>
      <c r="AC430" s="7">
        <v>0</v>
      </c>
      <c r="AD430" t="s">
        <v>39</v>
      </c>
      <c r="AE430">
        <f t="shared" si="6"/>
        <v>0</v>
      </c>
    </row>
    <row r="431" spans="1:31" x14ac:dyDescent="0.35">
      <c r="A431">
        <v>100430</v>
      </c>
      <c r="B431" s="3">
        <v>45946</v>
      </c>
      <c r="C431">
        <v>1030</v>
      </c>
      <c r="D431" t="s">
        <v>59</v>
      </c>
      <c r="E431" t="s">
        <v>70</v>
      </c>
      <c r="F431" t="s">
        <v>49</v>
      </c>
      <c r="G431" t="s">
        <v>33</v>
      </c>
      <c r="H431" t="s">
        <v>51</v>
      </c>
      <c r="I431" t="s">
        <v>35</v>
      </c>
      <c r="J431" s="4">
        <v>25.36</v>
      </c>
      <c r="K431" s="4">
        <v>18.940000000000001</v>
      </c>
      <c r="L431">
        <v>0</v>
      </c>
      <c r="M431" s="4">
        <v>0</v>
      </c>
      <c r="N431" s="4">
        <v>480.32</v>
      </c>
      <c r="O431" s="4">
        <v>164.62</v>
      </c>
      <c r="P431" s="4">
        <v>10.15</v>
      </c>
      <c r="Q431" s="4">
        <v>3.36</v>
      </c>
      <c r="R431" s="4">
        <v>16.440000000000001</v>
      </c>
      <c r="S431" s="4">
        <v>0</v>
      </c>
      <c r="T431" s="4">
        <v>0</v>
      </c>
      <c r="U431" s="4">
        <v>194.57</v>
      </c>
      <c r="V431" s="4">
        <v>285.75</v>
      </c>
      <c r="W431" t="s">
        <v>21</v>
      </c>
      <c r="X431" t="s">
        <v>36</v>
      </c>
      <c r="Y431" s="4">
        <v>5</v>
      </c>
      <c r="Z431" s="4">
        <v>10</v>
      </c>
      <c r="AA431" t="s">
        <v>37</v>
      </c>
      <c r="AB431" t="s">
        <v>38</v>
      </c>
      <c r="AC431" s="7">
        <v>1</v>
      </c>
      <c r="AD431" t="s">
        <v>39</v>
      </c>
      <c r="AE431">
        <f t="shared" si="6"/>
        <v>0</v>
      </c>
    </row>
    <row r="432" spans="1:31" x14ac:dyDescent="0.35">
      <c r="A432">
        <v>100431</v>
      </c>
      <c r="B432" s="3">
        <v>46001</v>
      </c>
      <c r="C432">
        <v>1144</v>
      </c>
      <c r="D432" t="s">
        <v>30</v>
      </c>
      <c r="E432" t="s">
        <v>62</v>
      </c>
      <c r="F432" t="s">
        <v>41</v>
      </c>
      <c r="G432" t="s">
        <v>50</v>
      </c>
      <c r="H432" t="s">
        <v>57</v>
      </c>
      <c r="I432" t="s">
        <v>35</v>
      </c>
      <c r="J432" s="4">
        <v>20.12</v>
      </c>
      <c r="K432" s="4">
        <v>18.809999999999999</v>
      </c>
      <c r="L432">
        <v>10</v>
      </c>
      <c r="M432" s="4">
        <v>37.85</v>
      </c>
      <c r="N432" s="4">
        <v>340.61</v>
      </c>
      <c r="O432" s="4">
        <v>155.46</v>
      </c>
      <c r="P432" s="4">
        <v>11.92</v>
      </c>
      <c r="Q432" s="4">
        <v>2.65</v>
      </c>
      <c r="R432" s="4">
        <v>7.8</v>
      </c>
      <c r="S432" s="4">
        <v>0</v>
      </c>
      <c r="T432" s="4">
        <v>0</v>
      </c>
      <c r="U432" s="4">
        <v>177.83</v>
      </c>
      <c r="V432" s="4">
        <v>162.78</v>
      </c>
      <c r="W432" t="s">
        <v>21</v>
      </c>
      <c r="X432" t="s">
        <v>36</v>
      </c>
      <c r="Y432" s="4">
        <v>4</v>
      </c>
      <c r="Z432" s="4">
        <v>10</v>
      </c>
      <c r="AA432" t="s">
        <v>37</v>
      </c>
      <c r="AB432" t="s">
        <v>38</v>
      </c>
      <c r="AC432" s="7">
        <v>0</v>
      </c>
      <c r="AD432" t="s">
        <v>39</v>
      </c>
      <c r="AE432">
        <f t="shared" si="6"/>
        <v>0</v>
      </c>
    </row>
    <row r="433" spans="1:31" x14ac:dyDescent="0.35">
      <c r="A433">
        <v>100432</v>
      </c>
      <c r="B433" s="3">
        <v>45933</v>
      </c>
      <c r="C433">
        <v>1088</v>
      </c>
      <c r="D433" t="s">
        <v>30</v>
      </c>
      <c r="E433" t="s">
        <v>40</v>
      </c>
      <c r="F433" t="s">
        <v>41</v>
      </c>
      <c r="G433" t="s">
        <v>63</v>
      </c>
      <c r="H433" t="s">
        <v>34</v>
      </c>
      <c r="I433" t="s">
        <v>69</v>
      </c>
      <c r="J433" s="4">
        <v>21.9</v>
      </c>
      <c r="K433" s="4">
        <v>12.95</v>
      </c>
      <c r="L433">
        <v>5</v>
      </c>
      <c r="M433" s="4">
        <v>14.18</v>
      </c>
      <c r="N433" s="4">
        <v>269.42</v>
      </c>
      <c r="O433" s="4">
        <v>168.29</v>
      </c>
      <c r="P433" s="4">
        <v>6.07</v>
      </c>
      <c r="Q433" s="4">
        <v>1.1299999999999999</v>
      </c>
      <c r="R433" s="4">
        <v>2</v>
      </c>
      <c r="S433" s="4">
        <v>166.73</v>
      </c>
      <c r="T433" s="4">
        <v>0</v>
      </c>
      <c r="U433" s="4">
        <v>344.22</v>
      </c>
      <c r="V433" s="4">
        <v>-74.8</v>
      </c>
      <c r="W433" t="s">
        <v>58</v>
      </c>
      <c r="X433" t="s">
        <v>55</v>
      </c>
      <c r="Y433" s="4">
        <v>20</v>
      </c>
      <c r="Z433" s="4">
        <v>16</v>
      </c>
      <c r="AA433" t="s">
        <v>52</v>
      </c>
      <c r="AB433" t="s">
        <v>44</v>
      </c>
      <c r="AC433" s="7">
        <v>2</v>
      </c>
      <c r="AD433" t="s">
        <v>45</v>
      </c>
      <c r="AE433">
        <f t="shared" si="6"/>
        <v>1</v>
      </c>
    </row>
    <row r="434" spans="1:31" x14ac:dyDescent="0.35">
      <c r="A434">
        <v>100433</v>
      </c>
      <c r="B434" s="3">
        <v>45994</v>
      </c>
      <c r="C434">
        <v>1138</v>
      </c>
      <c r="D434" t="s">
        <v>59</v>
      </c>
      <c r="E434" t="s">
        <v>70</v>
      </c>
      <c r="F434" t="s">
        <v>32</v>
      </c>
      <c r="G434" t="s">
        <v>33</v>
      </c>
      <c r="H434" t="s">
        <v>34</v>
      </c>
      <c r="I434" t="s">
        <v>42</v>
      </c>
      <c r="J434" s="4">
        <v>29.62</v>
      </c>
      <c r="K434" s="4">
        <v>18.87</v>
      </c>
      <c r="L434">
        <v>10</v>
      </c>
      <c r="M434" s="4">
        <v>55.89</v>
      </c>
      <c r="N434" s="4">
        <v>503.04</v>
      </c>
      <c r="O434" s="4">
        <v>249.39</v>
      </c>
      <c r="P434" s="4">
        <v>7.23</v>
      </c>
      <c r="Q434" s="4">
        <v>8.3800000000000008</v>
      </c>
      <c r="R434" s="4">
        <v>10.44</v>
      </c>
      <c r="S434" s="4">
        <v>307.31</v>
      </c>
      <c r="T434" s="4">
        <v>0</v>
      </c>
      <c r="U434" s="4">
        <v>582.75</v>
      </c>
      <c r="V434" s="4">
        <v>-79.709999999999994</v>
      </c>
      <c r="W434" t="s">
        <v>58</v>
      </c>
      <c r="X434" t="s">
        <v>55</v>
      </c>
      <c r="Y434" s="4">
        <v>9</v>
      </c>
      <c r="Z434" s="4">
        <v>3</v>
      </c>
      <c r="AA434" t="s">
        <v>37</v>
      </c>
      <c r="AB434" t="s">
        <v>44</v>
      </c>
      <c r="AC434" s="7">
        <v>3</v>
      </c>
      <c r="AD434" t="s">
        <v>45</v>
      </c>
      <c r="AE434">
        <f t="shared" si="6"/>
        <v>1</v>
      </c>
    </row>
    <row r="435" spans="1:31" x14ac:dyDescent="0.35">
      <c r="A435">
        <v>100434</v>
      </c>
      <c r="B435" s="3">
        <v>45949</v>
      </c>
      <c r="C435">
        <v>1073</v>
      </c>
      <c r="D435" t="s">
        <v>47</v>
      </c>
      <c r="E435" t="s">
        <v>74</v>
      </c>
      <c r="F435" t="s">
        <v>41</v>
      </c>
      <c r="G435" t="s">
        <v>63</v>
      </c>
      <c r="H435" t="s">
        <v>57</v>
      </c>
      <c r="I435" t="s">
        <v>35</v>
      </c>
      <c r="J435" s="4">
        <v>4.5</v>
      </c>
      <c r="K435" s="4">
        <v>12.83</v>
      </c>
      <c r="L435">
        <v>0</v>
      </c>
      <c r="M435" s="4">
        <v>0</v>
      </c>
      <c r="N435" s="4">
        <v>57.74</v>
      </c>
      <c r="O435" s="4">
        <v>33.72</v>
      </c>
      <c r="P435" s="4">
        <v>9.52</v>
      </c>
      <c r="Q435" s="4">
        <v>0.4</v>
      </c>
      <c r="R435" s="4">
        <v>9.18</v>
      </c>
      <c r="S435" s="4">
        <v>0</v>
      </c>
      <c r="T435" s="4">
        <v>0</v>
      </c>
      <c r="U435" s="4">
        <v>52.82</v>
      </c>
      <c r="V435" s="4">
        <v>4.92</v>
      </c>
      <c r="W435" t="s">
        <v>21</v>
      </c>
      <c r="X435" t="s">
        <v>36</v>
      </c>
      <c r="Y435" s="4">
        <v>1</v>
      </c>
      <c r="Z435" s="4">
        <v>6</v>
      </c>
      <c r="AA435" t="s">
        <v>37</v>
      </c>
      <c r="AB435" t="s">
        <v>38</v>
      </c>
      <c r="AC435" s="7">
        <v>0</v>
      </c>
      <c r="AD435" t="s">
        <v>39</v>
      </c>
      <c r="AE435">
        <f t="shared" si="6"/>
        <v>0</v>
      </c>
    </row>
    <row r="436" spans="1:31" x14ac:dyDescent="0.35">
      <c r="A436">
        <v>100435</v>
      </c>
      <c r="B436" s="3">
        <v>45949</v>
      </c>
      <c r="C436">
        <v>1072</v>
      </c>
      <c r="D436" t="s">
        <v>30</v>
      </c>
      <c r="E436" t="s">
        <v>31</v>
      </c>
      <c r="F436" t="s">
        <v>32</v>
      </c>
      <c r="G436" t="s">
        <v>33</v>
      </c>
      <c r="H436" t="s">
        <v>57</v>
      </c>
      <c r="I436" t="s">
        <v>35</v>
      </c>
      <c r="J436" s="4">
        <v>23.43</v>
      </c>
      <c r="K436" s="4">
        <v>19.149999999999999</v>
      </c>
      <c r="L436">
        <v>5</v>
      </c>
      <c r="M436" s="4">
        <v>22.43</v>
      </c>
      <c r="N436" s="4">
        <v>426.25</v>
      </c>
      <c r="O436" s="4">
        <v>164.59</v>
      </c>
      <c r="P436" s="4">
        <v>11.34</v>
      </c>
      <c r="Q436" s="4">
        <v>3.14</v>
      </c>
      <c r="R436" s="4">
        <v>6.17</v>
      </c>
      <c r="S436" s="4">
        <v>442.32</v>
      </c>
      <c r="T436" s="4">
        <v>5.96</v>
      </c>
      <c r="U436" s="4">
        <v>633.52</v>
      </c>
      <c r="V436" s="4">
        <v>-207.27</v>
      </c>
      <c r="W436" t="s">
        <v>58</v>
      </c>
      <c r="X436" t="s">
        <v>55</v>
      </c>
      <c r="Y436" s="4">
        <v>9</v>
      </c>
      <c r="Z436" s="4">
        <v>4</v>
      </c>
      <c r="AA436" t="s">
        <v>37</v>
      </c>
      <c r="AB436" t="s">
        <v>44</v>
      </c>
      <c r="AC436" s="7">
        <v>2</v>
      </c>
      <c r="AD436" t="s">
        <v>45</v>
      </c>
      <c r="AE436">
        <f t="shared" si="6"/>
        <v>1</v>
      </c>
    </row>
    <row r="437" spans="1:31" x14ac:dyDescent="0.35">
      <c r="A437">
        <v>100436</v>
      </c>
      <c r="B437" s="3">
        <v>45967</v>
      </c>
      <c r="C437">
        <v>1054</v>
      </c>
      <c r="D437" t="s">
        <v>47</v>
      </c>
      <c r="E437" t="s">
        <v>74</v>
      </c>
      <c r="F437" t="s">
        <v>32</v>
      </c>
      <c r="G437" t="s">
        <v>63</v>
      </c>
      <c r="H437" t="s">
        <v>57</v>
      </c>
      <c r="I437" t="s">
        <v>42</v>
      </c>
      <c r="J437" s="4">
        <v>17.98</v>
      </c>
      <c r="K437" s="4">
        <v>13.37</v>
      </c>
      <c r="L437">
        <v>5</v>
      </c>
      <c r="M437" s="4">
        <v>12.02</v>
      </c>
      <c r="N437" s="4">
        <v>228.37</v>
      </c>
      <c r="O437" s="4">
        <v>119.29</v>
      </c>
      <c r="P437" s="4">
        <v>12.07</v>
      </c>
      <c r="Q437" s="4">
        <v>3.61</v>
      </c>
      <c r="R437" s="4">
        <v>13.97</v>
      </c>
      <c r="S437" s="4">
        <v>0</v>
      </c>
      <c r="T437" s="4">
        <v>0</v>
      </c>
      <c r="U437" s="4">
        <v>148.94</v>
      </c>
      <c r="V437" s="4">
        <v>79.430000000000007</v>
      </c>
      <c r="W437" t="s">
        <v>21</v>
      </c>
      <c r="X437" t="s">
        <v>36</v>
      </c>
      <c r="Y437" s="4">
        <v>16</v>
      </c>
      <c r="Z437" s="4">
        <v>18</v>
      </c>
      <c r="AA437" t="s">
        <v>52</v>
      </c>
      <c r="AB437" t="s">
        <v>44</v>
      </c>
      <c r="AC437" s="7">
        <v>1</v>
      </c>
      <c r="AD437" t="s">
        <v>45</v>
      </c>
      <c r="AE437">
        <f t="shared" si="6"/>
        <v>1</v>
      </c>
    </row>
    <row r="438" spans="1:31" x14ac:dyDescent="0.35">
      <c r="A438">
        <v>100437</v>
      </c>
      <c r="B438" s="3">
        <v>45994</v>
      </c>
      <c r="C438">
        <v>1054</v>
      </c>
      <c r="D438" t="s">
        <v>30</v>
      </c>
      <c r="E438" t="s">
        <v>40</v>
      </c>
      <c r="F438" t="s">
        <v>41</v>
      </c>
      <c r="G438" t="s">
        <v>63</v>
      </c>
      <c r="H438" t="s">
        <v>34</v>
      </c>
      <c r="I438" t="s">
        <v>54</v>
      </c>
      <c r="J438" s="4">
        <v>15.8</v>
      </c>
      <c r="K438" s="4">
        <v>14.22</v>
      </c>
      <c r="L438">
        <v>0</v>
      </c>
      <c r="M438" s="4">
        <v>0</v>
      </c>
      <c r="N438" s="4">
        <v>224.68</v>
      </c>
      <c r="O438" s="4">
        <v>139.58000000000001</v>
      </c>
      <c r="P438" s="4">
        <v>6.33</v>
      </c>
      <c r="Q438" s="4">
        <v>2.7</v>
      </c>
      <c r="R438" s="4">
        <v>7.91</v>
      </c>
      <c r="S438" s="4">
        <v>0</v>
      </c>
      <c r="T438" s="4">
        <v>0</v>
      </c>
      <c r="U438" s="4">
        <v>156.52000000000001</v>
      </c>
      <c r="V438" s="4">
        <v>68.16</v>
      </c>
      <c r="W438" t="s">
        <v>21</v>
      </c>
      <c r="X438" t="s">
        <v>36</v>
      </c>
      <c r="Y438" s="4">
        <v>7</v>
      </c>
      <c r="Z438" s="4">
        <v>22</v>
      </c>
      <c r="AA438" t="s">
        <v>37</v>
      </c>
      <c r="AB438" t="s">
        <v>44</v>
      </c>
      <c r="AC438" s="7">
        <v>3</v>
      </c>
      <c r="AD438" t="s">
        <v>45</v>
      </c>
      <c r="AE438">
        <f t="shared" si="6"/>
        <v>1</v>
      </c>
    </row>
    <row r="439" spans="1:31" x14ac:dyDescent="0.35">
      <c r="A439">
        <v>100438</v>
      </c>
      <c r="B439" s="3">
        <v>45997</v>
      </c>
      <c r="C439">
        <v>1014</v>
      </c>
      <c r="D439" t="s">
        <v>47</v>
      </c>
      <c r="E439" t="s">
        <v>48</v>
      </c>
      <c r="F439" t="s">
        <v>32</v>
      </c>
      <c r="G439" t="s">
        <v>63</v>
      </c>
      <c r="H439" t="s">
        <v>34</v>
      </c>
      <c r="I439" t="s">
        <v>69</v>
      </c>
      <c r="J439" s="4">
        <v>25.03</v>
      </c>
      <c r="K439" s="4">
        <v>13.18</v>
      </c>
      <c r="L439">
        <v>0</v>
      </c>
      <c r="M439" s="4">
        <v>0</v>
      </c>
      <c r="N439" s="4">
        <v>329.9</v>
      </c>
      <c r="O439" s="4">
        <v>189.52</v>
      </c>
      <c r="P439" s="4">
        <v>8.2899999999999991</v>
      </c>
      <c r="Q439" s="4">
        <v>1.32</v>
      </c>
      <c r="R439" s="4">
        <v>11.09</v>
      </c>
      <c r="S439" s="4">
        <v>161</v>
      </c>
      <c r="T439" s="4">
        <v>0</v>
      </c>
      <c r="U439" s="4">
        <v>371.22</v>
      </c>
      <c r="V439" s="4">
        <v>-41.32</v>
      </c>
      <c r="W439" t="s">
        <v>58</v>
      </c>
      <c r="X439" t="s">
        <v>55</v>
      </c>
      <c r="Y439" s="4">
        <v>9</v>
      </c>
      <c r="Z439" s="4">
        <v>10</v>
      </c>
      <c r="AA439" t="s">
        <v>37</v>
      </c>
      <c r="AB439" t="s">
        <v>44</v>
      </c>
      <c r="AC439" s="7">
        <v>3</v>
      </c>
      <c r="AD439" t="s">
        <v>45</v>
      </c>
      <c r="AE439">
        <f t="shared" si="6"/>
        <v>1</v>
      </c>
    </row>
    <row r="440" spans="1:31" x14ac:dyDescent="0.35">
      <c r="A440">
        <v>100439</v>
      </c>
      <c r="B440" s="3">
        <v>45957</v>
      </c>
      <c r="C440">
        <v>1080</v>
      </c>
      <c r="D440" t="s">
        <v>59</v>
      </c>
      <c r="E440" t="s">
        <v>68</v>
      </c>
      <c r="F440" t="s">
        <v>71</v>
      </c>
      <c r="G440" t="s">
        <v>63</v>
      </c>
      <c r="H440" t="s">
        <v>34</v>
      </c>
      <c r="I440" t="s">
        <v>42</v>
      </c>
      <c r="J440" s="4">
        <v>12.73</v>
      </c>
      <c r="K440" s="4">
        <v>14.79</v>
      </c>
      <c r="L440">
        <v>5</v>
      </c>
      <c r="M440" s="4">
        <v>9.41</v>
      </c>
      <c r="N440" s="4">
        <v>178.87</v>
      </c>
      <c r="O440" s="4">
        <v>113.3</v>
      </c>
      <c r="P440" s="4">
        <v>8.6999999999999993</v>
      </c>
      <c r="Q440" s="4">
        <v>2.82</v>
      </c>
      <c r="R440" s="4">
        <v>0.57999999999999996</v>
      </c>
      <c r="S440" s="4">
        <v>0</v>
      </c>
      <c r="T440" s="4">
        <v>0</v>
      </c>
      <c r="U440" s="4">
        <v>125.4</v>
      </c>
      <c r="V440" s="4">
        <v>53.47</v>
      </c>
      <c r="W440" t="s">
        <v>21</v>
      </c>
      <c r="X440" t="s">
        <v>36</v>
      </c>
      <c r="Y440" s="4">
        <v>6</v>
      </c>
      <c r="Z440" s="4">
        <v>33</v>
      </c>
      <c r="AA440" t="s">
        <v>37</v>
      </c>
      <c r="AB440" t="s">
        <v>44</v>
      </c>
      <c r="AC440" s="7">
        <v>1</v>
      </c>
      <c r="AD440" t="s">
        <v>45</v>
      </c>
      <c r="AE440">
        <f t="shared" si="6"/>
        <v>1</v>
      </c>
    </row>
    <row r="441" spans="1:31" x14ac:dyDescent="0.35">
      <c r="A441">
        <v>100440</v>
      </c>
      <c r="B441" s="3">
        <v>45934</v>
      </c>
      <c r="C441">
        <v>1035</v>
      </c>
      <c r="D441" t="s">
        <v>64</v>
      </c>
      <c r="E441" t="s">
        <v>76</v>
      </c>
      <c r="F441" t="s">
        <v>61</v>
      </c>
      <c r="G441" t="s">
        <v>46</v>
      </c>
      <c r="H441" t="s">
        <v>34</v>
      </c>
      <c r="I441" t="s">
        <v>42</v>
      </c>
      <c r="J441" s="4">
        <v>27.39</v>
      </c>
      <c r="K441" s="4">
        <v>16.45</v>
      </c>
      <c r="L441">
        <v>5</v>
      </c>
      <c r="M441" s="4">
        <v>22.53</v>
      </c>
      <c r="N441" s="4">
        <v>428.04</v>
      </c>
      <c r="O441" s="4">
        <v>152.30000000000001</v>
      </c>
      <c r="P441" s="4">
        <v>6.8</v>
      </c>
      <c r="Q441" s="4">
        <v>6.76</v>
      </c>
      <c r="R441" s="4">
        <v>12.93</v>
      </c>
      <c r="S441" s="4">
        <v>0</v>
      </c>
      <c r="T441" s="4">
        <v>0</v>
      </c>
      <c r="U441" s="4">
        <v>178.79</v>
      </c>
      <c r="V441" s="4">
        <v>249.25</v>
      </c>
      <c r="W441" t="s">
        <v>21</v>
      </c>
      <c r="X441" t="s">
        <v>36</v>
      </c>
      <c r="Y441" s="4">
        <v>7</v>
      </c>
      <c r="Z441" s="4">
        <v>1</v>
      </c>
      <c r="AA441" t="s">
        <v>37</v>
      </c>
      <c r="AB441" t="s">
        <v>38</v>
      </c>
      <c r="AC441" s="7">
        <v>0</v>
      </c>
      <c r="AD441" t="s">
        <v>39</v>
      </c>
      <c r="AE441">
        <f t="shared" si="6"/>
        <v>0</v>
      </c>
    </row>
    <row r="442" spans="1:31" x14ac:dyDescent="0.35">
      <c r="A442">
        <v>100441</v>
      </c>
      <c r="B442" s="3">
        <v>45989</v>
      </c>
      <c r="C442">
        <v>1010</v>
      </c>
      <c r="D442" t="s">
        <v>30</v>
      </c>
      <c r="E442" t="s">
        <v>72</v>
      </c>
      <c r="F442" t="s">
        <v>71</v>
      </c>
      <c r="G442" t="s">
        <v>63</v>
      </c>
      <c r="H442" t="s">
        <v>57</v>
      </c>
      <c r="I442" t="s">
        <v>35</v>
      </c>
      <c r="J442" s="4">
        <v>35.340000000000003</v>
      </c>
      <c r="K442" s="4">
        <v>12.78</v>
      </c>
      <c r="L442">
        <v>10</v>
      </c>
      <c r="M442" s="4">
        <v>45.16</v>
      </c>
      <c r="N442" s="4">
        <v>406.49</v>
      </c>
      <c r="O442" s="4">
        <v>293.99</v>
      </c>
      <c r="P442" s="4">
        <v>11.35</v>
      </c>
      <c r="Q442" s="4">
        <v>3.16</v>
      </c>
      <c r="R442" s="4">
        <v>7.71</v>
      </c>
      <c r="S442" s="4">
        <v>0</v>
      </c>
      <c r="T442" s="4">
        <v>0</v>
      </c>
      <c r="U442" s="4">
        <v>316.20999999999998</v>
      </c>
      <c r="V442" s="4">
        <v>90.28</v>
      </c>
      <c r="W442" t="s">
        <v>21</v>
      </c>
      <c r="X442" t="s">
        <v>36</v>
      </c>
      <c r="Y442" s="4">
        <v>4</v>
      </c>
      <c r="Z442" s="4">
        <v>1</v>
      </c>
      <c r="AA442" t="s">
        <v>37</v>
      </c>
      <c r="AB442" t="s">
        <v>38</v>
      </c>
      <c r="AC442" s="7">
        <v>0</v>
      </c>
      <c r="AD442" t="s">
        <v>39</v>
      </c>
      <c r="AE442">
        <f t="shared" si="6"/>
        <v>0</v>
      </c>
    </row>
    <row r="443" spans="1:31" x14ac:dyDescent="0.35">
      <c r="A443">
        <v>100442</v>
      </c>
      <c r="B443" s="3">
        <v>45977</v>
      </c>
      <c r="C443">
        <v>1133</v>
      </c>
      <c r="D443" t="s">
        <v>30</v>
      </c>
      <c r="E443" t="s">
        <v>62</v>
      </c>
      <c r="F443" t="s">
        <v>71</v>
      </c>
      <c r="G443" t="s">
        <v>63</v>
      </c>
      <c r="H443" t="s">
        <v>57</v>
      </c>
      <c r="I443" t="s">
        <v>42</v>
      </c>
      <c r="J443" s="4">
        <v>15.85</v>
      </c>
      <c r="K443" s="4">
        <v>13.21</v>
      </c>
      <c r="L443">
        <v>0</v>
      </c>
      <c r="M443" s="4">
        <v>0</v>
      </c>
      <c r="N443" s="4">
        <v>209.38</v>
      </c>
      <c r="O443" s="4">
        <v>128.68</v>
      </c>
      <c r="P443" s="4">
        <v>6.38</v>
      </c>
      <c r="Q443" s="4">
        <v>3.14</v>
      </c>
      <c r="R443" s="4">
        <v>7.86</v>
      </c>
      <c r="S443" s="4">
        <v>0</v>
      </c>
      <c r="T443" s="4">
        <v>0</v>
      </c>
      <c r="U443" s="4">
        <v>146.06</v>
      </c>
      <c r="V443" s="4">
        <v>63.32</v>
      </c>
      <c r="W443" t="s">
        <v>21</v>
      </c>
      <c r="X443" t="s">
        <v>36</v>
      </c>
      <c r="Y443" s="4">
        <v>1</v>
      </c>
      <c r="Z443" s="4">
        <v>3</v>
      </c>
      <c r="AA443" t="s">
        <v>37</v>
      </c>
      <c r="AB443" t="s">
        <v>38</v>
      </c>
      <c r="AC443" s="7">
        <v>1</v>
      </c>
      <c r="AD443" t="s">
        <v>39</v>
      </c>
      <c r="AE443">
        <f t="shared" si="6"/>
        <v>0</v>
      </c>
    </row>
    <row r="444" spans="1:31" x14ac:dyDescent="0.35">
      <c r="A444">
        <v>100443</v>
      </c>
      <c r="B444" s="3">
        <v>45945</v>
      </c>
      <c r="C444">
        <v>1104</v>
      </c>
      <c r="D444" t="s">
        <v>59</v>
      </c>
      <c r="E444" t="s">
        <v>70</v>
      </c>
      <c r="F444" t="s">
        <v>49</v>
      </c>
      <c r="G444" t="s">
        <v>50</v>
      </c>
      <c r="H444" t="s">
        <v>34</v>
      </c>
      <c r="I444" t="s">
        <v>69</v>
      </c>
      <c r="J444" s="4">
        <v>36.72</v>
      </c>
      <c r="K444" s="4">
        <v>17.100000000000001</v>
      </c>
      <c r="L444">
        <v>10</v>
      </c>
      <c r="M444" s="4">
        <v>62.79</v>
      </c>
      <c r="N444" s="4">
        <v>565.12</v>
      </c>
      <c r="O444" s="4">
        <v>287.83999999999997</v>
      </c>
      <c r="P444" s="4">
        <v>10.94</v>
      </c>
      <c r="Q444" s="4">
        <v>2.5099999999999998</v>
      </c>
      <c r="R444" s="4">
        <v>4.04</v>
      </c>
      <c r="S444" s="4">
        <v>0</v>
      </c>
      <c r="T444" s="4">
        <v>0</v>
      </c>
      <c r="U444" s="4">
        <v>305.33</v>
      </c>
      <c r="V444" s="4">
        <v>259.79000000000002</v>
      </c>
      <c r="W444" t="s">
        <v>21</v>
      </c>
      <c r="X444" t="s">
        <v>36</v>
      </c>
      <c r="Y444" s="4">
        <v>2</v>
      </c>
      <c r="Z444" s="4">
        <v>9</v>
      </c>
      <c r="AA444" t="s">
        <v>37</v>
      </c>
      <c r="AB444" t="s">
        <v>38</v>
      </c>
      <c r="AC444" s="7">
        <v>0</v>
      </c>
      <c r="AD444" t="s">
        <v>39</v>
      </c>
      <c r="AE444">
        <f t="shared" si="6"/>
        <v>0</v>
      </c>
    </row>
    <row r="445" spans="1:31" x14ac:dyDescent="0.35">
      <c r="A445">
        <v>100444</v>
      </c>
      <c r="B445" s="3">
        <v>45986</v>
      </c>
      <c r="C445">
        <v>1053</v>
      </c>
      <c r="D445" t="s">
        <v>59</v>
      </c>
      <c r="E445" t="s">
        <v>73</v>
      </c>
      <c r="F445" t="s">
        <v>41</v>
      </c>
      <c r="G445" t="s">
        <v>46</v>
      </c>
      <c r="H445" t="s">
        <v>34</v>
      </c>
      <c r="I445" t="s">
        <v>35</v>
      </c>
      <c r="J445" s="4">
        <v>28.06</v>
      </c>
      <c r="K445" s="4">
        <v>16.440000000000001</v>
      </c>
      <c r="L445">
        <v>10</v>
      </c>
      <c r="M445" s="4">
        <v>46.13</v>
      </c>
      <c r="N445" s="4">
        <v>415.18</v>
      </c>
      <c r="O445" s="4">
        <v>206.01</v>
      </c>
      <c r="P445" s="4">
        <v>4.09</v>
      </c>
      <c r="Q445" s="4">
        <v>3.23</v>
      </c>
      <c r="R445" s="4">
        <v>7.52</v>
      </c>
      <c r="S445" s="4">
        <v>0</v>
      </c>
      <c r="T445" s="4">
        <v>0</v>
      </c>
      <c r="U445" s="4">
        <v>220.85</v>
      </c>
      <c r="V445" s="4">
        <v>194.33</v>
      </c>
      <c r="W445" t="s">
        <v>21</v>
      </c>
      <c r="X445" t="s">
        <v>36</v>
      </c>
      <c r="Y445" s="4">
        <v>1</v>
      </c>
      <c r="Z445" s="4">
        <v>4</v>
      </c>
      <c r="AA445" t="s">
        <v>37</v>
      </c>
      <c r="AB445" t="s">
        <v>38</v>
      </c>
      <c r="AC445" s="7">
        <v>0</v>
      </c>
      <c r="AD445" t="s">
        <v>39</v>
      </c>
      <c r="AE445">
        <f t="shared" si="6"/>
        <v>0</v>
      </c>
    </row>
    <row r="446" spans="1:31" x14ac:dyDescent="0.35">
      <c r="A446">
        <v>100445</v>
      </c>
      <c r="B446" s="3">
        <v>45996</v>
      </c>
      <c r="C446">
        <v>1021</v>
      </c>
      <c r="D446" t="s">
        <v>59</v>
      </c>
      <c r="E446" t="s">
        <v>60</v>
      </c>
      <c r="F446" t="s">
        <v>41</v>
      </c>
      <c r="G446" t="s">
        <v>63</v>
      </c>
      <c r="H446" t="s">
        <v>34</v>
      </c>
      <c r="I446" t="s">
        <v>42</v>
      </c>
      <c r="J446" s="4">
        <v>22.85</v>
      </c>
      <c r="K446" s="4">
        <v>13.39</v>
      </c>
      <c r="L446">
        <v>0</v>
      </c>
      <c r="M446" s="4">
        <v>0</v>
      </c>
      <c r="N446" s="4">
        <v>305.95999999999998</v>
      </c>
      <c r="O446" s="4">
        <v>189.05</v>
      </c>
      <c r="P446" s="4">
        <v>6.71</v>
      </c>
      <c r="Q446" s="4">
        <v>4.59</v>
      </c>
      <c r="R446" s="4">
        <v>4.2699999999999996</v>
      </c>
      <c r="S446" s="4">
        <v>263.11</v>
      </c>
      <c r="T446" s="4">
        <v>0</v>
      </c>
      <c r="U446" s="4">
        <v>467.73</v>
      </c>
      <c r="V446" s="4">
        <v>-161.77000000000001</v>
      </c>
      <c r="W446" t="s">
        <v>58</v>
      </c>
      <c r="X446" t="s">
        <v>66</v>
      </c>
      <c r="Y446" s="4">
        <v>6</v>
      </c>
      <c r="Z446" s="4">
        <v>2</v>
      </c>
      <c r="AA446" t="s">
        <v>37</v>
      </c>
      <c r="AB446" t="s">
        <v>38</v>
      </c>
      <c r="AC446" s="7">
        <v>3</v>
      </c>
      <c r="AD446" t="s">
        <v>45</v>
      </c>
      <c r="AE446">
        <f t="shared" si="6"/>
        <v>0</v>
      </c>
    </row>
    <row r="447" spans="1:31" x14ac:dyDescent="0.35">
      <c r="A447">
        <v>100446</v>
      </c>
      <c r="B447" s="3">
        <v>45995</v>
      </c>
      <c r="C447">
        <v>1087</v>
      </c>
      <c r="D447" t="s">
        <v>64</v>
      </c>
      <c r="E447" t="s">
        <v>67</v>
      </c>
      <c r="F447" t="s">
        <v>61</v>
      </c>
      <c r="G447" t="s">
        <v>46</v>
      </c>
      <c r="H447" t="s">
        <v>34</v>
      </c>
      <c r="I447" t="s">
        <v>35</v>
      </c>
      <c r="J447" s="4">
        <v>6.13</v>
      </c>
      <c r="K447" s="4">
        <v>14.65</v>
      </c>
      <c r="L447">
        <v>10</v>
      </c>
      <c r="M447" s="4">
        <v>8.98</v>
      </c>
      <c r="N447" s="4">
        <v>80.819999999999993</v>
      </c>
      <c r="O447" s="4">
        <v>40.32</v>
      </c>
      <c r="P447" s="4">
        <v>8.6</v>
      </c>
      <c r="Q447" s="4">
        <v>0.63</v>
      </c>
      <c r="R447" s="4">
        <v>8.68</v>
      </c>
      <c r="S447" s="4">
        <v>0</v>
      </c>
      <c r="T447" s="4">
        <v>0</v>
      </c>
      <c r="U447" s="4">
        <v>58.23</v>
      </c>
      <c r="V447" s="4">
        <v>22.59</v>
      </c>
      <c r="W447" t="s">
        <v>21</v>
      </c>
      <c r="X447" t="s">
        <v>36</v>
      </c>
      <c r="Y447" s="4">
        <v>1</v>
      </c>
      <c r="Z447" s="4">
        <v>24</v>
      </c>
      <c r="AA447" t="s">
        <v>37</v>
      </c>
      <c r="AB447" t="s">
        <v>44</v>
      </c>
      <c r="AC447" s="7">
        <v>2</v>
      </c>
      <c r="AD447" t="s">
        <v>45</v>
      </c>
      <c r="AE447">
        <f t="shared" si="6"/>
        <v>1</v>
      </c>
    </row>
    <row r="448" spans="1:31" x14ac:dyDescent="0.35">
      <c r="A448">
        <v>100447</v>
      </c>
      <c r="B448" s="3">
        <v>45958</v>
      </c>
      <c r="C448">
        <v>1052</v>
      </c>
      <c r="D448" t="s">
        <v>59</v>
      </c>
      <c r="E448" t="s">
        <v>68</v>
      </c>
      <c r="F448" t="s">
        <v>71</v>
      </c>
      <c r="G448" t="s">
        <v>46</v>
      </c>
      <c r="H448" t="s">
        <v>34</v>
      </c>
      <c r="I448" t="s">
        <v>35</v>
      </c>
      <c r="J448" s="4">
        <v>24.39</v>
      </c>
      <c r="K448" s="4">
        <v>17.149999999999999</v>
      </c>
      <c r="L448">
        <v>10</v>
      </c>
      <c r="M448" s="4">
        <v>41.83</v>
      </c>
      <c r="N448" s="4">
        <v>376.46</v>
      </c>
      <c r="O448" s="4">
        <v>182.2</v>
      </c>
      <c r="P448" s="4">
        <v>4.22</v>
      </c>
      <c r="Q448" s="4">
        <v>2.93</v>
      </c>
      <c r="R448" s="4">
        <v>3.75</v>
      </c>
      <c r="S448" s="4">
        <v>0</v>
      </c>
      <c r="T448" s="4">
        <v>0</v>
      </c>
      <c r="U448" s="4">
        <v>193.1</v>
      </c>
      <c r="V448" s="4">
        <v>183.36</v>
      </c>
      <c r="W448" t="s">
        <v>21</v>
      </c>
      <c r="X448" t="s">
        <v>36</v>
      </c>
      <c r="Y448" s="4">
        <v>9</v>
      </c>
      <c r="Z448" s="4">
        <v>7</v>
      </c>
      <c r="AA448" t="s">
        <v>37</v>
      </c>
      <c r="AB448" t="s">
        <v>38</v>
      </c>
      <c r="AC448" s="7">
        <v>0</v>
      </c>
      <c r="AD448" t="s">
        <v>39</v>
      </c>
      <c r="AE448">
        <f t="shared" si="6"/>
        <v>0</v>
      </c>
    </row>
    <row r="449" spans="1:31" x14ac:dyDescent="0.35">
      <c r="A449">
        <v>100448</v>
      </c>
      <c r="B449" s="3">
        <v>45974</v>
      </c>
      <c r="C449">
        <v>1063</v>
      </c>
      <c r="D449" t="s">
        <v>47</v>
      </c>
      <c r="E449" t="s">
        <v>56</v>
      </c>
      <c r="F449" t="s">
        <v>32</v>
      </c>
      <c r="G449" t="s">
        <v>63</v>
      </c>
      <c r="H449" t="s">
        <v>57</v>
      </c>
      <c r="I449" t="s">
        <v>35</v>
      </c>
      <c r="J449" s="4">
        <v>23.86</v>
      </c>
      <c r="K449" s="4">
        <v>12.72</v>
      </c>
      <c r="L449">
        <v>10</v>
      </c>
      <c r="M449" s="4">
        <v>30.35</v>
      </c>
      <c r="N449" s="4">
        <v>273.14999999999998</v>
      </c>
      <c r="O449" s="4">
        <v>161.22</v>
      </c>
      <c r="P449" s="4">
        <v>10.29</v>
      </c>
      <c r="Q449" s="4">
        <v>2.12</v>
      </c>
      <c r="R449" s="4">
        <v>12.99</v>
      </c>
      <c r="S449" s="4">
        <v>0</v>
      </c>
      <c r="T449" s="4">
        <v>0</v>
      </c>
      <c r="U449" s="4">
        <v>186.62</v>
      </c>
      <c r="V449" s="4">
        <v>86.53</v>
      </c>
      <c r="W449" t="s">
        <v>21</v>
      </c>
      <c r="X449" t="s">
        <v>36</v>
      </c>
      <c r="Y449" s="4">
        <v>10</v>
      </c>
      <c r="Z449" s="4">
        <v>18</v>
      </c>
      <c r="AA449" t="s">
        <v>37</v>
      </c>
      <c r="AB449" t="s">
        <v>44</v>
      </c>
      <c r="AC449" s="7">
        <v>3</v>
      </c>
      <c r="AD449" t="s">
        <v>45</v>
      </c>
      <c r="AE449">
        <f t="shared" si="6"/>
        <v>1</v>
      </c>
    </row>
    <row r="450" spans="1:31" x14ac:dyDescent="0.35">
      <c r="A450">
        <v>100449</v>
      </c>
      <c r="B450" s="3">
        <v>45937</v>
      </c>
      <c r="C450">
        <v>1141</v>
      </c>
      <c r="D450" t="s">
        <v>47</v>
      </c>
      <c r="E450" t="s">
        <v>53</v>
      </c>
      <c r="F450" t="s">
        <v>32</v>
      </c>
      <c r="G450" t="s">
        <v>46</v>
      </c>
      <c r="H450" t="s">
        <v>34</v>
      </c>
      <c r="I450" t="s">
        <v>54</v>
      </c>
      <c r="J450" s="4">
        <v>14.45</v>
      </c>
      <c r="K450" s="4">
        <v>15.72</v>
      </c>
      <c r="L450">
        <v>0</v>
      </c>
      <c r="M450" s="4">
        <v>0</v>
      </c>
      <c r="N450" s="4">
        <v>227.15</v>
      </c>
      <c r="O450" s="4">
        <v>117.75</v>
      </c>
      <c r="P450" s="4">
        <v>8.15</v>
      </c>
      <c r="Q450" s="4">
        <v>2.73</v>
      </c>
      <c r="R450" s="4">
        <v>7.25</v>
      </c>
      <c r="S450" s="4">
        <v>0</v>
      </c>
      <c r="T450" s="4">
        <v>0</v>
      </c>
      <c r="U450" s="4">
        <v>135.88</v>
      </c>
      <c r="V450" s="4">
        <v>91.27</v>
      </c>
      <c r="W450" t="s">
        <v>21</v>
      </c>
      <c r="X450" t="s">
        <v>36</v>
      </c>
      <c r="Y450" s="4">
        <v>5</v>
      </c>
      <c r="Z450" s="4">
        <v>2</v>
      </c>
      <c r="AA450" t="s">
        <v>37</v>
      </c>
      <c r="AB450" t="s">
        <v>38</v>
      </c>
      <c r="AC450" s="7">
        <v>0</v>
      </c>
      <c r="AD450" t="s">
        <v>39</v>
      </c>
      <c r="AE450">
        <f t="shared" si="6"/>
        <v>0</v>
      </c>
    </row>
    <row r="451" spans="1:31" x14ac:dyDescent="0.35">
      <c r="A451">
        <v>100450</v>
      </c>
      <c r="B451" s="3">
        <v>45982</v>
      </c>
      <c r="C451">
        <v>1078</v>
      </c>
      <c r="D451" t="s">
        <v>30</v>
      </c>
      <c r="E451" t="s">
        <v>72</v>
      </c>
      <c r="F451" t="s">
        <v>49</v>
      </c>
      <c r="G451" t="s">
        <v>63</v>
      </c>
      <c r="H451" t="s">
        <v>34</v>
      </c>
      <c r="I451" t="s">
        <v>35</v>
      </c>
      <c r="J451" s="4">
        <v>3</v>
      </c>
      <c r="K451" s="4">
        <v>13.08</v>
      </c>
      <c r="L451">
        <v>10</v>
      </c>
      <c r="M451" s="4">
        <v>3.92</v>
      </c>
      <c r="N451" s="4">
        <v>35.32</v>
      </c>
      <c r="O451" s="4">
        <v>24.35</v>
      </c>
      <c r="P451" s="4">
        <v>7.44</v>
      </c>
      <c r="Q451" s="4">
        <v>0.27</v>
      </c>
      <c r="R451" s="4">
        <v>7.87</v>
      </c>
      <c r="S451" s="4">
        <v>0</v>
      </c>
      <c r="T451" s="4">
        <v>0</v>
      </c>
      <c r="U451" s="4">
        <v>39.93</v>
      </c>
      <c r="V451" s="4">
        <v>-4.6100000000000003</v>
      </c>
      <c r="W451" t="s">
        <v>58</v>
      </c>
      <c r="X451" t="s">
        <v>36</v>
      </c>
      <c r="Y451" s="4">
        <v>7</v>
      </c>
      <c r="Z451" s="4">
        <v>2</v>
      </c>
      <c r="AA451" t="s">
        <v>37</v>
      </c>
      <c r="AB451" t="s">
        <v>38</v>
      </c>
      <c r="AC451" s="7">
        <v>0</v>
      </c>
      <c r="AD451" t="s">
        <v>45</v>
      </c>
      <c r="AE451">
        <f t="shared" ref="AE451:AE514" si="7">IF(AB451="Yes",1,0)</f>
        <v>0</v>
      </c>
    </row>
    <row r="452" spans="1:31" x14ac:dyDescent="0.35">
      <c r="A452">
        <v>100451</v>
      </c>
      <c r="B452" s="3">
        <v>45958</v>
      </c>
      <c r="C452">
        <v>1080</v>
      </c>
      <c r="D452" t="s">
        <v>47</v>
      </c>
      <c r="E452" t="s">
        <v>53</v>
      </c>
      <c r="F452" t="s">
        <v>61</v>
      </c>
      <c r="G452" t="s">
        <v>63</v>
      </c>
      <c r="H452" t="s">
        <v>57</v>
      </c>
      <c r="I452" t="s">
        <v>54</v>
      </c>
      <c r="J452" s="4">
        <v>26.35</v>
      </c>
      <c r="K452" s="4">
        <v>13.04</v>
      </c>
      <c r="L452">
        <v>20</v>
      </c>
      <c r="M452" s="4">
        <v>68.72</v>
      </c>
      <c r="N452" s="4">
        <v>274.88</v>
      </c>
      <c r="O452" s="4">
        <v>177.69</v>
      </c>
      <c r="P452" s="4">
        <v>8.0299999999999994</v>
      </c>
      <c r="Q452" s="4">
        <v>4.12</v>
      </c>
      <c r="R452" s="4">
        <v>9.85</v>
      </c>
      <c r="S452" s="4">
        <v>0</v>
      </c>
      <c r="T452" s="4">
        <v>0</v>
      </c>
      <c r="U452" s="4">
        <v>199.69</v>
      </c>
      <c r="V452" s="4">
        <v>75.19</v>
      </c>
      <c r="W452" t="s">
        <v>21</v>
      </c>
      <c r="X452" t="s">
        <v>36</v>
      </c>
      <c r="Y452" s="4">
        <v>12</v>
      </c>
      <c r="Z452" s="4">
        <v>21</v>
      </c>
      <c r="AA452" t="s">
        <v>37</v>
      </c>
      <c r="AB452" t="s">
        <v>44</v>
      </c>
      <c r="AC452" s="7">
        <v>3</v>
      </c>
      <c r="AD452" t="s">
        <v>45</v>
      </c>
      <c r="AE452">
        <f t="shared" si="7"/>
        <v>1</v>
      </c>
    </row>
    <row r="453" spans="1:31" x14ac:dyDescent="0.35">
      <c r="A453">
        <v>100452</v>
      </c>
      <c r="B453" s="3">
        <v>45969</v>
      </c>
      <c r="C453">
        <v>1045</v>
      </c>
      <c r="D453" t="s">
        <v>59</v>
      </c>
      <c r="E453" t="s">
        <v>60</v>
      </c>
      <c r="F453" t="s">
        <v>32</v>
      </c>
      <c r="G453" t="s">
        <v>63</v>
      </c>
      <c r="H453" t="s">
        <v>51</v>
      </c>
      <c r="I453" t="s">
        <v>35</v>
      </c>
      <c r="J453" s="4">
        <v>5.31</v>
      </c>
      <c r="K453" s="4">
        <v>11.79</v>
      </c>
      <c r="L453">
        <v>15</v>
      </c>
      <c r="M453" s="4">
        <v>9.39</v>
      </c>
      <c r="N453" s="4">
        <v>53.21</v>
      </c>
      <c r="O453" s="4">
        <v>31.72</v>
      </c>
      <c r="P453" s="4">
        <v>9.2200000000000006</v>
      </c>
      <c r="Q453" s="4">
        <v>0.44</v>
      </c>
      <c r="R453" s="4">
        <v>6.96</v>
      </c>
      <c r="S453" s="4">
        <v>0</v>
      </c>
      <c r="T453" s="4">
        <v>0</v>
      </c>
      <c r="U453" s="4">
        <v>48.34</v>
      </c>
      <c r="V453" s="4">
        <v>4.87</v>
      </c>
      <c r="W453" t="s">
        <v>21</v>
      </c>
      <c r="X453" t="s">
        <v>36</v>
      </c>
      <c r="Y453" s="4">
        <v>0</v>
      </c>
      <c r="Z453" s="4">
        <v>52</v>
      </c>
      <c r="AA453" t="s">
        <v>37</v>
      </c>
      <c r="AB453" t="s">
        <v>44</v>
      </c>
      <c r="AC453" s="7">
        <v>3</v>
      </c>
      <c r="AD453" t="s">
        <v>45</v>
      </c>
      <c r="AE453">
        <f t="shared" si="7"/>
        <v>1</v>
      </c>
    </row>
    <row r="454" spans="1:31" x14ac:dyDescent="0.35">
      <c r="A454">
        <v>100453</v>
      </c>
      <c r="B454" s="3">
        <v>45953</v>
      </c>
      <c r="C454">
        <v>1017</v>
      </c>
      <c r="D454" t="s">
        <v>64</v>
      </c>
      <c r="E454" t="s">
        <v>76</v>
      </c>
      <c r="F454" t="s">
        <v>32</v>
      </c>
      <c r="G454" t="s">
        <v>33</v>
      </c>
      <c r="H454" t="s">
        <v>51</v>
      </c>
      <c r="I454" t="s">
        <v>35</v>
      </c>
      <c r="J454" s="4">
        <v>26.76</v>
      </c>
      <c r="K454" s="4">
        <v>18.989999999999998</v>
      </c>
      <c r="L454">
        <v>5</v>
      </c>
      <c r="M454" s="4">
        <v>25.41</v>
      </c>
      <c r="N454" s="4">
        <v>482.76</v>
      </c>
      <c r="O454" s="4">
        <v>212.07</v>
      </c>
      <c r="P454" s="4">
        <v>4.04</v>
      </c>
      <c r="Q454" s="4">
        <v>3.56</v>
      </c>
      <c r="R454" s="4">
        <v>7.64</v>
      </c>
      <c r="S454" s="4">
        <v>0</v>
      </c>
      <c r="T454" s="4">
        <v>0</v>
      </c>
      <c r="U454" s="4">
        <v>227.31</v>
      </c>
      <c r="V454" s="4">
        <v>255.45</v>
      </c>
      <c r="W454" t="s">
        <v>21</v>
      </c>
      <c r="X454" t="s">
        <v>36</v>
      </c>
      <c r="Y454" s="4">
        <v>17</v>
      </c>
      <c r="Z454" s="4">
        <v>19</v>
      </c>
      <c r="AA454" t="s">
        <v>52</v>
      </c>
      <c r="AB454" t="s">
        <v>44</v>
      </c>
      <c r="AC454" s="7">
        <v>2</v>
      </c>
      <c r="AD454" t="s">
        <v>45</v>
      </c>
      <c r="AE454">
        <f t="shared" si="7"/>
        <v>1</v>
      </c>
    </row>
    <row r="455" spans="1:31" x14ac:dyDescent="0.35">
      <c r="A455">
        <v>100454</v>
      </c>
      <c r="B455" s="3">
        <v>45945</v>
      </c>
      <c r="C455">
        <v>1018</v>
      </c>
      <c r="D455" t="s">
        <v>47</v>
      </c>
      <c r="E455" t="s">
        <v>48</v>
      </c>
      <c r="F455" t="s">
        <v>61</v>
      </c>
      <c r="G455" t="s">
        <v>33</v>
      </c>
      <c r="H455" t="s">
        <v>34</v>
      </c>
      <c r="I455" t="s">
        <v>69</v>
      </c>
      <c r="J455" s="4">
        <v>30.13</v>
      </c>
      <c r="K455" s="4">
        <v>19.45</v>
      </c>
      <c r="L455">
        <v>0</v>
      </c>
      <c r="M455" s="4">
        <v>0</v>
      </c>
      <c r="N455" s="4">
        <v>586.03</v>
      </c>
      <c r="O455" s="4">
        <v>212.53</v>
      </c>
      <c r="P455" s="4">
        <v>4.4800000000000004</v>
      </c>
      <c r="Q455" s="4">
        <v>2.34</v>
      </c>
      <c r="R455" s="4">
        <v>10.95</v>
      </c>
      <c r="S455" s="4">
        <v>0</v>
      </c>
      <c r="T455" s="4">
        <v>0</v>
      </c>
      <c r="U455" s="4">
        <v>230.3</v>
      </c>
      <c r="V455" s="4">
        <v>355.73</v>
      </c>
      <c r="W455" t="s">
        <v>21</v>
      </c>
      <c r="X455" t="s">
        <v>36</v>
      </c>
      <c r="Y455" s="4">
        <v>9</v>
      </c>
      <c r="Z455" s="4">
        <v>5</v>
      </c>
      <c r="AA455" t="s">
        <v>37</v>
      </c>
      <c r="AB455" t="s">
        <v>38</v>
      </c>
      <c r="AC455" s="7">
        <v>0</v>
      </c>
      <c r="AD455" t="s">
        <v>39</v>
      </c>
      <c r="AE455">
        <f t="shared" si="7"/>
        <v>0</v>
      </c>
    </row>
    <row r="456" spans="1:31" x14ac:dyDescent="0.35">
      <c r="A456">
        <v>100455</v>
      </c>
      <c r="B456" s="3">
        <v>45964</v>
      </c>
      <c r="C456">
        <v>1079</v>
      </c>
      <c r="D456" t="s">
        <v>64</v>
      </c>
      <c r="E456" t="s">
        <v>67</v>
      </c>
      <c r="F456" t="s">
        <v>32</v>
      </c>
      <c r="G456" t="s">
        <v>50</v>
      </c>
      <c r="H456" t="s">
        <v>57</v>
      </c>
      <c r="I456" t="s">
        <v>35</v>
      </c>
      <c r="J456" s="4">
        <v>26.06</v>
      </c>
      <c r="K456" s="4">
        <v>17.79</v>
      </c>
      <c r="L456">
        <v>0</v>
      </c>
      <c r="M456" s="4">
        <v>0</v>
      </c>
      <c r="N456" s="4">
        <v>463.61</v>
      </c>
      <c r="O456" s="4">
        <v>211.51</v>
      </c>
      <c r="P456" s="4">
        <v>9.07</v>
      </c>
      <c r="Q456" s="4">
        <v>3.25</v>
      </c>
      <c r="R456" s="4">
        <v>7.08</v>
      </c>
      <c r="S456" s="4">
        <v>384.62</v>
      </c>
      <c r="T456" s="4">
        <v>16</v>
      </c>
      <c r="U456" s="4">
        <v>631.53</v>
      </c>
      <c r="V456" s="4">
        <v>-167.92</v>
      </c>
      <c r="W456" t="s">
        <v>58</v>
      </c>
      <c r="X456" t="s">
        <v>66</v>
      </c>
      <c r="Y456" s="4">
        <v>6</v>
      </c>
      <c r="Z456" s="4">
        <v>3</v>
      </c>
      <c r="AA456" t="s">
        <v>37</v>
      </c>
      <c r="AB456" t="s">
        <v>38</v>
      </c>
      <c r="AC456" s="7">
        <v>1</v>
      </c>
      <c r="AD456" t="s">
        <v>45</v>
      </c>
      <c r="AE456">
        <f t="shared" si="7"/>
        <v>0</v>
      </c>
    </row>
    <row r="457" spans="1:31" x14ac:dyDescent="0.35">
      <c r="A457">
        <v>100456</v>
      </c>
      <c r="B457" s="3">
        <v>45937</v>
      </c>
      <c r="C457">
        <v>1065</v>
      </c>
      <c r="D457" t="s">
        <v>47</v>
      </c>
      <c r="E457" t="s">
        <v>48</v>
      </c>
      <c r="F457" t="s">
        <v>61</v>
      </c>
      <c r="G457" t="s">
        <v>63</v>
      </c>
      <c r="H457" t="s">
        <v>34</v>
      </c>
      <c r="I457" t="s">
        <v>35</v>
      </c>
      <c r="J457" s="4">
        <v>23.8</v>
      </c>
      <c r="K457" s="4">
        <v>11.45</v>
      </c>
      <c r="L457">
        <v>10</v>
      </c>
      <c r="M457" s="4">
        <v>27.25</v>
      </c>
      <c r="N457" s="4">
        <v>245.26</v>
      </c>
      <c r="O457" s="4">
        <v>151.07</v>
      </c>
      <c r="P457" s="4">
        <v>6.78</v>
      </c>
      <c r="Q457" s="4">
        <v>1.91</v>
      </c>
      <c r="R457" s="4">
        <v>0.08</v>
      </c>
      <c r="S457" s="4">
        <v>0</v>
      </c>
      <c r="T457" s="4">
        <v>0</v>
      </c>
      <c r="U457" s="4">
        <v>159.84</v>
      </c>
      <c r="V457" s="4">
        <v>85.42</v>
      </c>
      <c r="W457" t="s">
        <v>21</v>
      </c>
      <c r="X457" t="s">
        <v>36</v>
      </c>
      <c r="Y457" s="4">
        <v>4</v>
      </c>
      <c r="Z457" s="4">
        <v>1</v>
      </c>
      <c r="AA457" t="s">
        <v>37</v>
      </c>
      <c r="AB457" t="s">
        <v>38</v>
      </c>
      <c r="AC457" s="7">
        <v>1</v>
      </c>
      <c r="AD457" t="s">
        <v>39</v>
      </c>
      <c r="AE457">
        <f t="shared" si="7"/>
        <v>0</v>
      </c>
    </row>
    <row r="458" spans="1:31" x14ac:dyDescent="0.35">
      <c r="A458">
        <v>100457</v>
      </c>
      <c r="B458" s="3">
        <v>45965</v>
      </c>
      <c r="C458">
        <v>1124</v>
      </c>
      <c r="D458" t="s">
        <v>64</v>
      </c>
      <c r="E458" t="s">
        <v>75</v>
      </c>
      <c r="F458" t="s">
        <v>32</v>
      </c>
      <c r="G458" t="s">
        <v>63</v>
      </c>
      <c r="H458" t="s">
        <v>34</v>
      </c>
      <c r="I458" t="s">
        <v>54</v>
      </c>
      <c r="J458" s="4">
        <v>11.59</v>
      </c>
      <c r="K458" s="4">
        <v>12.88</v>
      </c>
      <c r="L458">
        <v>20</v>
      </c>
      <c r="M458" s="4">
        <v>29.86</v>
      </c>
      <c r="N458" s="4">
        <v>119.42</v>
      </c>
      <c r="O458" s="4">
        <v>87.96</v>
      </c>
      <c r="P458" s="4">
        <v>13.9</v>
      </c>
      <c r="Q458" s="4">
        <v>1.79</v>
      </c>
      <c r="R458" s="4">
        <v>3.18</v>
      </c>
      <c r="S458" s="4">
        <v>0</v>
      </c>
      <c r="T458" s="4">
        <v>0</v>
      </c>
      <c r="U458" s="4">
        <v>106.83</v>
      </c>
      <c r="V458" s="4">
        <v>12.59</v>
      </c>
      <c r="W458" t="s">
        <v>21</v>
      </c>
      <c r="X458" t="s">
        <v>36</v>
      </c>
      <c r="Y458" s="4">
        <v>3</v>
      </c>
      <c r="Z458" s="4">
        <v>3</v>
      </c>
      <c r="AA458" t="s">
        <v>37</v>
      </c>
      <c r="AB458" t="s">
        <v>38</v>
      </c>
      <c r="AC458" s="7">
        <v>0</v>
      </c>
      <c r="AD458" t="s">
        <v>39</v>
      </c>
      <c r="AE458">
        <f t="shared" si="7"/>
        <v>0</v>
      </c>
    </row>
    <row r="459" spans="1:31" x14ac:dyDescent="0.35">
      <c r="A459">
        <v>100458</v>
      </c>
      <c r="B459" s="3">
        <v>45983</v>
      </c>
      <c r="C459">
        <v>1114</v>
      </c>
      <c r="D459" t="s">
        <v>64</v>
      </c>
      <c r="E459" t="s">
        <v>67</v>
      </c>
      <c r="F459" t="s">
        <v>41</v>
      </c>
      <c r="G459" t="s">
        <v>33</v>
      </c>
      <c r="H459" t="s">
        <v>34</v>
      </c>
      <c r="I459" t="s">
        <v>54</v>
      </c>
      <c r="J459" s="4">
        <v>37.880000000000003</v>
      </c>
      <c r="K459" s="4">
        <v>19.34</v>
      </c>
      <c r="L459">
        <v>10</v>
      </c>
      <c r="M459" s="4">
        <v>73.260000000000005</v>
      </c>
      <c r="N459" s="4">
        <v>659.34</v>
      </c>
      <c r="O459" s="4">
        <v>265.42</v>
      </c>
      <c r="P459" s="4">
        <v>3.15</v>
      </c>
      <c r="Q459" s="4">
        <v>8.7899999999999991</v>
      </c>
      <c r="R459" s="4">
        <v>5.0199999999999996</v>
      </c>
      <c r="S459" s="4">
        <v>0</v>
      </c>
      <c r="T459" s="4">
        <v>0</v>
      </c>
      <c r="U459" s="4">
        <v>282.38</v>
      </c>
      <c r="V459" s="4">
        <v>376.96</v>
      </c>
      <c r="W459" t="s">
        <v>21</v>
      </c>
      <c r="X459" t="s">
        <v>36</v>
      </c>
      <c r="Y459" s="4">
        <v>15</v>
      </c>
      <c r="Z459" s="4">
        <v>7</v>
      </c>
      <c r="AA459" t="s">
        <v>37</v>
      </c>
      <c r="AB459" t="s">
        <v>38</v>
      </c>
      <c r="AC459" s="7">
        <v>0</v>
      </c>
      <c r="AD459" t="s">
        <v>39</v>
      </c>
      <c r="AE459">
        <f t="shared" si="7"/>
        <v>0</v>
      </c>
    </row>
    <row r="460" spans="1:31" x14ac:dyDescent="0.35">
      <c r="A460">
        <v>100459</v>
      </c>
      <c r="B460" s="3">
        <v>45985</v>
      </c>
      <c r="C460">
        <v>1105</v>
      </c>
      <c r="D460" t="s">
        <v>47</v>
      </c>
      <c r="E460" t="s">
        <v>53</v>
      </c>
      <c r="F460" t="s">
        <v>61</v>
      </c>
      <c r="G460" t="s">
        <v>63</v>
      </c>
      <c r="H460" t="s">
        <v>34</v>
      </c>
      <c r="I460" t="s">
        <v>35</v>
      </c>
      <c r="J460" s="4">
        <v>25.51</v>
      </c>
      <c r="K460" s="4">
        <v>13.74</v>
      </c>
      <c r="L460">
        <v>0</v>
      </c>
      <c r="M460" s="4">
        <v>0</v>
      </c>
      <c r="N460" s="4">
        <v>350.51</v>
      </c>
      <c r="O460" s="4">
        <v>200.52</v>
      </c>
      <c r="P460" s="4">
        <v>5.22</v>
      </c>
      <c r="Q460" s="4">
        <v>2.4500000000000002</v>
      </c>
      <c r="R460" s="4">
        <v>8.36</v>
      </c>
      <c r="S460" s="4">
        <v>0</v>
      </c>
      <c r="T460" s="4">
        <v>0</v>
      </c>
      <c r="U460" s="4">
        <v>216.55</v>
      </c>
      <c r="V460" s="4">
        <v>133.96</v>
      </c>
      <c r="W460" t="s">
        <v>21</v>
      </c>
      <c r="X460" t="s">
        <v>36</v>
      </c>
      <c r="Y460" s="4">
        <v>6</v>
      </c>
      <c r="Z460" s="4">
        <v>12</v>
      </c>
      <c r="AA460" t="s">
        <v>37</v>
      </c>
      <c r="AB460" t="s">
        <v>38</v>
      </c>
      <c r="AC460" s="7">
        <v>0</v>
      </c>
      <c r="AD460" t="s">
        <v>39</v>
      </c>
      <c r="AE460">
        <f t="shared" si="7"/>
        <v>0</v>
      </c>
    </row>
    <row r="461" spans="1:31" x14ac:dyDescent="0.35">
      <c r="A461">
        <v>100460</v>
      </c>
      <c r="B461" s="3">
        <v>45975</v>
      </c>
      <c r="C461">
        <v>1078</v>
      </c>
      <c r="D461" t="s">
        <v>59</v>
      </c>
      <c r="E461" t="s">
        <v>68</v>
      </c>
      <c r="F461" t="s">
        <v>32</v>
      </c>
      <c r="G461" t="s">
        <v>46</v>
      </c>
      <c r="H461" t="s">
        <v>34</v>
      </c>
      <c r="I461" t="s">
        <v>35</v>
      </c>
      <c r="J461" s="4">
        <v>30.36</v>
      </c>
      <c r="K461" s="4">
        <v>14.65</v>
      </c>
      <c r="L461">
        <v>0</v>
      </c>
      <c r="M461" s="4">
        <v>0</v>
      </c>
      <c r="N461" s="4">
        <v>444.77</v>
      </c>
      <c r="O461" s="4">
        <v>190.61</v>
      </c>
      <c r="P461" s="4">
        <v>5.46</v>
      </c>
      <c r="Q461" s="4">
        <v>3.11</v>
      </c>
      <c r="R461" s="4">
        <v>3.85</v>
      </c>
      <c r="S461" s="4">
        <v>0</v>
      </c>
      <c r="T461" s="4">
        <v>0</v>
      </c>
      <c r="U461" s="4">
        <v>203.03</v>
      </c>
      <c r="V461" s="4">
        <v>241.74</v>
      </c>
      <c r="W461" t="s">
        <v>21</v>
      </c>
      <c r="X461" t="s">
        <v>36</v>
      </c>
      <c r="Y461" s="4">
        <v>14</v>
      </c>
      <c r="Z461" s="4">
        <v>5</v>
      </c>
      <c r="AA461" t="s">
        <v>37</v>
      </c>
      <c r="AB461" t="s">
        <v>38</v>
      </c>
      <c r="AC461" s="7">
        <v>0</v>
      </c>
      <c r="AD461" t="s">
        <v>39</v>
      </c>
      <c r="AE461">
        <f t="shared" si="7"/>
        <v>0</v>
      </c>
    </row>
    <row r="462" spans="1:31" x14ac:dyDescent="0.35">
      <c r="A462">
        <v>100461</v>
      </c>
      <c r="B462" s="3">
        <v>45976</v>
      </c>
      <c r="C462">
        <v>1135</v>
      </c>
      <c r="D462" t="s">
        <v>59</v>
      </c>
      <c r="E462" t="s">
        <v>70</v>
      </c>
      <c r="F462" t="s">
        <v>61</v>
      </c>
      <c r="G462" t="s">
        <v>63</v>
      </c>
      <c r="H462" t="s">
        <v>57</v>
      </c>
      <c r="I462" t="s">
        <v>69</v>
      </c>
      <c r="J462" s="4">
        <v>11.93</v>
      </c>
      <c r="K462" s="4">
        <v>12.47</v>
      </c>
      <c r="L462">
        <v>5</v>
      </c>
      <c r="M462" s="4">
        <v>7.44</v>
      </c>
      <c r="N462" s="4">
        <v>141.33000000000001</v>
      </c>
      <c r="O462" s="4">
        <v>104.35</v>
      </c>
      <c r="P462" s="4">
        <v>12.04</v>
      </c>
      <c r="Q462" s="4">
        <v>0.6</v>
      </c>
      <c r="R462" s="4">
        <v>5.78</v>
      </c>
      <c r="S462" s="4">
        <v>0</v>
      </c>
      <c r="T462" s="4">
        <v>0</v>
      </c>
      <c r="U462" s="4">
        <v>122.77</v>
      </c>
      <c r="V462" s="4">
        <v>18.559999999999999</v>
      </c>
      <c r="W462" t="s">
        <v>21</v>
      </c>
      <c r="X462" t="s">
        <v>36</v>
      </c>
      <c r="Y462" s="4">
        <v>27</v>
      </c>
      <c r="Z462" s="4">
        <v>17</v>
      </c>
      <c r="AA462" t="s">
        <v>52</v>
      </c>
      <c r="AB462" t="s">
        <v>44</v>
      </c>
      <c r="AC462" s="7">
        <v>1</v>
      </c>
      <c r="AD462" t="s">
        <v>45</v>
      </c>
      <c r="AE462">
        <f t="shared" si="7"/>
        <v>1</v>
      </c>
    </row>
    <row r="463" spans="1:31" x14ac:dyDescent="0.35">
      <c r="A463">
        <v>100462</v>
      </c>
      <c r="B463" s="3">
        <v>45939</v>
      </c>
      <c r="C463">
        <v>1021</v>
      </c>
      <c r="D463" t="s">
        <v>47</v>
      </c>
      <c r="E463" t="s">
        <v>56</v>
      </c>
      <c r="F463" t="s">
        <v>41</v>
      </c>
      <c r="G463" t="s">
        <v>63</v>
      </c>
      <c r="H463" t="s">
        <v>34</v>
      </c>
      <c r="I463" t="s">
        <v>69</v>
      </c>
      <c r="J463" s="4">
        <v>13.92</v>
      </c>
      <c r="K463" s="4">
        <v>12.46</v>
      </c>
      <c r="L463">
        <v>0</v>
      </c>
      <c r="M463" s="4">
        <v>0</v>
      </c>
      <c r="N463" s="4">
        <v>173.44</v>
      </c>
      <c r="O463" s="4">
        <v>91.49</v>
      </c>
      <c r="P463" s="4">
        <v>14.46</v>
      </c>
      <c r="Q463" s="4">
        <v>0.69</v>
      </c>
      <c r="R463" s="4">
        <v>7.95</v>
      </c>
      <c r="S463" s="4">
        <v>0</v>
      </c>
      <c r="T463" s="4">
        <v>0</v>
      </c>
      <c r="U463" s="4">
        <v>114.59</v>
      </c>
      <c r="V463" s="4">
        <v>58.85</v>
      </c>
      <c r="W463" t="s">
        <v>21</v>
      </c>
      <c r="X463" t="s">
        <v>36</v>
      </c>
      <c r="Y463" s="4">
        <v>9</v>
      </c>
      <c r="Z463" s="4">
        <v>3</v>
      </c>
      <c r="AA463" t="s">
        <v>37</v>
      </c>
      <c r="AB463" t="s">
        <v>38</v>
      </c>
      <c r="AC463" s="7">
        <v>0</v>
      </c>
      <c r="AD463" t="s">
        <v>39</v>
      </c>
      <c r="AE463">
        <f t="shared" si="7"/>
        <v>0</v>
      </c>
    </row>
    <row r="464" spans="1:31" x14ac:dyDescent="0.35">
      <c r="A464">
        <v>100463</v>
      </c>
      <c r="B464" s="3">
        <v>46004</v>
      </c>
      <c r="C464">
        <v>1083</v>
      </c>
      <c r="D464" t="s">
        <v>59</v>
      </c>
      <c r="E464" t="s">
        <v>73</v>
      </c>
      <c r="F464" t="s">
        <v>41</v>
      </c>
      <c r="G464" t="s">
        <v>63</v>
      </c>
      <c r="H464" t="s">
        <v>34</v>
      </c>
      <c r="I464" t="s">
        <v>35</v>
      </c>
      <c r="J464" s="4">
        <v>19.079999999999998</v>
      </c>
      <c r="K464" s="4">
        <v>12.94</v>
      </c>
      <c r="L464">
        <v>0</v>
      </c>
      <c r="M464" s="4">
        <v>0</v>
      </c>
      <c r="N464" s="4">
        <v>246.9</v>
      </c>
      <c r="O464" s="4">
        <v>121.39</v>
      </c>
      <c r="P464" s="4">
        <v>8.58</v>
      </c>
      <c r="Q464" s="4">
        <v>1.73</v>
      </c>
      <c r="R464" s="4">
        <v>4.25</v>
      </c>
      <c r="S464" s="4">
        <v>0</v>
      </c>
      <c r="T464" s="4">
        <v>0</v>
      </c>
      <c r="U464" s="4">
        <v>135.94999999999999</v>
      </c>
      <c r="V464" s="4">
        <v>110.95</v>
      </c>
      <c r="W464" t="s">
        <v>21</v>
      </c>
      <c r="X464" t="s">
        <v>36</v>
      </c>
      <c r="Y464" s="4">
        <v>27</v>
      </c>
      <c r="Z464" s="4">
        <v>21</v>
      </c>
      <c r="AA464" t="s">
        <v>52</v>
      </c>
      <c r="AB464" t="s">
        <v>44</v>
      </c>
      <c r="AC464" s="7">
        <v>1</v>
      </c>
      <c r="AD464" t="s">
        <v>45</v>
      </c>
      <c r="AE464">
        <f t="shared" si="7"/>
        <v>1</v>
      </c>
    </row>
    <row r="465" spans="1:31" x14ac:dyDescent="0.35">
      <c r="A465">
        <v>100464</v>
      </c>
      <c r="B465" s="3">
        <v>46022</v>
      </c>
      <c r="C465">
        <v>1054</v>
      </c>
      <c r="D465" t="s">
        <v>64</v>
      </c>
      <c r="E465" t="s">
        <v>76</v>
      </c>
      <c r="F465" t="s">
        <v>32</v>
      </c>
      <c r="G465" t="s">
        <v>63</v>
      </c>
      <c r="H465" t="s">
        <v>34</v>
      </c>
      <c r="I465" t="s">
        <v>35</v>
      </c>
      <c r="J465" s="4">
        <v>22.02</v>
      </c>
      <c r="K465" s="4">
        <v>11.15</v>
      </c>
      <c r="L465">
        <v>5</v>
      </c>
      <c r="M465" s="4">
        <v>12.28</v>
      </c>
      <c r="N465" s="4">
        <v>233.24</v>
      </c>
      <c r="O465" s="4">
        <v>140.47999999999999</v>
      </c>
      <c r="P465" s="4">
        <v>11.87</v>
      </c>
      <c r="Q465" s="4">
        <v>1.72</v>
      </c>
      <c r="R465" s="4">
        <v>8.77</v>
      </c>
      <c r="S465" s="4">
        <v>0</v>
      </c>
      <c r="T465" s="4">
        <v>0</v>
      </c>
      <c r="U465" s="4">
        <v>162.84</v>
      </c>
      <c r="V465" s="4">
        <v>70.400000000000006</v>
      </c>
      <c r="W465" t="s">
        <v>21</v>
      </c>
      <c r="X465" t="s">
        <v>36</v>
      </c>
      <c r="Y465" s="4">
        <v>3</v>
      </c>
      <c r="Z465" s="4">
        <v>10</v>
      </c>
      <c r="AA465" t="s">
        <v>37</v>
      </c>
      <c r="AB465" t="s">
        <v>38</v>
      </c>
      <c r="AC465" s="7">
        <v>0</v>
      </c>
      <c r="AD465" t="s">
        <v>39</v>
      </c>
      <c r="AE465">
        <f t="shared" si="7"/>
        <v>0</v>
      </c>
    </row>
    <row r="466" spans="1:31" x14ac:dyDescent="0.35">
      <c r="A466">
        <v>100465</v>
      </c>
      <c r="B466" s="3">
        <v>45979</v>
      </c>
      <c r="C466">
        <v>1139</v>
      </c>
      <c r="D466" t="s">
        <v>30</v>
      </c>
      <c r="E466" t="s">
        <v>72</v>
      </c>
      <c r="F466" t="s">
        <v>49</v>
      </c>
      <c r="G466" t="s">
        <v>63</v>
      </c>
      <c r="H466" t="s">
        <v>57</v>
      </c>
      <c r="I466" t="s">
        <v>54</v>
      </c>
      <c r="J466" s="4">
        <v>23.26</v>
      </c>
      <c r="K466" s="4">
        <v>12.5</v>
      </c>
      <c r="L466">
        <v>10</v>
      </c>
      <c r="M466" s="4">
        <v>29.08</v>
      </c>
      <c r="N466" s="4">
        <v>261.67</v>
      </c>
      <c r="O466" s="4">
        <v>181.62</v>
      </c>
      <c r="P466" s="4">
        <v>9.8800000000000008</v>
      </c>
      <c r="Q466" s="4">
        <v>3.49</v>
      </c>
      <c r="R466" s="4">
        <v>3.2</v>
      </c>
      <c r="S466" s="4">
        <v>281.42</v>
      </c>
      <c r="T466" s="4">
        <v>3.01</v>
      </c>
      <c r="U466" s="4">
        <v>482.62</v>
      </c>
      <c r="V466" s="4">
        <v>-220.95</v>
      </c>
      <c r="W466" t="s">
        <v>58</v>
      </c>
      <c r="X466" t="s">
        <v>55</v>
      </c>
      <c r="Y466" s="4">
        <v>13</v>
      </c>
      <c r="Z466" s="4">
        <v>5</v>
      </c>
      <c r="AA466" t="s">
        <v>37</v>
      </c>
      <c r="AB466" t="s">
        <v>44</v>
      </c>
      <c r="AC466" s="7">
        <v>2</v>
      </c>
      <c r="AD466" t="s">
        <v>45</v>
      </c>
      <c r="AE466">
        <f t="shared" si="7"/>
        <v>1</v>
      </c>
    </row>
    <row r="467" spans="1:31" x14ac:dyDescent="0.35">
      <c r="A467">
        <v>100466</v>
      </c>
      <c r="B467" s="3">
        <v>46010</v>
      </c>
      <c r="C467">
        <v>1134</v>
      </c>
      <c r="D467" t="s">
        <v>64</v>
      </c>
      <c r="E467" t="s">
        <v>76</v>
      </c>
      <c r="F467" t="s">
        <v>71</v>
      </c>
      <c r="G467" t="s">
        <v>33</v>
      </c>
      <c r="H467" t="s">
        <v>34</v>
      </c>
      <c r="I467" t="s">
        <v>35</v>
      </c>
      <c r="J467" s="4">
        <v>28.58</v>
      </c>
      <c r="K467" s="4">
        <v>18.73</v>
      </c>
      <c r="L467">
        <v>15</v>
      </c>
      <c r="M467" s="4">
        <v>80.290000000000006</v>
      </c>
      <c r="N467" s="4">
        <v>455.01</v>
      </c>
      <c r="O467" s="4">
        <v>258.16000000000003</v>
      </c>
      <c r="P467" s="4">
        <v>9.6199999999999992</v>
      </c>
      <c r="Q467" s="4">
        <v>3.75</v>
      </c>
      <c r="R467" s="4">
        <v>7.33</v>
      </c>
      <c r="S467" s="4">
        <v>0</v>
      </c>
      <c r="T467" s="4">
        <v>0</v>
      </c>
      <c r="U467" s="4">
        <v>278.86</v>
      </c>
      <c r="V467" s="4">
        <v>176.15</v>
      </c>
      <c r="W467" t="s">
        <v>21</v>
      </c>
      <c r="X467" t="s">
        <v>36</v>
      </c>
      <c r="Y467" s="4">
        <v>4</v>
      </c>
      <c r="Z467" s="4">
        <v>0</v>
      </c>
      <c r="AA467" t="s">
        <v>37</v>
      </c>
      <c r="AB467" t="s">
        <v>38</v>
      </c>
      <c r="AC467" s="7">
        <v>0</v>
      </c>
      <c r="AD467" t="s">
        <v>39</v>
      </c>
      <c r="AE467">
        <f t="shared" si="7"/>
        <v>0</v>
      </c>
    </row>
    <row r="468" spans="1:31" x14ac:dyDescent="0.35">
      <c r="A468">
        <v>100467</v>
      </c>
      <c r="B468" s="3">
        <v>45934</v>
      </c>
      <c r="C468">
        <v>1061</v>
      </c>
      <c r="D468" t="s">
        <v>59</v>
      </c>
      <c r="E468" t="s">
        <v>70</v>
      </c>
      <c r="F468" t="s">
        <v>32</v>
      </c>
      <c r="G468" t="s">
        <v>33</v>
      </c>
      <c r="H468" t="s">
        <v>34</v>
      </c>
      <c r="I468" t="s">
        <v>35</v>
      </c>
      <c r="J468" s="4">
        <v>20.22</v>
      </c>
      <c r="K468" s="4">
        <v>18.73</v>
      </c>
      <c r="L468">
        <v>0</v>
      </c>
      <c r="M468" s="4">
        <v>0</v>
      </c>
      <c r="N468" s="4">
        <v>378.72</v>
      </c>
      <c r="O468" s="4">
        <v>159.12</v>
      </c>
      <c r="P468" s="4">
        <v>10.83</v>
      </c>
      <c r="Q468" s="4">
        <v>2.65</v>
      </c>
      <c r="R468" s="4">
        <v>9.31</v>
      </c>
      <c r="S468" s="4">
        <v>175.99</v>
      </c>
      <c r="T468" s="4">
        <v>0</v>
      </c>
      <c r="U468" s="4">
        <v>357.9</v>
      </c>
      <c r="V468" s="4">
        <v>20.82</v>
      </c>
      <c r="W468" t="s">
        <v>21</v>
      </c>
      <c r="X468" t="s">
        <v>55</v>
      </c>
      <c r="Y468" s="4">
        <v>4</v>
      </c>
      <c r="Z468" s="4">
        <v>9</v>
      </c>
      <c r="AA468" t="s">
        <v>37</v>
      </c>
      <c r="AB468" t="s">
        <v>44</v>
      </c>
      <c r="AC468" s="7">
        <v>4</v>
      </c>
      <c r="AD468" t="s">
        <v>45</v>
      </c>
      <c r="AE468">
        <f t="shared" si="7"/>
        <v>1</v>
      </c>
    </row>
    <row r="469" spans="1:31" x14ac:dyDescent="0.35">
      <c r="A469">
        <v>100468</v>
      </c>
      <c r="B469" s="3">
        <v>45980</v>
      </c>
      <c r="C469">
        <v>1069</v>
      </c>
      <c r="D469" t="s">
        <v>64</v>
      </c>
      <c r="E469" t="s">
        <v>75</v>
      </c>
      <c r="F469" t="s">
        <v>49</v>
      </c>
      <c r="G469" t="s">
        <v>63</v>
      </c>
      <c r="H469" t="s">
        <v>51</v>
      </c>
      <c r="I469" t="s">
        <v>35</v>
      </c>
      <c r="J469" s="4">
        <v>31.9</v>
      </c>
      <c r="K469" s="4">
        <v>12.49</v>
      </c>
      <c r="L469">
        <v>0</v>
      </c>
      <c r="M469" s="4">
        <v>0</v>
      </c>
      <c r="N469" s="4">
        <v>398.43</v>
      </c>
      <c r="O469" s="4">
        <v>257.39</v>
      </c>
      <c r="P469" s="4">
        <v>9.61</v>
      </c>
      <c r="Q469" s="4">
        <v>2.79</v>
      </c>
      <c r="R469" s="4">
        <v>5.18</v>
      </c>
      <c r="S469" s="4">
        <v>0</v>
      </c>
      <c r="T469" s="4">
        <v>0</v>
      </c>
      <c r="U469" s="4">
        <v>274.97000000000003</v>
      </c>
      <c r="V469" s="4">
        <v>123.46</v>
      </c>
      <c r="W469" t="s">
        <v>21</v>
      </c>
      <c r="X469" t="s">
        <v>36</v>
      </c>
      <c r="Y469" s="4">
        <v>39</v>
      </c>
      <c r="Z469" s="4">
        <v>10</v>
      </c>
      <c r="AA469" t="s">
        <v>43</v>
      </c>
      <c r="AB469" t="s">
        <v>44</v>
      </c>
      <c r="AC469" s="7">
        <v>1</v>
      </c>
      <c r="AD469" t="s">
        <v>45</v>
      </c>
      <c r="AE469">
        <f t="shared" si="7"/>
        <v>1</v>
      </c>
    </row>
    <row r="470" spans="1:31" x14ac:dyDescent="0.35">
      <c r="A470">
        <v>100469</v>
      </c>
      <c r="B470" s="3">
        <v>46013</v>
      </c>
      <c r="C470">
        <v>1106</v>
      </c>
      <c r="D470" t="s">
        <v>64</v>
      </c>
      <c r="E470" t="s">
        <v>75</v>
      </c>
      <c r="F470" t="s">
        <v>32</v>
      </c>
      <c r="G470" t="s">
        <v>63</v>
      </c>
      <c r="H470" t="s">
        <v>34</v>
      </c>
      <c r="I470" t="s">
        <v>42</v>
      </c>
      <c r="J470" s="4">
        <v>18.13</v>
      </c>
      <c r="K470" s="4">
        <v>13.03</v>
      </c>
      <c r="L470">
        <v>0</v>
      </c>
      <c r="M470" s="4">
        <v>0</v>
      </c>
      <c r="N470" s="4">
        <v>236.23</v>
      </c>
      <c r="O470" s="4">
        <v>115.56</v>
      </c>
      <c r="P470" s="4">
        <v>11.52</v>
      </c>
      <c r="Q470" s="4">
        <v>3.54</v>
      </c>
      <c r="R470" s="4">
        <v>11.09</v>
      </c>
      <c r="S470" s="4">
        <v>0</v>
      </c>
      <c r="T470" s="4">
        <v>0</v>
      </c>
      <c r="U470" s="4">
        <v>141.71</v>
      </c>
      <c r="V470" s="4">
        <v>94.52</v>
      </c>
      <c r="W470" t="s">
        <v>21</v>
      </c>
      <c r="X470" t="s">
        <v>36</v>
      </c>
      <c r="Y470" s="4">
        <v>51</v>
      </c>
      <c r="Z470" s="4">
        <v>4</v>
      </c>
      <c r="AA470" t="s">
        <v>43</v>
      </c>
      <c r="AB470" t="s">
        <v>44</v>
      </c>
      <c r="AC470" s="7">
        <v>2</v>
      </c>
      <c r="AD470" t="s">
        <v>45</v>
      </c>
      <c r="AE470">
        <f t="shared" si="7"/>
        <v>1</v>
      </c>
    </row>
    <row r="471" spans="1:31" x14ac:dyDescent="0.35">
      <c r="A471">
        <v>100470</v>
      </c>
      <c r="B471" s="3">
        <v>45984</v>
      </c>
      <c r="C471">
        <v>1089</v>
      </c>
      <c r="D471" t="s">
        <v>47</v>
      </c>
      <c r="E471" t="s">
        <v>53</v>
      </c>
      <c r="F471" t="s">
        <v>32</v>
      </c>
      <c r="G471" t="s">
        <v>63</v>
      </c>
      <c r="H471" t="s">
        <v>57</v>
      </c>
      <c r="I471" t="s">
        <v>54</v>
      </c>
      <c r="J471" s="4">
        <v>7.77</v>
      </c>
      <c r="K471" s="4">
        <v>12.89</v>
      </c>
      <c r="L471">
        <v>15</v>
      </c>
      <c r="M471" s="4">
        <v>15.02</v>
      </c>
      <c r="N471" s="4">
        <v>85.14</v>
      </c>
      <c r="O471" s="4">
        <v>55.62</v>
      </c>
      <c r="P471" s="4">
        <v>2.06</v>
      </c>
      <c r="Q471" s="4">
        <v>1.2</v>
      </c>
      <c r="R471" s="4">
        <v>1.62</v>
      </c>
      <c r="S471" s="4">
        <v>0</v>
      </c>
      <c r="T471" s="4">
        <v>0</v>
      </c>
      <c r="U471" s="4">
        <v>60.5</v>
      </c>
      <c r="V471" s="4">
        <v>24.64</v>
      </c>
      <c r="W471" t="s">
        <v>21</v>
      </c>
      <c r="X471" t="s">
        <v>36</v>
      </c>
      <c r="Y471" s="4">
        <v>1</v>
      </c>
      <c r="Z471" s="4">
        <v>14</v>
      </c>
      <c r="AA471" t="s">
        <v>37</v>
      </c>
      <c r="AB471" t="s">
        <v>38</v>
      </c>
      <c r="AC471" s="7">
        <v>0</v>
      </c>
      <c r="AD471" t="s">
        <v>39</v>
      </c>
      <c r="AE471">
        <f t="shared" si="7"/>
        <v>0</v>
      </c>
    </row>
    <row r="472" spans="1:31" x14ac:dyDescent="0.35">
      <c r="A472">
        <v>100471</v>
      </c>
      <c r="B472" s="3">
        <v>45959</v>
      </c>
      <c r="C472">
        <v>1130</v>
      </c>
      <c r="D472" t="s">
        <v>30</v>
      </c>
      <c r="E472" t="s">
        <v>31</v>
      </c>
      <c r="F472" t="s">
        <v>41</v>
      </c>
      <c r="G472" t="s">
        <v>63</v>
      </c>
      <c r="H472" t="s">
        <v>34</v>
      </c>
      <c r="I472" t="s">
        <v>35</v>
      </c>
      <c r="J472" s="4">
        <v>28.26</v>
      </c>
      <c r="K472" s="4">
        <v>12.94</v>
      </c>
      <c r="L472">
        <v>15</v>
      </c>
      <c r="M472" s="4">
        <v>54.85</v>
      </c>
      <c r="N472" s="4">
        <v>310.83</v>
      </c>
      <c r="O472" s="4">
        <v>197.01</v>
      </c>
      <c r="P472" s="4">
        <v>6.59</v>
      </c>
      <c r="Q472" s="4">
        <v>2.56</v>
      </c>
      <c r="R472" s="4">
        <v>0.84</v>
      </c>
      <c r="S472" s="4">
        <v>0</v>
      </c>
      <c r="T472" s="4">
        <v>0</v>
      </c>
      <c r="U472" s="4">
        <v>207</v>
      </c>
      <c r="V472" s="4">
        <v>103.83</v>
      </c>
      <c r="W472" t="s">
        <v>21</v>
      </c>
      <c r="X472" t="s">
        <v>36</v>
      </c>
      <c r="Y472" s="4">
        <v>11</v>
      </c>
      <c r="Z472" s="4">
        <v>1</v>
      </c>
      <c r="AA472" t="s">
        <v>37</v>
      </c>
      <c r="AB472" t="s">
        <v>38</v>
      </c>
      <c r="AC472" s="7">
        <v>0</v>
      </c>
      <c r="AD472" t="s">
        <v>39</v>
      </c>
      <c r="AE472">
        <f t="shared" si="7"/>
        <v>0</v>
      </c>
    </row>
    <row r="473" spans="1:31" x14ac:dyDescent="0.35">
      <c r="A473">
        <v>100472</v>
      </c>
      <c r="B473" s="3">
        <v>46014</v>
      </c>
      <c r="C473">
        <v>1110</v>
      </c>
      <c r="D473" t="s">
        <v>64</v>
      </c>
      <c r="E473" t="s">
        <v>65</v>
      </c>
      <c r="F473" t="s">
        <v>49</v>
      </c>
      <c r="G473" t="s">
        <v>33</v>
      </c>
      <c r="H473" t="s">
        <v>34</v>
      </c>
      <c r="I473" t="s">
        <v>69</v>
      </c>
      <c r="J473" s="4">
        <v>37.74</v>
      </c>
      <c r="K473" s="4">
        <v>19.420000000000002</v>
      </c>
      <c r="L473">
        <v>0</v>
      </c>
      <c r="M473" s="4">
        <v>0</v>
      </c>
      <c r="N473" s="4">
        <v>732.91</v>
      </c>
      <c r="O473" s="4">
        <v>224.44</v>
      </c>
      <c r="P473" s="4">
        <v>7.08</v>
      </c>
      <c r="Q473" s="4">
        <v>2.93</v>
      </c>
      <c r="R473" s="4">
        <v>9.31</v>
      </c>
      <c r="S473" s="4">
        <v>0</v>
      </c>
      <c r="T473" s="4">
        <v>0</v>
      </c>
      <c r="U473" s="4">
        <v>243.76</v>
      </c>
      <c r="V473" s="4">
        <v>489.15</v>
      </c>
      <c r="W473" t="s">
        <v>21</v>
      </c>
      <c r="X473" t="s">
        <v>36</v>
      </c>
      <c r="Y473" s="4">
        <v>6</v>
      </c>
      <c r="Z473" s="4">
        <v>4</v>
      </c>
      <c r="AA473" t="s">
        <v>37</v>
      </c>
      <c r="AB473" t="s">
        <v>38</v>
      </c>
      <c r="AC473" s="7">
        <v>0</v>
      </c>
      <c r="AD473" t="s">
        <v>39</v>
      </c>
      <c r="AE473">
        <f t="shared" si="7"/>
        <v>0</v>
      </c>
    </row>
    <row r="474" spans="1:31" x14ac:dyDescent="0.35">
      <c r="A474">
        <v>100473</v>
      </c>
      <c r="B474" s="3">
        <v>45998</v>
      </c>
      <c r="C474">
        <v>1110</v>
      </c>
      <c r="D474" t="s">
        <v>47</v>
      </c>
      <c r="E474" t="s">
        <v>56</v>
      </c>
      <c r="F474" t="s">
        <v>71</v>
      </c>
      <c r="G474" t="s">
        <v>63</v>
      </c>
      <c r="H474" t="s">
        <v>34</v>
      </c>
      <c r="I474" t="s">
        <v>69</v>
      </c>
      <c r="J474" s="4">
        <v>32.29</v>
      </c>
      <c r="K474" s="4">
        <v>13.57</v>
      </c>
      <c r="L474">
        <v>5</v>
      </c>
      <c r="M474" s="4">
        <v>21.91</v>
      </c>
      <c r="N474" s="4">
        <v>416.27</v>
      </c>
      <c r="O474" s="4">
        <v>205.89</v>
      </c>
      <c r="P474" s="4">
        <v>8.77</v>
      </c>
      <c r="Q474" s="4">
        <v>1.75</v>
      </c>
      <c r="R474" s="4">
        <v>5.97</v>
      </c>
      <c r="S474" s="4">
        <v>0</v>
      </c>
      <c r="T474" s="4">
        <v>0</v>
      </c>
      <c r="U474" s="4">
        <v>222.38</v>
      </c>
      <c r="V474" s="4">
        <v>193.89</v>
      </c>
      <c r="W474" t="s">
        <v>21</v>
      </c>
      <c r="X474" t="s">
        <v>36</v>
      </c>
      <c r="Y474" s="4">
        <v>12</v>
      </c>
      <c r="Z474" s="4">
        <v>0</v>
      </c>
      <c r="AA474" t="s">
        <v>37</v>
      </c>
      <c r="AB474" t="s">
        <v>38</v>
      </c>
      <c r="AC474" s="7">
        <v>0</v>
      </c>
      <c r="AD474" t="s">
        <v>39</v>
      </c>
      <c r="AE474">
        <f t="shared" si="7"/>
        <v>0</v>
      </c>
    </row>
    <row r="475" spans="1:31" x14ac:dyDescent="0.35">
      <c r="A475">
        <v>100474</v>
      </c>
      <c r="B475" s="3">
        <v>45999</v>
      </c>
      <c r="C475">
        <v>1009</v>
      </c>
      <c r="D475" t="s">
        <v>59</v>
      </c>
      <c r="E475" t="s">
        <v>68</v>
      </c>
      <c r="F475" t="s">
        <v>41</v>
      </c>
      <c r="G475" t="s">
        <v>33</v>
      </c>
      <c r="H475" t="s">
        <v>34</v>
      </c>
      <c r="I475" t="s">
        <v>42</v>
      </c>
      <c r="J475" s="4">
        <v>20.91</v>
      </c>
      <c r="K475" s="4">
        <v>19.14</v>
      </c>
      <c r="L475">
        <v>0</v>
      </c>
      <c r="M475" s="4">
        <v>0</v>
      </c>
      <c r="N475" s="4">
        <v>400.22</v>
      </c>
      <c r="O475" s="4">
        <v>152.72</v>
      </c>
      <c r="P475" s="4">
        <v>10.83</v>
      </c>
      <c r="Q475" s="4">
        <v>6</v>
      </c>
      <c r="R475" s="4">
        <v>0</v>
      </c>
      <c r="S475" s="4">
        <v>0</v>
      </c>
      <c r="T475" s="4">
        <v>0</v>
      </c>
      <c r="U475" s="4">
        <v>169.55</v>
      </c>
      <c r="V475" s="4">
        <v>230.67</v>
      </c>
      <c r="W475" t="s">
        <v>21</v>
      </c>
      <c r="X475" t="s">
        <v>36</v>
      </c>
      <c r="Y475" s="4">
        <v>6</v>
      </c>
      <c r="Z475" s="4">
        <v>27</v>
      </c>
      <c r="AA475" t="s">
        <v>37</v>
      </c>
      <c r="AB475" t="s">
        <v>44</v>
      </c>
      <c r="AC475" s="7">
        <v>2</v>
      </c>
      <c r="AD475" t="s">
        <v>45</v>
      </c>
      <c r="AE475">
        <f t="shared" si="7"/>
        <v>1</v>
      </c>
    </row>
    <row r="476" spans="1:31" x14ac:dyDescent="0.35">
      <c r="A476">
        <v>100475</v>
      </c>
      <c r="B476" s="3">
        <v>45941</v>
      </c>
      <c r="C476">
        <v>1138</v>
      </c>
      <c r="D476" t="s">
        <v>64</v>
      </c>
      <c r="E476" t="s">
        <v>75</v>
      </c>
      <c r="F476" t="s">
        <v>41</v>
      </c>
      <c r="G476" t="s">
        <v>63</v>
      </c>
      <c r="H476" t="s">
        <v>57</v>
      </c>
      <c r="I476" t="s">
        <v>35</v>
      </c>
      <c r="J476" s="4">
        <v>10.89</v>
      </c>
      <c r="K476" s="4">
        <v>11.32</v>
      </c>
      <c r="L476">
        <v>10</v>
      </c>
      <c r="M476" s="4">
        <v>12.33</v>
      </c>
      <c r="N476" s="4">
        <v>110.94</v>
      </c>
      <c r="O476" s="4">
        <v>83.42</v>
      </c>
      <c r="P476" s="4">
        <v>2.68</v>
      </c>
      <c r="Q476" s="4">
        <v>0.86</v>
      </c>
      <c r="R476" s="4">
        <v>0</v>
      </c>
      <c r="S476" s="4">
        <v>0</v>
      </c>
      <c r="T476" s="4">
        <v>0</v>
      </c>
      <c r="U476" s="4">
        <v>86.96</v>
      </c>
      <c r="V476" s="4">
        <v>23.98</v>
      </c>
      <c r="W476" t="s">
        <v>21</v>
      </c>
      <c r="X476" t="s">
        <v>36</v>
      </c>
      <c r="Y476" s="4">
        <v>11</v>
      </c>
      <c r="Z476" s="4">
        <v>5</v>
      </c>
      <c r="AA476" t="s">
        <v>37</v>
      </c>
      <c r="AB476" t="s">
        <v>38</v>
      </c>
      <c r="AC476" s="7">
        <v>0</v>
      </c>
      <c r="AD476" t="s">
        <v>39</v>
      </c>
      <c r="AE476">
        <f t="shared" si="7"/>
        <v>0</v>
      </c>
    </row>
    <row r="477" spans="1:31" x14ac:dyDescent="0.35">
      <c r="A477">
        <v>100476</v>
      </c>
      <c r="B477" s="3">
        <v>45943</v>
      </c>
      <c r="C477">
        <v>1022</v>
      </c>
      <c r="D477" t="s">
        <v>64</v>
      </c>
      <c r="E477" t="s">
        <v>76</v>
      </c>
      <c r="F477" t="s">
        <v>61</v>
      </c>
      <c r="G477" t="s">
        <v>63</v>
      </c>
      <c r="H477" t="s">
        <v>51</v>
      </c>
      <c r="I477" t="s">
        <v>42</v>
      </c>
      <c r="J477" s="4">
        <v>27.07</v>
      </c>
      <c r="K477" s="4">
        <v>12.87</v>
      </c>
      <c r="L477">
        <v>5</v>
      </c>
      <c r="M477" s="4">
        <v>17.420000000000002</v>
      </c>
      <c r="N477" s="4">
        <v>330.97</v>
      </c>
      <c r="O477" s="4">
        <v>199.45</v>
      </c>
      <c r="P477" s="4">
        <v>8.92</v>
      </c>
      <c r="Q477" s="4">
        <v>5.23</v>
      </c>
      <c r="R477" s="4">
        <v>5.36</v>
      </c>
      <c r="S477" s="4">
        <v>208.46</v>
      </c>
      <c r="T477" s="4">
        <v>9.2100000000000009</v>
      </c>
      <c r="U477" s="4">
        <v>436.63</v>
      </c>
      <c r="V477" s="4">
        <v>-105.66</v>
      </c>
      <c r="W477" t="s">
        <v>58</v>
      </c>
      <c r="X477" t="s">
        <v>66</v>
      </c>
      <c r="Y477" s="4">
        <v>27</v>
      </c>
      <c r="Z477" s="4">
        <v>6</v>
      </c>
      <c r="AA477" t="s">
        <v>52</v>
      </c>
      <c r="AB477" t="s">
        <v>44</v>
      </c>
      <c r="AC477" s="7">
        <v>2</v>
      </c>
      <c r="AD477" t="s">
        <v>45</v>
      </c>
      <c r="AE477">
        <f t="shared" si="7"/>
        <v>1</v>
      </c>
    </row>
    <row r="478" spans="1:31" x14ac:dyDescent="0.35">
      <c r="A478">
        <v>100477</v>
      </c>
      <c r="B478" s="3">
        <v>45986</v>
      </c>
      <c r="C478">
        <v>1040</v>
      </c>
      <c r="D478" t="s">
        <v>30</v>
      </c>
      <c r="E478" t="s">
        <v>62</v>
      </c>
      <c r="F478" t="s">
        <v>61</v>
      </c>
      <c r="G478" t="s">
        <v>63</v>
      </c>
      <c r="H478" t="s">
        <v>34</v>
      </c>
      <c r="I478" t="s">
        <v>54</v>
      </c>
      <c r="J478" s="4">
        <v>7.1</v>
      </c>
      <c r="K478" s="4">
        <v>12.78</v>
      </c>
      <c r="L478">
        <v>5</v>
      </c>
      <c r="M478" s="4">
        <v>4.54</v>
      </c>
      <c r="N478" s="4">
        <v>86.2</v>
      </c>
      <c r="O478" s="4">
        <v>47.8</v>
      </c>
      <c r="P478" s="4">
        <v>6.35</v>
      </c>
      <c r="Q478" s="4">
        <v>1.0900000000000001</v>
      </c>
      <c r="R478" s="4">
        <v>9.83</v>
      </c>
      <c r="S478" s="4">
        <v>0</v>
      </c>
      <c r="T478" s="4">
        <v>0</v>
      </c>
      <c r="U478" s="4">
        <v>65.069999999999993</v>
      </c>
      <c r="V478" s="4">
        <v>21.13</v>
      </c>
      <c r="W478" t="s">
        <v>21</v>
      </c>
      <c r="X478" t="s">
        <v>36</v>
      </c>
      <c r="Y478" s="4">
        <v>8</v>
      </c>
      <c r="Z478" s="4">
        <v>14</v>
      </c>
      <c r="AA478" t="s">
        <v>37</v>
      </c>
      <c r="AB478" t="s">
        <v>38</v>
      </c>
      <c r="AC478" s="7">
        <v>0</v>
      </c>
      <c r="AD478" t="s">
        <v>39</v>
      </c>
      <c r="AE478">
        <f t="shared" si="7"/>
        <v>0</v>
      </c>
    </row>
    <row r="479" spans="1:31" x14ac:dyDescent="0.35">
      <c r="A479">
        <v>100478</v>
      </c>
      <c r="B479" s="3">
        <v>45951</v>
      </c>
      <c r="C479">
        <v>1062</v>
      </c>
      <c r="D479" t="s">
        <v>59</v>
      </c>
      <c r="E479" t="s">
        <v>73</v>
      </c>
      <c r="F479" t="s">
        <v>49</v>
      </c>
      <c r="G479" t="s">
        <v>63</v>
      </c>
      <c r="H479" t="s">
        <v>34</v>
      </c>
      <c r="I479" t="s">
        <v>42</v>
      </c>
      <c r="J479" s="4">
        <v>22.89</v>
      </c>
      <c r="K479" s="4">
        <v>12.72</v>
      </c>
      <c r="L479">
        <v>0</v>
      </c>
      <c r="M479" s="4">
        <v>0</v>
      </c>
      <c r="N479" s="4">
        <v>291.16000000000003</v>
      </c>
      <c r="O479" s="4">
        <v>121.4</v>
      </c>
      <c r="P479" s="4">
        <v>5.04</v>
      </c>
      <c r="Q479" s="4">
        <v>4.37</v>
      </c>
      <c r="R479" s="4">
        <v>6.66</v>
      </c>
      <c r="S479" s="4">
        <v>0</v>
      </c>
      <c r="T479" s="4">
        <v>0</v>
      </c>
      <c r="U479" s="4">
        <v>137.47</v>
      </c>
      <c r="V479" s="4">
        <v>153.69</v>
      </c>
      <c r="W479" t="s">
        <v>21</v>
      </c>
      <c r="X479" t="s">
        <v>36</v>
      </c>
      <c r="Y479" s="4">
        <v>25</v>
      </c>
      <c r="Z479" s="4">
        <v>1</v>
      </c>
      <c r="AA479" t="s">
        <v>52</v>
      </c>
      <c r="AB479" t="s">
        <v>44</v>
      </c>
      <c r="AC479" s="7">
        <v>1</v>
      </c>
      <c r="AD479" t="s">
        <v>45</v>
      </c>
      <c r="AE479">
        <f t="shared" si="7"/>
        <v>1</v>
      </c>
    </row>
    <row r="480" spans="1:31" x14ac:dyDescent="0.35">
      <c r="A480">
        <v>100479</v>
      </c>
      <c r="B480" s="3">
        <v>46008</v>
      </c>
      <c r="C480">
        <v>1127</v>
      </c>
      <c r="D480" t="s">
        <v>30</v>
      </c>
      <c r="E480" t="s">
        <v>31</v>
      </c>
      <c r="F480" t="s">
        <v>41</v>
      </c>
      <c r="G480" t="s">
        <v>50</v>
      </c>
      <c r="H480" t="s">
        <v>34</v>
      </c>
      <c r="I480" t="s">
        <v>54</v>
      </c>
      <c r="J480" s="4">
        <v>21.37</v>
      </c>
      <c r="K480" s="4">
        <v>17.29</v>
      </c>
      <c r="L480">
        <v>0</v>
      </c>
      <c r="M480" s="4">
        <v>0</v>
      </c>
      <c r="N480" s="4">
        <v>369.49</v>
      </c>
      <c r="O480" s="4">
        <v>151</v>
      </c>
      <c r="P480" s="4">
        <v>9.6199999999999992</v>
      </c>
      <c r="Q480" s="4">
        <v>4.43</v>
      </c>
      <c r="R480" s="4">
        <v>0</v>
      </c>
      <c r="S480" s="4">
        <v>0</v>
      </c>
      <c r="T480" s="4">
        <v>0</v>
      </c>
      <c r="U480" s="4">
        <v>165.05</v>
      </c>
      <c r="V480" s="4">
        <v>204.44</v>
      </c>
      <c r="W480" t="s">
        <v>21</v>
      </c>
      <c r="X480" t="s">
        <v>36</v>
      </c>
      <c r="Y480" s="4">
        <v>13</v>
      </c>
      <c r="Z480" s="4">
        <v>12</v>
      </c>
      <c r="AA480" t="s">
        <v>37</v>
      </c>
      <c r="AB480" t="s">
        <v>38</v>
      </c>
      <c r="AC480" s="7">
        <v>0</v>
      </c>
      <c r="AD480" t="s">
        <v>39</v>
      </c>
      <c r="AE480">
        <f t="shared" si="7"/>
        <v>0</v>
      </c>
    </row>
    <row r="481" spans="1:31" x14ac:dyDescent="0.35">
      <c r="A481">
        <v>100480</v>
      </c>
      <c r="B481" s="3">
        <v>45998</v>
      </c>
      <c r="C481">
        <v>1119</v>
      </c>
      <c r="D481" t="s">
        <v>59</v>
      </c>
      <c r="E481" t="s">
        <v>70</v>
      </c>
      <c r="F481" t="s">
        <v>41</v>
      </c>
      <c r="G481" t="s">
        <v>46</v>
      </c>
      <c r="H481" t="s">
        <v>51</v>
      </c>
      <c r="I481" t="s">
        <v>35</v>
      </c>
      <c r="J481" s="4">
        <v>30.47</v>
      </c>
      <c r="K481" s="4">
        <v>15.51</v>
      </c>
      <c r="L481">
        <v>0</v>
      </c>
      <c r="M481" s="4">
        <v>0</v>
      </c>
      <c r="N481" s="4">
        <v>472.59</v>
      </c>
      <c r="O481" s="4">
        <v>270.69</v>
      </c>
      <c r="P481" s="4">
        <v>7.2</v>
      </c>
      <c r="Q481" s="4">
        <v>3.31</v>
      </c>
      <c r="R481" s="4">
        <v>0</v>
      </c>
      <c r="S481" s="4">
        <v>0</v>
      </c>
      <c r="T481" s="4">
        <v>0</v>
      </c>
      <c r="U481" s="4">
        <v>281.2</v>
      </c>
      <c r="V481" s="4">
        <v>191.39</v>
      </c>
      <c r="W481" t="s">
        <v>21</v>
      </c>
      <c r="X481" t="s">
        <v>36</v>
      </c>
      <c r="Y481" s="4">
        <v>2</v>
      </c>
      <c r="Z481" s="4">
        <v>25</v>
      </c>
      <c r="AA481" t="s">
        <v>37</v>
      </c>
      <c r="AB481" t="s">
        <v>44</v>
      </c>
      <c r="AC481" s="7">
        <v>1</v>
      </c>
      <c r="AD481" t="s">
        <v>45</v>
      </c>
      <c r="AE481">
        <f t="shared" si="7"/>
        <v>1</v>
      </c>
    </row>
    <row r="482" spans="1:31" x14ac:dyDescent="0.35">
      <c r="A482">
        <v>100481</v>
      </c>
      <c r="B482" s="3">
        <v>45963</v>
      </c>
      <c r="C482">
        <v>1026</v>
      </c>
      <c r="D482" t="s">
        <v>59</v>
      </c>
      <c r="E482" t="s">
        <v>70</v>
      </c>
      <c r="F482" t="s">
        <v>41</v>
      </c>
      <c r="G482" t="s">
        <v>46</v>
      </c>
      <c r="H482" t="s">
        <v>34</v>
      </c>
      <c r="I482" t="s">
        <v>35</v>
      </c>
      <c r="J482" s="4">
        <v>16.829999999999998</v>
      </c>
      <c r="K482" s="4">
        <v>15.12</v>
      </c>
      <c r="L482">
        <v>0</v>
      </c>
      <c r="M482" s="4">
        <v>0</v>
      </c>
      <c r="N482" s="4">
        <v>254.47</v>
      </c>
      <c r="O482" s="4">
        <v>120.24</v>
      </c>
      <c r="P482" s="4">
        <v>11.49</v>
      </c>
      <c r="Q482" s="4">
        <v>1.78</v>
      </c>
      <c r="R482" s="4">
        <v>1.24</v>
      </c>
      <c r="S482" s="4">
        <v>0</v>
      </c>
      <c r="T482" s="4">
        <v>0</v>
      </c>
      <c r="U482" s="4">
        <v>134.75</v>
      </c>
      <c r="V482" s="4">
        <v>119.72</v>
      </c>
      <c r="W482" t="s">
        <v>21</v>
      </c>
      <c r="X482" t="s">
        <v>36</v>
      </c>
      <c r="Y482" s="4">
        <v>7</v>
      </c>
      <c r="Z482" s="4">
        <v>14</v>
      </c>
      <c r="AA482" t="s">
        <v>37</v>
      </c>
      <c r="AB482" t="s">
        <v>38</v>
      </c>
      <c r="AC482" s="7">
        <v>0</v>
      </c>
      <c r="AD482" t="s">
        <v>39</v>
      </c>
      <c r="AE482">
        <f t="shared" si="7"/>
        <v>0</v>
      </c>
    </row>
    <row r="483" spans="1:31" x14ac:dyDescent="0.35">
      <c r="A483">
        <v>100482</v>
      </c>
      <c r="B483" s="3">
        <v>45972</v>
      </c>
      <c r="C483">
        <v>1005</v>
      </c>
      <c r="D483" t="s">
        <v>30</v>
      </c>
      <c r="E483" t="s">
        <v>40</v>
      </c>
      <c r="F483" t="s">
        <v>32</v>
      </c>
      <c r="G483" t="s">
        <v>46</v>
      </c>
      <c r="H483" t="s">
        <v>34</v>
      </c>
      <c r="I483" t="s">
        <v>35</v>
      </c>
      <c r="J483" s="4">
        <v>12.5</v>
      </c>
      <c r="K483" s="4">
        <v>15.51</v>
      </c>
      <c r="L483">
        <v>0</v>
      </c>
      <c r="M483" s="4">
        <v>0</v>
      </c>
      <c r="N483" s="4">
        <v>193.88</v>
      </c>
      <c r="O483" s="4">
        <v>92.49</v>
      </c>
      <c r="P483" s="4">
        <v>5.3</v>
      </c>
      <c r="Q483" s="4">
        <v>1.36</v>
      </c>
      <c r="R483" s="4">
        <v>0.13</v>
      </c>
      <c r="S483" s="4">
        <v>171.01</v>
      </c>
      <c r="T483" s="4">
        <v>0</v>
      </c>
      <c r="U483" s="4">
        <v>270.29000000000002</v>
      </c>
      <c r="V483" s="4">
        <v>-76.41</v>
      </c>
      <c r="W483" t="s">
        <v>58</v>
      </c>
      <c r="X483" t="s">
        <v>55</v>
      </c>
      <c r="Y483" s="4">
        <v>8</v>
      </c>
      <c r="Z483" s="4">
        <v>9</v>
      </c>
      <c r="AA483" t="s">
        <v>37</v>
      </c>
      <c r="AB483" t="s">
        <v>44</v>
      </c>
      <c r="AC483" s="7">
        <v>2</v>
      </c>
      <c r="AD483" t="s">
        <v>45</v>
      </c>
      <c r="AE483">
        <f t="shared" si="7"/>
        <v>1</v>
      </c>
    </row>
    <row r="484" spans="1:31" x14ac:dyDescent="0.35">
      <c r="A484">
        <v>100483</v>
      </c>
      <c r="B484" s="3">
        <v>45995</v>
      </c>
      <c r="C484">
        <v>1025</v>
      </c>
      <c r="D484" t="s">
        <v>30</v>
      </c>
      <c r="E484" t="s">
        <v>72</v>
      </c>
      <c r="F484" t="s">
        <v>49</v>
      </c>
      <c r="G484" t="s">
        <v>63</v>
      </c>
      <c r="H484" t="s">
        <v>34</v>
      </c>
      <c r="I484" t="s">
        <v>42</v>
      </c>
      <c r="J484" s="4">
        <v>19.57</v>
      </c>
      <c r="K484" s="4">
        <v>12.22</v>
      </c>
      <c r="L484">
        <v>5</v>
      </c>
      <c r="M484" s="4">
        <v>11.96</v>
      </c>
      <c r="N484" s="4">
        <v>227.19</v>
      </c>
      <c r="O484" s="4">
        <v>127.39</v>
      </c>
      <c r="P484" s="4">
        <v>6.19</v>
      </c>
      <c r="Q484" s="4">
        <v>3.59</v>
      </c>
      <c r="R484" s="4">
        <v>10.130000000000001</v>
      </c>
      <c r="S484" s="4">
        <v>0</v>
      </c>
      <c r="T484" s="4">
        <v>0</v>
      </c>
      <c r="U484" s="4">
        <v>147.30000000000001</v>
      </c>
      <c r="V484" s="4">
        <v>79.89</v>
      </c>
      <c r="W484" t="s">
        <v>21</v>
      </c>
      <c r="X484" t="s">
        <v>36</v>
      </c>
      <c r="Y484" s="4">
        <v>18</v>
      </c>
      <c r="Z484" s="4">
        <v>4</v>
      </c>
      <c r="AA484" t="s">
        <v>52</v>
      </c>
      <c r="AB484" t="s">
        <v>38</v>
      </c>
      <c r="AC484" s="7">
        <v>0</v>
      </c>
      <c r="AD484" t="s">
        <v>39</v>
      </c>
      <c r="AE484">
        <f t="shared" si="7"/>
        <v>0</v>
      </c>
    </row>
    <row r="485" spans="1:31" x14ac:dyDescent="0.35">
      <c r="A485">
        <v>100484</v>
      </c>
      <c r="B485" s="3">
        <v>45989</v>
      </c>
      <c r="C485">
        <v>1104</v>
      </c>
      <c r="D485" t="s">
        <v>47</v>
      </c>
      <c r="E485" t="s">
        <v>48</v>
      </c>
      <c r="F485" t="s">
        <v>41</v>
      </c>
      <c r="G485" t="s">
        <v>46</v>
      </c>
      <c r="H485" t="s">
        <v>57</v>
      </c>
      <c r="I485" t="s">
        <v>35</v>
      </c>
      <c r="J485" s="4">
        <v>19.510000000000002</v>
      </c>
      <c r="K485" s="4">
        <v>16.07</v>
      </c>
      <c r="L485">
        <v>5</v>
      </c>
      <c r="M485" s="4">
        <v>15.68</v>
      </c>
      <c r="N485" s="4">
        <v>297.85000000000002</v>
      </c>
      <c r="O485" s="4">
        <v>160.94999999999999</v>
      </c>
      <c r="P485" s="4">
        <v>10.08</v>
      </c>
      <c r="Q485" s="4">
        <v>2.19</v>
      </c>
      <c r="R485" s="4">
        <v>0</v>
      </c>
      <c r="S485" s="4">
        <v>240.31</v>
      </c>
      <c r="T485" s="4">
        <v>17.100000000000001</v>
      </c>
      <c r="U485" s="4">
        <v>430.63</v>
      </c>
      <c r="V485" s="4">
        <v>-132.78</v>
      </c>
      <c r="W485" t="s">
        <v>58</v>
      </c>
      <c r="X485" t="s">
        <v>55</v>
      </c>
      <c r="Y485" s="4">
        <v>0</v>
      </c>
      <c r="Z485" s="4">
        <v>3</v>
      </c>
      <c r="AA485" t="s">
        <v>37</v>
      </c>
      <c r="AB485" t="s">
        <v>44</v>
      </c>
      <c r="AC485" s="7">
        <v>2</v>
      </c>
      <c r="AD485" t="s">
        <v>45</v>
      </c>
      <c r="AE485">
        <f t="shared" si="7"/>
        <v>1</v>
      </c>
    </row>
    <row r="486" spans="1:31" x14ac:dyDescent="0.35">
      <c r="A486">
        <v>100485</v>
      </c>
      <c r="B486" s="3">
        <v>45980</v>
      </c>
      <c r="C486">
        <v>1035</v>
      </c>
      <c r="D486" t="s">
        <v>59</v>
      </c>
      <c r="E486" t="s">
        <v>73</v>
      </c>
      <c r="F486" t="s">
        <v>71</v>
      </c>
      <c r="G486" t="s">
        <v>46</v>
      </c>
      <c r="H486" t="s">
        <v>57</v>
      </c>
      <c r="I486" t="s">
        <v>42</v>
      </c>
      <c r="J486" s="4">
        <v>25.56</v>
      </c>
      <c r="K486" s="4">
        <v>17.47</v>
      </c>
      <c r="L486">
        <v>15</v>
      </c>
      <c r="M486" s="4">
        <v>66.98</v>
      </c>
      <c r="N486" s="4">
        <v>379.55</v>
      </c>
      <c r="O486" s="4">
        <v>191.8</v>
      </c>
      <c r="P486" s="4">
        <v>7.51</v>
      </c>
      <c r="Q486" s="4">
        <v>6.7</v>
      </c>
      <c r="R486" s="4">
        <v>7.03</v>
      </c>
      <c r="S486" s="4">
        <v>0</v>
      </c>
      <c r="T486" s="4">
        <v>0</v>
      </c>
      <c r="U486" s="4">
        <v>213.04</v>
      </c>
      <c r="V486" s="4">
        <v>166.51</v>
      </c>
      <c r="W486" t="s">
        <v>21</v>
      </c>
      <c r="X486" t="s">
        <v>36</v>
      </c>
      <c r="Y486" s="4">
        <v>27</v>
      </c>
      <c r="Z486" s="4">
        <v>3</v>
      </c>
      <c r="AA486" t="s">
        <v>52</v>
      </c>
      <c r="AB486" t="s">
        <v>44</v>
      </c>
      <c r="AC486" s="7">
        <v>2</v>
      </c>
      <c r="AD486" t="s">
        <v>45</v>
      </c>
      <c r="AE486">
        <f t="shared" si="7"/>
        <v>1</v>
      </c>
    </row>
    <row r="487" spans="1:31" x14ac:dyDescent="0.35">
      <c r="A487">
        <v>100486</v>
      </c>
      <c r="B487" s="3">
        <v>45941</v>
      </c>
      <c r="C487">
        <v>1092</v>
      </c>
      <c r="D487" t="s">
        <v>47</v>
      </c>
      <c r="E487" t="s">
        <v>74</v>
      </c>
      <c r="F487" t="s">
        <v>41</v>
      </c>
      <c r="G487" t="s">
        <v>46</v>
      </c>
      <c r="H487" t="s">
        <v>57</v>
      </c>
      <c r="I487" t="s">
        <v>69</v>
      </c>
      <c r="J487" s="4">
        <v>15.1</v>
      </c>
      <c r="K487" s="4">
        <v>15.75</v>
      </c>
      <c r="L487">
        <v>0</v>
      </c>
      <c r="M487" s="4">
        <v>0</v>
      </c>
      <c r="N487" s="4">
        <v>237.82</v>
      </c>
      <c r="O487" s="4">
        <v>105.11</v>
      </c>
      <c r="P487" s="4">
        <v>6.96</v>
      </c>
      <c r="Q487" s="4">
        <v>0.95</v>
      </c>
      <c r="R487" s="4">
        <v>11.79</v>
      </c>
      <c r="S487" s="4">
        <v>0</v>
      </c>
      <c r="T487" s="4">
        <v>0</v>
      </c>
      <c r="U487" s="4">
        <v>124.81</v>
      </c>
      <c r="V487" s="4">
        <v>113.01</v>
      </c>
      <c r="W487" t="s">
        <v>21</v>
      </c>
      <c r="X487" t="s">
        <v>36</v>
      </c>
      <c r="Y487" s="4">
        <v>3</v>
      </c>
      <c r="Z487" s="4">
        <v>35</v>
      </c>
      <c r="AA487" t="s">
        <v>37</v>
      </c>
      <c r="AB487" t="s">
        <v>44</v>
      </c>
      <c r="AC487" s="7">
        <v>1</v>
      </c>
      <c r="AD487" t="s">
        <v>45</v>
      </c>
      <c r="AE487">
        <f t="shared" si="7"/>
        <v>1</v>
      </c>
    </row>
    <row r="488" spans="1:31" x14ac:dyDescent="0.35">
      <c r="A488">
        <v>100487</v>
      </c>
      <c r="B488" s="3">
        <v>46017</v>
      </c>
      <c r="C488">
        <v>1043</v>
      </c>
      <c r="D488" t="s">
        <v>59</v>
      </c>
      <c r="E488" t="s">
        <v>60</v>
      </c>
      <c r="F488" t="s">
        <v>61</v>
      </c>
      <c r="G488" t="s">
        <v>46</v>
      </c>
      <c r="H488" t="s">
        <v>57</v>
      </c>
      <c r="I488" t="s">
        <v>42</v>
      </c>
      <c r="J488" s="4">
        <v>35.119999999999997</v>
      </c>
      <c r="K488" s="4">
        <v>17.649999999999999</v>
      </c>
      <c r="L488">
        <v>0</v>
      </c>
      <c r="M488" s="4">
        <v>0</v>
      </c>
      <c r="N488" s="4">
        <v>619.87</v>
      </c>
      <c r="O488" s="4">
        <v>241.82</v>
      </c>
      <c r="P488" s="4">
        <v>6.28</v>
      </c>
      <c r="Q488" s="4">
        <v>9.3000000000000007</v>
      </c>
      <c r="R488" s="4">
        <v>0</v>
      </c>
      <c r="S488" s="4">
        <v>445.39</v>
      </c>
      <c r="T488" s="4">
        <v>4.3899999999999997</v>
      </c>
      <c r="U488" s="4">
        <v>707.18</v>
      </c>
      <c r="V488" s="4">
        <v>-87.31</v>
      </c>
      <c r="W488" t="s">
        <v>58</v>
      </c>
      <c r="X488" t="s">
        <v>55</v>
      </c>
      <c r="Y488" s="4">
        <v>21</v>
      </c>
      <c r="Z488" s="4">
        <v>20</v>
      </c>
      <c r="AA488" t="s">
        <v>52</v>
      </c>
      <c r="AB488" t="s">
        <v>44</v>
      </c>
      <c r="AC488" s="7">
        <v>2</v>
      </c>
      <c r="AD488" t="s">
        <v>45</v>
      </c>
      <c r="AE488">
        <f t="shared" si="7"/>
        <v>1</v>
      </c>
    </row>
    <row r="489" spans="1:31" x14ac:dyDescent="0.35">
      <c r="A489">
        <v>100488</v>
      </c>
      <c r="B489" s="3">
        <v>45944</v>
      </c>
      <c r="C489">
        <v>1094</v>
      </c>
      <c r="D489" t="s">
        <v>47</v>
      </c>
      <c r="E489" t="s">
        <v>53</v>
      </c>
      <c r="F489" t="s">
        <v>71</v>
      </c>
      <c r="G489" t="s">
        <v>63</v>
      </c>
      <c r="H489" t="s">
        <v>57</v>
      </c>
      <c r="I489" t="s">
        <v>69</v>
      </c>
      <c r="J489" s="4">
        <v>24.65</v>
      </c>
      <c r="K489" s="4">
        <v>13.58</v>
      </c>
      <c r="L489">
        <v>10</v>
      </c>
      <c r="M489" s="4">
        <v>33.479999999999997</v>
      </c>
      <c r="N489" s="4">
        <v>301.27</v>
      </c>
      <c r="O489" s="4">
        <v>160.35</v>
      </c>
      <c r="P489" s="4">
        <v>6.49</v>
      </c>
      <c r="Q489" s="4">
        <v>1.34</v>
      </c>
      <c r="R489" s="4">
        <v>6.29</v>
      </c>
      <c r="S489" s="4">
        <v>0</v>
      </c>
      <c r="T489" s="4">
        <v>0</v>
      </c>
      <c r="U489" s="4">
        <v>174.47</v>
      </c>
      <c r="V489" s="4">
        <v>126.8</v>
      </c>
      <c r="W489" t="s">
        <v>21</v>
      </c>
      <c r="X489" t="s">
        <v>36</v>
      </c>
      <c r="Y489" s="4">
        <v>1</v>
      </c>
      <c r="Z489" s="4">
        <v>13</v>
      </c>
      <c r="AA489" t="s">
        <v>37</v>
      </c>
      <c r="AB489" t="s">
        <v>38</v>
      </c>
      <c r="AC489" s="7">
        <v>0</v>
      </c>
      <c r="AD489" t="s">
        <v>39</v>
      </c>
      <c r="AE489">
        <f t="shared" si="7"/>
        <v>0</v>
      </c>
    </row>
    <row r="490" spans="1:31" x14ac:dyDescent="0.35">
      <c r="A490">
        <v>100489</v>
      </c>
      <c r="B490" s="3">
        <v>45994</v>
      </c>
      <c r="C490">
        <v>1059</v>
      </c>
      <c r="D490" t="s">
        <v>47</v>
      </c>
      <c r="E490" t="s">
        <v>74</v>
      </c>
      <c r="F490" t="s">
        <v>71</v>
      </c>
      <c r="G490" t="s">
        <v>63</v>
      </c>
      <c r="H490" t="s">
        <v>34</v>
      </c>
      <c r="I490" t="s">
        <v>54</v>
      </c>
      <c r="J490" s="4">
        <v>22.54</v>
      </c>
      <c r="K490" s="4">
        <v>13.05</v>
      </c>
      <c r="L490">
        <v>0</v>
      </c>
      <c r="M490" s="4">
        <v>0</v>
      </c>
      <c r="N490" s="4">
        <v>294.14999999999998</v>
      </c>
      <c r="O490" s="4">
        <v>122.23</v>
      </c>
      <c r="P490" s="4">
        <v>5.39</v>
      </c>
      <c r="Q490" s="4">
        <v>3.53</v>
      </c>
      <c r="R490" s="4">
        <v>6.87</v>
      </c>
      <c r="S490" s="4">
        <v>0</v>
      </c>
      <c r="T490" s="4">
        <v>0</v>
      </c>
      <c r="U490" s="4">
        <v>138.02000000000001</v>
      </c>
      <c r="V490" s="4">
        <v>156.13</v>
      </c>
      <c r="W490" t="s">
        <v>21</v>
      </c>
      <c r="X490" t="s">
        <v>36</v>
      </c>
      <c r="Y490" s="4">
        <v>15</v>
      </c>
      <c r="Z490" s="4">
        <v>24</v>
      </c>
      <c r="AA490" t="s">
        <v>37</v>
      </c>
      <c r="AB490" t="s">
        <v>44</v>
      </c>
      <c r="AC490" s="7">
        <v>1</v>
      </c>
      <c r="AD490" t="s">
        <v>45</v>
      </c>
      <c r="AE490">
        <f t="shared" si="7"/>
        <v>1</v>
      </c>
    </row>
    <row r="491" spans="1:31" x14ac:dyDescent="0.35">
      <c r="A491">
        <v>100490</v>
      </c>
      <c r="B491" s="3">
        <v>46022</v>
      </c>
      <c r="C491">
        <v>1148</v>
      </c>
      <c r="D491" t="s">
        <v>47</v>
      </c>
      <c r="E491" t="s">
        <v>53</v>
      </c>
      <c r="F491" t="s">
        <v>32</v>
      </c>
      <c r="G491" t="s">
        <v>63</v>
      </c>
      <c r="H491" t="s">
        <v>34</v>
      </c>
      <c r="I491" t="s">
        <v>35</v>
      </c>
      <c r="J491" s="4">
        <v>14.47</v>
      </c>
      <c r="K491" s="4">
        <v>12.97</v>
      </c>
      <c r="L491">
        <v>5</v>
      </c>
      <c r="M491" s="4">
        <v>9.3800000000000008</v>
      </c>
      <c r="N491" s="4">
        <v>178.3</v>
      </c>
      <c r="O491" s="4">
        <v>104.81</v>
      </c>
      <c r="P491" s="4">
        <v>10.38</v>
      </c>
      <c r="Q491" s="4">
        <v>1.31</v>
      </c>
      <c r="R491" s="4">
        <v>1.88</v>
      </c>
      <c r="S491" s="4">
        <v>0</v>
      </c>
      <c r="T491" s="4">
        <v>0</v>
      </c>
      <c r="U491" s="4">
        <v>118.38</v>
      </c>
      <c r="V491" s="4">
        <v>59.92</v>
      </c>
      <c r="W491" t="s">
        <v>21</v>
      </c>
      <c r="X491" t="s">
        <v>36</v>
      </c>
      <c r="Y491" s="4">
        <v>2</v>
      </c>
      <c r="Z491" s="4">
        <v>1</v>
      </c>
      <c r="AA491" t="s">
        <v>37</v>
      </c>
      <c r="AB491" t="s">
        <v>38</v>
      </c>
      <c r="AC491" s="7">
        <v>0</v>
      </c>
      <c r="AD491" t="s">
        <v>39</v>
      </c>
      <c r="AE491">
        <f t="shared" si="7"/>
        <v>0</v>
      </c>
    </row>
    <row r="492" spans="1:31" x14ac:dyDescent="0.35">
      <c r="A492">
        <v>100491</v>
      </c>
      <c r="B492" s="3">
        <v>45973</v>
      </c>
      <c r="C492">
        <v>1130</v>
      </c>
      <c r="D492" t="s">
        <v>59</v>
      </c>
      <c r="E492" t="s">
        <v>68</v>
      </c>
      <c r="F492" t="s">
        <v>49</v>
      </c>
      <c r="G492" t="s">
        <v>46</v>
      </c>
      <c r="H492" t="s">
        <v>34</v>
      </c>
      <c r="I492" t="s">
        <v>42</v>
      </c>
      <c r="J492" s="4">
        <v>18.29</v>
      </c>
      <c r="K492" s="4">
        <v>15.98</v>
      </c>
      <c r="L492">
        <v>10</v>
      </c>
      <c r="M492" s="4">
        <v>29.23</v>
      </c>
      <c r="N492" s="4">
        <v>263.04000000000002</v>
      </c>
      <c r="O492" s="4">
        <v>158.30000000000001</v>
      </c>
      <c r="P492" s="4">
        <v>6.77</v>
      </c>
      <c r="Q492" s="4">
        <v>4.38</v>
      </c>
      <c r="R492" s="4">
        <v>5.21</v>
      </c>
      <c r="S492" s="4">
        <v>0</v>
      </c>
      <c r="T492" s="4">
        <v>0</v>
      </c>
      <c r="U492" s="4">
        <v>174.66</v>
      </c>
      <c r="V492" s="4">
        <v>88.38</v>
      </c>
      <c r="W492" t="s">
        <v>21</v>
      </c>
      <c r="X492" t="s">
        <v>36</v>
      </c>
      <c r="Y492" s="4">
        <v>4</v>
      </c>
      <c r="Z492" s="4">
        <v>2</v>
      </c>
      <c r="AA492" t="s">
        <v>37</v>
      </c>
      <c r="AB492" t="s">
        <v>38</v>
      </c>
      <c r="AC492" s="7">
        <v>0</v>
      </c>
      <c r="AD492" t="s">
        <v>39</v>
      </c>
      <c r="AE492">
        <f t="shared" si="7"/>
        <v>0</v>
      </c>
    </row>
    <row r="493" spans="1:31" x14ac:dyDescent="0.35">
      <c r="A493">
        <v>100492</v>
      </c>
      <c r="B493" s="3">
        <v>46003</v>
      </c>
      <c r="C493">
        <v>1119</v>
      </c>
      <c r="D493" t="s">
        <v>64</v>
      </c>
      <c r="E493" t="s">
        <v>67</v>
      </c>
      <c r="F493" t="s">
        <v>32</v>
      </c>
      <c r="G493" t="s">
        <v>33</v>
      </c>
      <c r="H493" t="s">
        <v>34</v>
      </c>
      <c r="I493" t="s">
        <v>54</v>
      </c>
      <c r="J493" s="4">
        <v>25.42</v>
      </c>
      <c r="K493" s="4">
        <v>19.149999999999999</v>
      </c>
      <c r="L493">
        <v>10</v>
      </c>
      <c r="M493" s="4">
        <v>48.68</v>
      </c>
      <c r="N493" s="4">
        <v>438.11</v>
      </c>
      <c r="O493" s="4">
        <v>161.96</v>
      </c>
      <c r="P493" s="4">
        <v>7.26</v>
      </c>
      <c r="Q493" s="4">
        <v>5.84</v>
      </c>
      <c r="R493" s="4">
        <v>10</v>
      </c>
      <c r="S493" s="4">
        <v>0</v>
      </c>
      <c r="T493" s="4">
        <v>0</v>
      </c>
      <c r="U493" s="4">
        <v>185.06</v>
      </c>
      <c r="V493" s="4">
        <v>253.05</v>
      </c>
      <c r="W493" t="s">
        <v>21</v>
      </c>
      <c r="X493" t="s">
        <v>36</v>
      </c>
      <c r="Y493" s="4">
        <v>24</v>
      </c>
      <c r="Z493" s="4">
        <v>5</v>
      </c>
      <c r="AA493" t="s">
        <v>52</v>
      </c>
      <c r="AB493" t="s">
        <v>44</v>
      </c>
      <c r="AC493" s="7">
        <v>1</v>
      </c>
      <c r="AD493" t="s">
        <v>45</v>
      </c>
      <c r="AE493">
        <f t="shared" si="7"/>
        <v>1</v>
      </c>
    </row>
    <row r="494" spans="1:31" x14ac:dyDescent="0.35">
      <c r="A494">
        <v>100493</v>
      </c>
      <c r="B494" s="3">
        <v>45947</v>
      </c>
      <c r="C494">
        <v>1113</v>
      </c>
      <c r="D494" t="s">
        <v>59</v>
      </c>
      <c r="E494" t="s">
        <v>73</v>
      </c>
      <c r="F494" t="s">
        <v>61</v>
      </c>
      <c r="G494" t="s">
        <v>50</v>
      </c>
      <c r="H494" t="s">
        <v>57</v>
      </c>
      <c r="I494" t="s">
        <v>35</v>
      </c>
      <c r="J494" s="4">
        <v>52.14</v>
      </c>
      <c r="K494" s="4">
        <v>17.64</v>
      </c>
      <c r="L494">
        <v>0</v>
      </c>
      <c r="M494" s="4">
        <v>0</v>
      </c>
      <c r="N494" s="4">
        <v>919.75</v>
      </c>
      <c r="O494" s="4">
        <v>384.18</v>
      </c>
      <c r="P494" s="4">
        <v>7.87</v>
      </c>
      <c r="Q494" s="4">
        <v>6.44</v>
      </c>
      <c r="R494" s="4">
        <v>9.09</v>
      </c>
      <c r="S494" s="4">
        <v>0</v>
      </c>
      <c r="T494" s="4">
        <v>0</v>
      </c>
      <c r="U494" s="4">
        <v>407.58</v>
      </c>
      <c r="V494" s="4">
        <v>512.16999999999996</v>
      </c>
      <c r="W494" t="s">
        <v>21</v>
      </c>
      <c r="X494" t="s">
        <v>36</v>
      </c>
      <c r="Y494" s="4">
        <v>48</v>
      </c>
      <c r="Z494" s="4">
        <v>9</v>
      </c>
      <c r="AA494" t="s">
        <v>43</v>
      </c>
      <c r="AB494" t="s">
        <v>44</v>
      </c>
      <c r="AC494" s="7">
        <v>1</v>
      </c>
      <c r="AD494" t="s">
        <v>45</v>
      </c>
      <c r="AE494">
        <f t="shared" si="7"/>
        <v>1</v>
      </c>
    </row>
    <row r="495" spans="1:31" x14ac:dyDescent="0.35">
      <c r="A495">
        <v>100494</v>
      </c>
      <c r="B495" s="3">
        <v>45982</v>
      </c>
      <c r="C495">
        <v>1097</v>
      </c>
      <c r="D495" t="s">
        <v>59</v>
      </c>
      <c r="E495" t="s">
        <v>70</v>
      </c>
      <c r="F495" t="s">
        <v>32</v>
      </c>
      <c r="G495" t="s">
        <v>63</v>
      </c>
      <c r="H495" t="s">
        <v>34</v>
      </c>
      <c r="I495" t="s">
        <v>42</v>
      </c>
      <c r="J495" s="4">
        <v>28.26</v>
      </c>
      <c r="K495" s="4">
        <v>12.31</v>
      </c>
      <c r="L495">
        <v>15</v>
      </c>
      <c r="M495" s="4">
        <v>52.18</v>
      </c>
      <c r="N495" s="4">
        <v>295.7</v>
      </c>
      <c r="O495" s="4">
        <v>191.11</v>
      </c>
      <c r="P495" s="4">
        <v>7.39</v>
      </c>
      <c r="Q495" s="4">
        <v>5.22</v>
      </c>
      <c r="R495" s="4">
        <v>1.38</v>
      </c>
      <c r="S495" s="4">
        <v>0</v>
      </c>
      <c r="T495" s="4">
        <v>0</v>
      </c>
      <c r="U495" s="4">
        <v>205.1</v>
      </c>
      <c r="V495" s="4">
        <v>90.6</v>
      </c>
      <c r="W495" t="s">
        <v>21</v>
      </c>
      <c r="X495" t="s">
        <v>36</v>
      </c>
      <c r="Y495" s="4">
        <v>4</v>
      </c>
      <c r="Z495" s="4">
        <v>5</v>
      </c>
      <c r="AA495" t="s">
        <v>37</v>
      </c>
      <c r="AB495" t="s">
        <v>38</v>
      </c>
      <c r="AC495" s="7">
        <v>0</v>
      </c>
      <c r="AD495" t="s">
        <v>39</v>
      </c>
      <c r="AE495">
        <f t="shared" si="7"/>
        <v>0</v>
      </c>
    </row>
    <row r="496" spans="1:31" x14ac:dyDescent="0.35">
      <c r="A496">
        <v>100495</v>
      </c>
      <c r="B496" s="3">
        <v>45970</v>
      </c>
      <c r="C496">
        <v>1113</v>
      </c>
      <c r="D496" t="s">
        <v>30</v>
      </c>
      <c r="E496" t="s">
        <v>72</v>
      </c>
      <c r="F496" t="s">
        <v>71</v>
      </c>
      <c r="G496" t="s">
        <v>63</v>
      </c>
      <c r="H496" t="s">
        <v>34</v>
      </c>
      <c r="I496" t="s">
        <v>54</v>
      </c>
      <c r="J496" s="4">
        <v>12.92</v>
      </c>
      <c r="K496" s="4">
        <v>12.04</v>
      </c>
      <c r="L496">
        <v>15</v>
      </c>
      <c r="M496" s="4">
        <v>23.33</v>
      </c>
      <c r="N496" s="4">
        <v>132.22999999999999</v>
      </c>
      <c r="O496" s="4">
        <v>87.27</v>
      </c>
      <c r="P496" s="4">
        <v>12.9</v>
      </c>
      <c r="Q496" s="4">
        <v>1.87</v>
      </c>
      <c r="R496" s="4">
        <v>11</v>
      </c>
      <c r="S496" s="4">
        <v>0</v>
      </c>
      <c r="T496" s="4">
        <v>0</v>
      </c>
      <c r="U496" s="4">
        <v>113.04</v>
      </c>
      <c r="V496" s="4">
        <v>19.190000000000001</v>
      </c>
      <c r="W496" t="s">
        <v>21</v>
      </c>
      <c r="X496" t="s">
        <v>36</v>
      </c>
      <c r="Y496" s="4">
        <v>1</v>
      </c>
      <c r="Z496" s="4">
        <v>7</v>
      </c>
      <c r="AA496" t="s">
        <v>37</v>
      </c>
      <c r="AB496" t="s">
        <v>38</v>
      </c>
      <c r="AC496" s="7">
        <v>0</v>
      </c>
      <c r="AD496" t="s">
        <v>39</v>
      </c>
      <c r="AE496">
        <f t="shared" si="7"/>
        <v>0</v>
      </c>
    </row>
    <row r="497" spans="1:31" x14ac:dyDescent="0.35">
      <c r="A497">
        <v>100496</v>
      </c>
      <c r="B497" s="3">
        <v>45967</v>
      </c>
      <c r="C497">
        <v>1116</v>
      </c>
      <c r="D497" t="s">
        <v>64</v>
      </c>
      <c r="E497" t="s">
        <v>76</v>
      </c>
      <c r="F497" t="s">
        <v>32</v>
      </c>
      <c r="G497" t="s">
        <v>50</v>
      </c>
      <c r="H497" t="s">
        <v>57</v>
      </c>
      <c r="I497" t="s">
        <v>42</v>
      </c>
      <c r="J497" s="4">
        <v>38.31</v>
      </c>
      <c r="K497" s="4">
        <v>16.89</v>
      </c>
      <c r="L497">
        <v>0</v>
      </c>
      <c r="M497" s="4">
        <v>0</v>
      </c>
      <c r="N497" s="4">
        <v>647.05999999999995</v>
      </c>
      <c r="O497" s="4">
        <v>304.17</v>
      </c>
      <c r="P497" s="4">
        <v>9.09</v>
      </c>
      <c r="Q497" s="4">
        <v>9.7100000000000009</v>
      </c>
      <c r="R497" s="4">
        <v>2.23</v>
      </c>
      <c r="S497" s="4">
        <v>0</v>
      </c>
      <c r="T497" s="4">
        <v>0</v>
      </c>
      <c r="U497" s="4">
        <v>325.2</v>
      </c>
      <c r="V497" s="4">
        <v>321.86</v>
      </c>
      <c r="W497" t="s">
        <v>21</v>
      </c>
      <c r="X497" t="s">
        <v>36</v>
      </c>
      <c r="Y497" s="4">
        <v>44</v>
      </c>
      <c r="Z497" s="4">
        <v>0</v>
      </c>
      <c r="AA497" t="s">
        <v>43</v>
      </c>
      <c r="AB497" t="s">
        <v>44</v>
      </c>
      <c r="AC497" s="7">
        <v>1</v>
      </c>
      <c r="AD497" t="s">
        <v>45</v>
      </c>
      <c r="AE497">
        <f t="shared" si="7"/>
        <v>1</v>
      </c>
    </row>
    <row r="498" spans="1:31" x14ac:dyDescent="0.35">
      <c r="A498">
        <v>100497</v>
      </c>
      <c r="B498" s="3">
        <v>45992</v>
      </c>
      <c r="C498">
        <v>1085</v>
      </c>
      <c r="D498" t="s">
        <v>30</v>
      </c>
      <c r="E498" t="s">
        <v>62</v>
      </c>
      <c r="F498" t="s">
        <v>71</v>
      </c>
      <c r="G498" t="s">
        <v>50</v>
      </c>
      <c r="H498" t="s">
        <v>34</v>
      </c>
      <c r="I498" t="s">
        <v>69</v>
      </c>
      <c r="J498" s="4">
        <v>26.36</v>
      </c>
      <c r="K498" s="4">
        <v>20.14</v>
      </c>
      <c r="L498">
        <v>0</v>
      </c>
      <c r="M498" s="4">
        <v>0</v>
      </c>
      <c r="N498" s="4">
        <v>530.89</v>
      </c>
      <c r="O498" s="4">
        <v>172.26</v>
      </c>
      <c r="P498" s="4">
        <v>11.75</v>
      </c>
      <c r="Q498" s="4">
        <v>2.12</v>
      </c>
      <c r="R498" s="4">
        <v>16.12</v>
      </c>
      <c r="S498" s="4">
        <v>0</v>
      </c>
      <c r="T498" s="4">
        <v>0</v>
      </c>
      <c r="U498" s="4">
        <v>202.25</v>
      </c>
      <c r="V498" s="4">
        <v>328.64</v>
      </c>
      <c r="W498" t="s">
        <v>21</v>
      </c>
      <c r="X498" t="s">
        <v>36</v>
      </c>
      <c r="Y498" s="4">
        <v>10</v>
      </c>
      <c r="Z498" s="4">
        <v>14</v>
      </c>
      <c r="AA498" t="s">
        <v>37</v>
      </c>
      <c r="AB498" t="s">
        <v>38</v>
      </c>
      <c r="AC498" s="7">
        <v>1</v>
      </c>
      <c r="AD498" t="s">
        <v>39</v>
      </c>
      <c r="AE498">
        <f t="shared" si="7"/>
        <v>0</v>
      </c>
    </row>
    <row r="499" spans="1:31" x14ac:dyDescent="0.35">
      <c r="A499">
        <v>100498</v>
      </c>
      <c r="B499" s="3">
        <v>46006</v>
      </c>
      <c r="C499">
        <v>1098</v>
      </c>
      <c r="D499" t="s">
        <v>59</v>
      </c>
      <c r="E499" t="s">
        <v>60</v>
      </c>
      <c r="F499" t="s">
        <v>32</v>
      </c>
      <c r="G499" t="s">
        <v>63</v>
      </c>
      <c r="H499" t="s">
        <v>57</v>
      </c>
      <c r="I499" t="s">
        <v>35</v>
      </c>
      <c r="J499" s="4">
        <v>5.87</v>
      </c>
      <c r="K499" s="4">
        <v>13.43</v>
      </c>
      <c r="L499">
        <v>0</v>
      </c>
      <c r="M499" s="4">
        <v>0</v>
      </c>
      <c r="N499" s="4">
        <v>78.83</v>
      </c>
      <c r="O499" s="4">
        <v>43.1</v>
      </c>
      <c r="P499" s="4">
        <v>4.25</v>
      </c>
      <c r="Q499" s="4">
        <v>0.55000000000000004</v>
      </c>
      <c r="R499" s="4">
        <v>5.83</v>
      </c>
      <c r="S499" s="4">
        <v>0</v>
      </c>
      <c r="T499" s="4">
        <v>0</v>
      </c>
      <c r="U499" s="4">
        <v>53.73</v>
      </c>
      <c r="V499" s="4">
        <v>25.1</v>
      </c>
      <c r="W499" t="s">
        <v>21</v>
      </c>
      <c r="X499" t="s">
        <v>36</v>
      </c>
      <c r="Y499" s="4">
        <v>12</v>
      </c>
      <c r="Z499" s="4">
        <v>10</v>
      </c>
      <c r="AA499" t="s">
        <v>37</v>
      </c>
      <c r="AB499" t="s">
        <v>38</v>
      </c>
      <c r="AC499" s="7">
        <v>0</v>
      </c>
      <c r="AD499" t="s">
        <v>39</v>
      </c>
      <c r="AE499">
        <f t="shared" si="7"/>
        <v>0</v>
      </c>
    </row>
    <row r="500" spans="1:31" x14ac:dyDescent="0.35">
      <c r="A500">
        <v>100499</v>
      </c>
      <c r="B500" s="3">
        <v>45946</v>
      </c>
      <c r="C500">
        <v>1035</v>
      </c>
      <c r="D500" t="s">
        <v>59</v>
      </c>
      <c r="E500" t="s">
        <v>70</v>
      </c>
      <c r="F500" t="s">
        <v>61</v>
      </c>
      <c r="G500" t="s">
        <v>50</v>
      </c>
      <c r="H500" t="s">
        <v>34</v>
      </c>
      <c r="I500" t="s">
        <v>35</v>
      </c>
      <c r="J500" s="4">
        <v>36.43</v>
      </c>
      <c r="K500" s="4">
        <v>18.23</v>
      </c>
      <c r="L500">
        <v>5</v>
      </c>
      <c r="M500" s="4">
        <v>33.21</v>
      </c>
      <c r="N500" s="4">
        <v>630.91</v>
      </c>
      <c r="O500" s="4">
        <v>278.14999999999998</v>
      </c>
      <c r="P500" s="4">
        <v>8.2799999999999994</v>
      </c>
      <c r="Q500" s="4">
        <v>4.6500000000000004</v>
      </c>
      <c r="R500" s="4">
        <v>1.77</v>
      </c>
      <c r="S500" s="4">
        <v>0</v>
      </c>
      <c r="T500" s="4">
        <v>0</v>
      </c>
      <c r="U500" s="4">
        <v>292.85000000000002</v>
      </c>
      <c r="V500" s="4">
        <v>338.06</v>
      </c>
      <c r="W500" t="s">
        <v>21</v>
      </c>
      <c r="X500" t="s">
        <v>36</v>
      </c>
      <c r="Y500" s="4">
        <v>2</v>
      </c>
      <c r="Z500" s="4">
        <v>15</v>
      </c>
      <c r="AA500" t="s">
        <v>37</v>
      </c>
      <c r="AB500" t="s">
        <v>38</v>
      </c>
      <c r="AC500" s="7">
        <v>0</v>
      </c>
      <c r="AD500" t="s">
        <v>39</v>
      </c>
      <c r="AE500">
        <f t="shared" si="7"/>
        <v>0</v>
      </c>
    </row>
    <row r="501" spans="1:31" x14ac:dyDescent="0.35">
      <c r="A501">
        <v>100500</v>
      </c>
      <c r="B501" s="3">
        <v>45976</v>
      </c>
      <c r="C501">
        <v>1096</v>
      </c>
      <c r="D501" t="s">
        <v>47</v>
      </c>
      <c r="E501" t="s">
        <v>74</v>
      </c>
      <c r="F501" t="s">
        <v>61</v>
      </c>
      <c r="G501" t="s">
        <v>50</v>
      </c>
      <c r="H501" t="s">
        <v>51</v>
      </c>
      <c r="I501" t="s">
        <v>35</v>
      </c>
      <c r="J501" s="4">
        <v>10.81</v>
      </c>
      <c r="K501" s="4">
        <v>17.440000000000001</v>
      </c>
      <c r="L501">
        <v>5</v>
      </c>
      <c r="M501" s="4">
        <v>9.43</v>
      </c>
      <c r="N501" s="4">
        <v>179.1</v>
      </c>
      <c r="O501" s="4">
        <v>84.15</v>
      </c>
      <c r="P501" s="4">
        <v>4.38</v>
      </c>
      <c r="Q501" s="4">
        <v>1.32</v>
      </c>
      <c r="R501" s="4">
        <v>2.23</v>
      </c>
      <c r="S501" s="4">
        <v>0</v>
      </c>
      <c r="T501" s="4">
        <v>0</v>
      </c>
      <c r="U501" s="4">
        <v>92.08</v>
      </c>
      <c r="V501" s="4">
        <v>87.02</v>
      </c>
      <c r="W501" t="s">
        <v>21</v>
      </c>
      <c r="X501" t="s">
        <v>36</v>
      </c>
      <c r="Y501" s="4">
        <v>2</v>
      </c>
      <c r="Z501" s="4">
        <v>1</v>
      </c>
      <c r="AA501" t="s">
        <v>37</v>
      </c>
      <c r="AB501" t="s">
        <v>38</v>
      </c>
      <c r="AC501" s="7">
        <v>0</v>
      </c>
      <c r="AD501" t="s">
        <v>39</v>
      </c>
      <c r="AE501">
        <f t="shared" si="7"/>
        <v>0</v>
      </c>
    </row>
    <row r="502" spans="1:31" x14ac:dyDescent="0.35">
      <c r="A502">
        <v>100501</v>
      </c>
      <c r="B502" s="3">
        <v>46017</v>
      </c>
      <c r="C502">
        <v>1126</v>
      </c>
      <c r="D502" t="s">
        <v>30</v>
      </c>
      <c r="E502" t="s">
        <v>31</v>
      </c>
      <c r="F502" t="s">
        <v>49</v>
      </c>
      <c r="G502" t="s">
        <v>50</v>
      </c>
      <c r="H502" t="s">
        <v>34</v>
      </c>
      <c r="I502" t="s">
        <v>69</v>
      </c>
      <c r="J502" s="4">
        <v>31.22</v>
      </c>
      <c r="K502" s="4">
        <v>17.63</v>
      </c>
      <c r="L502">
        <v>0</v>
      </c>
      <c r="M502" s="4">
        <v>0</v>
      </c>
      <c r="N502" s="4">
        <v>550.41</v>
      </c>
      <c r="O502" s="4">
        <v>241.57</v>
      </c>
      <c r="P502" s="4">
        <v>7.78</v>
      </c>
      <c r="Q502" s="4">
        <v>2.2000000000000002</v>
      </c>
      <c r="R502" s="4">
        <v>6.74</v>
      </c>
      <c r="S502" s="4">
        <v>0</v>
      </c>
      <c r="T502" s="4">
        <v>0</v>
      </c>
      <c r="U502" s="4">
        <v>258.29000000000002</v>
      </c>
      <c r="V502" s="4">
        <v>292.12</v>
      </c>
      <c r="W502" t="s">
        <v>21</v>
      </c>
      <c r="X502" t="s">
        <v>36</v>
      </c>
      <c r="Y502" s="4">
        <v>7</v>
      </c>
      <c r="Z502" s="4">
        <v>6</v>
      </c>
      <c r="AA502" t="s">
        <v>37</v>
      </c>
      <c r="AB502" t="s">
        <v>38</v>
      </c>
      <c r="AC502" s="7">
        <v>0</v>
      </c>
      <c r="AD502" t="s">
        <v>39</v>
      </c>
      <c r="AE502">
        <f t="shared" si="7"/>
        <v>0</v>
      </c>
    </row>
    <row r="503" spans="1:31" x14ac:dyDescent="0.35">
      <c r="A503">
        <v>100502</v>
      </c>
      <c r="B503" s="3">
        <v>46015</v>
      </c>
      <c r="C503">
        <v>1059</v>
      </c>
      <c r="D503" t="s">
        <v>59</v>
      </c>
      <c r="E503" t="s">
        <v>73</v>
      </c>
      <c r="F503" t="s">
        <v>71</v>
      </c>
      <c r="G503" t="s">
        <v>46</v>
      </c>
      <c r="H503" t="s">
        <v>51</v>
      </c>
      <c r="I503" t="s">
        <v>69</v>
      </c>
      <c r="J503" s="4">
        <v>40.159999999999997</v>
      </c>
      <c r="K503" s="4">
        <v>15.08</v>
      </c>
      <c r="L503">
        <v>0</v>
      </c>
      <c r="M503" s="4">
        <v>0</v>
      </c>
      <c r="N503" s="4">
        <v>605.61</v>
      </c>
      <c r="O503" s="4">
        <v>292.29000000000002</v>
      </c>
      <c r="P503" s="4">
        <v>6.79</v>
      </c>
      <c r="Q503" s="4">
        <v>2.42</v>
      </c>
      <c r="R503" s="4">
        <v>12.36</v>
      </c>
      <c r="S503" s="4">
        <v>0</v>
      </c>
      <c r="T503" s="4">
        <v>0</v>
      </c>
      <c r="U503" s="4">
        <v>313.86</v>
      </c>
      <c r="V503" s="4">
        <v>291.75</v>
      </c>
      <c r="W503" t="s">
        <v>21</v>
      </c>
      <c r="X503" t="s">
        <v>36</v>
      </c>
      <c r="Y503" s="4">
        <v>1</v>
      </c>
      <c r="Z503" s="4">
        <v>17</v>
      </c>
      <c r="AA503" t="s">
        <v>37</v>
      </c>
      <c r="AB503" t="s">
        <v>44</v>
      </c>
      <c r="AC503" s="7">
        <v>2</v>
      </c>
      <c r="AD503" t="s">
        <v>45</v>
      </c>
      <c r="AE503">
        <f t="shared" si="7"/>
        <v>1</v>
      </c>
    </row>
    <row r="504" spans="1:31" x14ac:dyDescent="0.35">
      <c r="A504">
        <v>100503</v>
      </c>
      <c r="B504" s="3">
        <v>45959</v>
      </c>
      <c r="C504">
        <v>1051</v>
      </c>
      <c r="D504" t="s">
        <v>47</v>
      </c>
      <c r="E504" t="s">
        <v>74</v>
      </c>
      <c r="F504" t="s">
        <v>49</v>
      </c>
      <c r="G504" t="s">
        <v>46</v>
      </c>
      <c r="H504" t="s">
        <v>34</v>
      </c>
      <c r="I504" t="s">
        <v>54</v>
      </c>
      <c r="J504" s="4">
        <v>34.94</v>
      </c>
      <c r="K504" s="4">
        <v>15.82</v>
      </c>
      <c r="L504">
        <v>0</v>
      </c>
      <c r="M504" s="4">
        <v>0</v>
      </c>
      <c r="N504" s="4">
        <v>552.75</v>
      </c>
      <c r="O504" s="4">
        <v>259.11</v>
      </c>
      <c r="P504" s="4">
        <v>7.47</v>
      </c>
      <c r="Q504" s="4">
        <v>6.63</v>
      </c>
      <c r="R504" s="4">
        <v>4</v>
      </c>
      <c r="S504" s="4">
        <v>0</v>
      </c>
      <c r="T504" s="4">
        <v>0</v>
      </c>
      <c r="U504" s="4">
        <v>277.20999999999998</v>
      </c>
      <c r="V504" s="4">
        <v>275.54000000000002</v>
      </c>
      <c r="W504" t="s">
        <v>21</v>
      </c>
      <c r="X504" t="s">
        <v>36</v>
      </c>
      <c r="Y504" s="4">
        <v>0</v>
      </c>
      <c r="Z504" s="4">
        <v>0</v>
      </c>
      <c r="AA504" t="s">
        <v>37</v>
      </c>
      <c r="AB504" t="s">
        <v>38</v>
      </c>
      <c r="AC504" s="7">
        <v>0</v>
      </c>
      <c r="AD504" t="s">
        <v>39</v>
      </c>
      <c r="AE504">
        <f t="shared" si="7"/>
        <v>0</v>
      </c>
    </row>
    <row r="505" spans="1:31" x14ac:dyDescent="0.35">
      <c r="A505">
        <v>100504</v>
      </c>
      <c r="B505" s="3">
        <v>46016</v>
      </c>
      <c r="C505">
        <v>1067</v>
      </c>
      <c r="D505" t="s">
        <v>59</v>
      </c>
      <c r="E505" t="s">
        <v>73</v>
      </c>
      <c r="F505" t="s">
        <v>61</v>
      </c>
      <c r="G505" t="s">
        <v>33</v>
      </c>
      <c r="H505" t="s">
        <v>34</v>
      </c>
      <c r="I505" t="s">
        <v>69</v>
      </c>
      <c r="J505" s="4">
        <v>10.039999999999999</v>
      </c>
      <c r="K505" s="4">
        <v>19.850000000000001</v>
      </c>
      <c r="L505">
        <v>15</v>
      </c>
      <c r="M505" s="4">
        <v>29.89</v>
      </c>
      <c r="N505" s="4">
        <v>169.4</v>
      </c>
      <c r="O505" s="4">
        <v>66.510000000000005</v>
      </c>
      <c r="P505" s="4">
        <v>10.8</v>
      </c>
      <c r="Q505" s="4">
        <v>0.8</v>
      </c>
      <c r="R505" s="4">
        <v>6.77</v>
      </c>
      <c r="S505" s="4">
        <v>0</v>
      </c>
      <c r="T505" s="4">
        <v>0</v>
      </c>
      <c r="U505" s="4">
        <v>84.88</v>
      </c>
      <c r="V505" s="4">
        <v>84.52</v>
      </c>
      <c r="W505" t="s">
        <v>21</v>
      </c>
      <c r="X505" t="s">
        <v>36</v>
      </c>
      <c r="Y505" s="4">
        <v>4</v>
      </c>
      <c r="Z505" s="4">
        <v>0</v>
      </c>
      <c r="AA505" t="s">
        <v>37</v>
      </c>
      <c r="AB505" t="s">
        <v>38</v>
      </c>
      <c r="AC505" s="7">
        <v>1</v>
      </c>
      <c r="AD505" t="s">
        <v>39</v>
      </c>
      <c r="AE505">
        <f t="shared" si="7"/>
        <v>0</v>
      </c>
    </row>
    <row r="506" spans="1:31" x14ac:dyDescent="0.35">
      <c r="A506">
        <v>100505</v>
      </c>
      <c r="B506" s="3">
        <v>45994</v>
      </c>
      <c r="C506">
        <v>1090</v>
      </c>
      <c r="D506" t="s">
        <v>30</v>
      </c>
      <c r="E506" t="s">
        <v>72</v>
      </c>
      <c r="F506" t="s">
        <v>71</v>
      </c>
      <c r="G506" t="s">
        <v>63</v>
      </c>
      <c r="H506" t="s">
        <v>57</v>
      </c>
      <c r="I506" t="s">
        <v>54</v>
      </c>
      <c r="J506" s="4">
        <v>15.25</v>
      </c>
      <c r="K506" s="4">
        <v>12.63</v>
      </c>
      <c r="L506">
        <v>5</v>
      </c>
      <c r="M506" s="4">
        <v>9.6300000000000008</v>
      </c>
      <c r="N506" s="4">
        <v>182.98</v>
      </c>
      <c r="O506" s="4">
        <v>108.03</v>
      </c>
      <c r="P506" s="4">
        <v>7.77</v>
      </c>
      <c r="Q506" s="4">
        <v>2.31</v>
      </c>
      <c r="R506" s="4">
        <v>12.52</v>
      </c>
      <c r="S506" s="4">
        <v>0</v>
      </c>
      <c r="T506" s="4">
        <v>0</v>
      </c>
      <c r="U506" s="4">
        <v>130.63</v>
      </c>
      <c r="V506" s="4">
        <v>52.35</v>
      </c>
      <c r="W506" t="s">
        <v>21</v>
      </c>
      <c r="X506" t="s">
        <v>36</v>
      </c>
      <c r="Y506" s="4">
        <v>1</v>
      </c>
      <c r="Z506" s="4">
        <v>1</v>
      </c>
      <c r="AA506" t="s">
        <v>37</v>
      </c>
      <c r="AB506" t="s">
        <v>38</v>
      </c>
      <c r="AC506" s="7">
        <v>0</v>
      </c>
      <c r="AD506" t="s">
        <v>39</v>
      </c>
      <c r="AE506">
        <f t="shared" si="7"/>
        <v>0</v>
      </c>
    </row>
    <row r="507" spans="1:31" x14ac:dyDescent="0.35">
      <c r="A507">
        <v>100506</v>
      </c>
      <c r="B507" s="3">
        <v>45979</v>
      </c>
      <c r="C507">
        <v>1119</v>
      </c>
      <c r="D507" t="s">
        <v>64</v>
      </c>
      <c r="E507" t="s">
        <v>65</v>
      </c>
      <c r="F507" t="s">
        <v>49</v>
      </c>
      <c r="G507" t="s">
        <v>46</v>
      </c>
      <c r="H507" t="s">
        <v>34</v>
      </c>
      <c r="I507" t="s">
        <v>35</v>
      </c>
      <c r="J507" s="4">
        <v>40.58</v>
      </c>
      <c r="K507" s="4">
        <v>14.94</v>
      </c>
      <c r="L507">
        <v>0</v>
      </c>
      <c r="M507" s="4">
        <v>0</v>
      </c>
      <c r="N507" s="4">
        <v>606.27</v>
      </c>
      <c r="O507" s="4">
        <v>335.82</v>
      </c>
      <c r="P507" s="4">
        <v>3.25</v>
      </c>
      <c r="Q507" s="4">
        <v>4.24</v>
      </c>
      <c r="R507" s="4">
        <v>8.15</v>
      </c>
      <c r="S507" s="4">
        <v>0</v>
      </c>
      <c r="T507" s="4">
        <v>0</v>
      </c>
      <c r="U507" s="4">
        <v>351.46</v>
      </c>
      <c r="V507" s="4">
        <v>254.81</v>
      </c>
      <c r="W507" t="s">
        <v>21</v>
      </c>
      <c r="X507" t="s">
        <v>36</v>
      </c>
      <c r="Y507" s="4">
        <v>0</v>
      </c>
      <c r="Z507" s="4">
        <v>0</v>
      </c>
      <c r="AA507" t="s">
        <v>37</v>
      </c>
      <c r="AB507" t="s">
        <v>38</v>
      </c>
      <c r="AC507" s="7">
        <v>0</v>
      </c>
      <c r="AD507" t="s">
        <v>39</v>
      </c>
      <c r="AE507">
        <f t="shared" si="7"/>
        <v>0</v>
      </c>
    </row>
    <row r="508" spans="1:31" x14ac:dyDescent="0.35">
      <c r="A508">
        <v>100507</v>
      </c>
      <c r="B508" s="3">
        <v>45965</v>
      </c>
      <c r="C508">
        <v>1126</v>
      </c>
      <c r="D508" t="s">
        <v>64</v>
      </c>
      <c r="E508" t="s">
        <v>75</v>
      </c>
      <c r="F508" t="s">
        <v>61</v>
      </c>
      <c r="G508" t="s">
        <v>63</v>
      </c>
      <c r="H508" t="s">
        <v>34</v>
      </c>
      <c r="I508" t="s">
        <v>54</v>
      </c>
      <c r="J508" s="4">
        <v>20.03</v>
      </c>
      <c r="K508" s="4">
        <v>12.83</v>
      </c>
      <c r="L508">
        <v>20</v>
      </c>
      <c r="M508" s="4">
        <v>51.4</v>
      </c>
      <c r="N508" s="4">
        <v>205.58</v>
      </c>
      <c r="O508" s="4">
        <v>115.98</v>
      </c>
      <c r="P508" s="4">
        <v>9.8000000000000007</v>
      </c>
      <c r="Q508" s="4">
        <v>3.08</v>
      </c>
      <c r="R508" s="4">
        <v>1.61</v>
      </c>
      <c r="S508" s="4">
        <v>0</v>
      </c>
      <c r="T508" s="4">
        <v>0</v>
      </c>
      <c r="U508" s="4">
        <v>130.47</v>
      </c>
      <c r="V508" s="4">
        <v>75.11</v>
      </c>
      <c r="W508" t="s">
        <v>21</v>
      </c>
      <c r="X508" t="s">
        <v>36</v>
      </c>
      <c r="Y508" s="4">
        <v>0</v>
      </c>
      <c r="Z508" s="4">
        <v>7</v>
      </c>
      <c r="AA508" t="s">
        <v>37</v>
      </c>
      <c r="AB508" t="s">
        <v>38</v>
      </c>
      <c r="AC508" s="7">
        <v>0</v>
      </c>
      <c r="AD508" t="s">
        <v>39</v>
      </c>
      <c r="AE508">
        <f t="shared" si="7"/>
        <v>0</v>
      </c>
    </row>
    <row r="509" spans="1:31" x14ac:dyDescent="0.35">
      <c r="A509">
        <v>100508</v>
      </c>
      <c r="B509" s="3">
        <v>45962</v>
      </c>
      <c r="C509">
        <v>1093</v>
      </c>
      <c r="D509" t="s">
        <v>59</v>
      </c>
      <c r="E509" t="s">
        <v>68</v>
      </c>
      <c r="F509" t="s">
        <v>71</v>
      </c>
      <c r="G509" t="s">
        <v>46</v>
      </c>
      <c r="H509" t="s">
        <v>34</v>
      </c>
      <c r="I509" t="s">
        <v>35</v>
      </c>
      <c r="J509" s="4">
        <v>11.98</v>
      </c>
      <c r="K509" s="4">
        <v>15.65</v>
      </c>
      <c r="L509">
        <v>0</v>
      </c>
      <c r="M509" s="4">
        <v>0</v>
      </c>
      <c r="N509" s="4">
        <v>187.49</v>
      </c>
      <c r="O509" s="4">
        <v>89.97</v>
      </c>
      <c r="P509" s="4">
        <v>11.45</v>
      </c>
      <c r="Q509" s="4">
        <v>1.31</v>
      </c>
      <c r="R509" s="4">
        <v>10.93</v>
      </c>
      <c r="S509" s="4">
        <v>0</v>
      </c>
      <c r="T509" s="4">
        <v>0</v>
      </c>
      <c r="U509" s="4">
        <v>113.66</v>
      </c>
      <c r="V509" s="4">
        <v>73.83</v>
      </c>
      <c r="W509" t="s">
        <v>21</v>
      </c>
      <c r="X509" t="s">
        <v>36</v>
      </c>
      <c r="Y509" s="4">
        <v>6</v>
      </c>
      <c r="Z509" s="4">
        <v>10</v>
      </c>
      <c r="AA509" t="s">
        <v>37</v>
      </c>
      <c r="AB509" t="s">
        <v>38</v>
      </c>
      <c r="AC509" s="7">
        <v>0</v>
      </c>
      <c r="AD509" t="s">
        <v>39</v>
      </c>
      <c r="AE509">
        <f t="shared" si="7"/>
        <v>0</v>
      </c>
    </row>
    <row r="510" spans="1:31" x14ac:dyDescent="0.35">
      <c r="A510">
        <v>100509</v>
      </c>
      <c r="B510" s="3">
        <v>46013</v>
      </c>
      <c r="C510">
        <v>1047</v>
      </c>
      <c r="D510" t="s">
        <v>30</v>
      </c>
      <c r="E510" t="s">
        <v>62</v>
      </c>
      <c r="F510" t="s">
        <v>61</v>
      </c>
      <c r="G510" t="s">
        <v>46</v>
      </c>
      <c r="H510" t="s">
        <v>34</v>
      </c>
      <c r="I510" t="s">
        <v>54</v>
      </c>
      <c r="J510" s="4">
        <v>29.58</v>
      </c>
      <c r="K510" s="4">
        <v>15.6</v>
      </c>
      <c r="L510">
        <v>0</v>
      </c>
      <c r="M510" s="4">
        <v>0</v>
      </c>
      <c r="N510" s="4">
        <v>461.45</v>
      </c>
      <c r="O510" s="4">
        <v>211.92</v>
      </c>
      <c r="P510" s="4">
        <v>9.85</v>
      </c>
      <c r="Q510" s="4">
        <v>5.54</v>
      </c>
      <c r="R510" s="4">
        <v>5.7</v>
      </c>
      <c r="S510" s="4">
        <v>221.3</v>
      </c>
      <c r="T510" s="4">
        <v>0</v>
      </c>
      <c r="U510" s="4">
        <v>454.31</v>
      </c>
      <c r="V510" s="4">
        <v>7.14</v>
      </c>
      <c r="W510" t="s">
        <v>21</v>
      </c>
      <c r="X510" t="s">
        <v>55</v>
      </c>
      <c r="Y510" s="4">
        <v>0</v>
      </c>
      <c r="Z510" s="4">
        <v>1</v>
      </c>
      <c r="AA510" t="s">
        <v>37</v>
      </c>
      <c r="AB510" t="s">
        <v>44</v>
      </c>
      <c r="AC510" s="7">
        <v>3</v>
      </c>
      <c r="AD510" t="s">
        <v>45</v>
      </c>
      <c r="AE510">
        <f t="shared" si="7"/>
        <v>1</v>
      </c>
    </row>
    <row r="511" spans="1:31" x14ac:dyDescent="0.35">
      <c r="A511">
        <v>100510</v>
      </c>
      <c r="B511" s="3">
        <v>45939</v>
      </c>
      <c r="C511">
        <v>1083</v>
      </c>
      <c r="D511" t="s">
        <v>59</v>
      </c>
      <c r="E511" t="s">
        <v>60</v>
      </c>
      <c r="F511" t="s">
        <v>32</v>
      </c>
      <c r="G511" t="s">
        <v>63</v>
      </c>
      <c r="H511" t="s">
        <v>57</v>
      </c>
      <c r="I511" t="s">
        <v>54</v>
      </c>
      <c r="J511" s="4">
        <v>15.23</v>
      </c>
      <c r="K511" s="4">
        <v>12.19</v>
      </c>
      <c r="L511">
        <v>0</v>
      </c>
      <c r="M511" s="4">
        <v>0</v>
      </c>
      <c r="N511" s="4">
        <v>185.65</v>
      </c>
      <c r="O511" s="4">
        <v>95.29</v>
      </c>
      <c r="P511" s="4">
        <v>7.69</v>
      </c>
      <c r="Q511" s="4">
        <v>2.23</v>
      </c>
      <c r="R511" s="4">
        <v>8.0399999999999991</v>
      </c>
      <c r="S511" s="4">
        <v>0</v>
      </c>
      <c r="T511" s="4">
        <v>0</v>
      </c>
      <c r="U511" s="4">
        <v>113.25</v>
      </c>
      <c r="V511" s="4">
        <v>72.400000000000006</v>
      </c>
      <c r="W511" t="s">
        <v>21</v>
      </c>
      <c r="X511" t="s">
        <v>36</v>
      </c>
      <c r="Y511" s="4">
        <v>0</v>
      </c>
      <c r="Z511" s="4">
        <v>10</v>
      </c>
      <c r="AA511" t="s">
        <v>37</v>
      </c>
      <c r="AB511" t="s">
        <v>38</v>
      </c>
      <c r="AC511" s="7">
        <v>0</v>
      </c>
      <c r="AD511" t="s">
        <v>39</v>
      </c>
      <c r="AE511">
        <f t="shared" si="7"/>
        <v>0</v>
      </c>
    </row>
    <row r="512" spans="1:31" x14ac:dyDescent="0.35">
      <c r="A512">
        <v>100511</v>
      </c>
      <c r="B512" s="3">
        <v>45967</v>
      </c>
      <c r="C512">
        <v>1086</v>
      </c>
      <c r="D512" t="s">
        <v>64</v>
      </c>
      <c r="E512" t="s">
        <v>67</v>
      </c>
      <c r="F512" t="s">
        <v>61</v>
      </c>
      <c r="G512" t="s">
        <v>33</v>
      </c>
      <c r="H512" t="s">
        <v>34</v>
      </c>
      <c r="I512" t="s">
        <v>35</v>
      </c>
      <c r="J512" s="4">
        <v>18.45</v>
      </c>
      <c r="K512" s="4">
        <v>20.11</v>
      </c>
      <c r="L512">
        <v>5</v>
      </c>
      <c r="M512" s="4">
        <v>18.55</v>
      </c>
      <c r="N512" s="4">
        <v>352.48</v>
      </c>
      <c r="O512" s="4">
        <v>145.07</v>
      </c>
      <c r="P512" s="4">
        <v>9.9</v>
      </c>
      <c r="Q512" s="4">
        <v>2.6</v>
      </c>
      <c r="R512" s="4">
        <v>9.09</v>
      </c>
      <c r="S512" s="4">
        <v>131.97</v>
      </c>
      <c r="T512" s="4">
        <v>0</v>
      </c>
      <c r="U512" s="4">
        <v>298.63</v>
      </c>
      <c r="V512" s="4">
        <v>53.85</v>
      </c>
      <c r="W512" t="s">
        <v>21</v>
      </c>
      <c r="X512" t="s">
        <v>55</v>
      </c>
      <c r="Y512" s="4">
        <v>13</v>
      </c>
      <c r="Z512" s="4">
        <v>32</v>
      </c>
      <c r="AA512" t="s">
        <v>37</v>
      </c>
      <c r="AB512" t="s">
        <v>44</v>
      </c>
      <c r="AC512" s="7">
        <v>2</v>
      </c>
      <c r="AD512" t="s">
        <v>45</v>
      </c>
      <c r="AE512">
        <f t="shared" si="7"/>
        <v>1</v>
      </c>
    </row>
    <row r="513" spans="1:31" x14ac:dyDescent="0.35">
      <c r="A513">
        <v>100512</v>
      </c>
      <c r="B513" s="3">
        <v>45985</v>
      </c>
      <c r="C513">
        <v>1134</v>
      </c>
      <c r="D513" t="s">
        <v>59</v>
      </c>
      <c r="E513" t="s">
        <v>73</v>
      </c>
      <c r="F513" t="s">
        <v>71</v>
      </c>
      <c r="G513" t="s">
        <v>46</v>
      </c>
      <c r="H513" t="s">
        <v>57</v>
      </c>
      <c r="I513" t="s">
        <v>42</v>
      </c>
      <c r="J513" s="4">
        <v>26.72</v>
      </c>
      <c r="K513" s="4">
        <v>15.89</v>
      </c>
      <c r="L513">
        <v>0</v>
      </c>
      <c r="M513" s="4">
        <v>0</v>
      </c>
      <c r="N513" s="4">
        <v>424.58</v>
      </c>
      <c r="O513" s="4">
        <v>190.62</v>
      </c>
      <c r="P513" s="4">
        <v>7.81</v>
      </c>
      <c r="Q513" s="4">
        <v>6.37</v>
      </c>
      <c r="R513" s="4">
        <v>1.25</v>
      </c>
      <c r="S513" s="4">
        <v>0</v>
      </c>
      <c r="T513" s="4">
        <v>0</v>
      </c>
      <c r="U513" s="4">
        <v>206.05</v>
      </c>
      <c r="V513" s="4">
        <v>218.53</v>
      </c>
      <c r="W513" t="s">
        <v>21</v>
      </c>
      <c r="X513" t="s">
        <v>36</v>
      </c>
      <c r="Y513" s="4">
        <v>17</v>
      </c>
      <c r="Z513" s="4">
        <v>1</v>
      </c>
      <c r="AA513" t="s">
        <v>52</v>
      </c>
      <c r="AB513" t="s">
        <v>38</v>
      </c>
      <c r="AC513" s="7">
        <v>0</v>
      </c>
      <c r="AD513" t="s">
        <v>39</v>
      </c>
      <c r="AE513">
        <f t="shared" si="7"/>
        <v>0</v>
      </c>
    </row>
    <row r="514" spans="1:31" x14ac:dyDescent="0.35">
      <c r="A514">
        <v>100513</v>
      </c>
      <c r="B514" s="3">
        <v>45978</v>
      </c>
      <c r="C514">
        <v>1150</v>
      </c>
      <c r="D514" t="s">
        <v>59</v>
      </c>
      <c r="E514" t="s">
        <v>70</v>
      </c>
      <c r="F514" t="s">
        <v>61</v>
      </c>
      <c r="G514" t="s">
        <v>63</v>
      </c>
      <c r="H514" t="s">
        <v>57</v>
      </c>
      <c r="I514" t="s">
        <v>54</v>
      </c>
      <c r="J514" s="4">
        <v>3</v>
      </c>
      <c r="K514" s="4">
        <v>13.82</v>
      </c>
      <c r="L514">
        <v>0</v>
      </c>
      <c r="M514" s="4">
        <v>0</v>
      </c>
      <c r="N514" s="4">
        <v>41.46</v>
      </c>
      <c r="O514" s="4">
        <v>15.86</v>
      </c>
      <c r="P514" s="4">
        <v>10.92</v>
      </c>
      <c r="Q514" s="4">
        <v>0.5</v>
      </c>
      <c r="R514" s="4">
        <v>1.1399999999999999</v>
      </c>
      <c r="S514" s="4">
        <v>0</v>
      </c>
      <c r="T514" s="4">
        <v>0</v>
      </c>
      <c r="U514" s="4">
        <v>28.42</v>
      </c>
      <c r="V514" s="4">
        <v>13.04</v>
      </c>
      <c r="W514" t="s">
        <v>21</v>
      </c>
      <c r="X514" t="s">
        <v>36</v>
      </c>
      <c r="Y514" s="4">
        <v>42</v>
      </c>
      <c r="Z514" s="4">
        <v>1</v>
      </c>
      <c r="AA514" t="s">
        <v>43</v>
      </c>
      <c r="AB514" t="s">
        <v>44</v>
      </c>
      <c r="AC514" s="7">
        <v>1</v>
      </c>
      <c r="AD514" t="s">
        <v>45</v>
      </c>
      <c r="AE514">
        <f t="shared" si="7"/>
        <v>1</v>
      </c>
    </row>
    <row r="515" spans="1:31" x14ac:dyDescent="0.35">
      <c r="A515">
        <v>100514</v>
      </c>
      <c r="B515" s="3">
        <v>45948</v>
      </c>
      <c r="C515">
        <v>1060</v>
      </c>
      <c r="D515" t="s">
        <v>30</v>
      </c>
      <c r="E515" t="s">
        <v>62</v>
      </c>
      <c r="F515" t="s">
        <v>71</v>
      </c>
      <c r="G515" t="s">
        <v>46</v>
      </c>
      <c r="H515" t="s">
        <v>34</v>
      </c>
      <c r="I515" t="s">
        <v>35</v>
      </c>
      <c r="J515" s="4">
        <v>29.65</v>
      </c>
      <c r="K515" s="4">
        <v>16.03</v>
      </c>
      <c r="L515">
        <v>10</v>
      </c>
      <c r="M515" s="4">
        <v>47.53</v>
      </c>
      <c r="N515" s="4">
        <v>427.76</v>
      </c>
      <c r="O515" s="4">
        <v>259.73</v>
      </c>
      <c r="P515" s="4">
        <v>7.79</v>
      </c>
      <c r="Q515" s="4">
        <v>3.33</v>
      </c>
      <c r="R515" s="4">
        <v>3.55</v>
      </c>
      <c r="S515" s="4">
        <v>0</v>
      </c>
      <c r="T515" s="4">
        <v>0</v>
      </c>
      <c r="U515" s="4">
        <v>274.39999999999998</v>
      </c>
      <c r="V515" s="4">
        <v>153.36000000000001</v>
      </c>
      <c r="W515" t="s">
        <v>21</v>
      </c>
      <c r="X515" t="s">
        <v>36</v>
      </c>
      <c r="Y515" s="4">
        <v>6</v>
      </c>
      <c r="Z515" s="4">
        <v>13</v>
      </c>
      <c r="AA515" t="s">
        <v>37</v>
      </c>
      <c r="AB515" t="s">
        <v>38</v>
      </c>
      <c r="AC515" s="7">
        <v>0</v>
      </c>
      <c r="AD515" t="s">
        <v>39</v>
      </c>
      <c r="AE515">
        <f t="shared" ref="AE515:AE578" si="8">IF(AB515="Yes",1,0)</f>
        <v>0</v>
      </c>
    </row>
    <row r="516" spans="1:31" x14ac:dyDescent="0.35">
      <c r="A516">
        <v>100515</v>
      </c>
      <c r="B516" s="3">
        <v>46009</v>
      </c>
      <c r="C516">
        <v>1070</v>
      </c>
      <c r="D516" t="s">
        <v>30</v>
      </c>
      <c r="E516" t="s">
        <v>72</v>
      </c>
      <c r="F516" t="s">
        <v>32</v>
      </c>
      <c r="G516" t="s">
        <v>63</v>
      </c>
      <c r="H516" t="s">
        <v>34</v>
      </c>
      <c r="I516" t="s">
        <v>42</v>
      </c>
      <c r="J516" s="4">
        <v>17.399999999999999</v>
      </c>
      <c r="K516" s="4">
        <v>12.39</v>
      </c>
      <c r="L516">
        <v>0</v>
      </c>
      <c r="M516" s="4">
        <v>0</v>
      </c>
      <c r="N516" s="4">
        <v>215.59</v>
      </c>
      <c r="O516" s="4">
        <v>94.83</v>
      </c>
      <c r="P516" s="4">
        <v>8.76</v>
      </c>
      <c r="Q516" s="4">
        <v>3.23</v>
      </c>
      <c r="R516" s="4">
        <v>7.44</v>
      </c>
      <c r="S516" s="4">
        <v>0</v>
      </c>
      <c r="T516" s="4">
        <v>0</v>
      </c>
      <c r="U516" s="4">
        <v>114.26</v>
      </c>
      <c r="V516" s="4">
        <v>101.33</v>
      </c>
      <c r="W516" t="s">
        <v>21</v>
      </c>
      <c r="X516" t="s">
        <v>36</v>
      </c>
      <c r="Y516" s="4">
        <v>10</v>
      </c>
      <c r="Z516" s="4">
        <v>19</v>
      </c>
      <c r="AA516" t="s">
        <v>37</v>
      </c>
      <c r="AB516" t="s">
        <v>44</v>
      </c>
      <c r="AC516" s="7">
        <v>3</v>
      </c>
      <c r="AD516" t="s">
        <v>45</v>
      </c>
      <c r="AE516">
        <f t="shared" si="8"/>
        <v>1</v>
      </c>
    </row>
    <row r="517" spans="1:31" x14ac:dyDescent="0.35">
      <c r="A517">
        <v>100516</v>
      </c>
      <c r="B517" s="3">
        <v>45975</v>
      </c>
      <c r="C517">
        <v>1053</v>
      </c>
      <c r="D517" t="s">
        <v>64</v>
      </c>
      <c r="E517" t="s">
        <v>67</v>
      </c>
      <c r="F517" t="s">
        <v>71</v>
      </c>
      <c r="G517" t="s">
        <v>46</v>
      </c>
      <c r="H517" t="s">
        <v>34</v>
      </c>
      <c r="I517" t="s">
        <v>35</v>
      </c>
      <c r="J517" s="4">
        <v>28.39</v>
      </c>
      <c r="K517" s="4">
        <v>16.239999999999998</v>
      </c>
      <c r="L517">
        <v>20</v>
      </c>
      <c r="M517" s="4">
        <v>92.21</v>
      </c>
      <c r="N517" s="4">
        <v>368.84</v>
      </c>
      <c r="O517" s="4">
        <v>211.13</v>
      </c>
      <c r="P517" s="4">
        <v>4.72</v>
      </c>
      <c r="Q517" s="4">
        <v>3.23</v>
      </c>
      <c r="R517" s="4">
        <v>1.23</v>
      </c>
      <c r="S517" s="4">
        <v>175.88</v>
      </c>
      <c r="T517" s="4">
        <v>0</v>
      </c>
      <c r="U517" s="4">
        <v>396.19</v>
      </c>
      <c r="V517" s="4">
        <v>-27.35</v>
      </c>
      <c r="W517" t="s">
        <v>58</v>
      </c>
      <c r="X517" t="s">
        <v>66</v>
      </c>
      <c r="Y517" s="4">
        <v>9</v>
      </c>
      <c r="Z517" s="4">
        <v>0</v>
      </c>
      <c r="AA517" t="s">
        <v>37</v>
      </c>
      <c r="AB517" t="s">
        <v>38</v>
      </c>
      <c r="AC517" s="7">
        <v>2</v>
      </c>
      <c r="AD517" t="s">
        <v>45</v>
      </c>
      <c r="AE517">
        <f t="shared" si="8"/>
        <v>0</v>
      </c>
    </row>
    <row r="518" spans="1:31" x14ac:dyDescent="0.35">
      <c r="A518">
        <v>100517</v>
      </c>
      <c r="B518" s="3">
        <v>45976</v>
      </c>
      <c r="C518">
        <v>1027</v>
      </c>
      <c r="D518" t="s">
        <v>64</v>
      </c>
      <c r="E518" t="s">
        <v>67</v>
      </c>
      <c r="F518" t="s">
        <v>61</v>
      </c>
      <c r="G518" t="s">
        <v>46</v>
      </c>
      <c r="H518" t="s">
        <v>34</v>
      </c>
      <c r="I518" t="s">
        <v>35</v>
      </c>
      <c r="J518" s="4">
        <v>32.44</v>
      </c>
      <c r="K518" s="4">
        <v>18.45</v>
      </c>
      <c r="L518">
        <v>0</v>
      </c>
      <c r="M518" s="4">
        <v>0</v>
      </c>
      <c r="N518" s="4">
        <v>598.52</v>
      </c>
      <c r="O518" s="4">
        <v>230.42</v>
      </c>
      <c r="P518" s="4">
        <v>3.23</v>
      </c>
      <c r="Q518" s="4">
        <v>4.1900000000000004</v>
      </c>
      <c r="R518" s="4">
        <v>8.1199999999999992</v>
      </c>
      <c r="S518" s="4">
        <v>0</v>
      </c>
      <c r="T518" s="4">
        <v>0</v>
      </c>
      <c r="U518" s="4">
        <v>245.96</v>
      </c>
      <c r="V518" s="4">
        <v>352.56</v>
      </c>
      <c r="W518" t="s">
        <v>21</v>
      </c>
      <c r="X518" t="s">
        <v>36</v>
      </c>
      <c r="Y518" s="4">
        <v>91</v>
      </c>
      <c r="Z518" s="4">
        <v>12</v>
      </c>
      <c r="AA518" t="s">
        <v>43</v>
      </c>
      <c r="AB518" t="s">
        <v>44</v>
      </c>
      <c r="AC518" s="7">
        <v>3</v>
      </c>
      <c r="AD518" t="s">
        <v>45</v>
      </c>
      <c r="AE518">
        <f t="shared" si="8"/>
        <v>1</v>
      </c>
    </row>
    <row r="519" spans="1:31" x14ac:dyDescent="0.35">
      <c r="A519">
        <v>100518</v>
      </c>
      <c r="B519" s="3">
        <v>45938</v>
      </c>
      <c r="C519">
        <v>1110</v>
      </c>
      <c r="D519" t="s">
        <v>59</v>
      </c>
      <c r="E519" t="s">
        <v>60</v>
      </c>
      <c r="F519" t="s">
        <v>41</v>
      </c>
      <c r="G519" t="s">
        <v>63</v>
      </c>
      <c r="H519" t="s">
        <v>34</v>
      </c>
      <c r="I519" t="s">
        <v>54</v>
      </c>
      <c r="J519" s="4">
        <v>10.78</v>
      </c>
      <c r="K519" s="4">
        <v>15.46</v>
      </c>
      <c r="L519">
        <v>0</v>
      </c>
      <c r="M519" s="4">
        <v>0</v>
      </c>
      <c r="N519" s="4">
        <v>166.66</v>
      </c>
      <c r="O519" s="4">
        <v>60.67</v>
      </c>
      <c r="P519" s="4">
        <v>1.9</v>
      </c>
      <c r="Q519" s="4">
        <v>2</v>
      </c>
      <c r="R519" s="4">
        <v>8.77</v>
      </c>
      <c r="S519" s="4">
        <v>166.41</v>
      </c>
      <c r="T519" s="4">
        <v>0</v>
      </c>
      <c r="U519" s="4">
        <v>239.75</v>
      </c>
      <c r="V519" s="4">
        <v>-73.09</v>
      </c>
      <c r="W519" t="s">
        <v>58</v>
      </c>
      <c r="X519" t="s">
        <v>66</v>
      </c>
      <c r="Y519" s="4">
        <v>6</v>
      </c>
      <c r="Z519" s="4">
        <v>3</v>
      </c>
      <c r="AA519" t="s">
        <v>37</v>
      </c>
      <c r="AB519" t="s">
        <v>38</v>
      </c>
      <c r="AC519" s="7">
        <v>2</v>
      </c>
      <c r="AD519" t="s">
        <v>45</v>
      </c>
      <c r="AE519">
        <f t="shared" si="8"/>
        <v>0</v>
      </c>
    </row>
    <row r="520" spans="1:31" x14ac:dyDescent="0.35">
      <c r="A520">
        <v>100519</v>
      </c>
      <c r="B520" s="3">
        <v>46014</v>
      </c>
      <c r="C520">
        <v>1035</v>
      </c>
      <c r="D520" t="s">
        <v>64</v>
      </c>
      <c r="E520" t="s">
        <v>75</v>
      </c>
      <c r="F520" t="s">
        <v>41</v>
      </c>
      <c r="G520" t="s">
        <v>63</v>
      </c>
      <c r="H520" t="s">
        <v>51</v>
      </c>
      <c r="I520" t="s">
        <v>54</v>
      </c>
      <c r="J520" s="4">
        <v>12.96</v>
      </c>
      <c r="K520" s="4">
        <v>12.36</v>
      </c>
      <c r="L520">
        <v>5</v>
      </c>
      <c r="M520" s="4">
        <v>8.01</v>
      </c>
      <c r="N520" s="4">
        <v>152.18</v>
      </c>
      <c r="O520" s="4">
        <v>103.64</v>
      </c>
      <c r="P520" s="4">
        <v>8.39</v>
      </c>
      <c r="Q520" s="4">
        <v>1.92</v>
      </c>
      <c r="R520" s="4">
        <v>0.06</v>
      </c>
      <c r="S520" s="4">
        <v>0</v>
      </c>
      <c r="T520" s="4">
        <v>0</v>
      </c>
      <c r="U520" s="4">
        <v>114.01</v>
      </c>
      <c r="V520" s="4">
        <v>38.17</v>
      </c>
      <c r="W520" t="s">
        <v>21</v>
      </c>
      <c r="X520" t="s">
        <v>36</v>
      </c>
      <c r="Y520" s="4">
        <v>11</v>
      </c>
      <c r="Z520" s="4">
        <v>8</v>
      </c>
      <c r="AA520" t="s">
        <v>37</v>
      </c>
      <c r="AB520" t="s">
        <v>38</v>
      </c>
      <c r="AC520" s="7">
        <v>0</v>
      </c>
      <c r="AD520" t="s">
        <v>39</v>
      </c>
      <c r="AE520">
        <f t="shared" si="8"/>
        <v>0</v>
      </c>
    </row>
    <row r="521" spans="1:31" x14ac:dyDescent="0.35">
      <c r="A521">
        <v>100520</v>
      </c>
      <c r="B521" s="3">
        <v>45984</v>
      </c>
      <c r="C521">
        <v>1012</v>
      </c>
      <c r="D521" t="s">
        <v>59</v>
      </c>
      <c r="E521" t="s">
        <v>73</v>
      </c>
      <c r="F521" t="s">
        <v>61</v>
      </c>
      <c r="G521" t="s">
        <v>46</v>
      </c>
      <c r="H521" t="s">
        <v>57</v>
      </c>
      <c r="I521" t="s">
        <v>35</v>
      </c>
      <c r="J521" s="4">
        <v>37.590000000000003</v>
      </c>
      <c r="K521" s="4">
        <v>15.92</v>
      </c>
      <c r="L521">
        <v>15</v>
      </c>
      <c r="M521" s="4">
        <v>89.76</v>
      </c>
      <c r="N521" s="4">
        <v>508.67</v>
      </c>
      <c r="O521" s="4">
        <v>256.08</v>
      </c>
      <c r="P521" s="4">
        <v>5.53</v>
      </c>
      <c r="Q521" s="4">
        <v>4.1900000000000004</v>
      </c>
      <c r="R521" s="4">
        <v>10.66</v>
      </c>
      <c r="S521" s="4">
        <v>0</v>
      </c>
      <c r="T521" s="4">
        <v>0</v>
      </c>
      <c r="U521" s="4">
        <v>276.45999999999998</v>
      </c>
      <c r="V521" s="4">
        <v>232.21</v>
      </c>
      <c r="W521" t="s">
        <v>21</v>
      </c>
      <c r="X521" t="s">
        <v>36</v>
      </c>
      <c r="Y521" s="4">
        <v>1</v>
      </c>
      <c r="Z521" s="4">
        <v>1</v>
      </c>
      <c r="AA521" t="s">
        <v>37</v>
      </c>
      <c r="AB521" t="s">
        <v>38</v>
      </c>
      <c r="AC521" s="7">
        <v>0</v>
      </c>
      <c r="AD521" t="s">
        <v>39</v>
      </c>
      <c r="AE521">
        <f t="shared" si="8"/>
        <v>0</v>
      </c>
    </row>
    <row r="522" spans="1:31" x14ac:dyDescent="0.35">
      <c r="A522">
        <v>100521</v>
      </c>
      <c r="B522" s="3">
        <v>46002</v>
      </c>
      <c r="C522">
        <v>1089</v>
      </c>
      <c r="D522" t="s">
        <v>59</v>
      </c>
      <c r="E522" t="s">
        <v>70</v>
      </c>
      <c r="F522" t="s">
        <v>32</v>
      </c>
      <c r="G522" t="s">
        <v>63</v>
      </c>
      <c r="H522" t="s">
        <v>57</v>
      </c>
      <c r="I522" t="s">
        <v>35</v>
      </c>
      <c r="J522" s="4">
        <v>17.95</v>
      </c>
      <c r="K522" s="4">
        <v>11.05</v>
      </c>
      <c r="L522">
        <v>5</v>
      </c>
      <c r="M522" s="4">
        <v>9.92</v>
      </c>
      <c r="N522" s="4">
        <v>188.43</v>
      </c>
      <c r="O522" s="4">
        <v>124.87</v>
      </c>
      <c r="P522" s="4">
        <v>8.8000000000000007</v>
      </c>
      <c r="Q522" s="4">
        <v>1.39</v>
      </c>
      <c r="R522" s="4">
        <v>6.76</v>
      </c>
      <c r="S522" s="4">
        <v>0</v>
      </c>
      <c r="T522" s="4">
        <v>0</v>
      </c>
      <c r="U522" s="4">
        <v>141.82</v>
      </c>
      <c r="V522" s="4">
        <v>46.61</v>
      </c>
      <c r="W522" t="s">
        <v>21</v>
      </c>
      <c r="X522" t="s">
        <v>36</v>
      </c>
      <c r="Y522" s="4">
        <v>20</v>
      </c>
      <c r="Z522" s="4">
        <v>5</v>
      </c>
      <c r="AA522" t="s">
        <v>52</v>
      </c>
      <c r="AB522" t="s">
        <v>38</v>
      </c>
      <c r="AC522" s="7">
        <v>0</v>
      </c>
      <c r="AD522" t="s">
        <v>39</v>
      </c>
      <c r="AE522">
        <f t="shared" si="8"/>
        <v>0</v>
      </c>
    </row>
    <row r="523" spans="1:31" x14ac:dyDescent="0.35">
      <c r="A523">
        <v>100522</v>
      </c>
      <c r="B523" s="3">
        <v>45992</v>
      </c>
      <c r="C523">
        <v>1097</v>
      </c>
      <c r="D523" t="s">
        <v>47</v>
      </c>
      <c r="E523" t="s">
        <v>53</v>
      </c>
      <c r="F523" t="s">
        <v>32</v>
      </c>
      <c r="G523" t="s">
        <v>50</v>
      </c>
      <c r="H523" t="s">
        <v>57</v>
      </c>
      <c r="I523" t="s">
        <v>54</v>
      </c>
      <c r="J523" s="4">
        <v>24.38</v>
      </c>
      <c r="K523" s="4">
        <v>17.32</v>
      </c>
      <c r="L523">
        <v>0</v>
      </c>
      <c r="M523" s="4">
        <v>0</v>
      </c>
      <c r="N523" s="4">
        <v>422.26</v>
      </c>
      <c r="O523" s="4">
        <v>204.64</v>
      </c>
      <c r="P523" s="4">
        <v>9.7100000000000009</v>
      </c>
      <c r="Q523" s="4">
        <v>5.07</v>
      </c>
      <c r="R523" s="4">
        <v>8.56</v>
      </c>
      <c r="S523" s="4">
        <v>0</v>
      </c>
      <c r="T523" s="4">
        <v>0</v>
      </c>
      <c r="U523" s="4">
        <v>227.98</v>
      </c>
      <c r="V523" s="4">
        <v>194.28</v>
      </c>
      <c r="W523" t="s">
        <v>21</v>
      </c>
      <c r="X523" t="s">
        <v>36</v>
      </c>
      <c r="Y523" s="4">
        <v>9</v>
      </c>
      <c r="Z523" s="4">
        <v>6</v>
      </c>
      <c r="AA523" t="s">
        <v>37</v>
      </c>
      <c r="AB523" t="s">
        <v>38</v>
      </c>
      <c r="AC523" s="7">
        <v>0</v>
      </c>
      <c r="AD523" t="s">
        <v>39</v>
      </c>
      <c r="AE523">
        <f t="shared" si="8"/>
        <v>0</v>
      </c>
    </row>
    <row r="524" spans="1:31" x14ac:dyDescent="0.35">
      <c r="A524">
        <v>100523</v>
      </c>
      <c r="B524" s="3">
        <v>45937</v>
      </c>
      <c r="C524">
        <v>1092</v>
      </c>
      <c r="D524" t="s">
        <v>59</v>
      </c>
      <c r="E524" t="s">
        <v>70</v>
      </c>
      <c r="F524" t="s">
        <v>41</v>
      </c>
      <c r="G524" t="s">
        <v>33</v>
      </c>
      <c r="H524" t="s">
        <v>34</v>
      </c>
      <c r="I524" t="s">
        <v>35</v>
      </c>
      <c r="J524" s="4">
        <v>28.49</v>
      </c>
      <c r="K524" s="4">
        <v>18.52</v>
      </c>
      <c r="L524">
        <v>10</v>
      </c>
      <c r="M524" s="4">
        <v>52.76</v>
      </c>
      <c r="N524" s="4">
        <v>474.87</v>
      </c>
      <c r="O524" s="4">
        <v>170.11</v>
      </c>
      <c r="P524" s="4">
        <v>2.2400000000000002</v>
      </c>
      <c r="Q524" s="4">
        <v>3.69</v>
      </c>
      <c r="R524" s="4">
        <v>3.19</v>
      </c>
      <c r="S524" s="4">
        <v>0</v>
      </c>
      <c r="T524" s="4">
        <v>0</v>
      </c>
      <c r="U524" s="4">
        <v>179.23</v>
      </c>
      <c r="V524" s="4">
        <v>295.64</v>
      </c>
      <c r="W524" t="s">
        <v>21</v>
      </c>
      <c r="X524" t="s">
        <v>36</v>
      </c>
      <c r="Y524" s="4">
        <v>15</v>
      </c>
      <c r="Z524" s="4">
        <v>26</v>
      </c>
      <c r="AA524" t="s">
        <v>37</v>
      </c>
      <c r="AB524" t="s">
        <v>44</v>
      </c>
      <c r="AC524" s="7">
        <v>1</v>
      </c>
      <c r="AD524" t="s">
        <v>45</v>
      </c>
      <c r="AE524">
        <f t="shared" si="8"/>
        <v>1</v>
      </c>
    </row>
    <row r="525" spans="1:31" x14ac:dyDescent="0.35">
      <c r="A525">
        <v>100524</v>
      </c>
      <c r="B525" s="3">
        <v>45931</v>
      </c>
      <c r="C525">
        <v>1112</v>
      </c>
      <c r="D525" t="s">
        <v>47</v>
      </c>
      <c r="E525" t="s">
        <v>56</v>
      </c>
      <c r="F525" t="s">
        <v>61</v>
      </c>
      <c r="G525" t="s">
        <v>63</v>
      </c>
      <c r="H525" t="s">
        <v>34</v>
      </c>
      <c r="I525" t="s">
        <v>35</v>
      </c>
      <c r="J525" s="4">
        <v>18.66</v>
      </c>
      <c r="K525" s="4">
        <v>13.26</v>
      </c>
      <c r="L525">
        <v>0</v>
      </c>
      <c r="M525" s="4">
        <v>0</v>
      </c>
      <c r="N525" s="4">
        <v>247.43</v>
      </c>
      <c r="O525" s="4">
        <v>108.84</v>
      </c>
      <c r="P525" s="4">
        <v>10.89</v>
      </c>
      <c r="Q525" s="4">
        <v>1.73</v>
      </c>
      <c r="R525" s="4">
        <v>10.59</v>
      </c>
      <c r="S525" s="4">
        <v>0</v>
      </c>
      <c r="T525" s="4">
        <v>0</v>
      </c>
      <c r="U525" s="4">
        <v>132.05000000000001</v>
      </c>
      <c r="V525" s="4">
        <v>115.38</v>
      </c>
      <c r="W525" t="s">
        <v>21</v>
      </c>
      <c r="X525" t="s">
        <v>36</v>
      </c>
      <c r="Y525" s="4">
        <v>4</v>
      </c>
      <c r="Z525" s="4">
        <v>6</v>
      </c>
      <c r="AA525" t="s">
        <v>37</v>
      </c>
      <c r="AB525" t="s">
        <v>38</v>
      </c>
      <c r="AC525" s="7">
        <v>0</v>
      </c>
      <c r="AD525" t="s">
        <v>39</v>
      </c>
      <c r="AE525">
        <f t="shared" si="8"/>
        <v>0</v>
      </c>
    </row>
    <row r="526" spans="1:31" x14ac:dyDescent="0.35">
      <c r="A526">
        <v>100525</v>
      </c>
      <c r="B526" s="3">
        <v>45978</v>
      </c>
      <c r="C526">
        <v>1116</v>
      </c>
      <c r="D526" t="s">
        <v>64</v>
      </c>
      <c r="E526" t="s">
        <v>75</v>
      </c>
      <c r="F526" t="s">
        <v>32</v>
      </c>
      <c r="G526" t="s">
        <v>63</v>
      </c>
      <c r="H526" t="s">
        <v>34</v>
      </c>
      <c r="I526" t="s">
        <v>69</v>
      </c>
      <c r="J526" s="4">
        <v>16.61</v>
      </c>
      <c r="K526" s="4">
        <v>12.46</v>
      </c>
      <c r="L526">
        <v>5</v>
      </c>
      <c r="M526" s="4">
        <v>10.35</v>
      </c>
      <c r="N526" s="4">
        <v>196.61</v>
      </c>
      <c r="O526" s="4">
        <v>143.76</v>
      </c>
      <c r="P526" s="4">
        <v>7.46</v>
      </c>
      <c r="Q526" s="4">
        <v>0.83</v>
      </c>
      <c r="R526" s="4">
        <v>5.37</v>
      </c>
      <c r="S526" s="4">
        <v>0</v>
      </c>
      <c r="T526" s="4">
        <v>0</v>
      </c>
      <c r="U526" s="4">
        <v>157.41999999999999</v>
      </c>
      <c r="V526" s="4">
        <v>39.19</v>
      </c>
      <c r="W526" t="s">
        <v>21</v>
      </c>
      <c r="X526" t="s">
        <v>36</v>
      </c>
      <c r="Y526" s="4">
        <v>2</v>
      </c>
      <c r="Z526" s="4">
        <v>11</v>
      </c>
      <c r="AA526" t="s">
        <v>37</v>
      </c>
      <c r="AB526" t="s">
        <v>38</v>
      </c>
      <c r="AC526" s="7">
        <v>0</v>
      </c>
      <c r="AD526" t="s">
        <v>39</v>
      </c>
      <c r="AE526">
        <f t="shared" si="8"/>
        <v>0</v>
      </c>
    </row>
    <row r="527" spans="1:31" x14ac:dyDescent="0.35">
      <c r="A527">
        <v>100526</v>
      </c>
      <c r="B527" s="3">
        <v>45973</v>
      </c>
      <c r="C527">
        <v>1039</v>
      </c>
      <c r="D527" t="s">
        <v>59</v>
      </c>
      <c r="E527" t="s">
        <v>60</v>
      </c>
      <c r="F527" t="s">
        <v>49</v>
      </c>
      <c r="G527" t="s">
        <v>46</v>
      </c>
      <c r="H527" t="s">
        <v>51</v>
      </c>
      <c r="I527" t="s">
        <v>69</v>
      </c>
      <c r="J527" s="4">
        <v>19.93</v>
      </c>
      <c r="K527" s="4">
        <v>16.39</v>
      </c>
      <c r="L527">
        <v>0</v>
      </c>
      <c r="M527" s="4">
        <v>0</v>
      </c>
      <c r="N527" s="4">
        <v>326.64999999999998</v>
      </c>
      <c r="O527" s="4">
        <v>126.94</v>
      </c>
      <c r="P527" s="4">
        <v>6.89</v>
      </c>
      <c r="Q527" s="4">
        <v>1.31</v>
      </c>
      <c r="R527" s="4">
        <v>14.72</v>
      </c>
      <c r="S527" s="4">
        <v>0</v>
      </c>
      <c r="T527" s="4">
        <v>0</v>
      </c>
      <c r="U527" s="4">
        <v>149.86000000000001</v>
      </c>
      <c r="V527" s="4">
        <v>176.79</v>
      </c>
      <c r="W527" t="s">
        <v>21</v>
      </c>
      <c r="X527" t="s">
        <v>36</v>
      </c>
      <c r="Y527" s="4">
        <v>12</v>
      </c>
      <c r="Z527" s="4">
        <v>50</v>
      </c>
      <c r="AA527" t="s">
        <v>37</v>
      </c>
      <c r="AB527" t="s">
        <v>44</v>
      </c>
      <c r="AC527" s="7">
        <v>3</v>
      </c>
      <c r="AD527" t="s">
        <v>45</v>
      </c>
      <c r="AE527">
        <f t="shared" si="8"/>
        <v>1</v>
      </c>
    </row>
    <row r="528" spans="1:31" x14ac:dyDescent="0.35">
      <c r="A528">
        <v>100527</v>
      </c>
      <c r="B528" s="3">
        <v>45934</v>
      </c>
      <c r="C528">
        <v>1046</v>
      </c>
      <c r="D528" t="s">
        <v>59</v>
      </c>
      <c r="E528" t="s">
        <v>68</v>
      </c>
      <c r="F528" t="s">
        <v>32</v>
      </c>
      <c r="G528" t="s">
        <v>50</v>
      </c>
      <c r="H528" t="s">
        <v>57</v>
      </c>
      <c r="I528" t="s">
        <v>35</v>
      </c>
      <c r="J528" s="4">
        <v>22.26</v>
      </c>
      <c r="K528" s="4">
        <v>18.8</v>
      </c>
      <c r="L528">
        <v>0</v>
      </c>
      <c r="M528" s="4">
        <v>0</v>
      </c>
      <c r="N528" s="4">
        <v>418.49</v>
      </c>
      <c r="O528" s="4">
        <v>160.1</v>
      </c>
      <c r="P528" s="4">
        <v>11.48</v>
      </c>
      <c r="Q528" s="4">
        <v>2.93</v>
      </c>
      <c r="R528" s="4">
        <v>2.11</v>
      </c>
      <c r="S528" s="4">
        <v>0</v>
      </c>
      <c r="T528" s="4">
        <v>0</v>
      </c>
      <c r="U528" s="4">
        <v>176.62</v>
      </c>
      <c r="V528" s="4">
        <v>241.87</v>
      </c>
      <c r="W528" t="s">
        <v>21</v>
      </c>
      <c r="X528" t="s">
        <v>36</v>
      </c>
      <c r="Y528" s="4">
        <v>5</v>
      </c>
      <c r="Z528" s="4">
        <v>1</v>
      </c>
      <c r="AA528" t="s">
        <v>37</v>
      </c>
      <c r="AB528" t="s">
        <v>38</v>
      </c>
      <c r="AC528" s="7">
        <v>0</v>
      </c>
      <c r="AD528" t="s">
        <v>39</v>
      </c>
      <c r="AE528">
        <f t="shared" si="8"/>
        <v>0</v>
      </c>
    </row>
    <row r="529" spans="1:31" x14ac:dyDescent="0.35">
      <c r="A529">
        <v>100528</v>
      </c>
      <c r="B529" s="3">
        <v>45967</v>
      </c>
      <c r="C529">
        <v>1107</v>
      </c>
      <c r="D529" t="s">
        <v>30</v>
      </c>
      <c r="E529" t="s">
        <v>40</v>
      </c>
      <c r="F529" t="s">
        <v>41</v>
      </c>
      <c r="G529" t="s">
        <v>63</v>
      </c>
      <c r="H529" t="s">
        <v>34</v>
      </c>
      <c r="I529" t="s">
        <v>69</v>
      </c>
      <c r="J529" s="4">
        <v>31.57</v>
      </c>
      <c r="K529" s="4">
        <v>12.56</v>
      </c>
      <c r="L529">
        <v>0</v>
      </c>
      <c r="M529" s="4">
        <v>0</v>
      </c>
      <c r="N529" s="4">
        <v>396.52</v>
      </c>
      <c r="O529" s="4">
        <v>264.97000000000003</v>
      </c>
      <c r="P529" s="4">
        <v>7.76</v>
      </c>
      <c r="Q529" s="4">
        <v>1.59</v>
      </c>
      <c r="R529" s="4">
        <v>8.52</v>
      </c>
      <c r="S529" s="4">
        <v>0</v>
      </c>
      <c r="T529" s="4">
        <v>0</v>
      </c>
      <c r="U529" s="4">
        <v>282.83999999999997</v>
      </c>
      <c r="V529" s="4">
        <v>113.68</v>
      </c>
      <c r="W529" t="s">
        <v>21</v>
      </c>
      <c r="X529" t="s">
        <v>36</v>
      </c>
      <c r="Y529" s="4">
        <v>28</v>
      </c>
      <c r="Z529" s="4">
        <v>0</v>
      </c>
      <c r="AA529" t="s">
        <v>52</v>
      </c>
      <c r="AB529" t="s">
        <v>44</v>
      </c>
      <c r="AC529" s="7">
        <v>1</v>
      </c>
      <c r="AD529" t="s">
        <v>45</v>
      </c>
      <c r="AE529">
        <f t="shared" si="8"/>
        <v>1</v>
      </c>
    </row>
    <row r="530" spans="1:31" x14ac:dyDescent="0.35">
      <c r="A530">
        <v>100529</v>
      </c>
      <c r="B530" s="3">
        <v>45990</v>
      </c>
      <c r="C530">
        <v>1065</v>
      </c>
      <c r="D530" t="s">
        <v>47</v>
      </c>
      <c r="E530" t="s">
        <v>56</v>
      </c>
      <c r="F530" t="s">
        <v>49</v>
      </c>
      <c r="G530" t="s">
        <v>50</v>
      </c>
      <c r="H530" t="s">
        <v>57</v>
      </c>
      <c r="I530" t="s">
        <v>42</v>
      </c>
      <c r="J530" s="4">
        <v>23.27</v>
      </c>
      <c r="K530" s="4">
        <v>17.36</v>
      </c>
      <c r="L530">
        <v>0</v>
      </c>
      <c r="M530" s="4">
        <v>0</v>
      </c>
      <c r="N530" s="4">
        <v>403.97</v>
      </c>
      <c r="O530" s="4">
        <v>164.94</v>
      </c>
      <c r="P530" s="4">
        <v>11.14</v>
      </c>
      <c r="Q530" s="4">
        <v>6.06</v>
      </c>
      <c r="R530" s="4">
        <v>11.62</v>
      </c>
      <c r="S530" s="4">
        <v>302.05</v>
      </c>
      <c r="T530" s="4">
        <v>11.13</v>
      </c>
      <c r="U530" s="4">
        <v>506.94</v>
      </c>
      <c r="V530" s="4">
        <v>-102.97</v>
      </c>
      <c r="W530" t="s">
        <v>58</v>
      </c>
      <c r="X530" t="s">
        <v>66</v>
      </c>
      <c r="Y530" s="4">
        <v>11</v>
      </c>
      <c r="Z530" s="4">
        <v>18</v>
      </c>
      <c r="AA530" t="s">
        <v>37</v>
      </c>
      <c r="AB530" t="s">
        <v>44</v>
      </c>
      <c r="AC530" s="7">
        <v>1</v>
      </c>
      <c r="AD530" t="s">
        <v>45</v>
      </c>
      <c r="AE530">
        <f t="shared" si="8"/>
        <v>1</v>
      </c>
    </row>
    <row r="531" spans="1:31" x14ac:dyDescent="0.35">
      <c r="A531">
        <v>100530</v>
      </c>
      <c r="B531" s="3">
        <v>45991</v>
      </c>
      <c r="C531">
        <v>1148</v>
      </c>
      <c r="D531" t="s">
        <v>59</v>
      </c>
      <c r="E531" t="s">
        <v>60</v>
      </c>
      <c r="F531" t="s">
        <v>71</v>
      </c>
      <c r="G531" t="s">
        <v>33</v>
      </c>
      <c r="H531" t="s">
        <v>34</v>
      </c>
      <c r="I531" t="s">
        <v>69</v>
      </c>
      <c r="J531" s="4">
        <v>32.909999999999997</v>
      </c>
      <c r="K531" s="4">
        <v>18.95</v>
      </c>
      <c r="L531">
        <v>0</v>
      </c>
      <c r="M531" s="4">
        <v>0</v>
      </c>
      <c r="N531" s="4">
        <v>623.64</v>
      </c>
      <c r="O531" s="4">
        <v>236.26</v>
      </c>
      <c r="P531" s="4">
        <v>5.78</v>
      </c>
      <c r="Q531" s="4">
        <v>2.4900000000000002</v>
      </c>
      <c r="R531" s="4">
        <v>4.95</v>
      </c>
      <c r="S531" s="4">
        <v>0</v>
      </c>
      <c r="T531" s="4">
        <v>0</v>
      </c>
      <c r="U531" s="4">
        <v>249.48</v>
      </c>
      <c r="V531" s="4">
        <v>374.16</v>
      </c>
      <c r="W531" t="s">
        <v>21</v>
      </c>
      <c r="X531" t="s">
        <v>36</v>
      </c>
      <c r="Y531" s="4">
        <v>5</v>
      </c>
      <c r="Z531" s="4">
        <v>2</v>
      </c>
      <c r="AA531" t="s">
        <v>37</v>
      </c>
      <c r="AB531" t="s">
        <v>38</v>
      </c>
      <c r="AC531" s="7">
        <v>0</v>
      </c>
      <c r="AD531" t="s">
        <v>39</v>
      </c>
      <c r="AE531">
        <f t="shared" si="8"/>
        <v>0</v>
      </c>
    </row>
    <row r="532" spans="1:31" x14ac:dyDescent="0.35">
      <c r="A532">
        <v>100531</v>
      </c>
      <c r="B532" s="3">
        <v>45984</v>
      </c>
      <c r="C532">
        <v>1046</v>
      </c>
      <c r="D532" t="s">
        <v>59</v>
      </c>
      <c r="E532" t="s">
        <v>73</v>
      </c>
      <c r="F532" t="s">
        <v>61</v>
      </c>
      <c r="G532" t="s">
        <v>63</v>
      </c>
      <c r="H532" t="s">
        <v>34</v>
      </c>
      <c r="I532" t="s">
        <v>35</v>
      </c>
      <c r="J532" s="4">
        <v>15.94</v>
      </c>
      <c r="K532" s="4">
        <v>12.05</v>
      </c>
      <c r="L532">
        <v>10</v>
      </c>
      <c r="M532" s="4">
        <v>19.21</v>
      </c>
      <c r="N532" s="4">
        <v>172.87</v>
      </c>
      <c r="O532" s="4">
        <v>106.84</v>
      </c>
      <c r="P532" s="4">
        <v>6.16</v>
      </c>
      <c r="Q532" s="4">
        <v>1.34</v>
      </c>
      <c r="R532" s="4">
        <v>4.8499999999999996</v>
      </c>
      <c r="S532" s="4">
        <v>0</v>
      </c>
      <c r="T532" s="4">
        <v>0</v>
      </c>
      <c r="U532" s="4">
        <v>119.19</v>
      </c>
      <c r="V532" s="4">
        <v>53.68</v>
      </c>
      <c r="W532" t="s">
        <v>21</v>
      </c>
      <c r="X532" t="s">
        <v>36</v>
      </c>
      <c r="Y532" s="4">
        <v>9</v>
      </c>
      <c r="Z532" s="4">
        <v>16</v>
      </c>
      <c r="AA532" t="s">
        <v>37</v>
      </c>
      <c r="AB532" t="s">
        <v>44</v>
      </c>
      <c r="AC532" s="7">
        <v>2</v>
      </c>
      <c r="AD532" t="s">
        <v>45</v>
      </c>
      <c r="AE532">
        <f t="shared" si="8"/>
        <v>1</v>
      </c>
    </row>
    <row r="533" spans="1:31" x14ac:dyDescent="0.35">
      <c r="A533">
        <v>100532</v>
      </c>
      <c r="B533" s="3">
        <v>45982</v>
      </c>
      <c r="C533">
        <v>1133</v>
      </c>
      <c r="D533" t="s">
        <v>59</v>
      </c>
      <c r="E533" t="s">
        <v>68</v>
      </c>
      <c r="F533" t="s">
        <v>41</v>
      </c>
      <c r="G533" t="s">
        <v>63</v>
      </c>
      <c r="H533" t="s">
        <v>34</v>
      </c>
      <c r="I533" t="s">
        <v>35</v>
      </c>
      <c r="J533" s="4">
        <v>21.06</v>
      </c>
      <c r="K533" s="4">
        <v>13.76</v>
      </c>
      <c r="L533">
        <v>0</v>
      </c>
      <c r="M533" s="4">
        <v>0</v>
      </c>
      <c r="N533" s="4">
        <v>289.79000000000002</v>
      </c>
      <c r="O533" s="4">
        <v>135.79</v>
      </c>
      <c r="P533" s="4">
        <v>6.21</v>
      </c>
      <c r="Q533" s="4">
        <v>2.0299999999999998</v>
      </c>
      <c r="R533" s="4">
        <v>3.11</v>
      </c>
      <c r="S533" s="4">
        <v>0</v>
      </c>
      <c r="T533" s="4">
        <v>0</v>
      </c>
      <c r="U533" s="4">
        <v>147.13999999999999</v>
      </c>
      <c r="V533" s="4">
        <v>142.65</v>
      </c>
      <c r="W533" t="s">
        <v>21</v>
      </c>
      <c r="X533" t="s">
        <v>36</v>
      </c>
      <c r="Y533" s="4">
        <v>3</v>
      </c>
      <c r="Z533" s="4">
        <v>10</v>
      </c>
      <c r="AA533" t="s">
        <v>37</v>
      </c>
      <c r="AB533" t="s">
        <v>38</v>
      </c>
      <c r="AC533" s="7">
        <v>0</v>
      </c>
      <c r="AD533" t="s">
        <v>39</v>
      </c>
      <c r="AE533">
        <f t="shared" si="8"/>
        <v>0</v>
      </c>
    </row>
    <row r="534" spans="1:31" x14ac:dyDescent="0.35">
      <c r="A534">
        <v>100533</v>
      </c>
      <c r="B534" s="3">
        <v>46007</v>
      </c>
      <c r="C534">
        <v>1087</v>
      </c>
      <c r="D534" t="s">
        <v>30</v>
      </c>
      <c r="E534" t="s">
        <v>62</v>
      </c>
      <c r="F534" t="s">
        <v>71</v>
      </c>
      <c r="G534" t="s">
        <v>50</v>
      </c>
      <c r="H534" t="s">
        <v>34</v>
      </c>
      <c r="I534" t="s">
        <v>69</v>
      </c>
      <c r="J534" s="4">
        <v>26.86</v>
      </c>
      <c r="K534" s="4">
        <v>17.7</v>
      </c>
      <c r="L534">
        <v>0</v>
      </c>
      <c r="M534" s="4">
        <v>0</v>
      </c>
      <c r="N534" s="4">
        <v>475.42</v>
      </c>
      <c r="O534" s="4">
        <v>232.78</v>
      </c>
      <c r="P534" s="4">
        <v>9.67</v>
      </c>
      <c r="Q534" s="4">
        <v>1.9</v>
      </c>
      <c r="R534" s="4">
        <v>6.13</v>
      </c>
      <c r="S534" s="4">
        <v>301.67</v>
      </c>
      <c r="T534" s="4">
        <v>0</v>
      </c>
      <c r="U534" s="4">
        <v>552.15</v>
      </c>
      <c r="V534" s="4">
        <v>-76.73</v>
      </c>
      <c r="W534" t="s">
        <v>58</v>
      </c>
      <c r="X534" t="s">
        <v>55</v>
      </c>
      <c r="Y534" s="4">
        <v>1</v>
      </c>
      <c r="Z534" s="4">
        <v>1</v>
      </c>
      <c r="AA534" t="s">
        <v>37</v>
      </c>
      <c r="AB534" t="s">
        <v>44</v>
      </c>
      <c r="AC534" s="7">
        <v>1</v>
      </c>
      <c r="AD534" t="s">
        <v>45</v>
      </c>
      <c r="AE534">
        <f t="shared" si="8"/>
        <v>1</v>
      </c>
    </row>
    <row r="535" spans="1:31" x14ac:dyDescent="0.35">
      <c r="A535">
        <v>100534</v>
      </c>
      <c r="B535" s="3">
        <v>45957</v>
      </c>
      <c r="C535">
        <v>1062</v>
      </c>
      <c r="D535" t="s">
        <v>30</v>
      </c>
      <c r="E535" t="s">
        <v>31</v>
      </c>
      <c r="F535" t="s">
        <v>32</v>
      </c>
      <c r="G535" t="s">
        <v>63</v>
      </c>
      <c r="H535" t="s">
        <v>51</v>
      </c>
      <c r="I535" t="s">
        <v>42</v>
      </c>
      <c r="J535" s="4">
        <v>16.45</v>
      </c>
      <c r="K535" s="4">
        <v>12.56</v>
      </c>
      <c r="L535">
        <v>20</v>
      </c>
      <c r="M535" s="4">
        <v>41.32</v>
      </c>
      <c r="N535" s="4">
        <v>165.29</v>
      </c>
      <c r="O535" s="4">
        <v>129.02000000000001</v>
      </c>
      <c r="P535" s="4">
        <v>6.68</v>
      </c>
      <c r="Q535" s="4">
        <v>3.1</v>
      </c>
      <c r="R535" s="4">
        <v>10.92</v>
      </c>
      <c r="S535" s="4">
        <v>0</v>
      </c>
      <c r="T535" s="4">
        <v>0</v>
      </c>
      <c r="U535" s="4">
        <v>149.72</v>
      </c>
      <c r="V535" s="4">
        <v>15.57</v>
      </c>
      <c r="W535" t="s">
        <v>21</v>
      </c>
      <c r="X535" t="s">
        <v>36</v>
      </c>
      <c r="Y535" s="4">
        <v>8</v>
      </c>
      <c r="Z535" s="4">
        <v>5</v>
      </c>
      <c r="AA535" t="s">
        <v>37</v>
      </c>
      <c r="AB535" t="s">
        <v>38</v>
      </c>
      <c r="AC535" s="7">
        <v>0</v>
      </c>
      <c r="AD535" t="s">
        <v>39</v>
      </c>
      <c r="AE535">
        <f t="shared" si="8"/>
        <v>0</v>
      </c>
    </row>
    <row r="536" spans="1:31" x14ac:dyDescent="0.35">
      <c r="A536">
        <v>100535</v>
      </c>
      <c r="B536" s="3">
        <v>45996</v>
      </c>
      <c r="C536">
        <v>1121</v>
      </c>
      <c r="D536" t="s">
        <v>59</v>
      </c>
      <c r="E536" t="s">
        <v>60</v>
      </c>
      <c r="F536" t="s">
        <v>41</v>
      </c>
      <c r="G536" t="s">
        <v>63</v>
      </c>
      <c r="H536" t="s">
        <v>57</v>
      </c>
      <c r="I536" t="s">
        <v>35</v>
      </c>
      <c r="J536" s="4">
        <v>22.12</v>
      </c>
      <c r="K536" s="4">
        <v>14.22</v>
      </c>
      <c r="L536">
        <v>0</v>
      </c>
      <c r="M536" s="4">
        <v>0</v>
      </c>
      <c r="N536" s="4">
        <v>314.55</v>
      </c>
      <c r="O536" s="4">
        <v>138.22</v>
      </c>
      <c r="P536" s="4">
        <v>4</v>
      </c>
      <c r="Q536" s="4">
        <v>2.2000000000000002</v>
      </c>
      <c r="R536" s="4">
        <v>6.27</v>
      </c>
      <c r="S536" s="4">
        <v>0</v>
      </c>
      <c r="T536" s="4">
        <v>0</v>
      </c>
      <c r="U536" s="4">
        <v>150.69</v>
      </c>
      <c r="V536" s="4">
        <v>163.86</v>
      </c>
      <c r="W536" t="s">
        <v>21</v>
      </c>
      <c r="X536" t="s">
        <v>36</v>
      </c>
      <c r="Y536" s="4">
        <v>5</v>
      </c>
      <c r="Z536" s="4">
        <v>5</v>
      </c>
      <c r="AA536" t="s">
        <v>37</v>
      </c>
      <c r="AB536" t="s">
        <v>38</v>
      </c>
      <c r="AC536" s="7">
        <v>0</v>
      </c>
      <c r="AD536" t="s">
        <v>39</v>
      </c>
      <c r="AE536">
        <f t="shared" si="8"/>
        <v>0</v>
      </c>
    </row>
    <row r="537" spans="1:31" x14ac:dyDescent="0.35">
      <c r="A537">
        <v>100536</v>
      </c>
      <c r="B537" s="3">
        <v>45956</v>
      </c>
      <c r="C537">
        <v>1125</v>
      </c>
      <c r="D537" t="s">
        <v>59</v>
      </c>
      <c r="E537" t="s">
        <v>60</v>
      </c>
      <c r="F537" t="s">
        <v>32</v>
      </c>
      <c r="G537" t="s">
        <v>46</v>
      </c>
      <c r="H537" t="s">
        <v>57</v>
      </c>
      <c r="I537" t="s">
        <v>69</v>
      </c>
      <c r="J537" s="4">
        <v>36.75</v>
      </c>
      <c r="K537" s="4">
        <v>15.47</v>
      </c>
      <c r="L537">
        <v>5</v>
      </c>
      <c r="M537" s="4">
        <v>28.43</v>
      </c>
      <c r="N537" s="4">
        <v>540.09</v>
      </c>
      <c r="O537" s="4">
        <v>253.35</v>
      </c>
      <c r="P537" s="4">
        <v>12.51</v>
      </c>
      <c r="Q537" s="4">
        <v>2.27</v>
      </c>
      <c r="R537" s="4">
        <v>3.21</v>
      </c>
      <c r="S537" s="4">
        <v>0</v>
      </c>
      <c r="T537" s="4">
        <v>0</v>
      </c>
      <c r="U537" s="4">
        <v>271.33999999999997</v>
      </c>
      <c r="V537" s="4">
        <v>268.75</v>
      </c>
      <c r="W537" t="s">
        <v>21</v>
      </c>
      <c r="X537" t="s">
        <v>36</v>
      </c>
      <c r="Y537" s="4">
        <v>10</v>
      </c>
      <c r="Z537" s="4">
        <v>0</v>
      </c>
      <c r="AA537" t="s">
        <v>37</v>
      </c>
      <c r="AB537" t="s">
        <v>38</v>
      </c>
      <c r="AC537" s="7">
        <v>0</v>
      </c>
      <c r="AD537" t="s">
        <v>39</v>
      </c>
      <c r="AE537">
        <f t="shared" si="8"/>
        <v>0</v>
      </c>
    </row>
    <row r="538" spans="1:31" x14ac:dyDescent="0.35">
      <c r="A538">
        <v>100537</v>
      </c>
      <c r="B538" s="3">
        <v>45985</v>
      </c>
      <c r="C538">
        <v>1134</v>
      </c>
      <c r="D538" t="s">
        <v>47</v>
      </c>
      <c r="E538" t="s">
        <v>56</v>
      </c>
      <c r="F538" t="s">
        <v>41</v>
      </c>
      <c r="G538" t="s">
        <v>33</v>
      </c>
      <c r="H538" t="s">
        <v>34</v>
      </c>
      <c r="I538" t="s">
        <v>35</v>
      </c>
      <c r="J538" s="4">
        <v>27.92</v>
      </c>
      <c r="K538" s="4">
        <v>19.09</v>
      </c>
      <c r="L538">
        <v>5</v>
      </c>
      <c r="M538" s="4">
        <v>26.65</v>
      </c>
      <c r="N538" s="4">
        <v>506.34</v>
      </c>
      <c r="O538" s="4">
        <v>206.34</v>
      </c>
      <c r="P538" s="4">
        <v>9.11</v>
      </c>
      <c r="Q538" s="4">
        <v>3.73</v>
      </c>
      <c r="R538" s="4">
        <v>8.15</v>
      </c>
      <c r="S538" s="4">
        <v>0</v>
      </c>
      <c r="T538" s="4">
        <v>0</v>
      </c>
      <c r="U538" s="4">
        <v>227.33</v>
      </c>
      <c r="V538" s="4">
        <v>279.01</v>
      </c>
      <c r="W538" t="s">
        <v>21</v>
      </c>
      <c r="X538" t="s">
        <v>36</v>
      </c>
      <c r="Y538" s="4">
        <v>12</v>
      </c>
      <c r="Z538" s="4">
        <v>5</v>
      </c>
      <c r="AA538" t="s">
        <v>37</v>
      </c>
      <c r="AB538" t="s">
        <v>38</v>
      </c>
      <c r="AC538" s="7">
        <v>0</v>
      </c>
      <c r="AD538" t="s">
        <v>39</v>
      </c>
      <c r="AE538">
        <f t="shared" si="8"/>
        <v>0</v>
      </c>
    </row>
    <row r="539" spans="1:31" x14ac:dyDescent="0.35">
      <c r="A539">
        <v>100538</v>
      </c>
      <c r="B539" s="3">
        <v>45945</v>
      </c>
      <c r="C539">
        <v>1073</v>
      </c>
      <c r="D539" t="s">
        <v>59</v>
      </c>
      <c r="E539" t="s">
        <v>70</v>
      </c>
      <c r="F539" t="s">
        <v>71</v>
      </c>
      <c r="G539" t="s">
        <v>50</v>
      </c>
      <c r="H539" t="s">
        <v>34</v>
      </c>
      <c r="I539" t="s">
        <v>69</v>
      </c>
      <c r="J539" s="4">
        <v>30.31</v>
      </c>
      <c r="K539" s="4">
        <v>16.829999999999998</v>
      </c>
      <c r="L539">
        <v>15</v>
      </c>
      <c r="M539" s="4">
        <v>76.52</v>
      </c>
      <c r="N539" s="4">
        <v>433.6</v>
      </c>
      <c r="O539" s="4">
        <v>204.62</v>
      </c>
      <c r="P539" s="4">
        <v>6.63</v>
      </c>
      <c r="Q539" s="4">
        <v>2.04</v>
      </c>
      <c r="R539" s="4">
        <v>6.52</v>
      </c>
      <c r="S539" s="4">
        <v>0</v>
      </c>
      <c r="T539" s="4">
        <v>0</v>
      </c>
      <c r="U539" s="4">
        <v>219.81</v>
      </c>
      <c r="V539" s="4">
        <v>213.79</v>
      </c>
      <c r="W539" t="s">
        <v>21</v>
      </c>
      <c r="X539" t="s">
        <v>36</v>
      </c>
      <c r="Y539" s="4">
        <v>14</v>
      </c>
      <c r="Z539" s="4">
        <v>17</v>
      </c>
      <c r="AA539" t="s">
        <v>37</v>
      </c>
      <c r="AB539" t="s">
        <v>44</v>
      </c>
      <c r="AC539" s="7">
        <v>1</v>
      </c>
      <c r="AD539" t="s">
        <v>45</v>
      </c>
      <c r="AE539">
        <f t="shared" si="8"/>
        <v>1</v>
      </c>
    </row>
    <row r="540" spans="1:31" x14ac:dyDescent="0.35">
      <c r="A540">
        <v>100539</v>
      </c>
      <c r="B540" s="3">
        <v>46008</v>
      </c>
      <c r="C540">
        <v>1082</v>
      </c>
      <c r="D540" t="s">
        <v>64</v>
      </c>
      <c r="E540" t="s">
        <v>67</v>
      </c>
      <c r="F540" t="s">
        <v>71</v>
      </c>
      <c r="G540" t="s">
        <v>63</v>
      </c>
      <c r="H540" t="s">
        <v>34</v>
      </c>
      <c r="I540" t="s">
        <v>35</v>
      </c>
      <c r="J540" s="4">
        <v>25.03</v>
      </c>
      <c r="K540" s="4">
        <v>11.92</v>
      </c>
      <c r="L540">
        <v>0</v>
      </c>
      <c r="M540" s="4">
        <v>0</v>
      </c>
      <c r="N540" s="4">
        <v>298.36</v>
      </c>
      <c r="O540" s="4">
        <v>204.53</v>
      </c>
      <c r="P540" s="4">
        <v>6.57</v>
      </c>
      <c r="Q540" s="4">
        <v>2.09</v>
      </c>
      <c r="R540" s="4">
        <v>3.17</v>
      </c>
      <c r="S540" s="4">
        <v>0</v>
      </c>
      <c r="T540" s="4">
        <v>0</v>
      </c>
      <c r="U540" s="4">
        <v>216.36</v>
      </c>
      <c r="V540" s="4">
        <v>82</v>
      </c>
      <c r="W540" t="s">
        <v>21</v>
      </c>
      <c r="X540" t="s">
        <v>36</v>
      </c>
      <c r="Y540" s="4">
        <v>34</v>
      </c>
      <c r="Z540" s="4">
        <v>12</v>
      </c>
      <c r="AA540" t="s">
        <v>43</v>
      </c>
      <c r="AB540" t="s">
        <v>44</v>
      </c>
      <c r="AC540" s="7">
        <v>4</v>
      </c>
      <c r="AD540" t="s">
        <v>45</v>
      </c>
      <c r="AE540">
        <f t="shared" si="8"/>
        <v>1</v>
      </c>
    </row>
    <row r="541" spans="1:31" x14ac:dyDescent="0.35">
      <c r="A541">
        <v>100540</v>
      </c>
      <c r="B541" s="3">
        <v>45951</v>
      </c>
      <c r="C541">
        <v>1107</v>
      </c>
      <c r="D541" t="s">
        <v>30</v>
      </c>
      <c r="E541" t="s">
        <v>72</v>
      </c>
      <c r="F541" t="s">
        <v>32</v>
      </c>
      <c r="G541" t="s">
        <v>63</v>
      </c>
      <c r="H541" t="s">
        <v>57</v>
      </c>
      <c r="I541" t="s">
        <v>69</v>
      </c>
      <c r="J541" s="4">
        <v>3</v>
      </c>
      <c r="K541" s="4">
        <v>11.49</v>
      </c>
      <c r="L541">
        <v>5</v>
      </c>
      <c r="M541" s="4">
        <v>1.72</v>
      </c>
      <c r="N541" s="4">
        <v>32.75</v>
      </c>
      <c r="O541" s="4">
        <v>18.82</v>
      </c>
      <c r="P541" s="4">
        <v>5.54</v>
      </c>
      <c r="Q541" s="4">
        <v>0.14000000000000001</v>
      </c>
      <c r="R541" s="4">
        <v>11.07</v>
      </c>
      <c r="S541" s="4">
        <v>0</v>
      </c>
      <c r="T541" s="4">
        <v>0</v>
      </c>
      <c r="U541" s="4">
        <v>35.57</v>
      </c>
      <c r="V541" s="4">
        <v>-2.82</v>
      </c>
      <c r="W541" t="s">
        <v>58</v>
      </c>
      <c r="X541" t="s">
        <v>36</v>
      </c>
      <c r="Y541" s="4">
        <v>61</v>
      </c>
      <c r="Z541" s="4">
        <v>4</v>
      </c>
      <c r="AA541" t="s">
        <v>43</v>
      </c>
      <c r="AB541" t="s">
        <v>44</v>
      </c>
      <c r="AC541" s="7">
        <v>2</v>
      </c>
      <c r="AD541" t="s">
        <v>45</v>
      </c>
      <c r="AE541">
        <f t="shared" si="8"/>
        <v>1</v>
      </c>
    </row>
    <row r="542" spans="1:31" x14ac:dyDescent="0.35">
      <c r="A542">
        <v>100541</v>
      </c>
      <c r="B542" s="3">
        <v>45939</v>
      </c>
      <c r="C542">
        <v>1088</v>
      </c>
      <c r="D542" t="s">
        <v>47</v>
      </c>
      <c r="E542" t="s">
        <v>48</v>
      </c>
      <c r="F542" t="s">
        <v>41</v>
      </c>
      <c r="G542" t="s">
        <v>50</v>
      </c>
      <c r="H542" t="s">
        <v>34</v>
      </c>
      <c r="I542" t="s">
        <v>42</v>
      </c>
      <c r="J542" s="4">
        <v>43.76</v>
      </c>
      <c r="K542" s="4">
        <v>18.079999999999998</v>
      </c>
      <c r="L542">
        <v>10</v>
      </c>
      <c r="M542" s="4">
        <v>79.12</v>
      </c>
      <c r="N542" s="4">
        <v>712.06</v>
      </c>
      <c r="O542" s="4">
        <v>323.55</v>
      </c>
      <c r="P542" s="4">
        <v>8.4499999999999993</v>
      </c>
      <c r="Q542" s="4">
        <v>11.87</v>
      </c>
      <c r="R542" s="4">
        <v>1.82</v>
      </c>
      <c r="S542" s="4">
        <v>0</v>
      </c>
      <c r="T542" s="4">
        <v>0</v>
      </c>
      <c r="U542" s="4">
        <v>345.69</v>
      </c>
      <c r="V542" s="4">
        <v>366.37</v>
      </c>
      <c r="W542" t="s">
        <v>21</v>
      </c>
      <c r="X542" t="s">
        <v>36</v>
      </c>
      <c r="Y542" s="4">
        <v>12</v>
      </c>
      <c r="Z542" s="4">
        <v>23</v>
      </c>
      <c r="AA542" t="s">
        <v>37</v>
      </c>
      <c r="AB542" t="s">
        <v>44</v>
      </c>
      <c r="AC542" s="7">
        <v>1</v>
      </c>
      <c r="AD542" t="s">
        <v>45</v>
      </c>
      <c r="AE542">
        <f t="shared" si="8"/>
        <v>1</v>
      </c>
    </row>
    <row r="543" spans="1:31" x14ac:dyDescent="0.35">
      <c r="A543">
        <v>100542</v>
      </c>
      <c r="B543" s="3">
        <v>45976</v>
      </c>
      <c r="C543">
        <v>1065</v>
      </c>
      <c r="D543" t="s">
        <v>59</v>
      </c>
      <c r="E543" t="s">
        <v>70</v>
      </c>
      <c r="F543" t="s">
        <v>71</v>
      </c>
      <c r="G543" t="s">
        <v>50</v>
      </c>
      <c r="H543" t="s">
        <v>34</v>
      </c>
      <c r="I543" t="s">
        <v>35</v>
      </c>
      <c r="J543" s="4">
        <v>30.82</v>
      </c>
      <c r="K543" s="4">
        <v>18.2</v>
      </c>
      <c r="L543">
        <v>10</v>
      </c>
      <c r="M543" s="4">
        <v>56.09</v>
      </c>
      <c r="N543" s="4">
        <v>504.83</v>
      </c>
      <c r="O543" s="4">
        <v>176.29</v>
      </c>
      <c r="P543" s="4">
        <v>8.33</v>
      </c>
      <c r="Q543" s="4">
        <v>3.93</v>
      </c>
      <c r="R543" s="4">
        <v>5.6</v>
      </c>
      <c r="S543" s="4">
        <v>0</v>
      </c>
      <c r="T543" s="4">
        <v>0</v>
      </c>
      <c r="U543" s="4">
        <v>194.15</v>
      </c>
      <c r="V543" s="4">
        <v>310.68</v>
      </c>
      <c r="W543" t="s">
        <v>21</v>
      </c>
      <c r="X543" t="s">
        <v>36</v>
      </c>
      <c r="Y543" s="4">
        <v>30</v>
      </c>
      <c r="Z543" s="4">
        <v>10</v>
      </c>
      <c r="AA543" t="s">
        <v>52</v>
      </c>
      <c r="AB543" t="s">
        <v>44</v>
      </c>
      <c r="AC543" s="7">
        <v>1</v>
      </c>
      <c r="AD543" t="s">
        <v>45</v>
      </c>
      <c r="AE543">
        <f t="shared" si="8"/>
        <v>1</v>
      </c>
    </row>
    <row r="544" spans="1:31" x14ac:dyDescent="0.35">
      <c r="A544">
        <v>100543</v>
      </c>
      <c r="B544" s="3">
        <v>45990</v>
      </c>
      <c r="C544">
        <v>1133</v>
      </c>
      <c r="D544" t="s">
        <v>30</v>
      </c>
      <c r="E544" t="s">
        <v>62</v>
      </c>
      <c r="F544" t="s">
        <v>71</v>
      </c>
      <c r="G544" t="s">
        <v>63</v>
      </c>
      <c r="H544" t="s">
        <v>34</v>
      </c>
      <c r="I544" t="s">
        <v>35</v>
      </c>
      <c r="J544" s="4">
        <v>8.9700000000000006</v>
      </c>
      <c r="K544" s="4">
        <v>13.92</v>
      </c>
      <c r="L544">
        <v>5</v>
      </c>
      <c r="M544" s="4">
        <v>6.24</v>
      </c>
      <c r="N544" s="4">
        <v>118.62</v>
      </c>
      <c r="O544" s="4">
        <v>57.96</v>
      </c>
      <c r="P544" s="4">
        <v>7.93</v>
      </c>
      <c r="Q544" s="4">
        <v>0.87</v>
      </c>
      <c r="R544" s="4">
        <v>8.83</v>
      </c>
      <c r="S544" s="4">
        <v>0</v>
      </c>
      <c r="T544" s="4">
        <v>0</v>
      </c>
      <c r="U544" s="4">
        <v>75.59</v>
      </c>
      <c r="V544" s="4">
        <v>43.03</v>
      </c>
      <c r="W544" t="s">
        <v>21</v>
      </c>
      <c r="X544" t="s">
        <v>36</v>
      </c>
      <c r="Y544" s="4">
        <v>3</v>
      </c>
      <c r="Z544" s="4">
        <v>3</v>
      </c>
      <c r="AA544" t="s">
        <v>37</v>
      </c>
      <c r="AB544" t="s">
        <v>38</v>
      </c>
      <c r="AC544" s="7">
        <v>0</v>
      </c>
      <c r="AD544" t="s">
        <v>39</v>
      </c>
      <c r="AE544">
        <f t="shared" si="8"/>
        <v>0</v>
      </c>
    </row>
    <row r="545" spans="1:31" x14ac:dyDescent="0.35">
      <c r="A545">
        <v>100544</v>
      </c>
      <c r="B545" s="3">
        <v>45977</v>
      </c>
      <c r="C545">
        <v>1076</v>
      </c>
      <c r="D545" t="s">
        <v>30</v>
      </c>
      <c r="E545" t="s">
        <v>31</v>
      </c>
      <c r="F545" t="s">
        <v>71</v>
      </c>
      <c r="G545" t="s">
        <v>33</v>
      </c>
      <c r="H545" t="s">
        <v>51</v>
      </c>
      <c r="I545" t="s">
        <v>54</v>
      </c>
      <c r="J545" s="4">
        <v>21.63</v>
      </c>
      <c r="K545" s="4">
        <v>19.670000000000002</v>
      </c>
      <c r="L545">
        <v>5</v>
      </c>
      <c r="M545" s="4">
        <v>21.27</v>
      </c>
      <c r="N545" s="4">
        <v>404.19</v>
      </c>
      <c r="O545" s="4">
        <v>133.91</v>
      </c>
      <c r="P545" s="4">
        <v>7.46</v>
      </c>
      <c r="Q545" s="4">
        <v>5.1100000000000003</v>
      </c>
      <c r="R545" s="4">
        <v>10.09</v>
      </c>
      <c r="S545" s="4">
        <v>0</v>
      </c>
      <c r="T545" s="4">
        <v>0</v>
      </c>
      <c r="U545" s="4">
        <v>156.57</v>
      </c>
      <c r="V545" s="4">
        <v>247.62</v>
      </c>
      <c r="W545" t="s">
        <v>21</v>
      </c>
      <c r="X545" t="s">
        <v>36</v>
      </c>
      <c r="Y545" s="4">
        <v>24</v>
      </c>
      <c r="Z545" s="4">
        <v>5</v>
      </c>
      <c r="AA545" t="s">
        <v>52</v>
      </c>
      <c r="AB545" t="s">
        <v>44</v>
      </c>
      <c r="AC545" s="7">
        <v>1</v>
      </c>
      <c r="AD545" t="s">
        <v>45</v>
      </c>
      <c r="AE545">
        <f t="shared" si="8"/>
        <v>1</v>
      </c>
    </row>
    <row r="546" spans="1:31" x14ac:dyDescent="0.35">
      <c r="A546">
        <v>100545</v>
      </c>
      <c r="B546" s="3">
        <v>45953</v>
      </c>
      <c r="C546">
        <v>1093</v>
      </c>
      <c r="D546" t="s">
        <v>64</v>
      </c>
      <c r="E546" t="s">
        <v>67</v>
      </c>
      <c r="F546" t="s">
        <v>41</v>
      </c>
      <c r="G546" t="s">
        <v>63</v>
      </c>
      <c r="H546" t="s">
        <v>34</v>
      </c>
      <c r="I546" t="s">
        <v>35</v>
      </c>
      <c r="J546" s="4">
        <v>17.190000000000001</v>
      </c>
      <c r="K546" s="4">
        <v>12.56</v>
      </c>
      <c r="L546">
        <v>10</v>
      </c>
      <c r="M546" s="4">
        <v>21.59</v>
      </c>
      <c r="N546" s="4">
        <v>194.32</v>
      </c>
      <c r="O546" s="4">
        <v>128.52000000000001</v>
      </c>
      <c r="P546" s="4">
        <v>7.75</v>
      </c>
      <c r="Q546" s="4">
        <v>1.51</v>
      </c>
      <c r="R546" s="4">
        <v>11.96</v>
      </c>
      <c r="S546" s="4">
        <v>0</v>
      </c>
      <c r="T546" s="4">
        <v>0</v>
      </c>
      <c r="U546" s="4">
        <v>149.74</v>
      </c>
      <c r="V546" s="4">
        <v>44.58</v>
      </c>
      <c r="W546" t="s">
        <v>21</v>
      </c>
      <c r="X546" t="s">
        <v>36</v>
      </c>
      <c r="Y546" s="4">
        <v>1</v>
      </c>
      <c r="Z546" s="4">
        <v>4</v>
      </c>
      <c r="AA546" t="s">
        <v>37</v>
      </c>
      <c r="AB546" t="s">
        <v>38</v>
      </c>
      <c r="AC546" s="7">
        <v>0</v>
      </c>
      <c r="AD546" t="s">
        <v>39</v>
      </c>
      <c r="AE546">
        <f t="shared" si="8"/>
        <v>0</v>
      </c>
    </row>
    <row r="547" spans="1:31" x14ac:dyDescent="0.35">
      <c r="A547">
        <v>100546</v>
      </c>
      <c r="B547" s="3">
        <v>45978</v>
      </c>
      <c r="C547">
        <v>1128</v>
      </c>
      <c r="D547" t="s">
        <v>59</v>
      </c>
      <c r="E547" t="s">
        <v>68</v>
      </c>
      <c r="F547" t="s">
        <v>41</v>
      </c>
      <c r="G547" t="s">
        <v>33</v>
      </c>
      <c r="H547" t="s">
        <v>34</v>
      </c>
      <c r="I547" t="s">
        <v>35</v>
      </c>
      <c r="J547" s="4">
        <v>34.130000000000003</v>
      </c>
      <c r="K547" s="4">
        <v>17.989999999999998</v>
      </c>
      <c r="L547">
        <v>0</v>
      </c>
      <c r="M547" s="4">
        <v>0</v>
      </c>
      <c r="N547" s="4">
        <v>614</v>
      </c>
      <c r="O547" s="4">
        <v>259.98</v>
      </c>
      <c r="P547" s="4">
        <v>7.06</v>
      </c>
      <c r="Q547" s="4">
        <v>4.3</v>
      </c>
      <c r="R547" s="4">
        <v>5.95</v>
      </c>
      <c r="S547" s="4">
        <v>0</v>
      </c>
      <c r="T547" s="4">
        <v>0</v>
      </c>
      <c r="U547" s="4">
        <v>277.29000000000002</v>
      </c>
      <c r="V547" s="4">
        <v>336.71</v>
      </c>
      <c r="W547" t="s">
        <v>21</v>
      </c>
      <c r="X547" t="s">
        <v>36</v>
      </c>
      <c r="Y547" s="4">
        <v>19</v>
      </c>
      <c r="Z547" s="4">
        <v>0</v>
      </c>
      <c r="AA547" t="s">
        <v>52</v>
      </c>
      <c r="AB547" t="s">
        <v>38</v>
      </c>
      <c r="AC547" s="7">
        <v>0</v>
      </c>
      <c r="AD547" t="s">
        <v>39</v>
      </c>
      <c r="AE547">
        <f t="shared" si="8"/>
        <v>0</v>
      </c>
    </row>
    <row r="548" spans="1:31" x14ac:dyDescent="0.35">
      <c r="A548">
        <v>100547</v>
      </c>
      <c r="B548" s="3">
        <v>45942</v>
      </c>
      <c r="C548">
        <v>1106</v>
      </c>
      <c r="D548" t="s">
        <v>30</v>
      </c>
      <c r="E548" t="s">
        <v>62</v>
      </c>
      <c r="F548" t="s">
        <v>71</v>
      </c>
      <c r="G548" t="s">
        <v>63</v>
      </c>
      <c r="H548" t="s">
        <v>34</v>
      </c>
      <c r="I548" t="s">
        <v>42</v>
      </c>
      <c r="J548" s="4">
        <v>22.44</v>
      </c>
      <c r="K548" s="4">
        <v>12.49</v>
      </c>
      <c r="L548">
        <v>10</v>
      </c>
      <c r="M548" s="4">
        <v>28.03</v>
      </c>
      <c r="N548" s="4">
        <v>252.25</v>
      </c>
      <c r="O548" s="4">
        <v>173.5</v>
      </c>
      <c r="P548" s="4">
        <v>7.97</v>
      </c>
      <c r="Q548" s="4">
        <v>4.2</v>
      </c>
      <c r="R548" s="4">
        <v>1.17</v>
      </c>
      <c r="S548" s="4">
        <v>0</v>
      </c>
      <c r="T548" s="4">
        <v>0</v>
      </c>
      <c r="U548" s="4">
        <v>186.84</v>
      </c>
      <c r="V548" s="4">
        <v>65.41</v>
      </c>
      <c r="W548" t="s">
        <v>21</v>
      </c>
      <c r="X548" t="s">
        <v>36</v>
      </c>
      <c r="Y548" s="4">
        <v>2</v>
      </c>
      <c r="Z548" s="4">
        <v>9</v>
      </c>
      <c r="AA548" t="s">
        <v>37</v>
      </c>
      <c r="AB548" t="s">
        <v>38</v>
      </c>
      <c r="AC548" s="7">
        <v>0</v>
      </c>
      <c r="AD548" t="s">
        <v>39</v>
      </c>
      <c r="AE548">
        <f t="shared" si="8"/>
        <v>0</v>
      </c>
    </row>
    <row r="549" spans="1:31" x14ac:dyDescent="0.35">
      <c r="A549">
        <v>100548</v>
      </c>
      <c r="B549" s="3">
        <v>45941</v>
      </c>
      <c r="C549">
        <v>1136</v>
      </c>
      <c r="D549" t="s">
        <v>30</v>
      </c>
      <c r="E549" t="s">
        <v>40</v>
      </c>
      <c r="F549" t="s">
        <v>32</v>
      </c>
      <c r="G549" t="s">
        <v>63</v>
      </c>
      <c r="H549" t="s">
        <v>34</v>
      </c>
      <c r="I549" t="s">
        <v>42</v>
      </c>
      <c r="J549" s="4">
        <v>3</v>
      </c>
      <c r="K549" s="4">
        <v>14.7</v>
      </c>
      <c r="L549">
        <v>5</v>
      </c>
      <c r="M549" s="4">
        <v>2.2000000000000002</v>
      </c>
      <c r="N549" s="4">
        <v>41.9</v>
      </c>
      <c r="O549" s="4">
        <v>19.12</v>
      </c>
      <c r="P549" s="4">
        <v>12.93</v>
      </c>
      <c r="Q549" s="4">
        <v>0.66</v>
      </c>
      <c r="R549" s="4">
        <v>1.68</v>
      </c>
      <c r="S549" s="4">
        <v>0</v>
      </c>
      <c r="T549" s="4">
        <v>0</v>
      </c>
      <c r="U549" s="4">
        <v>34.39</v>
      </c>
      <c r="V549" s="4">
        <v>7.51</v>
      </c>
      <c r="W549" t="s">
        <v>21</v>
      </c>
      <c r="X549" t="s">
        <v>36</v>
      </c>
      <c r="Y549" s="4">
        <v>1</v>
      </c>
      <c r="Z549" s="4">
        <v>1</v>
      </c>
      <c r="AA549" t="s">
        <v>37</v>
      </c>
      <c r="AB549" t="s">
        <v>38</v>
      </c>
      <c r="AC549" s="7">
        <v>0</v>
      </c>
      <c r="AD549" t="s">
        <v>39</v>
      </c>
      <c r="AE549">
        <f t="shared" si="8"/>
        <v>0</v>
      </c>
    </row>
    <row r="550" spans="1:31" x14ac:dyDescent="0.35">
      <c r="A550">
        <v>100549</v>
      </c>
      <c r="B550" s="3">
        <v>46008</v>
      </c>
      <c r="C550">
        <v>1015</v>
      </c>
      <c r="D550" t="s">
        <v>64</v>
      </c>
      <c r="E550" t="s">
        <v>76</v>
      </c>
      <c r="F550" t="s">
        <v>49</v>
      </c>
      <c r="G550" t="s">
        <v>63</v>
      </c>
      <c r="H550" t="s">
        <v>57</v>
      </c>
      <c r="I550" t="s">
        <v>35</v>
      </c>
      <c r="J550" s="4">
        <v>19.260000000000002</v>
      </c>
      <c r="K550" s="4">
        <v>11.7</v>
      </c>
      <c r="L550">
        <v>10</v>
      </c>
      <c r="M550" s="4">
        <v>22.53</v>
      </c>
      <c r="N550" s="4">
        <v>202.81</v>
      </c>
      <c r="O550" s="4">
        <v>158.37</v>
      </c>
      <c r="P550" s="4">
        <v>7.7</v>
      </c>
      <c r="Q550" s="4">
        <v>1.58</v>
      </c>
      <c r="R550" s="4">
        <v>6.47</v>
      </c>
      <c r="S550" s="4">
        <v>0</v>
      </c>
      <c r="T550" s="4">
        <v>0</v>
      </c>
      <c r="U550" s="4">
        <v>174.12</v>
      </c>
      <c r="V550" s="4">
        <v>28.69</v>
      </c>
      <c r="W550" t="s">
        <v>21</v>
      </c>
      <c r="X550" t="s">
        <v>36</v>
      </c>
      <c r="Y550" s="4">
        <v>0</v>
      </c>
      <c r="Z550" s="4">
        <v>1</v>
      </c>
      <c r="AA550" t="s">
        <v>37</v>
      </c>
      <c r="AB550" t="s">
        <v>38</v>
      </c>
      <c r="AC550" s="7">
        <v>0</v>
      </c>
      <c r="AD550" t="s">
        <v>39</v>
      </c>
      <c r="AE550">
        <f t="shared" si="8"/>
        <v>0</v>
      </c>
    </row>
    <row r="551" spans="1:31" x14ac:dyDescent="0.35">
      <c r="A551">
        <v>100550</v>
      </c>
      <c r="B551" s="3">
        <v>45948</v>
      </c>
      <c r="C551">
        <v>1134</v>
      </c>
      <c r="D551" t="s">
        <v>30</v>
      </c>
      <c r="E551" t="s">
        <v>40</v>
      </c>
      <c r="F551" t="s">
        <v>41</v>
      </c>
      <c r="G551" t="s">
        <v>50</v>
      </c>
      <c r="H551" t="s">
        <v>57</v>
      </c>
      <c r="I551" t="s">
        <v>35</v>
      </c>
      <c r="J551" s="4">
        <v>22.36</v>
      </c>
      <c r="K551" s="4">
        <v>18.670000000000002</v>
      </c>
      <c r="L551">
        <v>10</v>
      </c>
      <c r="M551" s="4">
        <v>41.75</v>
      </c>
      <c r="N551" s="4">
        <v>375.71</v>
      </c>
      <c r="O551" s="4">
        <v>172.33</v>
      </c>
      <c r="P551" s="4">
        <v>5.0199999999999996</v>
      </c>
      <c r="Q551" s="4">
        <v>2.92</v>
      </c>
      <c r="R551" s="4">
        <v>7.73</v>
      </c>
      <c r="S551" s="4">
        <v>0</v>
      </c>
      <c r="T551" s="4">
        <v>0</v>
      </c>
      <c r="U551" s="4">
        <v>188</v>
      </c>
      <c r="V551" s="4">
        <v>187.71</v>
      </c>
      <c r="W551" t="s">
        <v>21</v>
      </c>
      <c r="X551" t="s">
        <v>36</v>
      </c>
      <c r="Y551" s="4">
        <v>61</v>
      </c>
      <c r="Z551" s="4">
        <v>2</v>
      </c>
      <c r="AA551" t="s">
        <v>43</v>
      </c>
      <c r="AB551" t="s">
        <v>44</v>
      </c>
      <c r="AC551" s="7">
        <v>2</v>
      </c>
      <c r="AD551" t="s">
        <v>45</v>
      </c>
      <c r="AE551">
        <f t="shared" si="8"/>
        <v>1</v>
      </c>
    </row>
    <row r="552" spans="1:31" x14ac:dyDescent="0.35">
      <c r="A552">
        <v>100551</v>
      </c>
      <c r="B552" s="3">
        <v>45962</v>
      </c>
      <c r="C552">
        <v>1094</v>
      </c>
      <c r="D552" t="s">
        <v>64</v>
      </c>
      <c r="E552" t="s">
        <v>65</v>
      </c>
      <c r="F552" t="s">
        <v>61</v>
      </c>
      <c r="G552" t="s">
        <v>46</v>
      </c>
      <c r="H552" t="s">
        <v>57</v>
      </c>
      <c r="I552" t="s">
        <v>35</v>
      </c>
      <c r="J552" s="4">
        <v>23.63</v>
      </c>
      <c r="K552" s="4">
        <v>15.56</v>
      </c>
      <c r="L552">
        <v>15</v>
      </c>
      <c r="M552" s="4">
        <v>55.15</v>
      </c>
      <c r="N552" s="4">
        <v>312.52999999999997</v>
      </c>
      <c r="O552" s="4">
        <v>139.69</v>
      </c>
      <c r="P552" s="4">
        <v>6.07</v>
      </c>
      <c r="Q552" s="4">
        <v>2.57</v>
      </c>
      <c r="R552" s="4">
        <v>2.4</v>
      </c>
      <c r="S552" s="4">
        <v>0</v>
      </c>
      <c r="T552" s="4">
        <v>0</v>
      </c>
      <c r="U552" s="4">
        <v>150.72999999999999</v>
      </c>
      <c r="V552" s="4">
        <v>161.80000000000001</v>
      </c>
      <c r="W552" t="s">
        <v>21</v>
      </c>
      <c r="X552" t="s">
        <v>36</v>
      </c>
      <c r="Y552" s="4">
        <v>3</v>
      </c>
      <c r="Z552" s="4">
        <v>15</v>
      </c>
      <c r="AA552" t="s">
        <v>37</v>
      </c>
      <c r="AB552" t="s">
        <v>38</v>
      </c>
      <c r="AC552" s="7">
        <v>0</v>
      </c>
      <c r="AD552" t="s">
        <v>39</v>
      </c>
      <c r="AE552">
        <f t="shared" si="8"/>
        <v>0</v>
      </c>
    </row>
    <row r="553" spans="1:31" x14ac:dyDescent="0.35">
      <c r="A553">
        <v>100552</v>
      </c>
      <c r="B553" s="3">
        <v>45958</v>
      </c>
      <c r="C553">
        <v>1102</v>
      </c>
      <c r="D553" t="s">
        <v>59</v>
      </c>
      <c r="E553" t="s">
        <v>73</v>
      </c>
      <c r="F553" t="s">
        <v>61</v>
      </c>
      <c r="G553" t="s">
        <v>63</v>
      </c>
      <c r="H553" t="s">
        <v>34</v>
      </c>
      <c r="I553" t="s">
        <v>35</v>
      </c>
      <c r="J553" s="4">
        <v>19.21</v>
      </c>
      <c r="K553" s="4">
        <v>11.75</v>
      </c>
      <c r="L553">
        <v>5</v>
      </c>
      <c r="M553" s="4">
        <v>11.29</v>
      </c>
      <c r="N553" s="4">
        <v>214.43</v>
      </c>
      <c r="O553" s="4">
        <v>144.53</v>
      </c>
      <c r="P553" s="4">
        <v>10.32</v>
      </c>
      <c r="Q553" s="4">
        <v>1.58</v>
      </c>
      <c r="R553" s="4">
        <v>0.62</v>
      </c>
      <c r="S553" s="4">
        <v>0</v>
      </c>
      <c r="T553" s="4">
        <v>0</v>
      </c>
      <c r="U553" s="4">
        <v>157.05000000000001</v>
      </c>
      <c r="V553" s="4">
        <v>57.38</v>
      </c>
      <c r="W553" t="s">
        <v>21</v>
      </c>
      <c r="X553" t="s">
        <v>36</v>
      </c>
      <c r="Y553" s="4">
        <v>10</v>
      </c>
      <c r="Z553" s="4">
        <v>1</v>
      </c>
      <c r="AA553" t="s">
        <v>37</v>
      </c>
      <c r="AB553" t="s">
        <v>38</v>
      </c>
      <c r="AC553" s="7">
        <v>0</v>
      </c>
      <c r="AD553" t="s">
        <v>39</v>
      </c>
      <c r="AE553">
        <f t="shared" si="8"/>
        <v>0</v>
      </c>
    </row>
    <row r="554" spans="1:31" x14ac:dyDescent="0.35">
      <c r="A554">
        <v>100553</v>
      </c>
      <c r="B554" s="3">
        <v>45979</v>
      </c>
      <c r="C554">
        <v>1076</v>
      </c>
      <c r="D554" t="s">
        <v>30</v>
      </c>
      <c r="E554" t="s">
        <v>31</v>
      </c>
      <c r="F554" t="s">
        <v>61</v>
      </c>
      <c r="G554" t="s">
        <v>50</v>
      </c>
      <c r="H554" t="s">
        <v>34</v>
      </c>
      <c r="I554" t="s">
        <v>54</v>
      </c>
      <c r="J554" s="4">
        <v>30.84</v>
      </c>
      <c r="K554" s="4">
        <v>18.260000000000002</v>
      </c>
      <c r="L554">
        <v>0</v>
      </c>
      <c r="M554" s="4">
        <v>0</v>
      </c>
      <c r="N554" s="4">
        <v>563.14</v>
      </c>
      <c r="O554" s="4">
        <v>218.43</v>
      </c>
      <c r="P554" s="4">
        <v>10.69</v>
      </c>
      <c r="Q554" s="4">
        <v>6.76</v>
      </c>
      <c r="R554" s="4">
        <v>10.48</v>
      </c>
      <c r="S554" s="4">
        <v>0</v>
      </c>
      <c r="T554" s="4">
        <v>0</v>
      </c>
      <c r="U554" s="4">
        <v>246.36</v>
      </c>
      <c r="V554" s="4">
        <v>316.77999999999997</v>
      </c>
      <c r="W554" t="s">
        <v>21</v>
      </c>
      <c r="X554" t="s">
        <v>36</v>
      </c>
      <c r="Y554" s="4">
        <v>13</v>
      </c>
      <c r="Z554" s="4">
        <v>1</v>
      </c>
      <c r="AA554" t="s">
        <v>37</v>
      </c>
      <c r="AB554" t="s">
        <v>38</v>
      </c>
      <c r="AC554" s="7">
        <v>0</v>
      </c>
      <c r="AD554" t="s">
        <v>39</v>
      </c>
      <c r="AE554">
        <f t="shared" si="8"/>
        <v>0</v>
      </c>
    </row>
    <row r="555" spans="1:31" x14ac:dyDescent="0.35">
      <c r="A555">
        <v>100554</v>
      </c>
      <c r="B555" s="3">
        <v>46011</v>
      </c>
      <c r="C555">
        <v>1149</v>
      </c>
      <c r="D555" t="s">
        <v>47</v>
      </c>
      <c r="E555" t="s">
        <v>53</v>
      </c>
      <c r="F555" t="s">
        <v>61</v>
      </c>
      <c r="G555" t="s">
        <v>33</v>
      </c>
      <c r="H555" t="s">
        <v>34</v>
      </c>
      <c r="I555" t="s">
        <v>35</v>
      </c>
      <c r="J555" s="4">
        <v>32.92</v>
      </c>
      <c r="K555" s="4">
        <v>19.53</v>
      </c>
      <c r="L555">
        <v>10</v>
      </c>
      <c r="M555" s="4">
        <v>64.290000000000006</v>
      </c>
      <c r="N555" s="4">
        <v>578.64</v>
      </c>
      <c r="O555" s="4">
        <v>235.69</v>
      </c>
      <c r="P555" s="4">
        <v>10.92</v>
      </c>
      <c r="Q555" s="4">
        <v>4.5</v>
      </c>
      <c r="R555" s="4">
        <v>11.94</v>
      </c>
      <c r="S555" s="4">
        <v>0</v>
      </c>
      <c r="T555" s="4">
        <v>0</v>
      </c>
      <c r="U555" s="4">
        <v>263.05</v>
      </c>
      <c r="V555" s="4">
        <v>315.58999999999997</v>
      </c>
      <c r="W555" t="s">
        <v>21</v>
      </c>
      <c r="X555" t="s">
        <v>36</v>
      </c>
      <c r="Y555" s="4">
        <v>2</v>
      </c>
      <c r="Z555" s="4">
        <v>14</v>
      </c>
      <c r="AA555" t="s">
        <v>37</v>
      </c>
      <c r="AB555" t="s">
        <v>38</v>
      </c>
      <c r="AC555" s="7">
        <v>0</v>
      </c>
      <c r="AD555" t="s">
        <v>39</v>
      </c>
      <c r="AE555">
        <f t="shared" si="8"/>
        <v>0</v>
      </c>
    </row>
    <row r="556" spans="1:31" x14ac:dyDescent="0.35">
      <c r="A556">
        <v>100555</v>
      </c>
      <c r="B556" s="3">
        <v>45946</v>
      </c>
      <c r="C556">
        <v>1008</v>
      </c>
      <c r="D556" t="s">
        <v>47</v>
      </c>
      <c r="E556" t="s">
        <v>74</v>
      </c>
      <c r="F556" t="s">
        <v>61</v>
      </c>
      <c r="G556" t="s">
        <v>46</v>
      </c>
      <c r="H556" t="s">
        <v>34</v>
      </c>
      <c r="I556" t="s">
        <v>42</v>
      </c>
      <c r="J556" s="4">
        <v>17.739999999999998</v>
      </c>
      <c r="K556" s="4">
        <v>15.84</v>
      </c>
      <c r="L556">
        <v>5</v>
      </c>
      <c r="M556" s="4">
        <v>14.05</v>
      </c>
      <c r="N556" s="4">
        <v>266.95</v>
      </c>
      <c r="O556" s="4">
        <v>120.21</v>
      </c>
      <c r="P556" s="4">
        <v>9.42</v>
      </c>
      <c r="Q556" s="4">
        <v>4.22</v>
      </c>
      <c r="R556" s="4">
        <v>6.68</v>
      </c>
      <c r="S556" s="4">
        <v>0</v>
      </c>
      <c r="T556" s="4">
        <v>0</v>
      </c>
      <c r="U556" s="4">
        <v>140.53</v>
      </c>
      <c r="V556" s="4">
        <v>126.42</v>
      </c>
      <c r="W556" t="s">
        <v>21</v>
      </c>
      <c r="X556" t="s">
        <v>36</v>
      </c>
      <c r="Y556" s="4">
        <v>5</v>
      </c>
      <c r="Z556" s="4">
        <v>0</v>
      </c>
      <c r="AA556" t="s">
        <v>37</v>
      </c>
      <c r="AB556" t="s">
        <v>38</v>
      </c>
      <c r="AC556" s="7">
        <v>0</v>
      </c>
      <c r="AD556" t="s">
        <v>39</v>
      </c>
      <c r="AE556">
        <f t="shared" si="8"/>
        <v>0</v>
      </c>
    </row>
    <row r="557" spans="1:31" x14ac:dyDescent="0.35">
      <c r="A557">
        <v>100556</v>
      </c>
      <c r="B557" s="3">
        <v>45983</v>
      </c>
      <c r="C557">
        <v>1133</v>
      </c>
      <c r="D557" t="s">
        <v>59</v>
      </c>
      <c r="E557" t="s">
        <v>60</v>
      </c>
      <c r="F557" t="s">
        <v>71</v>
      </c>
      <c r="G557" t="s">
        <v>63</v>
      </c>
      <c r="H557" t="s">
        <v>51</v>
      </c>
      <c r="I557" t="s">
        <v>35</v>
      </c>
      <c r="J557" s="4">
        <v>25.4</v>
      </c>
      <c r="K557" s="4">
        <v>14.63</v>
      </c>
      <c r="L557">
        <v>0</v>
      </c>
      <c r="M557" s="4">
        <v>0</v>
      </c>
      <c r="N557" s="4">
        <v>371.6</v>
      </c>
      <c r="O557" s="4">
        <v>168.34</v>
      </c>
      <c r="P557" s="4">
        <v>8.19</v>
      </c>
      <c r="Q557" s="4">
        <v>2.6</v>
      </c>
      <c r="R557" s="4">
        <v>9.0299999999999994</v>
      </c>
      <c r="S557" s="4">
        <v>0</v>
      </c>
      <c r="T557" s="4">
        <v>0</v>
      </c>
      <c r="U557" s="4">
        <v>188.16</v>
      </c>
      <c r="V557" s="4">
        <v>183.44</v>
      </c>
      <c r="W557" t="s">
        <v>21</v>
      </c>
      <c r="X557" t="s">
        <v>36</v>
      </c>
      <c r="Y557" s="4">
        <v>9</v>
      </c>
      <c r="Z557" s="4">
        <v>5</v>
      </c>
      <c r="AA557" t="s">
        <v>37</v>
      </c>
      <c r="AB557" t="s">
        <v>38</v>
      </c>
      <c r="AC557" s="7">
        <v>0</v>
      </c>
      <c r="AD557" t="s">
        <v>39</v>
      </c>
      <c r="AE557">
        <f t="shared" si="8"/>
        <v>0</v>
      </c>
    </row>
    <row r="558" spans="1:31" x14ac:dyDescent="0.35">
      <c r="A558">
        <v>100557</v>
      </c>
      <c r="B558" s="3">
        <v>45933</v>
      </c>
      <c r="C558">
        <v>1072</v>
      </c>
      <c r="D558" t="s">
        <v>59</v>
      </c>
      <c r="E558" t="s">
        <v>68</v>
      </c>
      <c r="F558" t="s">
        <v>41</v>
      </c>
      <c r="G558" t="s">
        <v>63</v>
      </c>
      <c r="H558" t="s">
        <v>34</v>
      </c>
      <c r="I558" t="s">
        <v>35</v>
      </c>
      <c r="J558" s="4">
        <v>20.91</v>
      </c>
      <c r="K558" s="4">
        <v>12.18</v>
      </c>
      <c r="L558">
        <v>10</v>
      </c>
      <c r="M558" s="4">
        <v>25.47</v>
      </c>
      <c r="N558" s="4">
        <v>229.21</v>
      </c>
      <c r="O558" s="4">
        <v>137.68</v>
      </c>
      <c r="P558" s="4">
        <v>4.32</v>
      </c>
      <c r="Q558" s="4">
        <v>1.78</v>
      </c>
      <c r="R558" s="4">
        <v>0</v>
      </c>
      <c r="S558" s="4">
        <v>0</v>
      </c>
      <c r="T558" s="4">
        <v>0</v>
      </c>
      <c r="U558" s="4">
        <v>143.78</v>
      </c>
      <c r="V558" s="4">
        <v>85.43</v>
      </c>
      <c r="W558" t="s">
        <v>21</v>
      </c>
      <c r="X558" t="s">
        <v>36</v>
      </c>
      <c r="Y558" s="4">
        <v>11</v>
      </c>
      <c r="Z558" s="4">
        <v>0</v>
      </c>
      <c r="AA558" t="s">
        <v>37</v>
      </c>
      <c r="AB558" t="s">
        <v>38</v>
      </c>
      <c r="AC558" s="7">
        <v>0</v>
      </c>
      <c r="AD558" t="s">
        <v>39</v>
      </c>
      <c r="AE558">
        <f t="shared" si="8"/>
        <v>0</v>
      </c>
    </row>
    <row r="559" spans="1:31" x14ac:dyDescent="0.35">
      <c r="A559">
        <v>100558</v>
      </c>
      <c r="B559" s="3">
        <v>46011</v>
      </c>
      <c r="C559">
        <v>1136</v>
      </c>
      <c r="D559" t="s">
        <v>64</v>
      </c>
      <c r="E559" t="s">
        <v>67</v>
      </c>
      <c r="F559" t="s">
        <v>71</v>
      </c>
      <c r="G559" t="s">
        <v>46</v>
      </c>
      <c r="H559" t="s">
        <v>57</v>
      </c>
      <c r="I559" t="s">
        <v>35</v>
      </c>
      <c r="J559" s="4">
        <v>31.45</v>
      </c>
      <c r="K559" s="4">
        <v>14.9</v>
      </c>
      <c r="L559">
        <v>0</v>
      </c>
      <c r="M559" s="4">
        <v>0</v>
      </c>
      <c r="N559" s="4">
        <v>468.6</v>
      </c>
      <c r="O559" s="4">
        <v>232.21</v>
      </c>
      <c r="P559" s="4">
        <v>7.12</v>
      </c>
      <c r="Q559" s="4">
        <v>3.28</v>
      </c>
      <c r="R559" s="4">
        <v>5.62</v>
      </c>
      <c r="S559" s="4">
        <v>0</v>
      </c>
      <c r="T559" s="4">
        <v>0</v>
      </c>
      <c r="U559" s="4">
        <v>248.23</v>
      </c>
      <c r="V559" s="4">
        <v>220.37</v>
      </c>
      <c r="W559" t="s">
        <v>21</v>
      </c>
      <c r="X559" t="s">
        <v>36</v>
      </c>
      <c r="Y559" s="4">
        <v>5</v>
      </c>
      <c r="Z559" s="4">
        <v>23</v>
      </c>
      <c r="AA559" t="s">
        <v>37</v>
      </c>
      <c r="AB559" t="s">
        <v>44</v>
      </c>
      <c r="AC559" s="7">
        <v>1</v>
      </c>
      <c r="AD559" t="s">
        <v>45</v>
      </c>
      <c r="AE559">
        <f t="shared" si="8"/>
        <v>1</v>
      </c>
    </row>
    <row r="560" spans="1:31" x14ac:dyDescent="0.35">
      <c r="A560">
        <v>100559</v>
      </c>
      <c r="B560" s="3">
        <v>45953</v>
      </c>
      <c r="C560">
        <v>1052</v>
      </c>
      <c r="D560" t="s">
        <v>30</v>
      </c>
      <c r="E560" t="s">
        <v>72</v>
      </c>
      <c r="F560" t="s">
        <v>49</v>
      </c>
      <c r="G560" t="s">
        <v>50</v>
      </c>
      <c r="H560" t="s">
        <v>57</v>
      </c>
      <c r="I560" t="s">
        <v>35</v>
      </c>
      <c r="J560" s="4">
        <v>31.33</v>
      </c>
      <c r="K560" s="4">
        <v>18.14</v>
      </c>
      <c r="L560">
        <v>5</v>
      </c>
      <c r="M560" s="4">
        <v>28.42</v>
      </c>
      <c r="N560" s="4">
        <v>539.91</v>
      </c>
      <c r="O560" s="4">
        <v>193.4</v>
      </c>
      <c r="P560" s="4">
        <v>6.3</v>
      </c>
      <c r="Q560" s="4">
        <v>3.98</v>
      </c>
      <c r="R560" s="4">
        <v>1.5</v>
      </c>
      <c r="S560" s="4">
        <v>0</v>
      </c>
      <c r="T560" s="4">
        <v>0</v>
      </c>
      <c r="U560" s="4">
        <v>205.18</v>
      </c>
      <c r="V560" s="4">
        <v>334.73</v>
      </c>
      <c r="W560" t="s">
        <v>21</v>
      </c>
      <c r="X560" t="s">
        <v>36</v>
      </c>
      <c r="Y560" s="4">
        <v>12</v>
      </c>
      <c r="Z560" s="4">
        <v>1</v>
      </c>
      <c r="AA560" t="s">
        <v>37</v>
      </c>
      <c r="AB560" t="s">
        <v>38</v>
      </c>
      <c r="AC560" s="7">
        <v>0</v>
      </c>
      <c r="AD560" t="s">
        <v>39</v>
      </c>
      <c r="AE560">
        <f t="shared" si="8"/>
        <v>0</v>
      </c>
    </row>
    <row r="561" spans="1:31" x14ac:dyDescent="0.35">
      <c r="A561">
        <v>100560</v>
      </c>
      <c r="B561" s="3">
        <v>45939</v>
      </c>
      <c r="C561">
        <v>1117</v>
      </c>
      <c r="D561" t="s">
        <v>59</v>
      </c>
      <c r="E561" t="s">
        <v>70</v>
      </c>
      <c r="F561" t="s">
        <v>32</v>
      </c>
      <c r="G561" t="s">
        <v>63</v>
      </c>
      <c r="H561" t="s">
        <v>34</v>
      </c>
      <c r="I561" t="s">
        <v>42</v>
      </c>
      <c r="J561" s="4">
        <v>18.079999999999998</v>
      </c>
      <c r="K561" s="4">
        <v>11.34</v>
      </c>
      <c r="L561">
        <v>0</v>
      </c>
      <c r="M561" s="4">
        <v>0</v>
      </c>
      <c r="N561" s="4">
        <v>205.03</v>
      </c>
      <c r="O561" s="4">
        <v>122.73</v>
      </c>
      <c r="P561" s="4">
        <v>9.77</v>
      </c>
      <c r="Q561" s="4">
        <v>3.08</v>
      </c>
      <c r="R561" s="4">
        <v>2.91</v>
      </c>
      <c r="S561" s="4">
        <v>0</v>
      </c>
      <c r="T561" s="4">
        <v>0</v>
      </c>
      <c r="U561" s="4">
        <v>138.49</v>
      </c>
      <c r="V561" s="4">
        <v>66.540000000000006</v>
      </c>
      <c r="W561" t="s">
        <v>21</v>
      </c>
      <c r="X561" t="s">
        <v>36</v>
      </c>
      <c r="Y561" s="4">
        <v>1</v>
      </c>
      <c r="Z561" s="4">
        <v>7</v>
      </c>
      <c r="AA561" t="s">
        <v>37</v>
      </c>
      <c r="AB561" t="s">
        <v>38</v>
      </c>
      <c r="AC561" s="7">
        <v>0</v>
      </c>
      <c r="AD561" t="s">
        <v>39</v>
      </c>
      <c r="AE561">
        <f t="shared" si="8"/>
        <v>0</v>
      </c>
    </row>
    <row r="562" spans="1:31" x14ac:dyDescent="0.35">
      <c r="A562">
        <v>100561</v>
      </c>
      <c r="B562" s="3">
        <v>46014</v>
      </c>
      <c r="C562">
        <v>1101</v>
      </c>
      <c r="D562" t="s">
        <v>64</v>
      </c>
      <c r="E562" t="s">
        <v>75</v>
      </c>
      <c r="F562" t="s">
        <v>32</v>
      </c>
      <c r="G562" t="s">
        <v>63</v>
      </c>
      <c r="H562" t="s">
        <v>34</v>
      </c>
      <c r="I562" t="s">
        <v>69</v>
      </c>
      <c r="J562" s="4">
        <v>16.2</v>
      </c>
      <c r="K562" s="4">
        <v>12.43</v>
      </c>
      <c r="L562">
        <v>0</v>
      </c>
      <c r="M562" s="4">
        <v>0</v>
      </c>
      <c r="N562" s="4">
        <v>201.37</v>
      </c>
      <c r="O562" s="4">
        <v>108.1</v>
      </c>
      <c r="P562" s="4">
        <v>8.68</v>
      </c>
      <c r="Q562" s="4">
        <v>0.81</v>
      </c>
      <c r="R562" s="4">
        <v>10.29</v>
      </c>
      <c r="S562" s="4">
        <v>0</v>
      </c>
      <c r="T562" s="4">
        <v>0</v>
      </c>
      <c r="U562" s="4">
        <v>127.88</v>
      </c>
      <c r="V562" s="4">
        <v>73.489999999999995</v>
      </c>
      <c r="W562" t="s">
        <v>21</v>
      </c>
      <c r="X562" t="s">
        <v>36</v>
      </c>
      <c r="Y562" s="4">
        <v>15</v>
      </c>
      <c r="Z562" s="4">
        <v>2</v>
      </c>
      <c r="AA562" t="s">
        <v>37</v>
      </c>
      <c r="AB562" t="s">
        <v>38</v>
      </c>
      <c r="AC562" s="7">
        <v>0</v>
      </c>
      <c r="AD562" t="s">
        <v>39</v>
      </c>
      <c r="AE562">
        <f t="shared" si="8"/>
        <v>0</v>
      </c>
    </row>
    <row r="563" spans="1:31" x14ac:dyDescent="0.35">
      <c r="A563">
        <v>100562</v>
      </c>
      <c r="B563" s="3">
        <v>45939</v>
      </c>
      <c r="C563">
        <v>1111</v>
      </c>
      <c r="D563" t="s">
        <v>59</v>
      </c>
      <c r="E563" t="s">
        <v>70</v>
      </c>
      <c r="F563" t="s">
        <v>32</v>
      </c>
      <c r="G563" t="s">
        <v>63</v>
      </c>
      <c r="H563" t="s">
        <v>57</v>
      </c>
      <c r="I563" t="s">
        <v>69</v>
      </c>
      <c r="J563" s="4">
        <v>14.01</v>
      </c>
      <c r="K563" s="4">
        <v>11.35</v>
      </c>
      <c r="L563">
        <v>5</v>
      </c>
      <c r="M563" s="4">
        <v>7.95</v>
      </c>
      <c r="N563" s="4">
        <v>151.06</v>
      </c>
      <c r="O563" s="4">
        <v>97.49</v>
      </c>
      <c r="P563" s="4">
        <v>8.58</v>
      </c>
      <c r="Q563" s="4">
        <v>0.64</v>
      </c>
      <c r="R563" s="4">
        <v>9.35</v>
      </c>
      <c r="S563" s="4">
        <v>0</v>
      </c>
      <c r="T563" s="4">
        <v>0</v>
      </c>
      <c r="U563" s="4">
        <v>116.06</v>
      </c>
      <c r="V563" s="4">
        <v>35</v>
      </c>
      <c r="W563" t="s">
        <v>21</v>
      </c>
      <c r="X563" t="s">
        <v>36</v>
      </c>
      <c r="Y563" s="4">
        <v>9</v>
      </c>
      <c r="Z563" s="4">
        <v>44</v>
      </c>
      <c r="AA563" t="s">
        <v>37</v>
      </c>
      <c r="AB563" t="s">
        <v>44</v>
      </c>
      <c r="AC563" s="7">
        <v>3</v>
      </c>
      <c r="AD563" t="s">
        <v>45</v>
      </c>
      <c r="AE563">
        <f t="shared" si="8"/>
        <v>1</v>
      </c>
    </row>
    <row r="564" spans="1:31" x14ac:dyDescent="0.35">
      <c r="A564">
        <v>100563</v>
      </c>
      <c r="B564" s="3">
        <v>45968</v>
      </c>
      <c r="C564">
        <v>1020</v>
      </c>
      <c r="D564" t="s">
        <v>59</v>
      </c>
      <c r="E564" t="s">
        <v>70</v>
      </c>
      <c r="F564" t="s">
        <v>61</v>
      </c>
      <c r="G564" t="s">
        <v>63</v>
      </c>
      <c r="H564" t="s">
        <v>34</v>
      </c>
      <c r="I564" t="s">
        <v>42</v>
      </c>
      <c r="J564" s="4">
        <v>24.31</v>
      </c>
      <c r="K564" s="4">
        <v>13.13</v>
      </c>
      <c r="L564">
        <v>10</v>
      </c>
      <c r="M564" s="4">
        <v>31.92</v>
      </c>
      <c r="N564" s="4">
        <v>287.27</v>
      </c>
      <c r="O564" s="4">
        <v>163.41</v>
      </c>
      <c r="P564" s="4">
        <v>9.0299999999999994</v>
      </c>
      <c r="Q564" s="4">
        <v>4.79</v>
      </c>
      <c r="R564" s="4">
        <v>5.48</v>
      </c>
      <c r="S564" s="4">
        <v>0</v>
      </c>
      <c r="T564" s="4">
        <v>0</v>
      </c>
      <c r="U564" s="4">
        <v>182.71</v>
      </c>
      <c r="V564" s="4">
        <v>104.56</v>
      </c>
      <c r="W564" t="s">
        <v>21</v>
      </c>
      <c r="X564" t="s">
        <v>36</v>
      </c>
      <c r="Y564" s="4">
        <v>8</v>
      </c>
      <c r="Z564" s="4">
        <v>9</v>
      </c>
      <c r="AA564" t="s">
        <v>37</v>
      </c>
      <c r="AB564" t="s">
        <v>38</v>
      </c>
      <c r="AC564" s="7">
        <v>0</v>
      </c>
      <c r="AD564" t="s">
        <v>39</v>
      </c>
      <c r="AE564">
        <f t="shared" si="8"/>
        <v>0</v>
      </c>
    </row>
    <row r="565" spans="1:31" x14ac:dyDescent="0.35">
      <c r="A565">
        <v>100564</v>
      </c>
      <c r="B565" s="3">
        <v>46009</v>
      </c>
      <c r="C565">
        <v>1127</v>
      </c>
      <c r="D565" t="s">
        <v>47</v>
      </c>
      <c r="E565" t="s">
        <v>48</v>
      </c>
      <c r="F565" t="s">
        <v>61</v>
      </c>
      <c r="G565" t="s">
        <v>50</v>
      </c>
      <c r="H565" t="s">
        <v>51</v>
      </c>
      <c r="I565" t="s">
        <v>35</v>
      </c>
      <c r="J565" s="4">
        <v>26.08</v>
      </c>
      <c r="K565" s="4">
        <v>18.52</v>
      </c>
      <c r="L565">
        <v>15</v>
      </c>
      <c r="M565" s="4">
        <v>72.45</v>
      </c>
      <c r="N565" s="4">
        <v>410.55</v>
      </c>
      <c r="O565" s="4">
        <v>219.09</v>
      </c>
      <c r="P565" s="4">
        <v>8.0299999999999994</v>
      </c>
      <c r="Q565" s="4">
        <v>3.38</v>
      </c>
      <c r="R565" s="4">
        <v>7.38</v>
      </c>
      <c r="S565" s="4">
        <v>0</v>
      </c>
      <c r="T565" s="4">
        <v>0</v>
      </c>
      <c r="U565" s="4">
        <v>237.88</v>
      </c>
      <c r="V565" s="4">
        <v>172.67</v>
      </c>
      <c r="W565" t="s">
        <v>21</v>
      </c>
      <c r="X565" t="s">
        <v>36</v>
      </c>
      <c r="Y565" s="4">
        <v>12</v>
      </c>
      <c r="Z565" s="4">
        <v>8</v>
      </c>
      <c r="AA565" t="s">
        <v>37</v>
      </c>
      <c r="AB565" t="s">
        <v>38</v>
      </c>
      <c r="AC565" s="7">
        <v>0</v>
      </c>
      <c r="AD565" t="s">
        <v>39</v>
      </c>
      <c r="AE565">
        <f t="shared" si="8"/>
        <v>0</v>
      </c>
    </row>
    <row r="566" spans="1:31" x14ac:dyDescent="0.35">
      <c r="A566">
        <v>100565</v>
      </c>
      <c r="B566" s="3">
        <v>45976</v>
      </c>
      <c r="C566">
        <v>1081</v>
      </c>
      <c r="D566" t="s">
        <v>64</v>
      </c>
      <c r="E566" t="s">
        <v>75</v>
      </c>
      <c r="F566" t="s">
        <v>49</v>
      </c>
      <c r="G566" t="s">
        <v>63</v>
      </c>
      <c r="H566" t="s">
        <v>34</v>
      </c>
      <c r="I566" t="s">
        <v>35</v>
      </c>
      <c r="J566" s="4">
        <v>17.940000000000001</v>
      </c>
      <c r="K566" s="4">
        <v>12.52</v>
      </c>
      <c r="L566">
        <v>10</v>
      </c>
      <c r="M566" s="4">
        <v>22.46</v>
      </c>
      <c r="N566" s="4">
        <v>202.15</v>
      </c>
      <c r="O566" s="4">
        <v>142.32</v>
      </c>
      <c r="P566" s="4">
        <v>5.1100000000000003</v>
      </c>
      <c r="Q566" s="4">
        <v>1.57</v>
      </c>
      <c r="R566" s="4">
        <v>0.76</v>
      </c>
      <c r="S566" s="4">
        <v>0</v>
      </c>
      <c r="T566" s="4">
        <v>0</v>
      </c>
      <c r="U566" s="4">
        <v>149.76</v>
      </c>
      <c r="V566" s="4">
        <v>52.39</v>
      </c>
      <c r="W566" t="s">
        <v>21</v>
      </c>
      <c r="X566" t="s">
        <v>36</v>
      </c>
      <c r="Y566" s="4">
        <v>31</v>
      </c>
      <c r="Z566" s="4">
        <v>8</v>
      </c>
      <c r="AA566" t="s">
        <v>43</v>
      </c>
      <c r="AB566" t="s">
        <v>44</v>
      </c>
      <c r="AC566" s="7">
        <v>2</v>
      </c>
      <c r="AD566" t="s">
        <v>45</v>
      </c>
      <c r="AE566">
        <f t="shared" si="8"/>
        <v>1</v>
      </c>
    </row>
    <row r="567" spans="1:31" x14ac:dyDescent="0.35">
      <c r="A567">
        <v>100566</v>
      </c>
      <c r="B567" s="3">
        <v>45996</v>
      </c>
      <c r="C567">
        <v>1096</v>
      </c>
      <c r="D567" t="s">
        <v>64</v>
      </c>
      <c r="E567" t="s">
        <v>65</v>
      </c>
      <c r="F567" t="s">
        <v>41</v>
      </c>
      <c r="G567" t="s">
        <v>63</v>
      </c>
      <c r="H567" t="s">
        <v>34</v>
      </c>
      <c r="I567" t="s">
        <v>69</v>
      </c>
      <c r="J567" s="4">
        <v>17.36</v>
      </c>
      <c r="K567" s="4">
        <v>14.09</v>
      </c>
      <c r="L567">
        <v>0</v>
      </c>
      <c r="M567" s="4">
        <v>0</v>
      </c>
      <c r="N567" s="4">
        <v>244.6</v>
      </c>
      <c r="O567" s="4">
        <v>115.34</v>
      </c>
      <c r="P567" s="4">
        <v>10.94</v>
      </c>
      <c r="Q567" s="4">
        <v>0.98</v>
      </c>
      <c r="R567" s="4">
        <v>4.18</v>
      </c>
      <c r="S567" s="4">
        <v>170.92</v>
      </c>
      <c r="T567" s="4">
        <v>0</v>
      </c>
      <c r="U567" s="4">
        <v>302.36</v>
      </c>
      <c r="V567" s="4">
        <v>-57.76</v>
      </c>
      <c r="W567" t="s">
        <v>58</v>
      </c>
      <c r="X567" t="s">
        <v>55</v>
      </c>
      <c r="Y567" s="4">
        <v>12</v>
      </c>
      <c r="Z567" s="4">
        <v>5</v>
      </c>
      <c r="AA567" t="s">
        <v>37</v>
      </c>
      <c r="AB567" t="s">
        <v>44</v>
      </c>
      <c r="AC567" s="7">
        <v>1</v>
      </c>
      <c r="AD567" t="s">
        <v>45</v>
      </c>
      <c r="AE567">
        <f t="shared" si="8"/>
        <v>1</v>
      </c>
    </row>
    <row r="568" spans="1:31" x14ac:dyDescent="0.35">
      <c r="A568">
        <v>100567</v>
      </c>
      <c r="B568" s="3">
        <v>46019</v>
      </c>
      <c r="C568">
        <v>1115</v>
      </c>
      <c r="D568" t="s">
        <v>30</v>
      </c>
      <c r="E568" t="s">
        <v>62</v>
      </c>
      <c r="F568" t="s">
        <v>61</v>
      </c>
      <c r="G568" t="s">
        <v>63</v>
      </c>
      <c r="H568" t="s">
        <v>34</v>
      </c>
      <c r="I568" t="s">
        <v>35</v>
      </c>
      <c r="J568" s="4">
        <v>35.549999999999997</v>
      </c>
      <c r="K568" s="4">
        <v>12.49</v>
      </c>
      <c r="L568">
        <v>10</v>
      </c>
      <c r="M568" s="4">
        <v>44.4</v>
      </c>
      <c r="N568" s="4">
        <v>399.62</v>
      </c>
      <c r="O568" s="4">
        <v>225.9</v>
      </c>
      <c r="P568" s="4">
        <v>8.4</v>
      </c>
      <c r="Q568" s="4">
        <v>3.11</v>
      </c>
      <c r="R568" s="4">
        <v>4.21</v>
      </c>
      <c r="S568" s="4">
        <v>0</v>
      </c>
      <c r="T568" s="4">
        <v>0</v>
      </c>
      <c r="U568" s="4">
        <v>241.62</v>
      </c>
      <c r="V568" s="4">
        <v>158</v>
      </c>
      <c r="W568" t="s">
        <v>21</v>
      </c>
      <c r="X568" t="s">
        <v>36</v>
      </c>
      <c r="Y568" s="4">
        <v>19</v>
      </c>
      <c r="Z568" s="4">
        <v>0</v>
      </c>
      <c r="AA568" t="s">
        <v>52</v>
      </c>
      <c r="AB568" t="s">
        <v>38</v>
      </c>
      <c r="AC568" s="7">
        <v>0</v>
      </c>
      <c r="AD568" t="s">
        <v>39</v>
      </c>
      <c r="AE568">
        <f t="shared" si="8"/>
        <v>0</v>
      </c>
    </row>
    <row r="569" spans="1:31" x14ac:dyDescent="0.35">
      <c r="A569">
        <v>100568</v>
      </c>
      <c r="B569" s="3">
        <v>45964</v>
      </c>
      <c r="C569">
        <v>1048</v>
      </c>
      <c r="D569" t="s">
        <v>59</v>
      </c>
      <c r="E569" t="s">
        <v>70</v>
      </c>
      <c r="F569" t="s">
        <v>49</v>
      </c>
      <c r="G569" t="s">
        <v>46</v>
      </c>
      <c r="H569" t="s">
        <v>51</v>
      </c>
      <c r="I569" t="s">
        <v>54</v>
      </c>
      <c r="J569" s="4">
        <v>47.35</v>
      </c>
      <c r="K569" s="4">
        <v>16.21</v>
      </c>
      <c r="L569">
        <v>5</v>
      </c>
      <c r="M569" s="4">
        <v>38.380000000000003</v>
      </c>
      <c r="N569" s="4">
        <v>729.16</v>
      </c>
      <c r="O569" s="4">
        <v>324.26</v>
      </c>
      <c r="P569" s="4">
        <v>8.74</v>
      </c>
      <c r="Q569" s="4">
        <v>9.2100000000000009</v>
      </c>
      <c r="R569" s="4">
        <v>6.8</v>
      </c>
      <c r="S569" s="4">
        <v>0</v>
      </c>
      <c r="T569" s="4">
        <v>0</v>
      </c>
      <c r="U569" s="4">
        <v>349.01</v>
      </c>
      <c r="V569" s="4">
        <v>380.15</v>
      </c>
      <c r="W569" t="s">
        <v>21</v>
      </c>
      <c r="X569" t="s">
        <v>36</v>
      </c>
      <c r="Y569" s="4">
        <v>13</v>
      </c>
      <c r="Z569" s="4">
        <v>20</v>
      </c>
      <c r="AA569" t="s">
        <v>37</v>
      </c>
      <c r="AB569" t="s">
        <v>44</v>
      </c>
      <c r="AC569" s="7">
        <v>1</v>
      </c>
      <c r="AD569" t="s">
        <v>45</v>
      </c>
      <c r="AE569">
        <f t="shared" si="8"/>
        <v>1</v>
      </c>
    </row>
    <row r="570" spans="1:31" x14ac:dyDescent="0.35">
      <c r="A570">
        <v>100569</v>
      </c>
      <c r="B570" s="3">
        <v>45968</v>
      </c>
      <c r="C570">
        <v>1113</v>
      </c>
      <c r="D570" t="s">
        <v>30</v>
      </c>
      <c r="E570" t="s">
        <v>62</v>
      </c>
      <c r="F570" t="s">
        <v>49</v>
      </c>
      <c r="G570" t="s">
        <v>63</v>
      </c>
      <c r="H570" t="s">
        <v>51</v>
      </c>
      <c r="I570" t="s">
        <v>42</v>
      </c>
      <c r="J570" s="4">
        <v>28.3</v>
      </c>
      <c r="K570" s="4">
        <v>13.13</v>
      </c>
      <c r="L570">
        <v>0</v>
      </c>
      <c r="M570" s="4">
        <v>0</v>
      </c>
      <c r="N570" s="4">
        <v>371.58</v>
      </c>
      <c r="O570" s="4">
        <v>194.21</v>
      </c>
      <c r="P570" s="4">
        <v>11.36</v>
      </c>
      <c r="Q570" s="4">
        <v>5.57</v>
      </c>
      <c r="R570" s="4">
        <v>7.59</v>
      </c>
      <c r="S570" s="4">
        <v>0</v>
      </c>
      <c r="T570" s="4">
        <v>0</v>
      </c>
      <c r="U570" s="4">
        <v>218.73</v>
      </c>
      <c r="V570" s="4">
        <v>152.85</v>
      </c>
      <c r="W570" t="s">
        <v>21</v>
      </c>
      <c r="X570" t="s">
        <v>36</v>
      </c>
      <c r="Y570" s="4">
        <v>12</v>
      </c>
      <c r="Z570" s="4">
        <v>29</v>
      </c>
      <c r="AA570" t="s">
        <v>37</v>
      </c>
      <c r="AB570" t="s">
        <v>44</v>
      </c>
      <c r="AC570" s="7">
        <v>1</v>
      </c>
      <c r="AD570" t="s">
        <v>45</v>
      </c>
      <c r="AE570">
        <f t="shared" si="8"/>
        <v>1</v>
      </c>
    </row>
    <row r="571" spans="1:31" x14ac:dyDescent="0.35">
      <c r="A571">
        <v>100570</v>
      </c>
      <c r="B571" s="3">
        <v>45992</v>
      </c>
      <c r="C571">
        <v>1036</v>
      </c>
      <c r="D571" t="s">
        <v>47</v>
      </c>
      <c r="E571" t="s">
        <v>53</v>
      </c>
      <c r="F571" t="s">
        <v>32</v>
      </c>
      <c r="G571" t="s">
        <v>50</v>
      </c>
      <c r="H571" t="s">
        <v>34</v>
      </c>
      <c r="I571" t="s">
        <v>35</v>
      </c>
      <c r="J571" s="4">
        <v>21.51</v>
      </c>
      <c r="K571" s="4">
        <v>18.11</v>
      </c>
      <c r="L571">
        <v>15</v>
      </c>
      <c r="M571" s="4">
        <v>58.43</v>
      </c>
      <c r="N571" s="4">
        <v>331.12</v>
      </c>
      <c r="O571" s="4">
        <v>147.79</v>
      </c>
      <c r="P571" s="4">
        <v>4.1500000000000004</v>
      </c>
      <c r="Q571" s="4">
        <v>2.73</v>
      </c>
      <c r="R571" s="4">
        <v>0</v>
      </c>
      <c r="S571" s="4">
        <v>0</v>
      </c>
      <c r="T571" s="4">
        <v>0</v>
      </c>
      <c r="U571" s="4">
        <v>154.66999999999999</v>
      </c>
      <c r="V571" s="4">
        <v>176.45</v>
      </c>
      <c r="W571" t="s">
        <v>21</v>
      </c>
      <c r="X571" t="s">
        <v>36</v>
      </c>
      <c r="Y571" s="4">
        <v>4</v>
      </c>
      <c r="Z571" s="4">
        <v>21</v>
      </c>
      <c r="AA571" t="s">
        <v>37</v>
      </c>
      <c r="AB571" t="s">
        <v>44</v>
      </c>
      <c r="AC571" s="7">
        <v>2</v>
      </c>
      <c r="AD571" t="s">
        <v>45</v>
      </c>
      <c r="AE571">
        <f t="shared" si="8"/>
        <v>1</v>
      </c>
    </row>
    <row r="572" spans="1:31" x14ac:dyDescent="0.35">
      <c r="A572">
        <v>100571</v>
      </c>
      <c r="B572" s="3">
        <v>45960</v>
      </c>
      <c r="C572">
        <v>1033</v>
      </c>
      <c r="D572" t="s">
        <v>64</v>
      </c>
      <c r="E572" t="s">
        <v>67</v>
      </c>
      <c r="F572" t="s">
        <v>49</v>
      </c>
      <c r="G572" t="s">
        <v>63</v>
      </c>
      <c r="H572" t="s">
        <v>34</v>
      </c>
      <c r="I572" t="s">
        <v>69</v>
      </c>
      <c r="J572" s="4">
        <v>4.18</v>
      </c>
      <c r="K572" s="4">
        <v>13.28</v>
      </c>
      <c r="L572">
        <v>5</v>
      </c>
      <c r="M572" s="4">
        <v>2.78</v>
      </c>
      <c r="N572" s="4">
        <v>52.73</v>
      </c>
      <c r="O572" s="4">
        <v>32.43</v>
      </c>
      <c r="P572" s="4">
        <v>7.04</v>
      </c>
      <c r="Q572" s="4">
        <v>0.22</v>
      </c>
      <c r="R572" s="4">
        <v>4.5999999999999996</v>
      </c>
      <c r="S572" s="4">
        <v>0</v>
      </c>
      <c r="T572" s="4">
        <v>0</v>
      </c>
      <c r="U572" s="4">
        <v>44.29</v>
      </c>
      <c r="V572" s="4">
        <v>8.44</v>
      </c>
      <c r="W572" t="s">
        <v>21</v>
      </c>
      <c r="X572" t="s">
        <v>36</v>
      </c>
      <c r="Y572" s="4">
        <v>56</v>
      </c>
      <c r="Z572" s="4">
        <v>5</v>
      </c>
      <c r="AA572" t="s">
        <v>43</v>
      </c>
      <c r="AB572" t="s">
        <v>44</v>
      </c>
      <c r="AC572" s="7">
        <v>2</v>
      </c>
      <c r="AD572" t="s">
        <v>45</v>
      </c>
      <c r="AE572">
        <f t="shared" si="8"/>
        <v>1</v>
      </c>
    </row>
    <row r="573" spans="1:31" x14ac:dyDescent="0.35">
      <c r="A573">
        <v>100572</v>
      </c>
      <c r="B573" s="3">
        <v>45950</v>
      </c>
      <c r="C573">
        <v>1020</v>
      </c>
      <c r="D573" t="s">
        <v>59</v>
      </c>
      <c r="E573" t="s">
        <v>73</v>
      </c>
      <c r="F573" t="s">
        <v>32</v>
      </c>
      <c r="G573" t="s">
        <v>50</v>
      </c>
      <c r="H573" t="s">
        <v>51</v>
      </c>
      <c r="I573" t="s">
        <v>69</v>
      </c>
      <c r="J573" s="4">
        <v>37.119999999999997</v>
      </c>
      <c r="K573" s="4">
        <v>16.77</v>
      </c>
      <c r="L573">
        <v>0</v>
      </c>
      <c r="M573" s="4">
        <v>0</v>
      </c>
      <c r="N573" s="4">
        <v>622.5</v>
      </c>
      <c r="O573" s="4">
        <v>278.91000000000003</v>
      </c>
      <c r="P573" s="4">
        <v>6.26</v>
      </c>
      <c r="Q573" s="4">
        <v>2.4900000000000002</v>
      </c>
      <c r="R573" s="4">
        <v>0.36</v>
      </c>
      <c r="S573" s="4">
        <v>0</v>
      </c>
      <c r="T573" s="4">
        <v>0</v>
      </c>
      <c r="U573" s="4">
        <v>288.02</v>
      </c>
      <c r="V573" s="4">
        <v>334.48</v>
      </c>
      <c r="W573" t="s">
        <v>21</v>
      </c>
      <c r="X573" t="s">
        <v>36</v>
      </c>
      <c r="Y573" s="4">
        <v>4</v>
      </c>
      <c r="Z573" s="4">
        <v>0</v>
      </c>
      <c r="AA573" t="s">
        <v>37</v>
      </c>
      <c r="AB573" t="s">
        <v>38</v>
      </c>
      <c r="AC573" s="7">
        <v>1</v>
      </c>
      <c r="AD573" t="s">
        <v>39</v>
      </c>
      <c r="AE573">
        <f t="shared" si="8"/>
        <v>0</v>
      </c>
    </row>
    <row r="574" spans="1:31" x14ac:dyDescent="0.35">
      <c r="A574">
        <v>100573</v>
      </c>
      <c r="B574" s="3">
        <v>45980</v>
      </c>
      <c r="C574">
        <v>1008</v>
      </c>
      <c r="D574" t="s">
        <v>30</v>
      </c>
      <c r="E574" t="s">
        <v>40</v>
      </c>
      <c r="F574" t="s">
        <v>71</v>
      </c>
      <c r="G574" t="s">
        <v>63</v>
      </c>
      <c r="H574" t="s">
        <v>34</v>
      </c>
      <c r="I574" t="s">
        <v>54</v>
      </c>
      <c r="J574" s="4">
        <v>12.01</v>
      </c>
      <c r="K574" s="4">
        <v>12.46</v>
      </c>
      <c r="L574">
        <v>10</v>
      </c>
      <c r="M574" s="4">
        <v>14.96</v>
      </c>
      <c r="N574" s="4">
        <v>134.68</v>
      </c>
      <c r="O574" s="4">
        <v>93.97</v>
      </c>
      <c r="P574" s="4">
        <v>15.42</v>
      </c>
      <c r="Q574" s="4">
        <v>1.8</v>
      </c>
      <c r="R574" s="4">
        <v>4.04</v>
      </c>
      <c r="S574" s="4">
        <v>121.61</v>
      </c>
      <c r="T574" s="4">
        <v>0</v>
      </c>
      <c r="U574" s="4">
        <v>236.84</v>
      </c>
      <c r="V574" s="4">
        <v>-102.16</v>
      </c>
      <c r="W574" t="s">
        <v>58</v>
      </c>
      <c r="X574" t="s">
        <v>55</v>
      </c>
      <c r="Y574" s="4">
        <v>1</v>
      </c>
      <c r="Z574" s="4">
        <v>7</v>
      </c>
      <c r="AA574" t="s">
        <v>37</v>
      </c>
      <c r="AB574" t="s">
        <v>44</v>
      </c>
      <c r="AC574" s="7">
        <v>2</v>
      </c>
      <c r="AD574" t="s">
        <v>45</v>
      </c>
      <c r="AE574">
        <f t="shared" si="8"/>
        <v>1</v>
      </c>
    </row>
    <row r="575" spans="1:31" x14ac:dyDescent="0.35">
      <c r="A575">
        <v>100574</v>
      </c>
      <c r="B575" s="3">
        <v>45939</v>
      </c>
      <c r="C575">
        <v>1050</v>
      </c>
      <c r="D575" t="s">
        <v>30</v>
      </c>
      <c r="E575" t="s">
        <v>31</v>
      </c>
      <c r="F575" t="s">
        <v>49</v>
      </c>
      <c r="G575" t="s">
        <v>46</v>
      </c>
      <c r="H575" t="s">
        <v>34</v>
      </c>
      <c r="I575" t="s">
        <v>35</v>
      </c>
      <c r="J575" s="4">
        <v>40.76</v>
      </c>
      <c r="K575" s="4">
        <v>15.56</v>
      </c>
      <c r="L575">
        <v>10</v>
      </c>
      <c r="M575" s="4">
        <v>63.42</v>
      </c>
      <c r="N575" s="4">
        <v>570.80999999999995</v>
      </c>
      <c r="O575" s="4">
        <v>308.17</v>
      </c>
      <c r="P575" s="4">
        <v>16.71</v>
      </c>
      <c r="Q575" s="4">
        <v>4.4400000000000004</v>
      </c>
      <c r="R575" s="4">
        <v>0</v>
      </c>
      <c r="S575" s="4">
        <v>0</v>
      </c>
      <c r="T575" s="4">
        <v>0</v>
      </c>
      <c r="U575" s="4">
        <v>329.32</v>
      </c>
      <c r="V575" s="4">
        <v>241.49</v>
      </c>
      <c r="W575" t="s">
        <v>21</v>
      </c>
      <c r="X575" t="s">
        <v>36</v>
      </c>
      <c r="Y575" s="4">
        <v>9</v>
      </c>
      <c r="Z575" s="4">
        <v>8</v>
      </c>
      <c r="AA575" t="s">
        <v>37</v>
      </c>
      <c r="AB575" t="s">
        <v>38</v>
      </c>
      <c r="AC575" s="7">
        <v>0</v>
      </c>
      <c r="AD575" t="s">
        <v>39</v>
      </c>
      <c r="AE575">
        <f t="shared" si="8"/>
        <v>0</v>
      </c>
    </row>
    <row r="576" spans="1:31" x14ac:dyDescent="0.35">
      <c r="A576">
        <v>100575</v>
      </c>
      <c r="B576" s="3">
        <v>45949</v>
      </c>
      <c r="C576">
        <v>1022</v>
      </c>
      <c r="D576" t="s">
        <v>59</v>
      </c>
      <c r="E576" t="s">
        <v>70</v>
      </c>
      <c r="F576" t="s">
        <v>49</v>
      </c>
      <c r="G576" t="s">
        <v>46</v>
      </c>
      <c r="H576" t="s">
        <v>34</v>
      </c>
      <c r="I576" t="s">
        <v>35</v>
      </c>
      <c r="J576" s="4">
        <v>23.37</v>
      </c>
      <c r="K576" s="4">
        <v>16.579999999999998</v>
      </c>
      <c r="L576">
        <v>0</v>
      </c>
      <c r="M576" s="4">
        <v>0</v>
      </c>
      <c r="N576" s="4">
        <v>387.47</v>
      </c>
      <c r="O576" s="4">
        <v>151.96</v>
      </c>
      <c r="P576" s="4">
        <v>15.91</v>
      </c>
      <c r="Q576" s="4">
        <v>2.71</v>
      </c>
      <c r="R576" s="4">
        <v>5.0999999999999996</v>
      </c>
      <c r="S576" s="4">
        <v>0</v>
      </c>
      <c r="T576" s="4">
        <v>0</v>
      </c>
      <c r="U576" s="4">
        <v>175.68</v>
      </c>
      <c r="V576" s="4">
        <v>211.79</v>
      </c>
      <c r="W576" t="s">
        <v>21</v>
      </c>
      <c r="X576" t="s">
        <v>36</v>
      </c>
      <c r="Y576" s="4">
        <v>5</v>
      </c>
      <c r="Z576" s="4">
        <v>9</v>
      </c>
      <c r="AA576" t="s">
        <v>37</v>
      </c>
      <c r="AB576" t="s">
        <v>38</v>
      </c>
      <c r="AC576" s="7">
        <v>0</v>
      </c>
      <c r="AD576" t="s">
        <v>39</v>
      </c>
      <c r="AE576">
        <f t="shared" si="8"/>
        <v>0</v>
      </c>
    </row>
    <row r="577" spans="1:31" x14ac:dyDescent="0.35">
      <c r="A577">
        <v>100576</v>
      </c>
      <c r="B577" s="3">
        <v>45984</v>
      </c>
      <c r="C577">
        <v>1007</v>
      </c>
      <c r="D577" t="s">
        <v>30</v>
      </c>
      <c r="E577" t="s">
        <v>31</v>
      </c>
      <c r="F577" t="s">
        <v>71</v>
      </c>
      <c r="G577" t="s">
        <v>63</v>
      </c>
      <c r="H577" t="s">
        <v>34</v>
      </c>
      <c r="I577" t="s">
        <v>35</v>
      </c>
      <c r="J577" s="4">
        <v>33.229999999999997</v>
      </c>
      <c r="K577" s="4">
        <v>13.73</v>
      </c>
      <c r="L577">
        <v>0</v>
      </c>
      <c r="M577" s="4">
        <v>0</v>
      </c>
      <c r="N577" s="4">
        <v>456.25</v>
      </c>
      <c r="O577" s="4">
        <v>238.58</v>
      </c>
      <c r="P577" s="4">
        <v>14.76</v>
      </c>
      <c r="Q577" s="4">
        <v>3.19</v>
      </c>
      <c r="R577" s="4">
        <v>6.63</v>
      </c>
      <c r="S577" s="4">
        <v>450.84</v>
      </c>
      <c r="T577" s="4">
        <v>0</v>
      </c>
      <c r="U577" s="4">
        <v>714</v>
      </c>
      <c r="V577" s="4">
        <v>-257.75</v>
      </c>
      <c r="W577" t="s">
        <v>58</v>
      </c>
      <c r="X577" t="s">
        <v>66</v>
      </c>
      <c r="Y577" s="4">
        <v>14</v>
      </c>
      <c r="Z577" s="4">
        <v>0</v>
      </c>
      <c r="AA577" t="s">
        <v>37</v>
      </c>
      <c r="AB577" t="s">
        <v>38</v>
      </c>
      <c r="AC577" s="7">
        <v>1</v>
      </c>
      <c r="AD577" t="s">
        <v>45</v>
      </c>
      <c r="AE577">
        <f t="shared" si="8"/>
        <v>0</v>
      </c>
    </row>
    <row r="578" spans="1:31" x14ac:dyDescent="0.35">
      <c r="A578">
        <v>100577</v>
      </c>
      <c r="B578" s="3">
        <v>45987</v>
      </c>
      <c r="C578">
        <v>1043</v>
      </c>
      <c r="D578" t="s">
        <v>59</v>
      </c>
      <c r="E578" t="s">
        <v>60</v>
      </c>
      <c r="F578" t="s">
        <v>49</v>
      </c>
      <c r="G578" t="s">
        <v>63</v>
      </c>
      <c r="H578" t="s">
        <v>34</v>
      </c>
      <c r="I578" t="s">
        <v>54</v>
      </c>
      <c r="J578" s="4">
        <v>15.92</v>
      </c>
      <c r="K578" s="4">
        <v>12.73</v>
      </c>
      <c r="L578">
        <v>0</v>
      </c>
      <c r="M578" s="4">
        <v>0</v>
      </c>
      <c r="N578" s="4">
        <v>202.66</v>
      </c>
      <c r="O578" s="4">
        <v>112.01</v>
      </c>
      <c r="P578" s="4">
        <v>8.68</v>
      </c>
      <c r="Q578" s="4">
        <v>2.4300000000000002</v>
      </c>
      <c r="R578" s="4">
        <v>0</v>
      </c>
      <c r="S578" s="4">
        <v>125.13</v>
      </c>
      <c r="T578" s="4">
        <v>0</v>
      </c>
      <c r="U578" s="4">
        <v>248.25</v>
      </c>
      <c r="V578" s="4">
        <v>-45.59</v>
      </c>
      <c r="W578" t="s">
        <v>58</v>
      </c>
      <c r="X578" t="s">
        <v>66</v>
      </c>
      <c r="Y578" s="4">
        <v>16</v>
      </c>
      <c r="Z578" s="4">
        <v>0</v>
      </c>
      <c r="AA578" t="s">
        <v>52</v>
      </c>
      <c r="AB578" t="s">
        <v>38</v>
      </c>
      <c r="AC578" s="7">
        <v>2</v>
      </c>
      <c r="AD578" t="s">
        <v>45</v>
      </c>
      <c r="AE578">
        <f t="shared" si="8"/>
        <v>0</v>
      </c>
    </row>
    <row r="579" spans="1:31" x14ac:dyDescent="0.35">
      <c r="A579">
        <v>100578</v>
      </c>
      <c r="B579" s="3">
        <v>46014</v>
      </c>
      <c r="C579">
        <v>1035</v>
      </c>
      <c r="D579" t="s">
        <v>59</v>
      </c>
      <c r="E579" t="s">
        <v>73</v>
      </c>
      <c r="F579" t="s">
        <v>71</v>
      </c>
      <c r="G579" t="s">
        <v>63</v>
      </c>
      <c r="H579" t="s">
        <v>57</v>
      </c>
      <c r="I579" t="s">
        <v>35</v>
      </c>
      <c r="J579" s="4">
        <v>20.239999999999998</v>
      </c>
      <c r="K579" s="4">
        <v>12.75</v>
      </c>
      <c r="L579">
        <v>0</v>
      </c>
      <c r="M579" s="4">
        <v>0</v>
      </c>
      <c r="N579" s="4">
        <v>258.06</v>
      </c>
      <c r="O579" s="4">
        <v>103.31</v>
      </c>
      <c r="P579" s="4">
        <v>9.43</v>
      </c>
      <c r="Q579" s="4">
        <v>1.81</v>
      </c>
      <c r="R579" s="4">
        <v>3.78</v>
      </c>
      <c r="S579" s="4">
        <v>0</v>
      </c>
      <c r="T579" s="4">
        <v>0</v>
      </c>
      <c r="U579" s="4">
        <v>118.33</v>
      </c>
      <c r="V579" s="4">
        <v>139.72999999999999</v>
      </c>
      <c r="W579" t="s">
        <v>21</v>
      </c>
      <c r="X579" t="s">
        <v>36</v>
      </c>
      <c r="Y579" s="4">
        <v>8</v>
      </c>
      <c r="Z579" s="4">
        <v>0</v>
      </c>
      <c r="AA579" t="s">
        <v>37</v>
      </c>
      <c r="AB579" t="s">
        <v>38</v>
      </c>
      <c r="AC579" s="7">
        <v>0</v>
      </c>
      <c r="AD579" t="s">
        <v>39</v>
      </c>
      <c r="AE579">
        <f t="shared" ref="AE579:AE642" si="9">IF(AB579="Yes",1,0)</f>
        <v>0</v>
      </c>
    </row>
    <row r="580" spans="1:31" x14ac:dyDescent="0.35">
      <c r="A580">
        <v>100579</v>
      </c>
      <c r="B580" s="3">
        <v>46022</v>
      </c>
      <c r="C580">
        <v>1131</v>
      </c>
      <c r="D580" t="s">
        <v>47</v>
      </c>
      <c r="E580" t="s">
        <v>53</v>
      </c>
      <c r="F580" t="s">
        <v>41</v>
      </c>
      <c r="G580" t="s">
        <v>46</v>
      </c>
      <c r="H580" t="s">
        <v>34</v>
      </c>
      <c r="I580" t="s">
        <v>42</v>
      </c>
      <c r="J580" s="4">
        <v>13.04</v>
      </c>
      <c r="K580" s="4">
        <v>15.03</v>
      </c>
      <c r="L580">
        <v>20</v>
      </c>
      <c r="M580" s="4">
        <v>39.200000000000003</v>
      </c>
      <c r="N580" s="4">
        <v>156.79</v>
      </c>
      <c r="O580" s="4">
        <v>91.37</v>
      </c>
      <c r="P580" s="4">
        <v>9.5299999999999994</v>
      </c>
      <c r="Q580" s="4">
        <v>2.94</v>
      </c>
      <c r="R580" s="4">
        <v>11.75</v>
      </c>
      <c r="S580" s="4">
        <v>0</v>
      </c>
      <c r="T580" s="4">
        <v>0</v>
      </c>
      <c r="U580" s="4">
        <v>115.59</v>
      </c>
      <c r="V580" s="4">
        <v>41.2</v>
      </c>
      <c r="W580" t="s">
        <v>21</v>
      </c>
      <c r="X580" t="s">
        <v>36</v>
      </c>
      <c r="Y580" s="4">
        <v>7</v>
      </c>
      <c r="Z580" s="4">
        <v>43</v>
      </c>
      <c r="AA580" t="s">
        <v>37</v>
      </c>
      <c r="AB580" t="s">
        <v>44</v>
      </c>
      <c r="AC580" s="7">
        <v>1</v>
      </c>
      <c r="AD580" t="s">
        <v>45</v>
      </c>
      <c r="AE580">
        <f t="shared" si="9"/>
        <v>1</v>
      </c>
    </row>
    <row r="581" spans="1:31" x14ac:dyDescent="0.35">
      <c r="A581">
        <v>100580</v>
      </c>
      <c r="B581" s="3">
        <v>45991</v>
      </c>
      <c r="C581">
        <v>1123</v>
      </c>
      <c r="D581" t="s">
        <v>64</v>
      </c>
      <c r="E581" t="s">
        <v>65</v>
      </c>
      <c r="F581" t="s">
        <v>71</v>
      </c>
      <c r="G581" t="s">
        <v>46</v>
      </c>
      <c r="H581" t="s">
        <v>57</v>
      </c>
      <c r="I581" t="s">
        <v>42</v>
      </c>
      <c r="J581" s="4">
        <v>35.909999999999997</v>
      </c>
      <c r="K581" s="4">
        <v>15.61</v>
      </c>
      <c r="L581">
        <v>5</v>
      </c>
      <c r="M581" s="4">
        <v>28.03</v>
      </c>
      <c r="N581" s="4">
        <v>532.53</v>
      </c>
      <c r="O581" s="4">
        <v>189.97</v>
      </c>
      <c r="P581" s="4">
        <v>11.89</v>
      </c>
      <c r="Q581" s="4">
        <v>8.41</v>
      </c>
      <c r="R581" s="4">
        <v>8.48</v>
      </c>
      <c r="S581" s="4">
        <v>0</v>
      </c>
      <c r="T581" s="4">
        <v>0</v>
      </c>
      <c r="U581" s="4">
        <v>218.75</v>
      </c>
      <c r="V581" s="4">
        <v>313.77999999999997</v>
      </c>
      <c r="W581" t="s">
        <v>21</v>
      </c>
      <c r="X581" t="s">
        <v>36</v>
      </c>
      <c r="Y581" s="4">
        <v>0</v>
      </c>
      <c r="Z581" s="4">
        <v>11</v>
      </c>
      <c r="AA581" t="s">
        <v>37</v>
      </c>
      <c r="AB581" t="s">
        <v>38</v>
      </c>
      <c r="AC581" s="7">
        <v>0</v>
      </c>
      <c r="AD581" t="s">
        <v>39</v>
      </c>
      <c r="AE581">
        <f t="shared" si="9"/>
        <v>0</v>
      </c>
    </row>
    <row r="582" spans="1:31" x14ac:dyDescent="0.35">
      <c r="A582">
        <v>100581</v>
      </c>
      <c r="B582" s="3">
        <v>46015</v>
      </c>
      <c r="C582">
        <v>1056</v>
      </c>
      <c r="D582" t="s">
        <v>47</v>
      </c>
      <c r="E582" t="s">
        <v>56</v>
      </c>
      <c r="F582" t="s">
        <v>41</v>
      </c>
      <c r="G582" t="s">
        <v>33</v>
      </c>
      <c r="H582" t="s">
        <v>34</v>
      </c>
      <c r="I582" t="s">
        <v>42</v>
      </c>
      <c r="J582" s="4">
        <v>41.92</v>
      </c>
      <c r="K582" s="4">
        <v>18.329999999999998</v>
      </c>
      <c r="L582">
        <v>10</v>
      </c>
      <c r="M582" s="4">
        <v>76.84</v>
      </c>
      <c r="N582" s="4">
        <v>691.55</v>
      </c>
      <c r="O582" s="4">
        <v>279.64999999999998</v>
      </c>
      <c r="P582" s="4">
        <v>11.25</v>
      </c>
      <c r="Q582" s="4">
        <v>11.53</v>
      </c>
      <c r="R582" s="4">
        <v>0</v>
      </c>
      <c r="S582" s="4">
        <v>0</v>
      </c>
      <c r="T582" s="4">
        <v>0</v>
      </c>
      <c r="U582" s="4">
        <v>302.43</v>
      </c>
      <c r="V582" s="4">
        <v>389.12</v>
      </c>
      <c r="W582" t="s">
        <v>21</v>
      </c>
      <c r="X582" t="s">
        <v>36</v>
      </c>
      <c r="Y582" s="4">
        <v>14</v>
      </c>
      <c r="Z582" s="4">
        <v>7</v>
      </c>
      <c r="AA582" t="s">
        <v>37</v>
      </c>
      <c r="AB582" t="s">
        <v>38</v>
      </c>
      <c r="AC582" s="7">
        <v>0</v>
      </c>
      <c r="AD582" t="s">
        <v>39</v>
      </c>
      <c r="AE582">
        <f t="shared" si="9"/>
        <v>0</v>
      </c>
    </row>
    <row r="583" spans="1:31" x14ac:dyDescent="0.35">
      <c r="A583">
        <v>100582</v>
      </c>
      <c r="B583" s="3">
        <v>45937</v>
      </c>
      <c r="C583">
        <v>1085</v>
      </c>
      <c r="D583" t="s">
        <v>30</v>
      </c>
      <c r="E583" t="s">
        <v>31</v>
      </c>
      <c r="F583" t="s">
        <v>61</v>
      </c>
      <c r="G583" t="s">
        <v>50</v>
      </c>
      <c r="H583" t="s">
        <v>34</v>
      </c>
      <c r="I583" t="s">
        <v>69</v>
      </c>
      <c r="J583" s="4">
        <v>31.34</v>
      </c>
      <c r="K583" s="4">
        <v>17.48</v>
      </c>
      <c r="L583">
        <v>10</v>
      </c>
      <c r="M583" s="4">
        <v>54.78</v>
      </c>
      <c r="N583" s="4">
        <v>493.04</v>
      </c>
      <c r="O583" s="4">
        <v>222.38</v>
      </c>
      <c r="P583" s="4">
        <v>8.41</v>
      </c>
      <c r="Q583" s="4">
        <v>2.19</v>
      </c>
      <c r="R583" s="4">
        <v>1.2</v>
      </c>
      <c r="S583" s="4">
        <v>0</v>
      </c>
      <c r="T583" s="4">
        <v>0</v>
      </c>
      <c r="U583" s="4">
        <v>234.18</v>
      </c>
      <c r="V583" s="4">
        <v>258.86</v>
      </c>
      <c r="W583" t="s">
        <v>21</v>
      </c>
      <c r="X583" t="s">
        <v>36</v>
      </c>
      <c r="Y583" s="4">
        <v>6</v>
      </c>
      <c r="Z583" s="4">
        <v>4</v>
      </c>
      <c r="AA583" t="s">
        <v>37</v>
      </c>
      <c r="AB583" t="s">
        <v>38</v>
      </c>
      <c r="AC583" s="7">
        <v>1</v>
      </c>
      <c r="AD583" t="s">
        <v>39</v>
      </c>
      <c r="AE583">
        <f t="shared" si="9"/>
        <v>0</v>
      </c>
    </row>
    <row r="584" spans="1:31" x14ac:dyDescent="0.35">
      <c r="A584">
        <v>100583</v>
      </c>
      <c r="B584" s="3">
        <v>45931</v>
      </c>
      <c r="C584">
        <v>1097</v>
      </c>
      <c r="D584" t="s">
        <v>47</v>
      </c>
      <c r="E584" t="s">
        <v>53</v>
      </c>
      <c r="F584" t="s">
        <v>61</v>
      </c>
      <c r="G584" t="s">
        <v>63</v>
      </c>
      <c r="H584" t="s">
        <v>34</v>
      </c>
      <c r="I584" t="s">
        <v>42</v>
      </c>
      <c r="J584" s="4">
        <v>21.64</v>
      </c>
      <c r="K584" s="4">
        <v>12.28</v>
      </c>
      <c r="L584">
        <v>10</v>
      </c>
      <c r="M584" s="4">
        <v>26.57</v>
      </c>
      <c r="N584" s="4">
        <v>239.17</v>
      </c>
      <c r="O584" s="4">
        <v>165.81</v>
      </c>
      <c r="P584" s="4">
        <v>12.25</v>
      </c>
      <c r="Q584" s="4">
        <v>3.99</v>
      </c>
      <c r="R584" s="4">
        <v>4.1100000000000003</v>
      </c>
      <c r="S584" s="4">
        <v>0</v>
      </c>
      <c r="T584" s="4">
        <v>0</v>
      </c>
      <c r="U584" s="4">
        <v>186.16</v>
      </c>
      <c r="V584" s="4">
        <v>53.01</v>
      </c>
      <c r="W584" t="s">
        <v>21</v>
      </c>
      <c r="X584" t="s">
        <v>36</v>
      </c>
      <c r="Y584" s="4">
        <v>4</v>
      </c>
      <c r="Z584" s="4">
        <v>7</v>
      </c>
      <c r="AA584" t="s">
        <v>37</v>
      </c>
      <c r="AB584" t="s">
        <v>38</v>
      </c>
      <c r="AC584" s="7">
        <v>0</v>
      </c>
      <c r="AD584" t="s">
        <v>39</v>
      </c>
      <c r="AE584">
        <f t="shared" si="9"/>
        <v>0</v>
      </c>
    </row>
    <row r="585" spans="1:31" x14ac:dyDescent="0.35">
      <c r="A585">
        <v>100584</v>
      </c>
      <c r="B585" s="3">
        <v>45982</v>
      </c>
      <c r="C585">
        <v>1145</v>
      </c>
      <c r="D585" t="s">
        <v>47</v>
      </c>
      <c r="E585" t="s">
        <v>74</v>
      </c>
      <c r="F585" t="s">
        <v>61</v>
      </c>
      <c r="G585" t="s">
        <v>63</v>
      </c>
      <c r="H585" t="s">
        <v>34</v>
      </c>
      <c r="I585" t="s">
        <v>69</v>
      </c>
      <c r="J585" s="4">
        <v>24.51</v>
      </c>
      <c r="K585" s="4">
        <v>14.13</v>
      </c>
      <c r="L585">
        <v>0</v>
      </c>
      <c r="M585" s="4">
        <v>0</v>
      </c>
      <c r="N585" s="4">
        <v>346.33</v>
      </c>
      <c r="O585" s="4">
        <v>188.28</v>
      </c>
      <c r="P585" s="4">
        <v>5.21</v>
      </c>
      <c r="Q585" s="4">
        <v>1.39</v>
      </c>
      <c r="R585" s="4">
        <v>7.97</v>
      </c>
      <c r="S585" s="4">
        <v>0</v>
      </c>
      <c r="T585" s="4">
        <v>0</v>
      </c>
      <c r="U585" s="4">
        <v>202.85</v>
      </c>
      <c r="V585" s="4">
        <v>143.47999999999999</v>
      </c>
      <c r="W585" t="s">
        <v>21</v>
      </c>
      <c r="X585" t="s">
        <v>36</v>
      </c>
      <c r="Y585" s="4">
        <v>9</v>
      </c>
      <c r="Z585" s="4">
        <v>0</v>
      </c>
      <c r="AA585" t="s">
        <v>37</v>
      </c>
      <c r="AB585" t="s">
        <v>38</v>
      </c>
      <c r="AC585" s="7">
        <v>0</v>
      </c>
      <c r="AD585" t="s">
        <v>39</v>
      </c>
      <c r="AE585">
        <f t="shared" si="9"/>
        <v>0</v>
      </c>
    </row>
    <row r="586" spans="1:31" x14ac:dyDescent="0.35">
      <c r="A586">
        <v>100585</v>
      </c>
      <c r="B586" s="3">
        <v>45946</v>
      </c>
      <c r="C586">
        <v>1005</v>
      </c>
      <c r="D586" t="s">
        <v>47</v>
      </c>
      <c r="E586" t="s">
        <v>48</v>
      </c>
      <c r="F586" t="s">
        <v>61</v>
      </c>
      <c r="G586" t="s">
        <v>50</v>
      </c>
      <c r="H586" t="s">
        <v>51</v>
      </c>
      <c r="I586" t="s">
        <v>35</v>
      </c>
      <c r="J586" s="4">
        <v>11.05</v>
      </c>
      <c r="K586" s="4">
        <v>17.32</v>
      </c>
      <c r="L586">
        <v>0</v>
      </c>
      <c r="M586" s="4">
        <v>0</v>
      </c>
      <c r="N586" s="4">
        <v>191.39</v>
      </c>
      <c r="O586" s="4">
        <v>87.24</v>
      </c>
      <c r="P586" s="4">
        <v>7.35</v>
      </c>
      <c r="Q586" s="4">
        <v>1.34</v>
      </c>
      <c r="R586" s="4">
        <v>7.63</v>
      </c>
      <c r="S586" s="4">
        <v>0</v>
      </c>
      <c r="T586" s="4">
        <v>0</v>
      </c>
      <c r="U586" s="4">
        <v>103.56</v>
      </c>
      <c r="V586" s="4">
        <v>87.83</v>
      </c>
      <c r="W586" t="s">
        <v>21</v>
      </c>
      <c r="X586" t="s">
        <v>36</v>
      </c>
      <c r="Y586" s="4">
        <v>8</v>
      </c>
      <c r="Z586" s="4">
        <v>30</v>
      </c>
      <c r="AA586" t="s">
        <v>37</v>
      </c>
      <c r="AB586" t="s">
        <v>44</v>
      </c>
      <c r="AC586" s="7">
        <v>1</v>
      </c>
      <c r="AD586" t="s">
        <v>45</v>
      </c>
      <c r="AE586">
        <f t="shared" si="9"/>
        <v>1</v>
      </c>
    </row>
    <row r="587" spans="1:31" x14ac:dyDescent="0.35">
      <c r="A587">
        <v>100586</v>
      </c>
      <c r="B587" s="3">
        <v>45943</v>
      </c>
      <c r="C587">
        <v>1056</v>
      </c>
      <c r="D587" t="s">
        <v>47</v>
      </c>
      <c r="E587" t="s">
        <v>56</v>
      </c>
      <c r="F587" t="s">
        <v>41</v>
      </c>
      <c r="G587" t="s">
        <v>33</v>
      </c>
      <c r="H587" t="s">
        <v>34</v>
      </c>
      <c r="I587" t="s">
        <v>54</v>
      </c>
      <c r="J587" s="4">
        <v>22.39</v>
      </c>
      <c r="K587" s="4">
        <v>20.350000000000001</v>
      </c>
      <c r="L587">
        <v>0</v>
      </c>
      <c r="M587" s="4">
        <v>0</v>
      </c>
      <c r="N587" s="4">
        <v>455.64</v>
      </c>
      <c r="O587" s="4">
        <v>166.51</v>
      </c>
      <c r="P587" s="4">
        <v>8.41</v>
      </c>
      <c r="Q587" s="4">
        <v>5.47</v>
      </c>
      <c r="R587" s="4">
        <v>7.99</v>
      </c>
      <c r="S587" s="4">
        <v>0</v>
      </c>
      <c r="T587" s="4">
        <v>0</v>
      </c>
      <c r="U587" s="4">
        <v>188.38</v>
      </c>
      <c r="V587" s="4">
        <v>267.26</v>
      </c>
      <c r="W587" t="s">
        <v>21</v>
      </c>
      <c r="X587" t="s">
        <v>36</v>
      </c>
      <c r="Y587" s="4">
        <v>5</v>
      </c>
      <c r="Z587" s="4">
        <v>28</v>
      </c>
      <c r="AA587" t="s">
        <v>37</v>
      </c>
      <c r="AB587" t="s">
        <v>44</v>
      </c>
      <c r="AC587" s="7">
        <v>1</v>
      </c>
      <c r="AD587" t="s">
        <v>45</v>
      </c>
      <c r="AE587">
        <f t="shared" si="9"/>
        <v>1</v>
      </c>
    </row>
    <row r="588" spans="1:31" x14ac:dyDescent="0.35">
      <c r="A588">
        <v>100587</v>
      </c>
      <c r="B588" s="3">
        <v>46000</v>
      </c>
      <c r="C588">
        <v>1028</v>
      </c>
      <c r="D588" t="s">
        <v>30</v>
      </c>
      <c r="E588" t="s">
        <v>40</v>
      </c>
      <c r="F588" t="s">
        <v>32</v>
      </c>
      <c r="G588" t="s">
        <v>63</v>
      </c>
      <c r="H588" t="s">
        <v>34</v>
      </c>
      <c r="I588" t="s">
        <v>42</v>
      </c>
      <c r="J588" s="4">
        <v>30.27</v>
      </c>
      <c r="K588" s="4">
        <v>13.81</v>
      </c>
      <c r="L588">
        <v>5</v>
      </c>
      <c r="M588" s="4">
        <v>20.9</v>
      </c>
      <c r="N588" s="4">
        <v>397.13</v>
      </c>
      <c r="O588" s="4">
        <v>245.98</v>
      </c>
      <c r="P588" s="4">
        <v>1</v>
      </c>
      <c r="Q588" s="4">
        <v>6.27</v>
      </c>
      <c r="R588" s="4">
        <v>14.23</v>
      </c>
      <c r="S588" s="4">
        <v>0</v>
      </c>
      <c r="T588" s="4">
        <v>0</v>
      </c>
      <c r="U588" s="4">
        <v>267.48</v>
      </c>
      <c r="V588" s="4">
        <v>129.65</v>
      </c>
      <c r="W588" t="s">
        <v>21</v>
      </c>
      <c r="X588" t="s">
        <v>36</v>
      </c>
      <c r="Y588" s="4">
        <v>4</v>
      </c>
      <c r="Z588" s="4">
        <v>18</v>
      </c>
      <c r="AA588" t="s">
        <v>37</v>
      </c>
      <c r="AB588" t="s">
        <v>44</v>
      </c>
      <c r="AC588" s="7">
        <v>1</v>
      </c>
      <c r="AD588" t="s">
        <v>45</v>
      </c>
      <c r="AE588">
        <f t="shared" si="9"/>
        <v>1</v>
      </c>
    </row>
    <row r="589" spans="1:31" x14ac:dyDescent="0.35">
      <c r="A589">
        <v>100588</v>
      </c>
      <c r="B589" s="3">
        <v>45955</v>
      </c>
      <c r="C589">
        <v>1004</v>
      </c>
      <c r="D589" t="s">
        <v>64</v>
      </c>
      <c r="E589" t="s">
        <v>75</v>
      </c>
      <c r="F589" t="s">
        <v>49</v>
      </c>
      <c r="G589" t="s">
        <v>46</v>
      </c>
      <c r="H589" t="s">
        <v>57</v>
      </c>
      <c r="I589" t="s">
        <v>42</v>
      </c>
      <c r="J589" s="4">
        <v>27</v>
      </c>
      <c r="K589" s="4">
        <v>15.69</v>
      </c>
      <c r="L589">
        <v>5</v>
      </c>
      <c r="M589" s="4">
        <v>21.18</v>
      </c>
      <c r="N589" s="4">
        <v>402.45</v>
      </c>
      <c r="O589" s="4">
        <v>195.23</v>
      </c>
      <c r="P589" s="4">
        <v>7.27</v>
      </c>
      <c r="Q589" s="4">
        <v>6.35</v>
      </c>
      <c r="R589" s="4">
        <v>6.5</v>
      </c>
      <c r="S589" s="4">
        <v>0</v>
      </c>
      <c r="T589" s="4">
        <v>0</v>
      </c>
      <c r="U589" s="4">
        <v>215.35</v>
      </c>
      <c r="V589" s="4">
        <v>187.1</v>
      </c>
      <c r="W589" t="s">
        <v>21</v>
      </c>
      <c r="X589" t="s">
        <v>36</v>
      </c>
      <c r="Y589" s="4">
        <v>10</v>
      </c>
      <c r="Z589" s="4">
        <v>4</v>
      </c>
      <c r="AA589" t="s">
        <v>37</v>
      </c>
      <c r="AB589" t="s">
        <v>38</v>
      </c>
      <c r="AC589" s="7">
        <v>0</v>
      </c>
      <c r="AD589" t="s">
        <v>39</v>
      </c>
      <c r="AE589">
        <f t="shared" si="9"/>
        <v>0</v>
      </c>
    </row>
    <row r="590" spans="1:31" x14ac:dyDescent="0.35">
      <c r="A590">
        <v>100589</v>
      </c>
      <c r="B590" s="3">
        <v>45984</v>
      </c>
      <c r="C590">
        <v>1077</v>
      </c>
      <c r="D590" t="s">
        <v>47</v>
      </c>
      <c r="E590" t="s">
        <v>74</v>
      </c>
      <c r="F590" t="s">
        <v>32</v>
      </c>
      <c r="G590" t="s">
        <v>50</v>
      </c>
      <c r="H590" t="s">
        <v>34</v>
      </c>
      <c r="I590" t="s">
        <v>69</v>
      </c>
      <c r="J590" s="4">
        <v>33.11</v>
      </c>
      <c r="K590" s="4">
        <v>17.190000000000001</v>
      </c>
      <c r="L590">
        <v>10</v>
      </c>
      <c r="M590" s="4">
        <v>56.92</v>
      </c>
      <c r="N590" s="4">
        <v>512.24</v>
      </c>
      <c r="O590" s="4">
        <v>256.37</v>
      </c>
      <c r="P590" s="4">
        <v>7.13</v>
      </c>
      <c r="Q590" s="4">
        <v>2.2799999999999998</v>
      </c>
      <c r="R590" s="4">
        <v>2.9</v>
      </c>
      <c r="S590" s="4">
        <v>0</v>
      </c>
      <c r="T590" s="4">
        <v>0</v>
      </c>
      <c r="U590" s="4">
        <v>268.68</v>
      </c>
      <c r="V590" s="4">
        <v>243.56</v>
      </c>
      <c r="W590" t="s">
        <v>21</v>
      </c>
      <c r="X590" t="s">
        <v>36</v>
      </c>
      <c r="Y590" s="4">
        <v>16</v>
      </c>
      <c r="Z590" s="4">
        <v>32</v>
      </c>
      <c r="AA590" t="s">
        <v>52</v>
      </c>
      <c r="AB590" t="s">
        <v>44</v>
      </c>
      <c r="AC590" s="7">
        <v>1</v>
      </c>
      <c r="AD590" t="s">
        <v>45</v>
      </c>
      <c r="AE590">
        <f t="shared" si="9"/>
        <v>1</v>
      </c>
    </row>
    <row r="591" spans="1:31" x14ac:dyDescent="0.35">
      <c r="A591">
        <v>100590</v>
      </c>
      <c r="B591" s="3">
        <v>46004</v>
      </c>
      <c r="C591">
        <v>1011</v>
      </c>
      <c r="D591" t="s">
        <v>30</v>
      </c>
      <c r="E591" t="s">
        <v>40</v>
      </c>
      <c r="F591" t="s">
        <v>61</v>
      </c>
      <c r="G591" t="s">
        <v>63</v>
      </c>
      <c r="H591" t="s">
        <v>34</v>
      </c>
      <c r="I591" t="s">
        <v>35</v>
      </c>
      <c r="J591" s="4">
        <v>3</v>
      </c>
      <c r="K591" s="4">
        <v>12.49</v>
      </c>
      <c r="L591">
        <v>10</v>
      </c>
      <c r="M591" s="4">
        <v>3.75</v>
      </c>
      <c r="N591" s="4">
        <v>33.72</v>
      </c>
      <c r="O591" s="4">
        <v>19.54</v>
      </c>
      <c r="P591" s="4">
        <v>8.77</v>
      </c>
      <c r="Q591" s="4">
        <v>0.26</v>
      </c>
      <c r="R591" s="4">
        <v>6.18</v>
      </c>
      <c r="S591" s="4">
        <v>0</v>
      </c>
      <c r="T591" s="4">
        <v>0</v>
      </c>
      <c r="U591" s="4">
        <v>34.75</v>
      </c>
      <c r="V591" s="4">
        <v>-1.03</v>
      </c>
      <c r="W591" t="s">
        <v>58</v>
      </c>
      <c r="X591" t="s">
        <v>36</v>
      </c>
      <c r="Y591" s="4">
        <v>4</v>
      </c>
      <c r="Z591" s="4">
        <v>0</v>
      </c>
      <c r="AA591" t="s">
        <v>37</v>
      </c>
      <c r="AB591" t="s">
        <v>38</v>
      </c>
      <c r="AC591" s="7">
        <v>0</v>
      </c>
      <c r="AD591" t="s">
        <v>39</v>
      </c>
      <c r="AE591">
        <f t="shared" si="9"/>
        <v>0</v>
      </c>
    </row>
    <row r="592" spans="1:31" x14ac:dyDescent="0.35">
      <c r="A592">
        <v>100591</v>
      </c>
      <c r="B592" s="3">
        <v>45997</v>
      </c>
      <c r="C592">
        <v>1013</v>
      </c>
      <c r="D592" t="s">
        <v>64</v>
      </c>
      <c r="E592" t="s">
        <v>76</v>
      </c>
      <c r="F592" t="s">
        <v>32</v>
      </c>
      <c r="G592" t="s">
        <v>50</v>
      </c>
      <c r="H592" t="s">
        <v>57</v>
      </c>
      <c r="I592" t="s">
        <v>35</v>
      </c>
      <c r="J592" s="4">
        <v>28.01</v>
      </c>
      <c r="K592" s="4">
        <v>18.239999999999998</v>
      </c>
      <c r="L592">
        <v>10</v>
      </c>
      <c r="M592" s="4">
        <v>51.09</v>
      </c>
      <c r="N592" s="4">
        <v>459.81</v>
      </c>
      <c r="O592" s="4">
        <v>192.54</v>
      </c>
      <c r="P592" s="4">
        <v>2.16</v>
      </c>
      <c r="Q592" s="4">
        <v>3.58</v>
      </c>
      <c r="R592" s="4">
        <v>2.76</v>
      </c>
      <c r="S592" s="4">
        <v>0</v>
      </c>
      <c r="T592" s="4">
        <v>0</v>
      </c>
      <c r="U592" s="4">
        <v>201.04</v>
      </c>
      <c r="V592" s="4">
        <v>258.77</v>
      </c>
      <c r="W592" t="s">
        <v>21</v>
      </c>
      <c r="X592" t="s">
        <v>36</v>
      </c>
      <c r="Y592" s="4">
        <v>2</v>
      </c>
      <c r="Z592" s="4">
        <v>0</v>
      </c>
      <c r="AA592" t="s">
        <v>37</v>
      </c>
      <c r="AB592" t="s">
        <v>38</v>
      </c>
      <c r="AC592" s="7">
        <v>0</v>
      </c>
      <c r="AD592" t="s">
        <v>39</v>
      </c>
      <c r="AE592">
        <f t="shared" si="9"/>
        <v>0</v>
      </c>
    </row>
    <row r="593" spans="1:31" x14ac:dyDescent="0.35">
      <c r="A593">
        <v>100592</v>
      </c>
      <c r="B593" s="3">
        <v>46002</v>
      </c>
      <c r="C593">
        <v>1121</v>
      </c>
      <c r="D593" t="s">
        <v>47</v>
      </c>
      <c r="E593" t="s">
        <v>56</v>
      </c>
      <c r="F593" t="s">
        <v>61</v>
      </c>
      <c r="G593" t="s">
        <v>63</v>
      </c>
      <c r="H593" t="s">
        <v>34</v>
      </c>
      <c r="I593" t="s">
        <v>69</v>
      </c>
      <c r="J593" s="4">
        <v>22.12</v>
      </c>
      <c r="K593" s="4">
        <v>12.28</v>
      </c>
      <c r="L593">
        <v>0</v>
      </c>
      <c r="M593" s="4">
        <v>0</v>
      </c>
      <c r="N593" s="4">
        <v>271.63</v>
      </c>
      <c r="O593" s="4">
        <v>158.35</v>
      </c>
      <c r="P593" s="4">
        <v>5.88</v>
      </c>
      <c r="Q593" s="4">
        <v>1.0900000000000001</v>
      </c>
      <c r="R593" s="4">
        <v>3.36</v>
      </c>
      <c r="S593" s="4">
        <v>0</v>
      </c>
      <c r="T593" s="4">
        <v>0</v>
      </c>
      <c r="U593" s="4">
        <v>168.68</v>
      </c>
      <c r="V593" s="4">
        <v>102.95</v>
      </c>
      <c r="W593" t="s">
        <v>21</v>
      </c>
      <c r="X593" t="s">
        <v>36</v>
      </c>
      <c r="Y593" s="4">
        <v>15</v>
      </c>
      <c r="Z593" s="4">
        <v>3</v>
      </c>
      <c r="AA593" t="s">
        <v>37</v>
      </c>
      <c r="AB593" t="s">
        <v>38</v>
      </c>
      <c r="AC593" s="7">
        <v>0</v>
      </c>
      <c r="AD593" t="s">
        <v>39</v>
      </c>
      <c r="AE593">
        <f t="shared" si="9"/>
        <v>0</v>
      </c>
    </row>
    <row r="594" spans="1:31" x14ac:dyDescent="0.35">
      <c r="A594">
        <v>100593</v>
      </c>
      <c r="B594" s="3">
        <v>45942</v>
      </c>
      <c r="C594">
        <v>1045</v>
      </c>
      <c r="D594" t="s">
        <v>30</v>
      </c>
      <c r="E594" t="s">
        <v>62</v>
      </c>
      <c r="F594" t="s">
        <v>61</v>
      </c>
      <c r="G594" t="s">
        <v>63</v>
      </c>
      <c r="H594" t="s">
        <v>57</v>
      </c>
      <c r="I594" t="s">
        <v>69</v>
      </c>
      <c r="J594" s="4">
        <v>21.78</v>
      </c>
      <c r="K594" s="4">
        <v>13.19</v>
      </c>
      <c r="L594">
        <v>10</v>
      </c>
      <c r="M594" s="4">
        <v>28.73</v>
      </c>
      <c r="N594" s="4">
        <v>258.55</v>
      </c>
      <c r="O594" s="4">
        <v>160.05000000000001</v>
      </c>
      <c r="P594" s="4">
        <v>4.57</v>
      </c>
      <c r="Q594" s="4">
        <v>1.1499999999999999</v>
      </c>
      <c r="R594" s="4">
        <v>6.54</v>
      </c>
      <c r="S594" s="4">
        <v>0</v>
      </c>
      <c r="T594" s="4">
        <v>0</v>
      </c>
      <c r="U594" s="4">
        <v>172.31</v>
      </c>
      <c r="V594" s="4">
        <v>86.24</v>
      </c>
      <c r="W594" t="s">
        <v>21</v>
      </c>
      <c r="X594" t="s">
        <v>36</v>
      </c>
      <c r="Y594" s="4">
        <v>8</v>
      </c>
      <c r="Z594" s="4">
        <v>3</v>
      </c>
      <c r="AA594" t="s">
        <v>37</v>
      </c>
      <c r="AB594" t="s">
        <v>38</v>
      </c>
      <c r="AC594" s="7">
        <v>1</v>
      </c>
      <c r="AD594" t="s">
        <v>39</v>
      </c>
      <c r="AE594">
        <f t="shared" si="9"/>
        <v>0</v>
      </c>
    </row>
    <row r="595" spans="1:31" x14ac:dyDescent="0.35">
      <c r="A595">
        <v>100594</v>
      </c>
      <c r="B595" s="3">
        <v>45966</v>
      </c>
      <c r="C595">
        <v>1065</v>
      </c>
      <c r="D595" t="s">
        <v>59</v>
      </c>
      <c r="E595" t="s">
        <v>70</v>
      </c>
      <c r="F595" t="s">
        <v>41</v>
      </c>
      <c r="G595" t="s">
        <v>63</v>
      </c>
      <c r="H595" t="s">
        <v>34</v>
      </c>
      <c r="I595" t="s">
        <v>35</v>
      </c>
      <c r="J595" s="4">
        <v>11.5</v>
      </c>
      <c r="K595" s="4">
        <v>12.52</v>
      </c>
      <c r="L595">
        <v>10</v>
      </c>
      <c r="M595" s="4">
        <v>14.4</v>
      </c>
      <c r="N595" s="4">
        <v>129.58000000000001</v>
      </c>
      <c r="O595" s="4">
        <v>80.62</v>
      </c>
      <c r="P595" s="4">
        <v>2.19</v>
      </c>
      <c r="Q595" s="4">
        <v>1.01</v>
      </c>
      <c r="R595" s="4">
        <v>5.67</v>
      </c>
      <c r="S595" s="4">
        <v>0</v>
      </c>
      <c r="T595" s="4">
        <v>0</v>
      </c>
      <c r="U595" s="4">
        <v>89.49</v>
      </c>
      <c r="V595" s="4">
        <v>40.090000000000003</v>
      </c>
      <c r="W595" t="s">
        <v>21</v>
      </c>
      <c r="X595" t="s">
        <v>36</v>
      </c>
      <c r="Y595" s="4">
        <v>3</v>
      </c>
      <c r="Z595" s="4">
        <v>0</v>
      </c>
      <c r="AA595" t="s">
        <v>37</v>
      </c>
      <c r="AB595" t="s">
        <v>38</v>
      </c>
      <c r="AC595" s="7">
        <v>0</v>
      </c>
      <c r="AD595" t="s">
        <v>39</v>
      </c>
      <c r="AE595">
        <f t="shared" si="9"/>
        <v>0</v>
      </c>
    </row>
    <row r="596" spans="1:31" x14ac:dyDescent="0.35">
      <c r="A596">
        <v>100595</v>
      </c>
      <c r="B596" s="3">
        <v>45979</v>
      </c>
      <c r="C596">
        <v>1090</v>
      </c>
      <c r="D596" t="s">
        <v>59</v>
      </c>
      <c r="E596" t="s">
        <v>60</v>
      </c>
      <c r="F596" t="s">
        <v>71</v>
      </c>
      <c r="G596" t="s">
        <v>46</v>
      </c>
      <c r="H596" t="s">
        <v>34</v>
      </c>
      <c r="I596" t="s">
        <v>54</v>
      </c>
      <c r="J596" s="4">
        <v>38.28</v>
      </c>
      <c r="K596" s="4">
        <v>15.31</v>
      </c>
      <c r="L596">
        <v>15</v>
      </c>
      <c r="M596" s="4">
        <v>87.91</v>
      </c>
      <c r="N596" s="4">
        <v>498.16</v>
      </c>
      <c r="O596" s="4">
        <v>239.98</v>
      </c>
      <c r="P596" s="4">
        <v>9.4499999999999993</v>
      </c>
      <c r="Q596" s="4">
        <v>7.03</v>
      </c>
      <c r="R596" s="4">
        <v>9.34</v>
      </c>
      <c r="S596" s="4">
        <v>0</v>
      </c>
      <c r="T596" s="4">
        <v>0</v>
      </c>
      <c r="U596" s="4">
        <v>265.8</v>
      </c>
      <c r="V596" s="4">
        <v>232.36</v>
      </c>
      <c r="W596" t="s">
        <v>21</v>
      </c>
      <c r="X596" t="s">
        <v>36</v>
      </c>
      <c r="Y596" s="4">
        <v>22</v>
      </c>
      <c r="Z596" s="4">
        <v>6</v>
      </c>
      <c r="AA596" t="s">
        <v>52</v>
      </c>
      <c r="AB596" t="s">
        <v>44</v>
      </c>
      <c r="AC596" s="7">
        <v>1</v>
      </c>
      <c r="AD596" t="s">
        <v>45</v>
      </c>
      <c r="AE596">
        <f t="shared" si="9"/>
        <v>1</v>
      </c>
    </row>
    <row r="597" spans="1:31" x14ac:dyDescent="0.35">
      <c r="A597">
        <v>100596</v>
      </c>
      <c r="B597" s="3">
        <v>45985</v>
      </c>
      <c r="C597">
        <v>1055</v>
      </c>
      <c r="D597" t="s">
        <v>47</v>
      </c>
      <c r="E597" t="s">
        <v>48</v>
      </c>
      <c r="F597" t="s">
        <v>71</v>
      </c>
      <c r="G597" t="s">
        <v>46</v>
      </c>
      <c r="H597" t="s">
        <v>34</v>
      </c>
      <c r="I597" t="s">
        <v>69</v>
      </c>
      <c r="J597" s="4">
        <v>28</v>
      </c>
      <c r="K597" s="4">
        <v>15.29</v>
      </c>
      <c r="L597">
        <v>5</v>
      </c>
      <c r="M597" s="4">
        <v>21.41</v>
      </c>
      <c r="N597" s="4">
        <v>406.71</v>
      </c>
      <c r="O597" s="4">
        <v>212.01</v>
      </c>
      <c r="P597" s="4">
        <v>4.7</v>
      </c>
      <c r="Q597" s="4">
        <v>1.71</v>
      </c>
      <c r="R597" s="4">
        <v>8.7799999999999994</v>
      </c>
      <c r="S597" s="4">
        <v>0</v>
      </c>
      <c r="T597" s="4">
        <v>0</v>
      </c>
      <c r="U597" s="4">
        <v>227.2</v>
      </c>
      <c r="V597" s="4">
        <v>179.51</v>
      </c>
      <c r="W597" t="s">
        <v>21</v>
      </c>
      <c r="X597" t="s">
        <v>36</v>
      </c>
      <c r="Y597" s="4">
        <v>1</v>
      </c>
      <c r="Z597" s="4">
        <v>22</v>
      </c>
      <c r="AA597" t="s">
        <v>37</v>
      </c>
      <c r="AB597" t="s">
        <v>44</v>
      </c>
      <c r="AC597" s="7">
        <v>4</v>
      </c>
      <c r="AD597" t="s">
        <v>45</v>
      </c>
      <c r="AE597">
        <f t="shared" si="9"/>
        <v>1</v>
      </c>
    </row>
    <row r="598" spans="1:31" x14ac:dyDescent="0.35">
      <c r="A598">
        <v>100597</v>
      </c>
      <c r="B598" s="3">
        <v>45997</v>
      </c>
      <c r="C598">
        <v>1135</v>
      </c>
      <c r="D598" t="s">
        <v>59</v>
      </c>
      <c r="E598" t="s">
        <v>68</v>
      </c>
      <c r="F598" t="s">
        <v>41</v>
      </c>
      <c r="G598" t="s">
        <v>33</v>
      </c>
      <c r="H598" t="s">
        <v>57</v>
      </c>
      <c r="I598" t="s">
        <v>35</v>
      </c>
      <c r="J598" s="4">
        <v>30</v>
      </c>
      <c r="K598" s="4">
        <v>19.27</v>
      </c>
      <c r="L598">
        <v>10</v>
      </c>
      <c r="M598" s="4">
        <v>57.81</v>
      </c>
      <c r="N598" s="4">
        <v>520.29</v>
      </c>
      <c r="O598" s="4">
        <v>201.78</v>
      </c>
      <c r="P598" s="4">
        <v>6.35</v>
      </c>
      <c r="Q598" s="4">
        <v>4.05</v>
      </c>
      <c r="R598" s="4">
        <v>0</v>
      </c>
      <c r="S598" s="4">
        <v>234.72</v>
      </c>
      <c r="T598" s="4">
        <v>6.74</v>
      </c>
      <c r="U598" s="4">
        <v>453.64</v>
      </c>
      <c r="V598" s="4">
        <v>66.650000000000006</v>
      </c>
      <c r="W598" t="s">
        <v>21</v>
      </c>
      <c r="X598" t="s">
        <v>66</v>
      </c>
      <c r="Y598" s="4">
        <v>17</v>
      </c>
      <c r="Z598" s="4">
        <v>10</v>
      </c>
      <c r="AA598" t="s">
        <v>52</v>
      </c>
      <c r="AB598" t="s">
        <v>38</v>
      </c>
      <c r="AC598" s="7">
        <v>3</v>
      </c>
      <c r="AD598" t="s">
        <v>45</v>
      </c>
      <c r="AE598">
        <f t="shared" si="9"/>
        <v>0</v>
      </c>
    </row>
    <row r="599" spans="1:31" x14ac:dyDescent="0.35">
      <c r="A599">
        <v>100598</v>
      </c>
      <c r="B599" s="3">
        <v>45933</v>
      </c>
      <c r="C599">
        <v>1015</v>
      </c>
      <c r="D599" t="s">
        <v>30</v>
      </c>
      <c r="E599" t="s">
        <v>62</v>
      </c>
      <c r="F599" t="s">
        <v>49</v>
      </c>
      <c r="G599" t="s">
        <v>63</v>
      </c>
      <c r="H599" t="s">
        <v>34</v>
      </c>
      <c r="I599" t="s">
        <v>42</v>
      </c>
      <c r="J599" s="4">
        <v>34.770000000000003</v>
      </c>
      <c r="K599" s="4">
        <v>12.33</v>
      </c>
      <c r="L599">
        <v>0</v>
      </c>
      <c r="M599" s="4">
        <v>0</v>
      </c>
      <c r="N599" s="4">
        <v>428.71</v>
      </c>
      <c r="O599" s="4">
        <v>284.5</v>
      </c>
      <c r="P599" s="4">
        <v>2.7</v>
      </c>
      <c r="Q599" s="4">
        <v>6.43</v>
      </c>
      <c r="R599" s="4">
        <v>3.74</v>
      </c>
      <c r="S599" s="4">
        <v>0</v>
      </c>
      <c r="T599" s="4">
        <v>0</v>
      </c>
      <c r="U599" s="4">
        <v>297.37</v>
      </c>
      <c r="V599" s="4">
        <v>131.34</v>
      </c>
      <c r="W599" t="s">
        <v>21</v>
      </c>
      <c r="X599" t="s">
        <v>36</v>
      </c>
      <c r="Y599" s="4">
        <v>2</v>
      </c>
      <c r="Z599" s="4">
        <v>3</v>
      </c>
      <c r="AA599" t="s">
        <v>37</v>
      </c>
      <c r="AB599" t="s">
        <v>38</v>
      </c>
      <c r="AC599" s="7">
        <v>0</v>
      </c>
      <c r="AD599" t="s">
        <v>39</v>
      </c>
      <c r="AE599">
        <f t="shared" si="9"/>
        <v>0</v>
      </c>
    </row>
    <row r="600" spans="1:31" x14ac:dyDescent="0.35">
      <c r="A600">
        <v>100599</v>
      </c>
      <c r="B600" s="3">
        <v>45939</v>
      </c>
      <c r="C600">
        <v>1124</v>
      </c>
      <c r="D600" t="s">
        <v>64</v>
      </c>
      <c r="E600" t="s">
        <v>67</v>
      </c>
      <c r="F600" t="s">
        <v>49</v>
      </c>
      <c r="G600" t="s">
        <v>50</v>
      </c>
      <c r="H600" t="s">
        <v>51</v>
      </c>
      <c r="I600" t="s">
        <v>35</v>
      </c>
      <c r="J600" s="4">
        <v>24.16</v>
      </c>
      <c r="K600" s="4">
        <v>19.13</v>
      </c>
      <c r="L600">
        <v>15</v>
      </c>
      <c r="M600" s="4">
        <v>69.33</v>
      </c>
      <c r="N600" s="4">
        <v>392.85</v>
      </c>
      <c r="O600" s="4">
        <v>183.77</v>
      </c>
      <c r="P600" s="4">
        <v>7.5</v>
      </c>
      <c r="Q600" s="4">
        <v>3.24</v>
      </c>
      <c r="R600" s="4">
        <v>2.85</v>
      </c>
      <c r="S600" s="4">
        <v>0</v>
      </c>
      <c r="T600" s="4">
        <v>0</v>
      </c>
      <c r="U600" s="4">
        <v>197.36</v>
      </c>
      <c r="V600" s="4">
        <v>195.49</v>
      </c>
      <c r="W600" t="s">
        <v>21</v>
      </c>
      <c r="X600" t="s">
        <v>36</v>
      </c>
      <c r="Y600" s="4">
        <v>7</v>
      </c>
      <c r="Z600" s="4">
        <v>1</v>
      </c>
      <c r="AA600" t="s">
        <v>37</v>
      </c>
      <c r="AB600" t="s">
        <v>38</v>
      </c>
      <c r="AC600" s="7">
        <v>0</v>
      </c>
      <c r="AD600" t="s">
        <v>39</v>
      </c>
      <c r="AE600">
        <f t="shared" si="9"/>
        <v>0</v>
      </c>
    </row>
    <row r="601" spans="1:31" x14ac:dyDescent="0.35">
      <c r="A601">
        <v>100600</v>
      </c>
      <c r="B601" s="3">
        <v>45941</v>
      </c>
      <c r="C601">
        <v>1028</v>
      </c>
      <c r="D601" t="s">
        <v>59</v>
      </c>
      <c r="E601" t="s">
        <v>70</v>
      </c>
      <c r="F601" t="s">
        <v>61</v>
      </c>
      <c r="G601" t="s">
        <v>63</v>
      </c>
      <c r="H601" t="s">
        <v>34</v>
      </c>
      <c r="I601" t="s">
        <v>42</v>
      </c>
      <c r="J601" s="4">
        <v>25.6</v>
      </c>
      <c r="K601" s="4">
        <v>12.99</v>
      </c>
      <c r="L601">
        <v>5</v>
      </c>
      <c r="M601" s="4">
        <v>16.63</v>
      </c>
      <c r="N601" s="4">
        <v>315.91000000000003</v>
      </c>
      <c r="O601" s="4">
        <v>187.73</v>
      </c>
      <c r="P601" s="4">
        <v>11.29</v>
      </c>
      <c r="Q601" s="4">
        <v>4.99</v>
      </c>
      <c r="R601" s="4">
        <v>1.03</v>
      </c>
      <c r="S601" s="4">
        <v>0</v>
      </c>
      <c r="T601" s="4">
        <v>0</v>
      </c>
      <c r="U601" s="4">
        <v>205.04</v>
      </c>
      <c r="V601" s="4">
        <v>110.87</v>
      </c>
      <c r="W601" t="s">
        <v>21</v>
      </c>
      <c r="X601" t="s">
        <v>36</v>
      </c>
      <c r="Y601" s="4">
        <v>2</v>
      </c>
      <c r="Z601" s="4">
        <v>0</v>
      </c>
      <c r="AA601" t="s">
        <v>37</v>
      </c>
      <c r="AB601" t="s">
        <v>38</v>
      </c>
      <c r="AC601" s="7">
        <v>0</v>
      </c>
      <c r="AD601" t="s">
        <v>39</v>
      </c>
      <c r="AE601">
        <f t="shared" si="9"/>
        <v>0</v>
      </c>
    </row>
    <row r="602" spans="1:31" x14ac:dyDescent="0.35">
      <c r="A602">
        <v>100601</v>
      </c>
      <c r="B602" s="3">
        <v>45943</v>
      </c>
      <c r="C602">
        <v>1037</v>
      </c>
      <c r="D602" t="s">
        <v>64</v>
      </c>
      <c r="E602" t="s">
        <v>75</v>
      </c>
      <c r="F602" t="s">
        <v>71</v>
      </c>
      <c r="G602" t="s">
        <v>63</v>
      </c>
      <c r="H602" t="s">
        <v>34</v>
      </c>
      <c r="I602" t="s">
        <v>42</v>
      </c>
      <c r="J602" s="4">
        <v>18.809999999999999</v>
      </c>
      <c r="K602" s="4">
        <v>11.51</v>
      </c>
      <c r="L602">
        <v>5</v>
      </c>
      <c r="M602" s="4">
        <v>10.82</v>
      </c>
      <c r="N602" s="4">
        <v>205.68</v>
      </c>
      <c r="O602" s="4">
        <v>133.56</v>
      </c>
      <c r="P602" s="4">
        <v>9.0299999999999994</v>
      </c>
      <c r="Q602" s="4">
        <v>3.25</v>
      </c>
      <c r="R602" s="4">
        <v>0.98</v>
      </c>
      <c r="S602" s="4">
        <v>0</v>
      </c>
      <c r="T602" s="4">
        <v>0</v>
      </c>
      <c r="U602" s="4">
        <v>146.82</v>
      </c>
      <c r="V602" s="4">
        <v>58.86</v>
      </c>
      <c r="W602" t="s">
        <v>21</v>
      </c>
      <c r="X602" t="s">
        <v>36</v>
      </c>
      <c r="Y602" s="4">
        <v>8</v>
      </c>
      <c r="Z602" s="4">
        <v>1</v>
      </c>
      <c r="AA602" t="s">
        <v>37</v>
      </c>
      <c r="AB602" t="s">
        <v>38</v>
      </c>
      <c r="AC602" s="7">
        <v>0</v>
      </c>
      <c r="AD602" t="s">
        <v>39</v>
      </c>
      <c r="AE602">
        <f t="shared" si="9"/>
        <v>0</v>
      </c>
    </row>
    <row r="603" spans="1:31" x14ac:dyDescent="0.35">
      <c r="A603">
        <v>100602</v>
      </c>
      <c r="B603" s="3">
        <v>45953</v>
      </c>
      <c r="C603">
        <v>1001</v>
      </c>
      <c r="D603" t="s">
        <v>59</v>
      </c>
      <c r="E603" t="s">
        <v>70</v>
      </c>
      <c r="F603" t="s">
        <v>61</v>
      </c>
      <c r="G603" t="s">
        <v>63</v>
      </c>
      <c r="H603" t="s">
        <v>57</v>
      </c>
      <c r="I603" t="s">
        <v>35</v>
      </c>
      <c r="J603" s="4">
        <v>13.48</v>
      </c>
      <c r="K603" s="4">
        <v>12.39</v>
      </c>
      <c r="L603">
        <v>5</v>
      </c>
      <c r="M603" s="4">
        <v>8.35</v>
      </c>
      <c r="N603" s="4">
        <v>158.66999999999999</v>
      </c>
      <c r="O603" s="4">
        <v>100.95</v>
      </c>
      <c r="P603" s="4">
        <v>8.5299999999999994</v>
      </c>
      <c r="Q603" s="4">
        <v>1.17</v>
      </c>
      <c r="R603" s="4">
        <v>9.5500000000000007</v>
      </c>
      <c r="S603" s="4">
        <v>0</v>
      </c>
      <c r="T603" s="4">
        <v>0</v>
      </c>
      <c r="U603" s="4">
        <v>120.2</v>
      </c>
      <c r="V603" s="4">
        <v>38.47</v>
      </c>
      <c r="W603" t="s">
        <v>21</v>
      </c>
      <c r="X603" t="s">
        <v>36</v>
      </c>
      <c r="Y603" s="4">
        <v>25</v>
      </c>
      <c r="Z603" s="4">
        <v>7</v>
      </c>
      <c r="AA603" t="s">
        <v>52</v>
      </c>
      <c r="AB603" t="s">
        <v>44</v>
      </c>
      <c r="AC603" s="7">
        <v>2</v>
      </c>
      <c r="AD603" t="s">
        <v>45</v>
      </c>
      <c r="AE603">
        <f t="shared" si="9"/>
        <v>1</v>
      </c>
    </row>
    <row r="604" spans="1:31" x14ac:dyDescent="0.35">
      <c r="A604">
        <v>100603</v>
      </c>
      <c r="B604" s="3">
        <v>45957</v>
      </c>
      <c r="C604">
        <v>1123</v>
      </c>
      <c r="D604" t="s">
        <v>47</v>
      </c>
      <c r="E604" t="s">
        <v>74</v>
      </c>
      <c r="F604" t="s">
        <v>61</v>
      </c>
      <c r="G604" t="s">
        <v>63</v>
      </c>
      <c r="H604" t="s">
        <v>34</v>
      </c>
      <c r="I604" t="s">
        <v>35</v>
      </c>
      <c r="J604" s="4">
        <v>16.32</v>
      </c>
      <c r="K604" s="4">
        <v>12.53</v>
      </c>
      <c r="L604">
        <v>0</v>
      </c>
      <c r="M604" s="4">
        <v>0</v>
      </c>
      <c r="N604" s="4">
        <v>204.49</v>
      </c>
      <c r="O604" s="4">
        <v>133.31</v>
      </c>
      <c r="P604" s="4">
        <v>8.3699999999999992</v>
      </c>
      <c r="Q604" s="4">
        <v>1.43</v>
      </c>
      <c r="R604" s="4">
        <v>4.41</v>
      </c>
      <c r="S604" s="4">
        <v>151.6</v>
      </c>
      <c r="T604" s="4">
        <v>0</v>
      </c>
      <c r="U604" s="4">
        <v>299.12</v>
      </c>
      <c r="V604" s="4">
        <v>-94.63</v>
      </c>
      <c r="W604" t="s">
        <v>58</v>
      </c>
      <c r="X604" t="s">
        <v>55</v>
      </c>
      <c r="Y604" s="4">
        <v>9</v>
      </c>
      <c r="Z604" s="4">
        <v>9</v>
      </c>
      <c r="AA604" t="s">
        <v>37</v>
      </c>
      <c r="AB604" t="s">
        <v>44</v>
      </c>
      <c r="AC604" s="7">
        <v>2</v>
      </c>
      <c r="AD604" t="s">
        <v>45</v>
      </c>
      <c r="AE604">
        <f t="shared" si="9"/>
        <v>1</v>
      </c>
    </row>
    <row r="605" spans="1:31" x14ac:dyDescent="0.35">
      <c r="A605">
        <v>100604</v>
      </c>
      <c r="B605" s="3">
        <v>45967</v>
      </c>
      <c r="C605">
        <v>1025</v>
      </c>
      <c r="D605" t="s">
        <v>59</v>
      </c>
      <c r="E605" t="s">
        <v>68</v>
      </c>
      <c r="F605" t="s">
        <v>71</v>
      </c>
      <c r="G605" t="s">
        <v>33</v>
      </c>
      <c r="H605" t="s">
        <v>34</v>
      </c>
      <c r="I605" t="s">
        <v>35</v>
      </c>
      <c r="J605" s="4">
        <v>43.39</v>
      </c>
      <c r="K605" s="4">
        <v>19.62</v>
      </c>
      <c r="L605">
        <v>10</v>
      </c>
      <c r="M605" s="4">
        <v>85.13</v>
      </c>
      <c r="N605" s="4">
        <v>766.18</v>
      </c>
      <c r="O605" s="4">
        <v>267.12</v>
      </c>
      <c r="P605" s="4">
        <v>7.49</v>
      </c>
      <c r="Q605" s="4">
        <v>5.96</v>
      </c>
      <c r="R605" s="4">
        <v>2.71</v>
      </c>
      <c r="S605" s="4">
        <v>0</v>
      </c>
      <c r="T605" s="4">
        <v>0</v>
      </c>
      <c r="U605" s="4">
        <v>283.27999999999997</v>
      </c>
      <c r="V605" s="4">
        <v>482.9</v>
      </c>
      <c r="W605" t="s">
        <v>21</v>
      </c>
      <c r="X605" t="s">
        <v>36</v>
      </c>
      <c r="Y605" s="4">
        <v>2</v>
      </c>
      <c r="Z605" s="4">
        <v>2</v>
      </c>
      <c r="AA605" t="s">
        <v>37</v>
      </c>
      <c r="AB605" t="s">
        <v>38</v>
      </c>
      <c r="AC605" s="7">
        <v>0</v>
      </c>
      <c r="AD605" t="s">
        <v>39</v>
      </c>
      <c r="AE605">
        <f t="shared" si="9"/>
        <v>0</v>
      </c>
    </row>
    <row r="606" spans="1:31" x14ac:dyDescent="0.35">
      <c r="A606">
        <v>100605</v>
      </c>
      <c r="B606" s="3">
        <v>45946</v>
      </c>
      <c r="C606">
        <v>1094</v>
      </c>
      <c r="D606" t="s">
        <v>64</v>
      </c>
      <c r="E606" t="s">
        <v>65</v>
      </c>
      <c r="F606" t="s">
        <v>61</v>
      </c>
      <c r="G606" t="s">
        <v>33</v>
      </c>
      <c r="H606" t="s">
        <v>34</v>
      </c>
      <c r="I606" t="s">
        <v>69</v>
      </c>
      <c r="J606" s="4">
        <v>38.78</v>
      </c>
      <c r="K606" s="4">
        <v>18.510000000000002</v>
      </c>
      <c r="L606">
        <v>5</v>
      </c>
      <c r="M606" s="4">
        <v>35.89</v>
      </c>
      <c r="N606" s="4">
        <v>681.93</v>
      </c>
      <c r="O606" s="4">
        <v>296.12</v>
      </c>
      <c r="P606" s="4">
        <v>10.33</v>
      </c>
      <c r="Q606" s="4">
        <v>2.87</v>
      </c>
      <c r="R606" s="4">
        <v>3.51</v>
      </c>
      <c r="S606" s="4">
        <v>0</v>
      </c>
      <c r="T606" s="4">
        <v>0</v>
      </c>
      <c r="U606" s="4">
        <v>312.83</v>
      </c>
      <c r="V606" s="4">
        <v>369.1</v>
      </c>
      <c r="W606" t="s">
        <v>21</v>
      </c>
      <c r="X606" t="s">
        <v>36</v>
      </c>
      <c r="Y606" s="4">
        <v>11</v>
      </c>
      <c r="Z606" s="4">
        <v>4</v>
      </c>
      <c r="AA606" t="s">
        <v>37</v>
      </c>
      <c r="AB606" t="s">
        <v>38</v>
      </c>
      <c r="AC606" s="7">
        <v>0</v>
      </c>
      <c r="AD606" t="s">
        <v>39</v>
      </c>
      <c r="AE606">
        <f t="shared" si="9"/>
        <v>0</v>
      </c>
    </row>
    <row r="607" spans="1:31" x14ac:dyDescent="0.35">
      <c r="A607">
        <v>100606</v>
      </c>
      <c r="B607" s="3">
        <v>45952</v>
      </c>
      <c r="C607">
        <v>1045</v>
      </c>
      <c r="D607" t="s">
        <v>59</v>
      </c>
      <c r="E607" t="s">
        <v>68</v>
      </c>
      <c r="F607" t="s">
        <v>61</v>
      </c>
      <c r="G607" t="s">
        <v>63</v>
      </c>
      <c r="H607" t="s">
        <v>57</v>
      </c>
      <c r="I607" t="s">
        <v>35</v>
      </c>
      <c r="J607" s="4">
        <v>21.76</v>
      </c>
      <c r="K607" s="4">
        <v>12.09</v>
      </c>
      <c r="L607">
        <v>20</v>
      </c>
      <c r="M607" s="4">
        <v>52.62</v>
      </c>
      <c r="N607" s="4">
        <v>210.46</v>
      </c>
      <c r="O607" s="4">
        <v>167.04</v>
      </c>
      <c r="P607" s="4">
        <v>7.42</v>
      </c>
      <c r="Q607" s="4">
        <v>1.84</v>
      </c>
      <c r="R607" s="4">
        <v>5.37</v>
      </c>
      <c r="S607" s="4">
        <v>0</v>
      </c>
      <c r="T607" s="4">
        <v>0</v>
      </c>
      <c r="U607" s="4">
        <v>181.67</v>
      </c>
      <c r="V607" s="4">
        <v>28.79</v>
      </c>
      <c r="W607" t="s">
        <v>21</v>
      </c>
      <c r="X607" t="s">
        <v>36</v>
      </c>
      <c r="Y607" s="4">
        <v>4</v>
      </c>
      <c r="Z607" s="4">
        <v>15</v>
      </c>
      <c r="AA607" t="s">
        <v>37</v>
      </c>
      <c r="AB607" t="s">
        <v>38</v>
      </c>
      <c r="AC607" s="7">
        <v>0</v>
      </c>
      <c r="AD607" t="s">
        <v>39</v>
      </c>
      <c r="AE607">
        <f t="shared" si="9"/>
        <v>0</v>
      </c>
    </row>
    <row r="608" spans="1:31" x14ac:dyDescent="0.35">
      <c r="A608">
        <v>100607</v>
      </c>
      <c r="B608" s="3">
        <v>45993</v>
      </c>
      <c r="C608">
        <v>1009</v>
      </c>
      <c r="D608" t="s">
        <v>30</v>
      </c>
      <c r="E608" t="s">
        <v>72</v>
      </c>
      <c r="F608" t="s">
        <v>41</v>
      </c>
      <c r="G608" t="s">
        <v>46</v>
      </c>
      <c r="H608" t="s">
        <v>57</v>
      </c>
      <c r="I608" t="s">
        <v>35</v>
      </c>
      <c r="J608" s="4">
        <v>21.49</v>
      </c>
      <c r="K608" s="4">
        <v>14.68</v>
      </c>
      <c r="L608">
        <v>0</v>
      </c>
      <c r="M608" s="4">
        <v>0</v>
      </c>
      <c r="N608" s="4">
        <v>315.47000000000003</v>
      </c>
      <c r="O608" s="4">
        <v>143.16</v>
      </c>
      <c r="P608" s="4">
        <v>9.73</v>
      </c>
      <c r="Q608" s="4">
        <v>2.21</v>
      </c>
      <c r="R608" s="4">
        <v>3.87</v>
      </c>
      <c r="S608" s="4">
        <v>0</v>
      </c>
      <c r="T608" s="4">
        <v>0</v>
      </c>
      <c r="U608" s="4">
        <v>158.97</v>
      </c>
      <c r="V608" s="4">
        <v>156.5</v>
      </c>
      <c r="W608" t="s">
        <v>21</v>
      </c>
      <c r="X608" t="s">
        <v>36</v>
      </c>
      <c r="Y608" s="4">
        <v>6</v>
      </c>
      <c r="Z608" s="4">
        <v>37</v>
      </c>
      <c r="AA608" t="s">
        <v>37</v>
      </c>
      <c r="AB608" t="s">
        <v>44</v>
      </c>
      <c r="AC608" s="7">
        <v>1</v>
      </c>
      <c r="AD608" t="s">
        <v>45</v>
      </c>
      <c r="AE608">
        <f t="shared" si="9"/>
        <v>1</v>
      </c>
    </row>
    <row r="609" spans="1:31" x14ac:dyDescent="0.35">
      <c r="A609">
        <v>100608</v>
      </c>
      <c r="B609" s="3">
        <v>46015</v>
      </c>
      <c r="C609">
        <v>1025</v>
      </c>
      <c r="D609" t="s">
        <v>47</v>
      </c>
      <c r="E609" t="s">
        <v>74</v>
      </c>
      <c r="F609" t="s">
        <v>41</v>
      </c>
      <c r="G609" t="s">
        <v>50</v>
      </c>
      <c r="H609" t="s">
        <v>34</v>
      </c>
      <c r="I609" t="s">
        <v>35</v>
      </c>
      <c r="J609" s="4">
        <v>34.83</v>
      </c>
      <c r="K609" s="4">
        <v>18.47</v>
      </c>
      <c r="L609">
        <v>10</v>
      </c>
      <c r="M609" s="4">
        <v>64.33</v>
      </c>
      <c r="N609" s="4">
        <v>578.98</v>
      </c>
      <c r="O609" s="4">
        <v>266.37</v>
      </c>
      <c r="P609" s="4">
        <v>10.01</v>
      </c>
      <c r="Q609" s="4">
        <v>4.5</v>
      </c>
      <c r="R609" s="4">
        <v>6.18</v>
      </c>
      <c r="S609" s="4">
        <v>0</v>
      </c>
      <c r="T609" s="4">
        <v>0</v>
      </c>
      <c r="U609" s="4">
        <v>287.06</v>
      </c>
      <c r="V609" s="4">
        <v>291.92</v>
      </c>
      <c r="W609" t="s">
        <v>21</v>
      </c>
      <c r="X609" t="s">
        <v>36</v>
      </c>
      <c r="Y609" s="4">
        <v>6</v>
      </c>
      <c r="Z609" s="4">
        <v>3</v>
      </c>
      <c r="AA609" t="s">
        <v>37</v>
      </c>
      <c r="AB609" t="s">
        <v>38</v>
      </c>
      <c r="AC609" s="7">
        <v>0</v>
      </c>
      <c r="AD609" t="s">
        <v>39</v>
      </c>
      <c r="AE609">
        <f t="shared" si="9"/>
        <v>0</v>
      </c>
    </row>
    <row r="610" spans="1:31" x14ac:dyDescent="0.35">
      <c r="A610">
        <v>100609</v>
      </c>
      <c r="B610" s="3">
        <v>46011</v>
      </c>
      <c r="C610">
        <v>1125</v>
      </c>
      <c r="D610" t="s">
        <v>47</v>
      </c>
      <c r="E610" t="s">
        <v>48</v>
      </c>
      <c r="F610" t="s">
        <v>61</v>
      </c>
      <c r="G610" t="s">
        <v>50</v>
      </c>
      <c r="H610" t="s">
        <v>57</v>
      </c>
      <c r="I610" t="s">
        <v>42</v>
      </c>
      <c r="J610" s="4">
        <v>26.91</v>
      </c>
      <c r="K610" s="4">
        <v>17.7</v>
      </c>
      <c r="L610">
        <v>0</v>
      </c>
      <c r="M610" s="4">
        <v>0</v>
      </c>
      <c r="N610" s="4">
        <v>476.31</v>
      </c>
      <c r="O610" s="4">
        <v>192.15</v>
      </c>
      <c r="P610" s="4">
        <v>4.1100000000000003</v>
      </c>
      <c r="Q610" s="4">
        <v>7.14</v>
      </c>
      <c r="R610" s="4">
        <v>5.32</v>
      </c>
      <c r="S610" s="4">
        <v>0</v>
      </c>
      <c r="T610" s="4">
        <v>0</v>
      </c>
      <c r="U610" s="4">
        <v>208.72</v>
      </c>
      <c r="V610" s="4">
        <v>267.58999999999997</v>
      </c>
      <c r="W610" t="s">
        <v>21</v>
      </c>
      <c r="X610" t="s">
        <v>36</v>
      </c>
      <c r="Y610" s="4">
        <v>5</v>
      </c>
      <c r="Z610" s="4">
        <v>20</v>
      </c>
      <c r="AA610" t="s">
        <v>37</v>
      </c>
      <c r="AB610" t="s">
        <v>44</v>
      </c>
      <c r="AC610" s="7">
        <v>4</v>
      </c>
      <c r="AD610" t="s">
        <v>45</v>
      </c>
      <c r="AE610">
        <f t="shared" si="9"/>
        <v>1</v>
      </c>
    </row>
    <row r="611" spans="1:31" x14ac:dyDescent="0.35">
      <c r="A611">
        <v>100610</v>
      </c>
      <c r="B611" s="3">
        <v>46016</v>
      </c>
      <c r="C611">
        <v>1121</v>
      </c>
      <c r="D611" t="s">
        <v>47</v>
      </c>
      <c r="E611" t="s">
        <v>53</v>
      </c>
      <c r="F611" t="s">
        <v>32</v>
      </c>
      <c r="G611" t="s">
        <v>63</v>
      </c>
      <c r="H611" t="s">
        <v>34</v>
      </c>
      <c r="I611" t="s">
        <v>35</v>
      </c>
      <c r="J611" s="4">
        <v>25.42</v>
      </c>
      <c r="K611" s="4">
        <v>13.18</v>
      </c>
      <c r="L611">
        <v>5</v>
      </c>
      <c r="M611" s="4">
        <v>16.75</v>
      </c>
      <c r="N611" s="4">
        <v>318.29000000000002</v>
      </c>
      <c r="O611" s="4">
        <v>192.46</v>
      </c>
      <c r="P611" s="4">
        <v>9.92</v>
      </c>
      <c r="Q611" s="4">
        <v>2.35</v>
      </c>
      <c r="R611" s="4">
        <v>6.2</v>
      </c>
      <c r="S611" s="4">
        <v>154.62</v>
      </c>
      <c r="T611" s="4">
        <v>0</v>
      </c>
      <c r="U611" s="4">
        <v>365.55</v>
      </c>
      <c r="V611" s="4">
        <v>-47.26</v>
      </c>
      <c r="W611" t="s">
        <v>58</v>
      </c>
      <c r="X611" t="s">
        <v>55</v>
      </c>
      <c r="Y611" s="4">
        <v>1</v>
      </c>
      <c r="Z611" s="4">
        <v>12</v>
      </c>
      <c r="AA611" t="s">
        <v>37</v>
      </c>
      <c r="AB611" t="s">
        <v>44</v>
      </c>
      <c r="AC611" s="7">
        <v>1</v>
      </c>
      <c r="AD611" t="s">
        <v>45</v>
      </c>
      <c r="AE611">
        <f t="shared" si="9"/>
        <v>1</v>
      </c>
    </row>
    <row r="612" spans="1:31" x14ac:dyDescent="0.35">
      <c r="A612">
        <v>100611</v>
      </c>
      <c r="B612" s="3">
        <v>45969</v>
      </c>
      <c r="C612">
        <v>1054</v>
      </c>
      <c r="D612" t="s">
        <v>47</v>
      </c>
      <c r="E612" t="s">
        <v>48</v>
      </c>
      <c r="F612" t="s">
        <v>61</v>
      </c>
      <c r="G612" t="s">
        <v>50</v>
      </c>
      <c r="H612" t="s">
        <v>34</v>
      </c>
      <c r="I612" t="s">
        <v>35</v>
      </c>
      <c r="J612" s="4">
        <v>37.869999999999997</v>
      </c>
      <c r="K612" s="4">
        <v>18.02</v>
      </c>
      <c r="L612">
        <v>10</v>
      </c>
      <c r="M612" s="4">
        <v>68.239999999999995</v>
      </c>
      <c r="N612" s="4">
        <v>614.17999999999995</v>
      </c>
      <c r="O612" s="4">
        <v>261.74</v>
      </c>
      <c r="P612" s="4">
        <v>11.26</v>
      </c>
      <c r="Q612" s="4">
        <v>4.78</v>
      </c>
      <c r="R612" s="4">
        <v>6.77</v>
      </c>
      <c r="S612" s="4">
        <v>0</v>
      </c>
      <c r="T612" s="4">
        <v>0</v>
      </c>
      <c r="U612" s="4">
        <v>284.55</v>
      </c>
      <c r="V612" s="4">
        <v>329.63</v>
      </c>
      <c r="W612" t="s">
        <v>21</v>
      </c>
      <c r="X612" t="s">
        <v>36</v>
      </c>
      <c r="Y612" s="4">
        <v>13</v>
      </c>
      <c r="Z612" s="4">
        <v>5</v>
      </c>
      <c r="AA612" t="s">
        <v>37</v>
      </c>
      <c r="AB612" t="s">
        <v>38</v>
      </c>
      <c r="AC612" s="7">
        <v>0</v>
      </c>
      <c r="AD612" t="s">
        <v>39</v>
      </c>
      <c r="AE612">
        <f t="shared" si="9"/>
        <v>0</v>
      </c>
    </row>
    <row r="613" spans="1:31" x14ac:dyDescent="0.35">
      <c r="A613">
        <v>100612</v>
      </c>
      <c r="B613" s="3">
        <v>45938</v>
      </c>
      <c r="C613">
        <v>1076</v>
      </c>
      <c r="D613" t="s">
        <v>59</v>
      </c>
      <c r="E613" t="s">
        <v>70</v>
      </c>
      <c r="F613" t="s">
        <v>32</v>
      </c>
      <c r="G613" t="s">
        <v>46</v>
      </c>
      <c r="H613" t="s">
        <v>57</v>
      </c>
      <c r="I613" t="s">
        <v>54</v>
      </c>
      <c r="J613" s="4">
        <v>28.39</v>
      </c>
      <c r="K613" s="4">
        <v>15.53</v>
      </c>
      <c r="L613">
        <v>0</v>
      </c>
      <c r="M613" s="4">
        <v>0</v>
      </c>
      <c r="N613" s="4">
        <v>440.9</v>
      </c>
      <c r="O613" s="4">
        <v>206.16</v>
      </c>
      <c r="P613" s="4">
        <v>12.99</v>
      </c>
      <c r="Q613" s="4">
        <v>5.29</v>
      </c>
      <c r="R613" s="4">
        <v>5.27</v>
      </c>
      <c r="S613" s="4">
        <v>0</v>
      </c>
      <c r="T613" s="4">
        <v>0</v>
      </c>
      <c r="U613" s="4">
        <v>229.71</v>
      </c>
      <c r="V613" s="4">
        <v>211.19</v>
      </c>
      <c r="W613" t="s">
        <v>21</v>
      </c>
      <c r="X613" t="s">
        <v>36</v>
      </c>
      <c r="Y613" s="4">
        <v>9</v>
      </c>
      <c r="Z613" s="4">
        <v>29</v>
      </c>
      <c r="AA613" t="s">
        <v>37</v>
      </c>
      <c r="AB613" t="s">
        <v>44</v>
      </c>
      <c r="AC613" s="7">
        <v>1</v>
      </c>
      <c r="AD613" t="s">
        <v>45</v>
      </c>
      <c r="AE613">
        <f t="shared" si="9"/>
        <v>1</v>
      </c>
    </row>
    <row r="614" spans="1:31" x14ac:dyDescent="0.35">
      <c r="A614">
        <v>100613</v>
      </c>
      <c r="B614" s="3">
        <v>45999</v>
      </c>
      <c r="C614">
        <v>1089</v>
      </c>
      <c r="D614" t="s">
        <v>30</v>
      </c>
      <c r="E614" t="s">
        <v>31</v>
      </c>
      <c r="F614" t="s">
        <v>71</v>
      </c>
      <c r="G614" t="s">
        <v>50</v>
      </c>
      <c r="H614" t="s">
        <v>34</v>
      </c>
      <c r="I614" t="s">
        <v>35</v>
      </c>
      <c r="J614" s="4">
        <v>22.61</v>
      </c>
      <c r="K614" s="4">
        <v>17.27</v>
      </c>
      <c r="L614">
        <v>0</v>
      </c>
      <c r="M614" s="4">
        <v>0</v>
      </c>
      <c r="N614" s="4">
        <v>390.47</v>
      </c>
      <c r="O614" s="4">
        <v>204.39</v>
      </c>
      <c r="P614" s="4">
        <v>12.22</v>
      </c>
      <c r="Q614" s="4">
        <v>2.73</v>
      </c>
      <c r="R614" s="4">
        <v>7.92</v>
      </c>
      <c r="S614" s="4">
        <v>0</v>
      </c>
      <c r="T614" s="4">
        <v>0</v>
      </c>
      <c r="U614" s="4">
        <v>227.26</v>
      </c>
      <c r="V614" s="4">
        <v>163.21</v>
      </c>
      <c r="W614" t="s">
        <v>21</v>
      </c>
      <c r="X614" t="s">
        <v>36</v>
      </c>
      <c r="Y614" s="4">
        <v>1</v>
      </c>
      <c r="Z614" s="4">
        <v>4</v>
      </c>
      <c r="AA614" t="s">
        <v>37</v>
      </c>
      <c r="AB614" t="s">
        <v>38</v>
      </c>
      <c r="AC614" s="7">
        <v>0</v>
      </c>
      <c r="AD614" t="s">
        <v>39</v>
      </c>
      <c r="AE614">
        <f t="shared" si="9"/>
        <v>0</v>
      </c>
    </row>
    <row r="615" spans="1:31" x14ac:dyDescent="0.35">
      <c r="A615">
        <v>100614</v>
      </c>
      <c r="B615" s="3">
        <v>45981</v>
      </c>
      <c r="C615">
        <v>1136</v>
      </c>
      <c r="D615" t="s">
        <v>47</v>
      </c>
      <c r="E615" t="s">
        <v>74</v>
      </c>
      <c r="F615" t="s">
        <v>41</v>
      </c>
      <c r="G615" t="s">
        <v>63</v>
      </c>
      <c r="H615" t="s">
        <v>34</v>
      </c>
      <c r="I615" t="s">
        <v>35</v>
      </c>
      <c r="J615" s="4">
        <v>19.18</v>
      </c>
      <c r="K615" s="4">
        <v>12.33</v>
      </c>
      <c r="L615">
        <v>0</v>
      </c>
      <c r="M615" s="4">
        <v>0</v>
      </c>
      <c r="N615" s="4">
        <v>236.49</v>
      </c>
      <c r="O615" s="4">
        <v>113.21</v>
      </c>
      <c r="P615" s="4">
        <v>6.74</v>
      </c>
      <c r="Q615" s="4">
        <v>1.66</v>
      </c>
      <c r="R615" s="4">
        <v>8.9600000000000009</v>
      </c>
      <c r="S615" s="4">
        <v>0</v>
      </c>
      <c r="T615" s="4">
        <v>0</v>
      </c>
      <c r="U615" s="4">
        <v>130.57</v>
      </c>
      <c r="V615" s="4">
        <v>105.92</v>
      </c>
      <c r="W615" t="s">
        <v>21</v>
      </c>
      <c r="X615" t="s">
        <v>36</v>
      </c>
      <c r="Y615" s="4">
        <v>0</v>
      </c>
      <c r="Z615" s="4">
        <v>9</v>
      </c>
      <c r="AA615" t="s">
        <v>37</v>
      </c>
      <c r="AB615" t="s">
        <v>38</v>
      </c>
      <c r="AC615" s="7">
        <v>0</v>
      </c>
      <c r="AD615" t="s">
        <v>39</v>
      </c>
      <c r="AE615">
        <f t="shared" si="9"/>
        <v>0</v>
      </c>
    </row>
    <row r="616" spans="1:31" x14ac:dyDescent="0.35">
      <c r="A616">
        <v>100615</v>
      </c>
      <c r="B616" s="3">
        <v>45959</v>
      </c>
      <c r="C616">
        <v>1010</v>
      </c>
      <c r="D616" t="s">
        <v>64</v>
      </c>
      <c r="E616" t="s">
        <v>75</v>
      </c>
      <c r="F616" t="s">
        <v>32</v>
      </c>
      <c r="G616" t="s">
        <v>50</v>
      </c>
      <c r="H616" t="s">
        <v>57</v>
      </c>
      <c r="I616" t="s">
        <v>35</v>
      </c>
      <c r="J616" s="4">
        <v>23.74</v>
      </c>
      <c r="K616" s="4">
        <v>17.260000000000002</v>
      </c>
      <c r="L616">
        <v>5</v>
      </c>
      <c r="M616" s="4">
        <v>20.49</v>
      </c>
      <c r="N616" s="4">
        <v>389.26</v>
      </c>
      <c r="O616" s="4">
        <v>179.94</v>
      </c>
      <c r="P616" s="4">
        <v>15.07</v>
      </c>
      <c r="Q616" s="4">
        <v>2.87</v>
      </c>
      <c r="R616" s="4">
        <v>7.55</v>
      </c>
      <c r="S616" s="4">
        <v>0</v>
      </c>
      <c r="T616" s="4">
        <v>0</v>
      </c>
      <c r="U616" s="4">
        <v>205.43</v>
      </c>
      <c r="V616" s="4">
        <v>183.83</v>
      </c>
      <c r="W616" t="s">
        <v>21</v>
      </c>
      <c r="X616" t="s">
        <v>36</v>
      </c>
      <c r="Y616" s="4">
        <v>13</v>
      </c>
      <c r="Z616" s="4">
        <v>0</v>
      </c>
      <c r="AA616" t="s">
        <v>37</v>
      </c>
      <c r="AB616" t="s">
        <v>38</v>
      </c>
      <c r="AC616" s="7">
        <v>0</v>
      </c>
      <c r="AD616" t="s">
        <v>39</v>
      </c>
      <c r="AE616">
        <f t="shared" si="9"/>
        <v>0</v>
      </c>
    </row>
    <row r="617" spans="1:31" x14ac:dyDescent="0.35">
      <c r="A617">
        <v>100616</v>
      </c>
      <c r="B617" s="3">
        <v>45954</v>
      </c>
      <c r="C617">
        <v>1057</v>
      </c>
      <c r="D617" t="s">
        <v>59</v>
      </c>
      <c r="E617" t="s">
        <v>70</v>
      </c>
      <c r="F617" t="s">
        <v>41</v>
      </c>
      <c r="G617" t="s">
        <v>33</v>
      </c>
      <c r="H617" t="s">
        <v>34</v>
      </c>
      <c r="I617" t="s">
        <v>69</v>
      </c>
      <c r="J617" s="4">
        <v>35.82</v>
      </c>
      <c r="K617" s="4">
        <v>20.43</v>
      </c>
      <c r="L617">
        <v>10</v>
      </c>
      <c r="M617" s="4">
        <v>73.180000000000007</v>
      </c>
      <c r="N617" s="4">
        <v>658.62</v>
      </c>
      <c r="O617" s="4">
        <v>263.32</v>
      </c>
      <c r="P617" s="4">
        <v>10.65</v>
      </c>
      <c r="Q617" s="4">
        <v>2.93</v>
      </c>
      <c r="R617" s="4">
        <v>0.49</v>
      </c>
      <c r="S617" s="4">
        <v>0</v>
      </c>
      <c r="T617" s="4">
        <v>0</v>
      </c>
      <c r="U617" s="4">
        <v>277.39</v>
      </c>
      <c r="V617" s="4">
        <v>381.23</v>
      </c>
      <c r="W617" t="s">
        <v>21</v>
      </c>
      <c r="X617" t="s">
        <v>36</v>
      </c>
      <c r="Y617" s="4">
        <v>6</v>
      </c>
      <c r="Z617" s="4">
        <v>30</v>
      </c>
      <c r="AA617" t="s">
        <v>37</v>
      </c>
      <c r="AB617" t="s">
        <v>44</v>
      </c>
      <c r="AC617" s="7">
        <v>2</v>
      </c>
      <c r="AD617" t="s">
        <v>45</v>
      </c>
      <c r="AE617">
        <f t="shared" si="9"/>
        <v>1</v>
      </c>
    </row>
    <row r="618" spans="1:31" x14ac:dyDescent="0.35">
      <c r="A618">
        <v>100617</v>
      </c>
      <c r="B618" s="3">
        <v>45957</v>
      </c>
      <c r="C618">
        <v>1036</v>
      </c>
      <c r="D618" t="s">
        <v>59</v>
      </c>
      <c r="E618" t="s">
        <v>60</v>
      </c>
      <c r="F618" t="s">
        <v>41</v>
      </c>
      <c r="G618" t="s">
        <v>63</v>
      </c>
      <c r="H618" t="s">
        <v>34</v>
      </c>
      <c r="I618" t="s">
        <v>54</v>
      </c>
      <c r="J618" s="4">
        <v>13.09</v>
      </c>
      <c r="K618" s="4">
        <v>12.05</v>
      </c>
      <c r="L618">
        <v>10</v>
      </c>
      <c r="M618" s="4">
        <v>15.77</v>
      </c>
      <c r="N618" s="4">
        <v>141.96</v>
      </c>
      <c r="O618" s="4">
        <v>89.73</v>
      </c>
      <c r="P618" s="4">
        <v>9.77</v>
      </c>
      <c r="Q618" s="4">
        <v>1.89</v>
      </c>
      <c r="R618" s="4">
        <v>14.27</v>
      </c>
      <c r="S618" s="4">
        <v>0</v>
      </c>
      <c r="T618" s="4">
        <v>0</v>
      </c>
      <c r="U618" s="4">
        <v>115.66</v>
      </c>
      <c r="V618" s="4">
        <v>26.3</v>
      </c>
      <c r="W618" t="s">
        <v>21</v>
      </c>
      <c r="X618" t="s">
        <v>36</v>
      </c>
      <c r="Y618" s="4">
        <v>6</v>
      </c>
      <c r="Z618" s="4">
        <v>9</v>
      </c>
      <c r="AA618" t="s">
        <v>37</v>
      </c>
      <c r="AB618" t="s">
        <v>38</v>
      </c>
      <c r="AC618" s="7">
        <v>0</v>
      </c>
      <c r="AD618" t="s">
        <v>39</v>
      </c>
      <c r="AE618">
        <f t="shared" si="9"/>
        <v>0</v>
      </c>
    </row>
    <row r="619" spans="1:31" x14ac:dyDescent="0.35">
      <c r="A619">
        <v>100618</v>
      </c>
      <c r="B619" s="3">
        <v>45973</v>
      </c>
      <c r="C619">
        <v>1104</v>
      </c>
      <c r="D619" t="s">
        <v>64</v>
      </c>
      <c r="E619" t="s">
        <v>65</v>
      </c>
      <c r="F619" t="s">
        <v>71</v>
      </c>
      <c r="G619" t="s">
        <v>33</v>
      </c>
      <c r="H619" t="s">
        <v>57</v>
      </c>
      <c r="I619" t="s">
        <v>54</v>
      </c>
      <c r="J619" s="4">
        <v>42.07</v>
      </c>
      <c r="K619" s="4">
        <v>18.63</v>
      </c>
      <c r="L619">
        <v>5</v>
      </c>
      <c r="M619" s="4">
        <v>39.19</v>
      </c>
      <c r="N619" s="4">
        <v>744.57</v>
      </c>
      <c r="O619" s="4">
        <v>315.63</v>
      </c>
      <c r="P619" s="4">
        <v>7.74</v>
      </c>
      <c r="Q619" s="4">
        <v>9.41</v>
      </c>
      <c r="R619" s="4">
        <v>3.87</v>
      </c>
      <c r="S619" s="4">
        <v>0</v>
      </c>
      <c r="T619" s="4">
        <v>0</v>
      </c>
      <c r="U619" s="4">
        <v>336.65</v>
      </c>
      <c r="V619" s="4">
        <v>407.92</v>
      </c>
      <c r="W619" t="s">
        <v>21</v>
      </c>
      <c r="X619" t="s">
        <v>36</v>
      </c>
      <c r="Y619" s="4">
        <v>22</v>
      </c>
      <c r="Z619" s="4">
        <v>0</v>
      </c>
      <c r="AA619" t="s">
        <v>52</v>
      </c>
      <c r="AB619" t="s">
        <v>44</v>
      </c>
      <c r="AC619" s="7">
        <v>1</v>
      </c>
      <c r="AD619" t="s">
        <v>45</v>
      </c>
      <c r="AE619">
        <f t="shared" si="9"/>
        <v>1</v>
      </c>
    </row>
    <row r="620" spans="1:31" x14ac:dyDescent="0.35">
      <c r="A620">
        <v>100619</v>
      </c>
      <c r="B620" s="3">
        <v>45952</v>
      </c>
      <c r="C620">
        <v>1022</v>
      </c>
      <c r="D620" t="s">
        <v>47</v>
      </c>
      <c r="E620" t="s">
        <v>53</v>
      </c>
      <c r="F620" t="s">
        <v>49</v>
      </c>
      <c r="G620" t="s">
        <v>63</v>
      </c>
      <c r="H620" t="s">
        <v>57</v>
      </c>
      <c r="I620" t="s">
        <v>35</v>
      </c>
      <c r="J620" s="4">
        <v>16.73</v>
      </c>
      <c r="K620" s="4">
        <v>12.11</v>
      </c>
      <c r="L620">
        <v>10</v>
      </c>
      <c r="M620" s="4">
        <v>20.260000000000002</v>
      </c>
      <c r="N620" s="4">
        <v>182.34</v>
      </c>
      <c r="O620" s="4">
        <v>120.72</v>
      </c>
      <c r="P620" s="4">
        <v>8.57</v>
      </c>
      <c r="Q620" s="4">
        <v>1.42</v>
      </c>
      <c r="R620" s="4">
        <v>5.08</v>
      </c>
      <c r="S620" s="4">
        <v>126.94</v>
      </c>
      <c r="T620" s="4">
        <v>22.88</v>
      </c>
      <c r="U620" s="4">
        <v>285.61</v>
      </c>
      <c r="V620" s="4">
        <v>-103.27</v>
      </c>
      <c r="W620" t="s">
        <v>58</v>
      </c>
      <c r="X620" t="s">
        <v>55</v>
      </c>
      <c r="Y620" s="4">
        <v>18</v>
      </c>
      <c r="Z620" s="4">
        <v>6</v>
      </c>
      <c r="AA620" t="s">
        <v>52</v>
      </c>
      <c r="AB620" t="s">
        <v>44</v>
      </c>
      <c r="AC620" s="7">
        <v>1</v>
      </c>
      <c r="AD620" t="s">
        <v>45</v>
      </c>
      <c r="AE620">
        <f t="shared" si="9"/>
        <v>1</v>
      </c>
    </row>
    <row r="621" spans="1:31" x14ac:dyDescent="0.35">
      <c r="A621">
        <v>100620</v>
      </c>
      <c r="B621" s="3">
        <v>45986</v>
      </c>
      <c r="C621">
        <v>1141</v>
      </c>
      <c r="D621" t="s">
        <v>64</v>
      </c>
      <c r="E621" t="s">
        <v>75</v>
      </c>
      <c r="F621" t="s">
        <v>71</v>
      </c>
      <c r="G621" t="s">
        <v>50</v>
      </c>
      <c r="H621" t="s">
        <v>57</v>
      </c>
      <c r="I621" t="s">
        <v>42</v>
      </c>
      <c r="J621" s="4">
        <v>15.77</v>
      </c>
      <c r="K621" s="4">
        <v>17.670000000000002</v>
      </c>
      <c r="L621">
        <v>0</v>
      </c>
      <c r="M621" s="4">
        <v>0</v>
      </c>
      <c r="N621" s="4">
        <v>278.66000000000003</v>
      </c>
      <c r="O621" s="4">
        <v>124.08</v>
      </c>
      <c r="P621" s="4">
        <v>7.13</v>
      </c>
      <c r="Q621" s="4">
        <v>4.18</v>
      </c>
      <c r="R621" s="4">
        <v>7.84</v>
      </c>
      <c r="S621" s="4">
        <v>0</v>
      </c>
      <c r="T621" s="4">
        <v>0</v>
      </c>
      <c r="U621" s="4">
        <v>143.22999999999999</v>
      </c>
      <c r="V621" s="4">
        <v>135.43</v>
      </c>
      <c r="W621" t="s">
        <v>21</v>
      </c>
      <c r="X621" t="s">
        <v>36</v>
      </c>
      <c r="Y621" s="4">
        <v>5</v>
      </c>
      <c r="Z621" s="4">
        <v>11</v>
      </c>
      <c r="AA621" t="s">
        <v>37</v>
      </c>
      <c r="AB621" t="s">
        <v>38</v>
      </c>
      <c r="AC621" s="7">
        <v>0</v>
      </c>
      <c r="AD621" t="s">
        <v>39</v>
      </c>
      <c r="AE621">
        <f t="shared" si="9"/>
        <v>0</v>
      </c>
    </row>
    <row r="622" spans="1:31" x14ac:dyDescent="0.35">
      <c r="A622">
        <v>100621</v>
      </c>
      <c r="B622" s="3">
        <v>45983</v>
      </c>
      <c r="C622">
        <v>1078</v>
      </c>
      <c r="D622" t="s">
        <v>47</v>
      </c>
      <c r="E622" t="s">
        <v>53</v>
      </c>
      <c r="F622" t="s">
        <v>49</v>
      </c>
      <c r="G622" t="s">
        <v>63</v>
      </c>
      <c r="H622" t="s">
        <v>34</v>
      </c>
      <c r="I622" t="s">
        <v>69</v>
      </c>
      <c r="J622" s="4">
        <v>5.43</v>
      </c>
      <c r="K622" s="4">
        <v>10.8</v>
      </c>
      <c r="L622">
        <v>15</v>
      </c>
      <c r="M622" s="4">
        <v>8.8000000000000007</v>
      </c>
      <c r="N622" s="4">
        <v>49.84</v>
      </c>
      <c r="O622" s="4">
        <v>37.520000000000003</v>
      </c>
      <c r="P622" s="4">
        <v>12.26</v>
      </c>
      <c r="Q622" s="4">
        <v>0.23</v>
      </c>
      <c r="R622" s="4">
        <v>9.26</v>
      </c>
      <c r="S622" s="4">
        <v>46.11</v>
      </c>
      <c r="T622" s="4">
        <v>0</v>
      </c>
      <c r="U622" s="4">
        <v>105.38</v>
      </c>
      <c r="V622" s="4">
        <v>-55.54</v>
      </c>
      <c r="W622" t="s">
        <v>58</v>
      </c>
      <c r="X622" t="s">
        <v>55</v>
      </c>
      <c r="Y622" s="4">
        <v>25</v>
      </c>
      <c r="Z622" s="4">
        <v>0</v>
      </c>
      <c r="AA622" t="s">
        <v>52</v>
      </c>
      <c r="AB622" t="s">
        <v>44</v>
      </c>
      <c r="AC622" s="7">
        <v>3</v>
      </c>
      <c r="AD622" t="s">
        <v>45</v>
      </c>
      <c r="AE622">
        <f t="shared" si="9"/>
        <v>1</v>
      </c>
    </row>
    <row r="623" spans="1:31" x14ac:dyDescent="0.35">
      <c r="A623">
        <v>100622</v>
      </c>
      <c r="B623" s="3">
        <v>46003</v>
      </c>
      <c r="C623">
        <v>1103</v>
      </c>
      <c r="D623" t="s">
        <v>30</v>
      </c>
      <c r="E623" t="s">
        <v>40</v>
      </c>
      <c r="F623" t="s">
        <v>49</v>
      </c>
      <c r="G623" t="s">
        <v>63</v>
      </c>
      <c r="H623" t="s">
        <v>57</v>
      </c>
      <c r="I623" t="s">
        <v>42</v>
      </c>
      <c r="J623" s="4">
        <v>19.75</v>
      </c>
      <c r="K623" s="4">
        <v>12.67</v>
      </c>
      <c r="L623">
        <v>5</v>
      </c>
      <c r="M623" s="4">
        <v>12.51</v>
      </c>
      <c r="N623" s="4">
        <v>237.72</v>
      </c>
      <c r="O623" s="4">
        <v>168.55</v>
      </c>
      <c r="P623" s="4">
        <v>9.16</v>
      </c>
      <c r="Q623" s="4">
        <v>3.75</v>
      </c>
      <c r="R623" s="4">
        <v>5.43</v>
      </c>
      <c r="S623" s="4">
        <v>0</v>
      </c>
      <c r="T623" s="4">
        <v>0</v>
      </c>
      <c r="U623" s="4">
        <v>186.89</v>
      </c>
      <c r="V623" s="4">
        <v>50.83</v>
      </c>
      <c r="W623" t="s">
        <v>21</v>
      </c>
      <c r="X623" t="s">
        <v>36</v>
      </c>
      <c r="Y623" s="4">
        <v>18</v>
      </c>
      <c r="Z623" s="4">
        <v>17</v>
      </c>
      <c r="AA623" t="s">
        <v>52</v>
      </c>
      <c r="AB623" t="s">
        <v>44</v>
      </c>
      <c r="AC623" s="7">
        <v>1</v>
      </c>
      <c r="AD623" t="s">
        <v>45</v>
      </c>
      <c r="AE623">
        <f t="shared" si="9"/>
        <v>1</v>
      </c>
    </row>
    <row r="624" spans="1:31" x14ac:dyDescent="0.35">
      <c r="A624">
        <v>100623</v>
      </c>
      <c r="B624" s="3">
        <v>45961</v>
      </c>
      <c r="C624">
        <v>1053</v>
      </c>
      <c r="D624" t="s">
        <v>47</v>
      </c>
      <c r="E624" t="s">
        <v>74</v>
      </c>
      <c r="F624" t="s">
        <v>32</v>
      </c>
      <c r="G624" t="s">
        <v>63</v>
      </c>
      <c r="H624" t="s">
        <v>34</v>
      </c>
      <c r="I624" t="s">
        <v>35</v>
      </c>
      <c r="J624" s="4">
        <v>21.05</v>
      </c>
      <c r="K624" s="4">
        <v>11.56</v>
      </c>
      <c r="L624">
        <v>0</v>
      </c>
      <c r="M624" s="4">
        <v>0</v>
      </c>
      <c r="N624" s="4">
        <v>243.34</v>
      </c>
      <c r="O624" s="4">
        <v>119.33</v>
      </c>
      <c r="P624" s="4">
        <v>7.99</v>
      </c>
      <c r="Q624" s="4">
        <v>1.7</v>
      </c>
      <c r="R624" s="4">
        <v>8.92</v>
      </c>
      <c r="S624" s="4">
        <v>0</v>
      </c>
      <c r="T624" s="4">
        <v>0</v>
      </c>
      <c r="U624" s="4">
        <v>137.94</v>
      </c>
      <c r="V624" s="4">
        <v>105.4</v>
      </c>
      <c r="W624" t="s">
        <v>21</v>
      </c>
      <c r="X624" t="s">
        <v>36</v>
      </c>
      <c r="Y624" s="4">
        <v>15</v>
      </c>
      <c r="Z624" s="4">
        <v>9</v>
      </c>
      <c r="AA624" t="s">
        <v>37</v>
      </c>
      <c r="AB624" t="s">
        <v>38</v>
      </c>
      <c r="AC624" s="7">
        <v>0</v>
      </c>
      <c r="AD624" t="s">
        <v>39</v>
      </c>
      <c r="AE624">
        <f t="shared" si="9"/>
        <v>0</v>
      </c>
    </row>
    <row r="625" spans="1:31" x14ac:dyDescent="0.35">
      <c r="A625">
        <v>100624</v>
      </c>
      <c r="B625" s="3">
        <v>45949</v>
      </c>
      <c r="C625">
        <v>1041</v>
      </c>
      <c r="D625" t="s">
        <v>59</v>
      </c>
      <c r="E625" t="s">
        <v>70</v>
      </c>
      <c r="F625" t="s">
        <v>32</v>
      </c>
      <c r="G625" t="s">
        <v>63</v>
      </c>
      <c r="H625" t="s">
        <v>57</v>
      </c>
      <c r="I625" t="s">
        <v>35</v>
      </c>
      <c r="J625" s="4">
        <v>19.23</v>
      </c>
      <c r="K625" s="4">
        <v>11.61</v>
      </c>
      <c r="L625">
        <v>0</v>
      </c>
      <c r="M625" s="4">
        <v>0</v>
      </c>
      <c r="N625" s="4">
        <v>223.26</v>
      </c>
      <c r="O625" s="4">
        <v>126.5</v>
      </c>
      <c r="P625" s="4">
        <v>7.74</v>
      </c>
      <c r="Q625" s="4">
        <v>1.56</v>
      </c>
      <c r="R625" s="4">
        <v>9.19</v>
      </c>
      <c r="S625" s="4">
        <v>0</v>
      </c>
      <c r="T625" s="4">
        <v>0</v>
      </c>
      <c r="U625" s="4">
        <v>144.99</v>
      </c>
      <c r="V625" s="4">
        <v>78.27</v>
      </c>
      <c r="W625" t="s">
        <v>21</v>
      </c>
      <c r="X625" t="s">
        <v>36</v>
      </c>
      <c r="Y625" s="4">
        <v>48</v>
      </c>
      <c r="Z625" s="4">
        <v>6</v>
      </c>
      <c r="AA625" t="s">
        <v>43</v>
      </c>
      <c r="AB625" t="s">
        <v>44</v>
      </c>
      <c r="AC625" s="7">
        <v>2</v>
      </c>
      <c r="AD625" t="s">
        <v>45</v>
      </c>
      <c r="AE625">
        <f t="shared" si="9"/>
        <v>1</v>
      </c>
    </row>
    <row r="626" spans="1:31" x14ac:dyDescent="0.35">
      <c r="A626">
        <v>100625</v>
      </c>
      <c r="B626" s="3">
        <v>45997</v>
      </c>
      <c r="C626">
        <v>1091</v>
      </c>
      <c r="D626" t="s">
        <v>64</v>
      </c>
      <c r="E626" t="s">
        <v>65</v>
      </c>
      <c r="F626" t="s">
        <v>49</v>
      </c>
      <c r="G626" t="s">
        <v>63</v>
      </c>
      <c r="H626" t="s">
        <v>34</v>
      </c>
      <c r="I626" t="s">
        <v>35</v>
      </c>
      <c r="J626" s="4">
        <v>18.82</v>
      </c>
      <c r="K626" s="4">
        <v>12.83</v>
      </c>
      <c r="L626">
        <v>0</v>
      </c>
      <c r="M626" s="4">
        <v>0</v>
      </c>
      <c r="N626" s="4">
        <v>241.46</v>
      </c>
      <c r="O626" s="4">
        <v>131.78</v>
      </c>
      <c r="P626" s="4">
        <v>4.8</v>
      </c>
      <c r="Q626" s="4">
        <v>1.69</v>
      </c>
      <c r="R626" s="4">
        <v>10.25</v>
      </c>
      <c r="S626" s="4">
        <v>0</v>
      </c>
      <c r="T626" s="4">
        <v>0</v>
      </c>
      <c r="U626" s="4">
        <v>148.52000000000001</v>
      </c>
      <c r="V626" s="4">
        <v>92.94</v>
      </c>
      <c r="W626" t="s">
        <v>21</v>
      </c>
      <c r="X626" t="s">
        <v>36</v>
      </c>
      <c r="Y626" s="4">
        <v>0</v>
      </c>
      <c r="Z626" s="4">
        <v>4</v>
      </c>
      <c r="AA626" t="s">
        <v>37</v>
      </c>
      <c r="AB626" t="s">
        <v>38</v>
      </c>
      <c r="AC626" s="7">
        <v>0</v>
      </c>
      <c r="AD626" t="s">
        <v>39</v>
      </c>
      <c r="AE626">
        <f t="shared" si="9"/>
        <v>0</v>
      </c>
    </row>
    <row r="627" spans="1:31" x14ac:dyDescent="0.35">
      <c r="A627">
        <v>100626</v>
      </c>
      <c r="B627" s="3">
        <v>45944</v>
      </c>
      <c r="C627">
        <v>1007</v>
      </c>
      <c r="D627" t="s">
        <v>59</v>
      </c>
      <c r="E627" t="s">
        <v>60</v>
      </c>
      <c r="F627" t="s">
        <v>71</v>
      </c>
      <c r="G627" t="s">
        <v>50</v>
      </c>
      <c r="H627" t="s">
        <v>34</v>
      </c>
      <c r="I627" t="s">
        <v>35</v>
      </c>
      <c r="J627" s="4">
        <v>42.81</v>
      </c>
      <c r="K627" s="4">
        <v>17.48</v>
      </c>
      <c r="L627">
        <v>5</v>
      </c>
      <c r="M627" s="4">
        <v>37.42</v>
      </c>
      <c r="N627" s="4">
        <v>710.9</v>
      </c>
      <c r="O627" s="4">
        <v>356.76</v>
      </c>
      <c r="P627" s="4">
        <v>10.94</v>
      </c>
      <c r="Q627" s="4">
        <v>5.24</v>
      </c>
      <c r="R627" s="4">
        <v>5.31</v>
      </c>
      <c r="S627" s="4">
        <v>0</v>
      </c>
      <c r="T627" s="4">
        <v>0</v>
      </c>
      <c r="U627" s="4">
        <v>378.25</v>
      </c>
      <c r="V627" s="4">
        <v>332.65</v>
      </c>
      <c r="W627" t="s">
        <v>21</v>
      </c>
      <c r="X627" t="s">
        <v>36</v>
      </c>
      <c r="Y627" s="4">
        <v>15</v>
      </c>
      <c r="Z627" s="4">
        <v>0</v>
      </c>
      <c r="AA627" t="s">
        <v>37</v>
      </c>
      <c r="AB627" t="s">
        <v>38</v>
      </c>
      <c r="AC627" s="7">
        <v>0</v>
      </c>
      <c r="AD627" t="s">
        <v>39</v>
      </c>
      <c r="AE627">
        <f t="shared" si="9"/>
        <v>0</v>
      </c>
    </row>
    <row r="628" spans="1:31" x14ac:dyDescent="0.35">
      <c r="A628">
        <v>100627</v>
      </c>
      <c r="B628" s="3">
        <v>45936</v>
      </c>
      <c r="C628">
        <v>1134</v>
      </c>
      <c r="D628" t="s">
        <v>30</v>
      </c>
      <c r="E628" t="s">
        <v>31</v>
      </c>
      <c r="F628" t="s">
        <v>41</v>
      </c>
      <c r="G628" t="s">
        <v>63</v>
      </c>
      <c r="H628" t="s">
        <v>34</v>
      </c>
      <c r="I628" t="s">
        <v>35</v>
      </c>
      <c r="J628" s="4">
        <v>22.73</v>
      </c>
      <c r="K628" s="4">
        <v>13.02</v>
      </c>
      <c r="L628">
        <v>15</v>
      </c>
      <c r="M628" s="4">
        <v>44.39</v>
      </c>
      <c r="N628" s="4">
        <v>251.55</v>
      </c>
      <c r="O628" s="4">
        <v>140.44</v>
      </c>
      <c r="P628" s="4">
        <v>10.66</v>
      </c>
      <c r="Q628" s="4">
        <v>2.0699999999999998</v>
      </c>
      <c r="R628" s="4">
        <v>2.11</v>
      </c>
      <c r="S628" s="4">
        <v>174.45</v>
      </c>
      <c r="T628" s="4">
        <v>0</v>
      </c>
      <c r="U628" s="4">
        <v>329.73</v>
      </c>
      <c r="V628" s="4">
        <v>-78.180000000000007</v>
      </c>
      <c r="W628" t="s">
        <v>58</v>
      </c>
      <c r="X628" t="s">
        <v>55</v>
      </c>
      <c r="Y628" s="4">
        <v>18</v>
      </c>
      <c r="Z628" s="4">
        <v>1</v>
      </c>
      <c r="AA628" t="s">
        <v>52</v>
      </c>
      <c r="AB628" t="s">
        <v>44</v>
      </c>
      <c r="AC628" s="7">
        <v>2</v>
      </c>
      <c r="AD628" t="s">
        <v>45</v>
      </c>
      <c r="AE628">
        <f t="shared" si="9"/>
        <v>1</v>
      </c>
    </row>
    <row r="629" spans="1:31" x14ac:dyDescent="0.35">
      <c r="A629">
        <v>100628</v>
      </c>
      <c r="B629" s="3">
        <v>45989</v>
      </c>
      <c r="C629">
        <v>1084</v>
      </c>
      <c r="D629" t="s">
        <v>47</v>
      </c>
      <c r="E629" t="s">
        <v>56</v>
      </c>
      <c r="F629" t="s">
        <v>49</v>
      </c>
      <c r="G629" t="s">
        <v>46</v>
      </c>
      <c r="H629" t="s">
        <v>34</v>
      </c>
      <c r="I629" t="s">
        <v>35</v>
      </c>
      <c r="J629" s="4">
        <v>24.02</v>
      </c>
      <c r="K629" s="4">
        <v>14.93</v>
      </c>
      <c r="L629">
        <v>10</v>
      </c>
      <c r="M629" s="4">
        <v>35.86</v>
      </c>
      <c r="N629" s="4">
        <v>322.76</v>
      </c>
      <c r="O629" s="4">
        <v>154.87</v>
      </c>
      <c r="P629" s="4">
        <v>8.8800000000000008</v>
      </c>
      <c r="Q629" s="4">
        <v>2.5099999999999998</v>
      </c>
      <c r="R629" s="4">
        <v>0.54</v>
      </c>
      <c r="S629" s="4">
        <v>0</v>
      </c>
      <c r="T629" s="4">
        <v>0</v>
      </c>
      <c r="U629" s="4">
        <v>166.8</v>
      </c>
      <c r="V629" s="4">
        <v>155.96</v>
      </c>
      <c r="W629" t="s">
        <v>21</v>
      </c>
      <c r="X629" t="s">
        <v>36</v>
      </c>
      <c r="Y629" s="4">
        <v>4</v>
      </c>
      <c r="Z629" s="4">
        <v>11</v>
      </c>
      <c r="AA629" t="s">
        <v>37</v>
      </c>
      <c r="AB629" t="s">
        <v>38</v>
      </c>
      <c r="AC629" s="7">
        <v>1</v>
      </c>
      <c r="AD629" t="s">
        <v>39</v>
      </c>
      <c r="AE629">
        <f t="shared" si="9"/>
        <v>0</v>
      </c>
    </row>
    <row r="630" spans="1:31" x14ac:dyDescent="0.35">
      <c r="A630">
        <v>100629</v>
      </c>
      <c r="B630" s="3">
        <v>45981</v>
      </c>
      <c r="C630">
        <v>1137</v>
      </c>
      <c r="D630" t="s">
        <v>47</v>
      </c>
      <c r="E630" t="s">
        <v>48</v>
      </c>
      <c r="F630" t="s">
        <v>49</v>
      </c>
      <c r="G630" t="s">
        <v>33</v>
      </c>
      <c r="H630" t="s">
        <v>51</v>
      </c>
      <c r="I630" t="s">
        <v>69</v>
      </c>
      <c r="J630" s="4">
        <v>40.14</v>
      </c>
      <c r="K630" s="4">
        <v>18.87</v>
      </c>
      <c r="L630">
        <v>0</v>
      </c>
      <c r="M630" s="4">
        <v>0</v>
      </c>
      <c r="N630" s="4">
        <v>757.44</v>
      </c>
      <c r="O630" s="4">
        <v>280.10000000000002</v>
      </c>
      <c r="P630" s="4">
        <v>7.65</v>
      </c>
      <c r="Q630" s="4">
        <v>3.03</v>
      </c>
      <c r="R630" s="4">
        <v>7.25</v>
      </c>
      <c r="S630" s="4">
        <v>0</v>
      </c>
      <c r="T630" s="4">
        <v>0</v>
      </c>
      <c r="U630" s="4">
        <v>298.02999999999997</v>
      </c>
      <c r="V630" s="4">
        <v>459.41</v>
      </c>
      <c r="W630" t="s">
        <v>21</v>
      </c>
      <c r="X630" t="s">
        <v>36</v>
      </c>
      <c r="Y630" s="4">
        <v>10</v>
      </c>
      <c r="Z630" s="4">
        <v>1</v>
      </c>
      <c r="AA630" t="s">
        <v>37</v>
      </c>
      <c r="AB630" t="s">
        <v>38</v>
      </c>
      <c r="AC630" s="7">
        <v>0</v>
      </c>
      <c r="AD630" t="s">
        <v>39</v>
      </c>
      <c r="AE630">
        <f t="shared" si="9"/>
        <v>0</v>
      </c>
    </row>
    <row r="631" spans="1:31" x14ac:dyDescent="0.35">
      <c r="A631">
        <v>100630</v>
      </c>
      <c r="B631" s="3">
        <v>45935</v>
      </c>
      <c r="C631">
        <v>1075</v>
      </c>
      <c r="D631" t="s">
        <v>30</v>
      </c>
      <c r="E631" t="s">
        <v>31</v>
      </c>
      <c r="F631" t="s">
        <v>61</v>
      </c>
      <c r="G631" t="s">
        <v>50</v>
      </c>
      <c r="H631" t="s">
        <v>34</v>
      </c>
      <c r="I631" t="s">
        <v>35</v>
      </c>
      <c r="J631" s="4">
        <v>18.850000000000001</v>
      </c>
      <c r="K631" s="4">
        <v>17.79</v>
      </c>
      <c r="L631">
        <v>0</v>
      </c>
      <c r="M631" s="4">
        <v>0</v>
      </c>
      <c r="N631" s="4">
        <v>335.34</v>
      </c>
      <c r="O631" s="4">
        <v>142.9</v>
      </c>
      <c r="P631" s="4">
        <v>7.76</v>
      </c>
      <c r="Q631" s="4">
        <v>2.35</v>
      </c>
      <c r="R631" s="4">
        <v>5.09</v>
      </c>
      <c r="S631" s="4">
        <v>0</v>
      </c>
      <c r="T631" s="4">
        <v>0</v>
      </c>
      <c r="U631" s="4">
        <v>158.1</v>
      </c>
      <c r="V631" s="4">
        <v>177.24</v>
      </c>
      <c r="W631" t="s">
        <v>21</v>
      </c>
      <c r="X631" t="s">
        <v>36</v>
      </c>
      <c r="Y631" s="4">
        <v>1</v>
      </c>
      <c r="Z631" s="4">
        <v>78</v>
      </c>
      <c r="AA631" t="s">
        <v>37</v>
      </c>
      <c r="AB631" t="s">
        <v>44</v>
      </c>
      <c r="AC631" s="7">
        <v>3</v>
      </c>
      <c r="AD631" t="s">
        <v>45</v>
      </c>
      <c r="AE631">
        <f t="shared" si="9"/>
        <v>1</v>
      </c>
    </row>
    <row r="632" spans="1:31" x14ac:dyDescent="0.35">
      <c r="A632">
        <v>100631</v>
      </c>
      <c r="B632" s="3">
        <v>45950</v>
      </c>
      <c r="C632">
        <v>1136</v>
      </c>
      <c r="D632" t="s">
        <v>30</v>
      </c>
      <c r="E632" t="s">
        <v>31</v>
      </c>
      <c r="F632" t="s">
        <v>32</v>
      </c>
      <c r="G632" t="s">
        <v>63</v>
      </c>
      <c r="H632" t="s">
        <v>34</v>
      </c>
      <c r="I632" t="s">
        <v>42</v>
      </c>
      <c r="J632" s="4">
        <v>29.21</v>
      </c>
      <c r="K632" s="4">
        <v>12.3</v>
      </c>
      <c r="L632">
        <v>5</v>
      </c>
      <c r="M632" s="4">
        <v>17.96</v>
      </c>
      <c r="N632" s="4">
        <v>341.32</v>
      </c>
      <c r="O632" s="4">
        <v>241.48</v>
      </c>
      <c r="P632" s="4">
        <v>6.14</v>
      </c>
      <c r="Q632" s="4">
        <v>5.39</v>
      </c>
      <c r="R632" s="4">
        <v>13.63</v>
      </c>
      <c r="S632" s="4">
        <v>357.4</v>
      </c>
      <c r="T632" s="4">
        <v>0</v>
      </c>
      <c r="U632" s="4">
        <v>624.04</v>
      </c>
      <c r="V632" s="4">
        <v>-282.72000000000003</v>
      </c>
      <c r="W632" t="s">
        <v>58</v>
      </c>
      <c r="X632" t="s">
        <v>55</v>
      </c>
      <c r="Y632" s="4">
        <v>7</v>
      </c>
      <c r="Z632" s="4">
        <v>12</v>
      </c>
      <c r="AA632" t="s">
        <v>37</v>
      </c>
      <c r="AB632" t="s">
        <v>44</v>
      </c>
      <c r="AC632" s="7">
        <v>1</v>
      </c>
      <c r="AD632" t="s">
        <v>45</v>
      </c>
      <c r="AE632">
        <f t="shared" si="9"/>
        <v>1</v>
      </c>
    </row>
    <row r="633" spans="1:31" x14ac:dyDescent="0.35">
      <c r="A633">
        <v>100632</v>
      </c>
      <c r="B633" s="3">
        <v>45959</v>
      </c>
      <c r="C633">
        <v>1145</v>
      </c>
      <c r="D633" t="s">
        <v>47</v>
      </c>
      <c r="E633" t="s">
        <v>56</v>
      </c>
      <c r="F633" t="s">
        <v>49</v>
      </c>
      <c r="G633" t="s">
        <v>50</v>
      </c>
      <c r="H633" t="s">
        <v>51</v>
      </c>
      <c r="I633" t="s">
        <v>69</v>
      </c>
      <c r="J633" s="4">
        <v>35.81</v>
      </c>
      <c r="K633" s="4">
        <v>19.53</v>
      </c>
      <c r="L633">
        <v>5</v>
      </c>
      <c r="M633" s="4">
        <v>34.97</v>
      </c>
      <c r="N633" s="4">
        <v>664.4</v>
      </c>
      <c r="O633" s="4">
        <v>261.08</v>
      </c>
      <c r="P633" s="4">
        <v>4.1100000000000003</v>
      </c>
      <c r="Q633" s="4">
        <v>2.8</v>
      </c>
      <c r="R633" s="4">
        <v>6.74</v>
      </c>
      <c r="S633" s="4">
        <v>0</v>
      </c>
      <c r="T633" s="4">
        <v>0</v>
      </c>
      <c r="U633" s="4">
        <v>274.73</v>
      </c>
      <c r="V633" s="4">
        <v>389.67</v>
      </c>
      <c r="W633" t="s">
        <v>21</v>
      </c>
      <c r="X633" t="s">
        <v>36</v>
      </c>
      <c r="Y633" s="4">
        <v>31</v>
      </c>
      <c r="Z633" s="4">
        <v>16</v>
      </c>
      <c r="AA633" t="s">
        <v>43</v>
      </c>
      <c r="AB633" t="s">
        <v>44</v>
      </c>
      <c r="AC633" s="7">
        <v>3</v>
      </c>
      <c r="AD633" t="s">
        <v>45</v>
      </c>
      <c r="AE633">
        <f t="shared" si="9"/>
        <v>1</v>
      </c>
    </row>
    <row r="634" spans="1:31" x14ac:dyDescent="0.35">
      <c r="A634">
        <v>100633</v>
      </c>
      <c r="B634" s="3">
        <v>45965</v>
      </c>
      <c r="C634">
        <v>1099</v>
      </c>
      <c r="D634" t="s">
        <v>47</v>
      </c>
      <c r="E634" t="s">
        <v>56</v>
      </c>
      <c r="F634" t="s">
        <v>32</v>
      </c>
      <c r="G634" t="s">
        <v>63</v>
      </c>
      <c r="H634" t="s">
        <v>57</v>
      </c>
      <c r="I634" t="s">
        <v>42</v>
      </c>
      <c r="J634" s="4">
        <v>24.8</v>
      </c>
      <c r="K634" s="4">
        <v>11.81</v>
      </c>
      <c r="L634">
        <v>15</v>
      </c>
      <c r="M634" s="4">
        <v>43.93</v>
      </c>
      <c r="N634" s="4">
        <v>248.96</v>
      </c>
      <c r="O634" s="4">
        <v>179.24</v>
      </c>
      <c r="P634" s="4">
        <v>7.2</v>
      </c>
      <c r="Q634" s="4">
        <v>4.3899999999999997</v>
      </c>
      <c r="R634" s="4">
        <v>3.49</v>
      </c>
      <c r="S634" s="4">
        <v>0</v>
      </c>
      <c r="T634" s="4">
        <v>0</v>
      </c>
      <c r="U634" s="4">
        <v>194.32</v>
      </c>
      <c r="V634" s="4">
        <v>54.64</v>
      </c>
      <c r="W634" t="s">
        <v>21</v>
      </c>
      <c r="X634" t="s">
        <v>36</v>
      </c>
      <c r="Y634" s="4">
        <v>32</v>
      </c>
      <c r="Z634" s="4">
        <v>2</v>
      </c>
      <c r="AA634" t="s">
        <v>43</v>
      </c>
      <c r="AB634" t="s">
        <v>44</v>
      </c>
      <c r="AC634" s="7">
        <v>1</v>
      </c>
      <c r="AD634" t="s">
        <v>45</v>
      </c>
      <c r="AE634">
        <f t="shared" si="9"/>
        <v>1</v>
      </c>
    </row>
    <row r="635" spans="1:31" x14ac:dyDescent="0.35">
      <c r="A635">
        <v>100634</v>
      </c>
      <c r="B635" s="3">
        <v>46020</v>
      </c>
      <c r="C635">
        <v>1040</v>
      </c>
      <c r="D635" t="s">
        <v>47</v>
      </c>
      <c r="E635" t="s">
        <v>56</v>
      </c>
      <c r="F635" t="s">
        <v>61</v>
      </c>
      <c r="G635" t="s">
        <v>50</v>
      </c>
      <c r="H635" t="s">
        <v>34</v>
      </c>
      <c r="I635" t="s">
        <v>69</v>
      </c>
      <c r="J635" s="4">
        <v>26.72</v>
      </c>
      <c r="K635" s="4">
        <v>17.87</v>
      </c>
      <c r="L635">
        <v>5</v>
      </c>
      <c r="M635" s="4">
        <v>23.87</v>
      </c>
      <c r="N635" s="4">
        <v>453.62</v>
      </c>
      <c r="O635" s="4">
        <v>173.64</v>
      </c>
      <c r="P635" s="4">
        <v>7.34</v>
      </c>
      <c r="Q635" s="4">
        <v>1.91</v>
      </c>
      <c r="R635" s="4">
        <v>0</v>
      </c>
      <c r="S635" s="4">
        <v>0</v>
      </c>
      <c r="T635" s="4">
        <v>0</v>
      </c>
      <c r="U635" s="4">
        <v>182.89</v>
      </c>
      <c r="V635" s="4">
        <v>270.73</v>
      </c>
      <c r="W635" t="s">
        <v>21</v>
      </c>
      <c r="X635" t="s">
        <v>36</v>
      </c>
      <c r="Y635" s="4">
        <v>51</v>
      </c>
      <c r="Z635" s="4">
        <v>5</v>
      </c>
      <c r="AA635" t="s">
        <v>43</v>
      </c>
      <c r="AB635" t="s">
        <v>44</v>
      </c>
      <c r="AC635" s="7">
        <v>3</v>
      </c>
      <c r="AD635" t="s">
        <v>45</v>
      </c>
      <c r="AE635">
        <f t="shared" si="9"/>
        <v>1</v>
      </c>
    </row>
    <row r="636" spans="1:31" x14ac:dyDescent="0.35">
      <c r="A636">
        <v>100635</v>
      </c>
      <c r="B636" s="3">
        <v>45966</v>
      </c>
      <c r="C636">
        <v>1105</v>
      </c>
      <c r="D636" t="s">
        <v>30</v>
      </c>
      <c r="E636" t="s">
        <v>40</v>
      </c>
      <c r="F636" t="s">
        <v>61</v>
      </c>
      <c r="G636" t="s">
        <v>46</v>
      </c>
      <c r="H636" t="s">
        <v>57</v>
      </c>
      <c r="I636" t="s">
        <v>69</v>
      </c>
      <c r="J636" s="4">
        <v>13.58</v>
      </c>
      <c r="K636" s="4">
        <v>15.84</v>
      </c>
      <c r="L636">
        <v>0</v>
      </c>
      <c r="M636" s="4">
        <v>0</v>
      </c>
      <c r="N636" s="4">
        <v>215.11</v>
      </c>
      <c r="O636" s="4">
        <v>97.49</v>
      </c>
      <c r="P636" s="4">
        <v>8.93</v>
      </c>
      <c r="Q636" s="4">
        <v>0.86</v>
      </c>
      <c r="R636" s="4">
        <v>9.0399999999999991</v>
      </c>
      <c r="S636" s="4">
        <v>0</v>
      </c>
      <c r="T636" s="4">
        <v>0</v>
      </c>
      <c r="U636" s="4">
        <v>116.32</v>
      </c>
      <c r="V636" s="4">
        <v>98.79</v>
      </c>
      <c r="W636" t="s">
        <v>21</v>
      </c>
      <c r="X636" t="s">
        <v>36</v>
      </c>
      <c r="Y636" s="4">
        <v>10</v>
      </c>
      <c r="Z636" s="4">
        <v>6</v>
      </c>
      <c r="AA636" t="s">
        <v>37</v>
      </c>
      <c r="AB636" t="s">
        <v>38</v>
      </c>
      <c r="AC636" s="7">
        <v>0</v>
      </c>
      <c r="AD636" t="s">
        <v>39</v>
      </c>
      <c r="AE636">
        <f t="shared" si="9"/>
        <v>0</v>
      </c>
    </row>
    <row r="637" spans="1:31" x14ac:dyDescent="0.35">
      <c r="A637">
        <v>100636</v>
      </c>
      <c r="B637" s="3">
        <v>45953</v>
      </c>
      <c r="C637">
        <v>1134</v>
      </c>
      <c r="D637" t="s">
        <v>59</v>
      </c>
      <c r="E637" t="s">
        <v>73</v>
      </c>
      <c r="F637" t="s">
        <v>32</v>
      </c>
      <c r="G637" t="s">
        <v>63</v>
      </c>
      <c r="H637" t="s">
        <v>34</v>
      </c>
      <c r="I637" t="s">
        <v>35</v>
      </c>
      <c r="J637" s="4">
        <v>21</v>
      </c>
      <c r="K637" s="4">
        <v>12.68</v>
      </c>
      <c r="L637">
        <v>20</v>
      </c>
      <c r="M637" s="4">
        <v>53.26</v>
      </c>
      <c r="N637" s="4">
        <v>213.02</v>
      </c>
      <c r="O637" s="4">
        <v>157.08000000000001</v>
      </c>
      <c r="P637" s="4">
        <v>8.92</v>
      </c>
      <c r="Q637" s="4">
        <v>1.86</v>
      </c>
      <c r="R637" s="4">
        <v>4.9800000000000004</v>
      </c>
      <c r="S637" s="4">
        <v>0</v>
      </c>
      <c r="T637" s="4">
        <v>0</v>
      </c>
      <c r="U637" s="4">
        <v>172.84</v>
      </c>
      <c r="V637" s="4">
        <v>40.18</v>
      </c>
      <c r="W637" t="s">
        <v>21</v>
      </c>
      <c r="X637" t="s">
        <v>36</v>
      </c>
      <c r="Y637" s="4">
        <v>6</v>
      </c>
      <c r="Z637" s="4">
        <v>10</v>
      </c>
      <c r="AA637" t="s">
        <v>37</v>
      </c>
      <c r="AB637" t="s">
        <v>38</v>
      </c>
      <c r="AC637" s="7">
        <v>0</v>
      </c>
      <c r="AD637" t="s">
        <v>39</v>
      </c>
      <c r="AE637">
        <f t="shared" si="9"/>
        <v>0</v>
      </c>
    </row>
    <row r="638" spans="1:31" x14ac:dyDescent="0.35">
      <c r="A638">
        <v>100637</v>
      </c>
      <c r="B638" s="3">
        <v>46013</v>
      </c>
      <c r="C638">
        <v>1141</v>
      </c>
      <c r="D638" t="s">
        <v>30</v>
      </c>
      <c r="E638" t="s">
        <v>31</v>
      </c>
      <c r="F638" t="s">
        <v>32</v>
      </c>
      <c r="G638" t="s">
        <v>46</v>
      </c>
      <c r="H638" t="s">
        <v>51</v>
      </c>
      <c r="I638" t="s">
        <v>35</v>
      </c>
      <c r="J638" s="4">
        <v>24.18</v>
      </c>
      <c r="K638" s="4">
        <v>15.3</v>
      </c>
      <c r="L638">
        <v>10</v>
      </c>
      <c r="M638" s="4">
        <v>36.99</v>
      </c>
      <c r="N638" s="4">
        <v>332.96</v>
      </c>
      <c r="O638" s="4">
        <v>152.16999999999999</v>
      </c>
      <c r="P638" s="4">
        <v>6.83</v>
      </c>
      <c r="Q638" s="4">
        <v>2.59</v>
      </c>
      <c r="R638" s="4">
        <v>8.23</v>
      </c>
      <c r="S638" s="4">
        <v>0</v>
      </c>
      <c r="T638" s="4">
        <v>0</v>
      </c>
      <c r="U638" s="4">
        <v>169.82</v>
      </c>
      <c r="V638" s="4">
        <v>163.13999999999999</v>
      </c>
      <c r="W638" t="s">
        <v>21</v>
      </c>
      <c r="X638" t="s">
        <v>36</v>
      </c>
      <c r="Y638" s="4">
        <v>3</v>
      </c>
      <c r="Z638" s="4">
        <v>14</v>
      </c>
      <c r="AA638" t="s">
        <v>37</v>
      </c>
      <c r="AB638" t="s">
        <v>38</v>
      </c>
      <c r="AC638" s="7">
        <v>0</v>
      </c>
      <c r="AD638" t="s">
        <v>39</v>
      </c>
      <c r="AE638">
        <f t="shared" si="9"/>
        <v>0</v>
      </c>
    </row>
    <row r="639" spans="1:31" x14ac:dyDescent="0.35">
      <c r="A639">
        <v>100638</v>
      </c>
      <c r="B639" s="3">
        <v>45937</v>
      </c>
      <c r="C639">
        <v>1055</v>
      </c>
      <c r="D639" t="s">
        <v>30</v>
      </c>
      <c r="E639" t="s">
        <v>62</v>
      </c>
      <c r="F639" t="s">
        <v>41</v>
      </c>
      <c r="G639" t="s">
        <v>50</v>
      </c>
      <c r="H639" t="s">
        <v>34</v>
      </c>
      <c r="I639" t="s">
        <v>35</v>
      </c>
      <c r="J639" s="4">
        <v>35.21</v>
      </c>
      <c r="K639" s="4">
        <v>16.98</v>
      </c>
      <c r="L639">
        <v>0</v>
      </c>
      <c r="M639" s="4">
        <v>0</v>
      </c>
      <c r="N639" s="4">
        <v>597.87</v>
      </c>
      <c r="O639" s="4">
        <v>312.35000000000002</v>
      </c>
      <c r="P639" s="4">
        <v>6.69</v>
      </c>
      <c r="Q639" s="4">
        <v>4.1900000000000004</v>
      </c>
      <c r="R639" s="4">
        <v>6.08</v>
      </c>
      <c r="S639" s="4">
        <v>558.88</v>
      </c>
      <c r="T639" s="4">
        <v>0</v>
      </c>
      <c r="U639" s="4">
        <v>888.19</v>
      </c>
      <c r="V639" s="4">
        <v>-290.32</v>
      </c>
      <c r="W639" t="s">
        <v>58</v>
      </c>
      <c r="X639" t="s">
        <v>66</v>
      </c>
      <c r="Y639" s="4">
        <v>12</v>
      </c>
      <c r="Z639" s="4">
        <v>7</v>
      </c>
      <c r="AA639" t="s">
        <v>37</v>
      </c>
      <c r="AB639" t="s">
        <v>38</v>
      </c>
      <c r="AC639" s="7">
        <v>3</v>
      </c>
      <c r="AD639" t="s">
        <v>45</v>
      </c>
      <c r="AE639">
        <f t="shared" si="9"/>
        <v>0</v>
      </c>
    </row>
    <row r="640" spans="1:31" x14ac:dyDescent="0.35">
      <c r="A640">
        <v>100639</v>
      </c>
      <c r="B640" s="3">
        <v>45971</v>
      </c>
      <c r="C640">
        <v>1031</v>
      </c>
      <c r="D640" t="s">
        <v>64</v>
      </c>
      <c r="E640" t="s">
        <v>67</v>
      </c>
      <c r="F640" t="s">
        <v>41</v>
      </c>
      <c r="G640" t="s">
        <v>63</v>
      </c>
      <c r="H640" t="s">
        <v>34</v>
      </c>
      <c r="I640" t="s">
        <v>35</v>
      </c>
      <c r="J640" s="4">
        <v>19.79</v>
      </c>
      <c r="K640" s="4">
        <v>12.91</v>
      </c>
      <c r="L640">
        <v>10</v>
      </c>
      <c r="M640" s="4">
        <v>25.55</v>
      </c>
      <c r="N640" s="4">
        <v>229.94</v>
      </c>
      <c r="O640" s="4">
        <v>140.83000000000001</v>
      </c>
      <c r="P640" s="4">
        <v>11.38</v>
      </c>
      <c r="Q640" s="4">
        <v>1.79</v>
      </c>
      <c r="R640" s="4">
        <v>9.51</v>
      </c>
      <c r="S640" s="4">
        <v>0</v>
      </c>
      <c r="T640" s="4">
        <v>0</v>
      </c>
      <c r="U640" s="4">
        <v>163.51</v>
      </c>
      <c r="V640" s="4">
        <v>66.430000000000007</v>
      </c>
      <c r="W640" t="s">
        <v>21</v>
      </c>
      <c r="X640" t="s">
        <v>36</v>
      </c>
      <c r="Y640" s="4">
        <v>3</v>
      </c>
      <c r="Z640" s="4">
        <v>2</v>
      </c>
      <c r="AA640" t="s">
        <v>37</v>
      </c>
      <c r="AB640" t="s">
        <v>38</v>
      </c>
      <c r="AC640" s="7">
        <v>0</v>
      </c>
      <c r="AD640" t="s">
        <v>39</v>
      </c>
      <c r="AE640">
        <f t="shared" si="9"/>
        <v>0</v>
      </c>
    </row>
    <row r="641" spans="1:31" x14ac:dyDescent="0.35">
      <c r="A641">
        <v>100640</v>
      </c>
      <c r="B641" s="3">
        <v>45969</v>
      </c>
      <c r="C641">
        <v>1143</v>
      </c>
      <c r="D641" t="s">
        <v>47</v>
      </c>
      <c r="E641" t="s">
        <v>53</v>
      </c>
      <c r="F641" t="s">
        <v>41</v>
      </c>
      <c r="G641" t="s">
        <v>46</v>
      </c>
      <c r="H641" t="s">
        <v>34</v>
      </c>
      <c r="I641" t="s">
        <v>54</v>
      </c>
      <c r="J641" s="4">
        <v>37.56</v>
      </c>
      <c r="K641" s="4">
        <v>16.97</v>
      </c>
      <c r="L641">
        <v>10</v>
      </c>
      <c r="M641" s="4">
        <v>63.74</v>
      </c>
      <c r="N641" s="4">
        <v>573.65</v>
      </c>
      <c r="O641" s="4">
        <v>287.52999999999997</v>
      </c>
      <c r="P641" s="4">
        <v>10.58</v>
      </c>
      <c r="Q641" s="4">
        <v>7.65</v>
      </c>
      <c r="R641" s="4">
        <v>6.57</v>
      </c>
      <c r="S641" s="4">
        <v>0</v>
      </c>
      <c r="T641" s="4">
        <v>0</v>
      </c>
      <c r="U641" s="4">
        <v>312.33</v>
      </c>
      <c r="V641" s="4">
        <v>261.32</v>
      </c>
      <c r="W641" t="s">
        <v>21</v>
      </c>
      <c r="X641" t="s">
        <v>36</v>
      </c>
      <c r="Y641" s="4">
        <v>6</v>
      </c>
      <c r="Z641" s="4">
        <v>1</v>
      </c>
      <c r="AA641" t="s">
        <v>37</v>
      </c>
      <c r="AB641" t="s">
        <v>38</v>
      </c>
      <c r="AC641" s="7">
        <v>0</v>
      </c>
      <c r="AD641" t="s">
        <v>39</v>
      </c>
      <c r="AE641">
        <f t="shared" si="9"/>
        <v>0</v>
      </c>
    </row>
    <row r="642" spans="1:31" x14ac:dyDescent="0.35">
      <c r="A642">
        <v>100641</v>
      </c>
      <c r="B642" s="3">
        <v>46014</v>
      </c>
      <c r="C642">
        <v>1101</v>
      </c>
      <c r="D642" t="s">
        <v>59</v>
      </c>
      <c r="E642" t="s">
        <v>68</v>
      </c>
      <c r="F642" t="s">
        <v>71</v>
      </c>
      <c r="G642" t="s">
        <v>46</v>
      </c>
      <c r="H642" t="s">
        <v>34</v>
      </c>
      <c r="I642" t="s">
        <v>42</v>
      </c>
      <c r="J642" s="4">
        <v>6.13</v>
      </c>
      <c r="K642" s="4">
        <v>15.41</v>
      </c>
      <c r="L642">
        <v>0</v>
      </c>
      <c r="M642" s="4">
        <v>0</v>
      </c>
      <c r="N642" s="4">
        <v>94.46</v>
      </c>
      <c r="O642" s="4">
        <v>52.68</v>
      </c>
      <c r="P642" s="4">
        <v>6.79</v>
      </c>
      <c r="Q642" s="4">
        <v>1.42</v>
      </c>
      <c r="R642" s="4">
        <v>0</v>
      </c>
      <c r="S642" s="4">
        <v>0</v>
      </c>
      <c r="T642" s="4">
        <v>0</v>
      </c>
      <c r="U642" s="4">
        <v>60.89</v>
      </c>
      <c r="V642" s="4">
        <v>33.57</v>
      </c>
      <c r="W642" t="s">
        <v>21</v>
      </c>
      <c r="X642" t="s">
        <v>36</v>
      </c>
      <c r="Y642" s="4">
        <v>6</v>
      </c>
      <c r="Z642" s="4">
        <v>4</v>
      </c>
      <c r="AA642" t="s">
        <v>37</v>
      </c>
      <c r="AB642" t="s">
        <v>38</v>
      </c>
      <c r="AC642" s="7">
        <v>0</v>
      </c>
      <c r="AD642" t="s">
        <v>39</v>
      </c>
      <c r="AE642">
        <f t="shared" si="9"/>
        <v>0</v>
      </c>
    </row>
    <row r="643" spans="1:31" x14ac:dyDescent="0.35">
      <c r="A643">
        <v>100642</v>
      </c>
      <c r="B643" s="3">
        <v>45968</v>
      </c>
      <c r="C643">
        <v>1107</v>
      </c>
      <c r="D643" t="s">
        <v>30</v>
      </c>
      <c r="E643" t="s">
        <v>62</v>
      </c>
      <c r="F643" t="s">
        <v>41</v>
      </c>
      <c r="G643" t="s">
        <v>33</v>
      </c>
      <c r="H643" t="s">
        <v>34</v>
      </c>
      <c r="I643" t="s">
        <v>35</v>
      </c>
      <c r="J643" s="4">
        <v>25.24</v>
      </c>
      <c r="K643" s="4">
        <v>20.14</v>
      </c>
      <c r="L643">
        <v>5</v>
      </c>
      <c r="M643" s="4">
        <v>25.42</v>
      </c>
      <c r="N643" s="4">
        <v>482.91</v>
      </c>
      <c r="O643" s="4">
        <v>189.16</v>
      </c>
      <c r="P643" s="4">
        <v>10.73</v>
      </c>
      <c r="Q643" s="4">
        <v>3.56</v>
      </c>
      <c r="R643" s="4">
        <v>13.36</v>
      </c>
      <c r="S643" s="4">
        <v>0</v>
      </c>
      <c r="T643" s="4">
        <v>0</v>
      </c>
      <c r="U643" s="4">
        <v>216.81</v>
      </c>
      <c r="V643" s="4">
        <v>266.10000000000002</v>
      </c>
      <c r="W643" t="s">
        <v>21</v>
      </c>
      <c r="X643" t="s">
        <v>36</v>
      </c>
      <c r="Y643" s="4">
        <v>11</v>
      </c>
      <c r="Z643" s="4">
        <v>29</v>
      </c>
      <c r="AA643" t="s">
        <v>37</v>
      </c>
      <c r="AB643" t="s">
        <v>44</v>
      </c>
      <c r="AC643" s="7">
        <v>2</v>
      </c>
      <c r="AD643" t="s">
        <v>45</v>
      </c>
      <c r="AE643">
        <f t="shared" ref="AE643:AE706" si="10">IF(AB643="Yes",1,0)</f>
        <v>1</v>
      </c>
    </row>
    <row r="644" spans="1:31" x14ac:dyDescent="0.35">
      <c r="A644">
        <v>100643</v>
      </c>
      <c r="B644" s="3">
        <v>45945</v>
      </c>
      <c r="C644">
        <v>1124</v>
      </c>
      <c r="D644" t="s">
        <v>59</v>
      </c>
      <c r="E644" t="s">
        <v>73</v>
      </c>
      <c r="F644" t="s">
        <v>32</v>
      </c>
      <c r="G644" t="s">
        <v>46</v>
      </c>
      <c r="H644" t="s">
        <v>57</v>
      </c>
      <c r="I644" t="s">
        <v>35</v>
      </c>
      <c r="J644" s="4">
        <v>44.54</v>
      </c>
      <c r="K644" s="4">
        <v>14.68</v>
      </c>
      <c r="L644">
        <v>5</v>
      </c>
      <c r="M644" s="4">
        <v>32.69</v>
      </c>
      <c r="N644" s="4">
        <v>621.16</v>
      </c>
      <c r="O644" s="4">
        <v>316.67</v>
      </c>
      <c r="P644" s="4">
        <v>6.44</v>
      </c>
      <c r="Q644" s="4">
        <v>4.58</v>
      </c>
      <c r="R644" s="4">
        <v>7.57</v>
      </c>
      <c r="S644" s="4">
        <v>0</v>
      </c>
      <c r="T644" s="4">
        <v>0</v>
      </c>
      <c r="U644" s="4">
        <v>335.26</v>
      </c>
      <c r="V644" s="4">
        <v>285.89999999999998</v>
      </c>
      <c r="W644" t="s">
        <v>21</v>
      </c>
      <c r="X644" t="s">
        <v>36</v>
      </c>
      <c r="Y644" s="4">
        <v>8</v>
      </c>
      <c r="Z644" s="4">
        <v>0</v>
      </c>
      <c r="AA644" t="s">
        <v>37</v>
      </c>
      <c r="AB644" t="s">
        <v>38</v>
      </c>
      <c r="AC644" s="7">
        <v>0</v>
      </c>
      <c r="AD644" t="s">
        <v>39</v>
      </c>
      <c r="AE644">
        <f t="shared" si="10"/>
        <v>0</v>
      </c>
    </row>
    <row r="645" spans="1:31" x14ac:dyDescent="0.35">
      <c r="A645">
        <v>100644</v>
      </c>
      <c r="B645" s="3">
        <v>45975</v>
      </c>
      <c r="C645">
        <v>1131</v>
      </c>
      <c r="D645" t="s">
        <v>47</v>
      </c>
      <c r="E645" t="s">
        <v>53</v>
      </c>
      <c r="F645" t="s">
        <v>32</v>
      </c>
      <c r="G645" t="s">
        <v>46</v>
      </c>
      <c r="H645" t="s">
        <v>51</v>
      </c>
      <c r="I645" t="s">
        <v>42</v>
      </c>
      <c r="J645" s="4">
        <v>15.59</v>
      </c>
      <c r="K645" s="4">
        <v>15.03</v>
      </c>
      <c r="L645">
        <v>5</v>
      </c>
      <c r="M645" s="4">
        <v>11.72</v>
      </c>
      <c r="N645" s="4">
        <v>222.6</v>
      </c>
      <c r="O645" s="4">
        <v>88.57</v>
      </c>
      <c r="P645" s="4">
        <v>8.4</v>
      </c>
      <c r="Q645" s="4">
        <v>3.51</v>
      </c>
      <c r="R645" s="4">
        <v>1.97</v>
      </c>
      <c r="S645" s="4">
        <v>196.33</v>
      </c>
      <c r="T645" s="4">
        <v>6.34</v>
      </c>
      <c r="U645" s="4">
        <v>305.12</v>
      </c>
      <c r="V645" s="4">
        <v>-82.52</v>
      </c>
      <c r="W645" t="s">
        <v>58</v>
      </c>
      <c r="X645" t="s">
        <v>55</v>
      </c>
      <c r="Y645" s="4">
        <v>8</v>
      </c>
      <c r="Z645" s="4">
        <v>7</v>
      </c>
      <c r="AA645" t="s">
        <v>37</v>
      </c>
      <c r="AB645" t="s">
        <v>44</v>
      </c>
      <c r="AC645" s="7">
        <v>1</v>
      </c>
      <c r="AD645" t="s">
        <v>45</v>
      </c>
      <c r="AE645">
        <f t="shared" si="10"/>
        <v>1</v>
      </c>
    </row>
    <row r="646" spans="1:31" x14ac:dyDescent="0.35">
      <c r="A646">
        <v>100645</v>
      </c>
      <c r="B646" s="3">
        <v>45940</v>
      </c>
      <c r="C646">
        <v>1041</v>
      </c>
      <c r="D646" t="s">
        <v>30</v>
      </c>
      <c r="E646" t="s">
        <v>62</v>
      </c>
      <c r="F646" t="s">
        <v>49</v>
      </c>
      <c r="G646" t="s">
        <v>63</v>
      </c>
      <c r="H646" t="s">
        <v>51</v>
      </c>
      <c r="I646" t="s">
        <v>35</v>
      </c>
      <c r="J646" s="4">
        <v>12.2</v>
      </c>
      <c r="K646" s="4">
        <v>13.16</v>
      </c>
      <c r="L646">
        <v>20</v>
      </c>
      <c r="M646" s="4">
        <v>32.11</v>
      </c>
      <c r="N646" s="4">
        <v>128.44</v>
      </c>
      <c r="O646" s="4">
        <v>90.46</v>
      </c>
      <c r="P646" s="4">
        <v>5.89</v>
      </c>
      <c r="Q646" s="4">
        <v>1.1200000000000001</v>
      </c>
      <c r="R646" s="4">
        <v>9.6999999999999993</v>
      </c>
      <c r="S646" s="4">
        <v>0</v>
      </c>
      <c r="T646" s="4">
        <v>0</v>
      </c>
      <c r="U646" s="4">
        <v>107.17</v>
      </c>
      <c r="V646" s="4">
        <v>21.27</v>
      </c>
      <c r="W646" t="s">
        <v>21</v>
      </c>
      <c r="X646" t="s">
        <v>36</v>
      </c>
      <c r="Y646" s="4">
        <v>4</v>
      </c>
      <c r="Z646" s="4">
        <v>25</v>
      </c>
      <c r="AA646" t="s">
        <v>37</v>
      </c>
      <c r="AB646" t="s">
        <v>44</v>
      </c>
      <c r="AC646" s="7">
        <v>2</v>
      </c>
      <c r="AD646" t="s">
        <v>45</v>
      </c>
      <c r="AE646">
        <f t="shared" si="10"/>
        <v>1</v>
      </c>
    </row>
    <row r="647" spans="1:31" x14ac:dyDescent="0.35">
      <c r="A647">
        <v>100646</v>
      </c>
      <c r="B647" s="3">
        <v>45987</v>
      </c>
      <c r="C647">
        <v>1024</v>
      </c>
      <c r="D647" t="s">
        <v>30</v>
      </c>
      <c r="E647" t="s">
        <v>31</v>
      </c>
      <c r="F647" t="s">
        <v>71</v>
      </c>
      <c r="G647" t="s">
        <v>50</v>
      </c>
      <c r="H647" t="s">
        <v>57</v>
      </c>
      <c r="I647" t="s">
        <v>35</v>
      </c>
      <c r="J647" s="4">
        <v>27.69</v>
      </c>
      <c r="K647" s="4">
        <v>16.75</v>
      </c>
      <c r="L647">
        <v>5</v>
      </c>
      <c r="M647" s="4">
        <v>23.19</v>
      </c>
      <c r="N647" s="4">
        <v>440.62</v>
      </c>
      <c r="O647" s="4">
        <v>145.88999999999999</v>
      </c>
      <c r="P647" s="4">
        <v>3.05</v>
      </c>
      <c r="Q647" s="4">
        <v>3.25</v>
      </c>
      <c r="R647" s="4">
        <v>2.82</v>
      </c>
      <c r="S647" s="4">
        <v>0</v>
      </c>
      <c r="T647" s="4">
        <v>0</v>
      </c>
      <c r="U647" s="4">
        <v>155.01</v>
      </c>
      <c r="V647" s="4">
        <v>285.61</v>
      </c>
      <c r="W647" t="s">
        <v>21</v>
      </c>
      <c r="X647" t="s">
        <v>36</v>
      </c>
      <c r="Y647" s="4">
        <v>28</v>
      </c>
      <c r="Z647" s="4">
        <v>3</v>
      </c>
      <c r="AA647" t="s">
        <v>52</v>
      </c>
      <c r="AB647" t="s">
        <v>44</v>
      </c>
      <c r="AC647" s="7">
        <v>2</v>
      </c>
      <c r="AD647" t="s">
        <v>45</v>
      </c>
      <c r="AE647">
        <f t="shared" si="10"/>
        <v>1</v>
      </c>
    </row>
    <row r="648" spans="1:31" x14ac:dyDescent="0.35">
      <c r="A648">
        <v>100647</v>
      </c>
      <c r="B648" s="3">
        <v>45979</v>
      </c>
      <c r="C648">
        <v>1138</v>
      </c>
      <c r="D648" t="s">
        <v>47</v>
      </c>
      <c r="E648" t="s">
        <v>56</v>
      </c>
      <c r="F648" t="s">
        <v>32</v>
      </c>
      <c r="G648" t="s">
        <v>63</v>
      </c>
      <c r="H648" t="s">
        <v>34</v>
      </c>
      <c r="I648" t="s">
        <v>35</v>
      </c>
      <c r="J648" s="4">
        <v>19.940000000000001</v>
      </c>
      <c r="K648" s="4">
        <v>13.06</v>
      </c>
      <c r="L648">
        <v>5</v>
      </c>
      <c r="M648" s="4">
        <v>13.02</v>
      </c>
      <c r="N648" s="4">
        <v>247.4</v>
      </c>
      <c r="O648" s="4">
        <v>117.91</v>
      </c>
      <c r="P648" s="4">
        <v>5.0599999999999996</v>
      </c>
      <c r="Q648" s="4">
        <v>1.82</v>
      </c>
      <c r="R648" s="4">
        <v>11.15</v>
      </c>
      <c r="S648" s="4">
        <v>0</v>
      </c>
      <c r="T648" s="4">
        <v>0</v>
      </c>
      <c r="U648" s="4">
        <v>135.94</v>
      </c>
      <c r="V648" s="4">
        <v>111.46</v>
      </c>
      <c r="W648" t="s">
        <v>21</v>
      </c>
      <c r="X648" t="s">
        <v>36</v>
      </c>
      <c r="Y648" s="4">
        <v>31</v>
      </c>
      <c r="Z648" s="4">
        <v>15</v>
      </c>
      <c r="AA648" t="s">
        <v>43</v>
      </c>
      <c r="AB648" t="s">
        <v>44</v>
      </c>
      <c r="AC648" s="7">
        <v>2</v>
      </c>
      <c r="AD648" t="s">
        <v>45</v>
      </c>
      <c r="AE648">
        <f t="shared" si="10"/>
        <v>1</v>
      </c>
    </row>
    <row r="649" spans="1:31" x14ac:dyDescent="0.35">
      <c r="A649">
        <v>100648</v>
      </c>
      <c r="B649" s="3">
        <v>45962</v>
      </c>
      <c r="C649">
        <v>1008</v>
      </c>
      <c r="D649" t="s">
        <v>30</v>
      </c>
      <c r="E649" t="s">
        <v>40</v>
      </c>
      <c r="F649" t="s">
        <v>49</v>
      </c>
      <c r="G649" t="s">
        <v>63</v>
      </c>
      <c r="H649" t="s">
        <v>34</v>
      </c>
      <c r="I649" t="s">
        <v>42</v>
      </c>
      <c r="J649" s="4">
        <v>14.59</v>
      </c>
      <c r="K649" s="4">
        <v>12.35</v>
      </c>
      <c r="L649">
        <v>20</v>
      </c>
      <c r="M649" s="4">
        <v>36.04</v>
      </c>
      <c r="N649" s="4">
        <v>144.15</v>
      </c>
      <c r="O649" s="4">
        <v>99.07</v>
      </c>
      <c r="P649" s="4">
        <v>3.16</v>
      </c>
      <c r="Q649" s="4">
        <v>2.7</v>
      </c>
      <c r="R649" s="4">
        <v>10.06</v>
      </c>
      <c r="S649" s="4">
        <v>0</v>
      </c>
      <c r="T649" s="4">
        <v>0</v>
      </c>
      <c r="U649" s="4">
        <v>114.99</v>
      </c>
      <c r="V649" s="4">
        <v>29.16</v>
      </c>
      <c r="W649" t="s">
        <v>21</v>
      </c>
      <c r="X649" t="s">
        <v>36</v>
      </c>
      <c r="Y649" s="4">
        <v>0</v>
      </c>
      <c r="Z649" s="4">
        <v>18</v>
      </c>
      <c r="AA649" t="s">
        <v>37</v>
      </c>
      <c r="AB649" t="s">
        <v>44</v>
      </c>
      <c r="AC649" s="7">
        <v>2</v>
      </c>
      <c r="AD649" t="s">
        <v>45</v>
      </c>
      <c r="AE649">
        <f t="shared" si="10"/>
        <v>1</v>
      </c>
    </row>
    <row r="650" spans="1:31" x14ac:dyDescent="0.35">
      <c r="A650">
        <v>100649</v>
      </c>
      <c r="B650" s="3">
        <v>45951</v>
      </c>
      <c r="C650">
        <v>1078</v>
      </c>
      <c r="D650" t="s">
        <v>47</v>
      </c>
      <c r="E650" t="s">
        <v>56</v>
      </c>
      <c r="F650" t="s">
        <v>61</v>
      </c>
      <c r="G650" t="s">
        <v>46</v>
      </c>
      <c r="H650" t="s">
        <v>51</v>
      </c>
      <c r="I650" t="s">
        <v>35</v>
      </c>
      <c r="J650" s="4">
        <v>15.9</v>
      </c>
      <c r="K650" s="4">
        <v>14.69</v>
      </c>
      <c r="L650">
        <v>0</v>
      </c>
      <c r="M650" s="4">
        <v>0</v>
      </c>
      <c r="N650" s="4">
        <v>233.57</v>
      </c>
      <c r="O650" s="4">
        <v>97.22</v>
      </c>
      <c r="P650" s="4">
        <v>8.49</v>
      </c>
      <c r="Q650" s="4">
        <v>1.63</v>
      </c>
      <c r="R650" s="4">
        <v>10.55</v>
      </c>
      <c r="S650" s="4">
        <v>0</v>
      </c>
      <c r="T650" s="4">
        <v>0</v>
      </c>
      <c r="U650" s="4">
        <v>117.89</v>
      </c>
      <c r="V650" s="4">
        <v>115.68</v>
      </c>
      <c r="W650" t="s">
        <v>21</v>
      </c>
      <c r="X650" t="s">
        <v>36</v>
      </c>
      <c r="Y650" s="4">
        <v>0</v>
      </c>
      <c r="Z650" s="4">
        <v>7</v>
      </c>
      <c r="AA650" t="s">
        <v>37</v>
      </c>
      <c r="AB650" t="s">
        <v>38</v>
      </c>
      <c r="AC650" s="7">
        <v>0</v>
      </c>
      <c r="AD650" t="s">
        <v>39</v>
      </c>
      <c r="AE650">
        <f t="shared" si="10"/>
        <v>0</v>
      </c>
    </row>
    <row r="651" spans="1:31" x14ac:dyDescent="0.35">
      <c r="A651">
        <v>100650</v>
      </c>
      <c r="B651" s="3">
        <v>46011</v>
      </c>
      <c r="C651">
        <v>1025</v>
      </c>
      <c r="D651" t="s">
        <v>59</v>
      </c>
      <c r="E651" t="s">
        <v>70</v>
      </c>
      <c r="F651" t="s">
        <v>61</v>
      </c>
      <c r="G651" t="s">
        <v>33</v>
      </c>
      <c r="H651" t="s">
        <v>34</v>
      </c>
      <c r="I651" t="s">
        <v>35</v>
      </c>
      <c r="J651" s="4">
        <v>24.25</v>
      </c>
      <c r="K651" s="4">
        <v>18.96</v>
      </c>
      <c r="L651">
        <v>15</v>
      </c>
      <c r="M651" s="4">
        <v>68.97</v>
      </c>
      <c r="N651" s="4">
        <v>390.81</v>
      </c>
      <c r="O651" s="4">
        <v>167.16</v>
      </c>
      <c r="P651" s="4">
        <v>7.85</v>
      </c>
      <c r="Q651" s="4">
        <v>3.22</v>
      </c>
      <c r="R651" s="4">
        <v>5.15</v>
      </c>
      <c r="S651" s="4">
        <v>307.12</v>
      </c>
      <c r="T651" s="4">
        <v>0</v>
      </c>
      <c r="U651" s="4">
        <v>490.5</v>
      </c>
      <c r="V651" s="4">
        <v>-99.69</v>
      </c>
      <c r="W651" t="s">
        <v>58</v>
      </c>
      <c r="X651" t="s">
        <v>66</v>
      </c>
      <c r="Y651" s="4">
        <v>0</v>
      </c>
      <c r="Z651" s="4">
        <v>3</v>
      </c>
      <c r="AA651" t="s">
        <v>37</v>
      </c>
      <c r="AB651" t="s">
        <v>38</v>
      </c>
      <c r="AC651" s="7">
        <v>1</v>
      </c>
      <c r="AD651" t="s">
        <v>45</v>
      </c>
      <c r="AE651">
        <f t="shared" si="10"/>
        <v>0</v>
      </c>
    </row>
    <row r="652" spans="1:31" x14ac:dyDescent="0.35">
      <c r="A652">
        <v>100651</v>
      </c>
      <c r="B652" s="3">
        <v>45979</v>
      </c>
      <c r="C652">
        <v>1136</v>
      </c>
      <c r="D652" t="s">
        <v>30</v>
      </c>
      <c r="E652" t="s">
        <v>31</v>
      </c>
      <c r="F652" t="s">
        <v>32</v>
      </c>
      <c r="G652" t="s">
        <v>33</v>
      </c>
      <c r="H652" t="s">
        <v>34</v>
      </c>
      <c r="I652" t="s">
        <v>42</v>
      </c>
      <c r="J652" s="4">
        <v>29.35</v>
      </c>
      <c r="K652" s="4">
        <v>18.66</v>
      </c>
      <c r="L652">
        <v>0</v>
      </c>
      <c r="M652" s="4">
        <v>0</v>
      </c>
      <c r="N652" s="4">
        <v>547.66999999999996</v>
      </c>
      <c r="O652" s="4">
        <v>202.04</v>
      </c>
      <c r="P652" s="4">
        <v>2.5299999999999998</v>
      </c>
      <c r="Q652" s="4">
        <v>8.2200000000000006</v>
      </c>
      <c r="R652" s="4">
        <v>6.65</v>
      </c>
      <c r="S652" s="4">
        <v>0</v>
      </c>
      <c r="T652" s="4">
        <v>0</v>
      </c>
      <c r="U652" s="4">
        <v>219.44</v>
      </c>
      <c r="V652" s="4">
        <v>328.23</v>
      </c>
      <c r="W652" t="s">
        <v>21</v>
      </c>
      <c r="X652" t="s">
        <v>36</v>
      </c>
      <c r="Y652" s="4">
        <v>10</v>
      </c>
      <c r="Z652" s="4">
        <v>3</v>
      </c>
      <c r="AA652" t="s">
        <v>37</v>
      </c>
      <c r="AB652" t="s">
        <v>38</v>
      </c>
      <c r="AC652" s="7">
        <v>0</v>
      </c>
      <c r="AD652" t="s">
        <v>39</v>
      </c>
      <c r="AE652">
        <f t="shared" si="10"/>
        <v>0</v>
      </c>
    </row>
    <row r="653" spans="1:31" x14ac:dyDescent="0.35">
      <c r="A653">
        <v>100652</v>
      </c>
      <c r="B653" s="3">
        <v>46021</v>
      </c>
      <c r="C653">
        <v>1004</v>
      </c>
      <c r="D653" t="s">
        <v>47</v>
      </c>
      <c r="E653" t="s">
        <v>56</v>
      </c>
      <c r="F653" t="s">
        <v>32</v>
      </c>
      <c r="G653" t="s">
        <v>50</v>
      </c>
      <c r="H653" t="s">
        <v>34</v>
      </c>
      <c r="I653" t="s">
        <v>35</v>
      </c>
      <c r="J653" s="4">
        <v>26.14</v>
      </c>
      <c r="K653" s="4">
        <v>18.100000000000001</v>
      </c>
      <c r="L653">
        <v>0</v>
      </c>
      <c r="M653" s="4">
        <v>0</v>
      </c>
      <c r="N653" s="4">
        <v>473.13</v>
      </c>
      <c r="O653" s="4">
        <v>172.5</v>
      </c>
      <c r="P653" s="4">
        <v>10.87</v>
      </c>
      <c r="Q653" s="4">
        <v>3.31</v>
      </c>
      <c r="R653" s="4">
        <v>8.2200000000000006</v>
      </c>
      <c r="S653" s="4">
        <v>0</v>
      </c>
      <c r="T653" s="4">
        <v>0</v>
      </c>
      <c r="U653" s="4">
        <v>194.9</v>
      </c>
      <c r="V653" s="4">
        <v>278.23</v>
      </c>
      <c r="W653" t="s">
        <v>21</v>
      </c>
      <c r="X653" t="s">
        <v>36</v>
      </c>
      <c r="Y653" s="4">
        <v>11</v>
      </c>
      <c r="Z653" s="4">
        <v>11</v>
      </c>
      <c r="AA653" t="s">
        <v>37</v>
      </c>
      <c r="AB653" t="s">
        <v>38</v>
      </c>
      <c r="AC653" s="7">
        <v>0</v>
      </c>
      <c r="AD653" t="s">
        <v>39</v>
      </c>
      <c r="AE653">
        <f t="shared" si="10"/>
        <v>0</v>
      </c>
    </row>
    <row r="654" spans="1:31" x14ac:dyDescent="0.35">
      <c r="A654">
        <v>100653</v>
      </c>
      <c r="B654" s="3">
        <v>45985</v>
      </c>
      <c r="C654">
        <v>1149</v>
      </c>
      <c r="D654" t="s">
        <v>59</v>
      </c>
      <c r="E654" t="s">
        <v>73</v>
      </c>
      <c r="F654" t="s">
        <v>61</v>
      </c>
      <c r="G654" t="s">
        <v>63</v>
      </c>
      <c r="H654" t="s">
        <v>57</v>
      </c>
      <c r="I654" t="s">
        <v>42</v>
      </c>
      <c r="J654" s="4">
        <v>23.96</v>
      </c>
      <c r="K654" s="4">
        <v>12.86</v>
      </c>
      <c r="L654">
        <v>5</v>
      </c>
      <c r="M654" s="4">
        <v>15.41</v>
      </c>
      <c r="N654" s="4">
        <v>292.72000000000003</v>
      </c>
      <c r="O654" s="4">
        <v>151.02000000000001</v>
      </c>
      <c r="P654" s="4">
        <v>9.24</v>
      </c>
      <c r="Q654" s="4">
        <v>4.62</v>
      </c>
      <c r="R654" s="4">
        <v>11.87</v>
      </c>
      <c r="S654" s="4">
        <v>0</v>
      </c>
      <c r="T654" s="4">
        <v>0</v>
      </c>
      <c r="U654" s="4">
        <v>176.75</v>
      </c>
      <c r="V654" s="4">
        <v>115.97</v>
      </c>
      <c r="W654" t="s">
        <v>21</v>
      </c>
      <c r="X654" t="s">
        <v>36</v>
      </c>
      <c r="Y654" s="4">
        <v>35</v>
      </c>
      <c r="Z654" s="4">
        <v>31</v>
      </c>
      <c r="AA654" t="s">
        <v>43</v>
      </c>
      <c r="AB654" t="s">
        <v>44</v>
      </c>
      <c r="AC654" s="7">
        <v>1</v>
      </c>
      <c r="AD654" t="s">
        <v>45</v>
      </c>
      <c r="AE654">
        <f t="shared" si="10"/>
        <v>1</v>
      </c>
    </row>
    <row r="655" spans="1:31" x14ac:dyDescent="0.35">
      <c r="A655">
        <v>100654</v>
      </c>
      <c r="B655" s="3">
        <v>46019</v>
      </c>
      <c r="C655">
        <v>1017</v>
      </c>
      <c r="D655" t="s">
        <v>47</v>
      </c>
      <c r="E655" t="s">
        <v>56</v>
      </c>
      <c r="F655" t="s">
        <v>71</v>
      </c>
      <c r="G655" t="s">
        <v>63</v>
      </c>
      <c r="H655" t="s">
        <v>34</v>
      </c>
      <c r="I655" t="s">
        <v>35</v>
      </c>
      <c r="J655" s="4">
        <v>13.5</v>
      </c>
      <c r="K655" s="4">
        <v>13.26</v>
      </c>
      <c r="L655">
        <v>10</v>
      </c>
      <c r="M655" s="4">
        <v>17.899999999999999</v>
      </c>
      <c r="N655" s="4">
        <v>161.11000000000001</v>
      </c>
      <c r="O655" s="4">
        <v>119.1</v>
      </c>
      <c r="P655" s="4">
        <v>10.95</v>
      </c>
      <c r="Q655" s="4">
        <v>1.25</v>
      </c>
      <c r="R655" s="4">
        <v>4.26</v>
      </c>
      <c r="S655" s="4">
        <v>126.17</v>
      </c>
      <c r="T655" s="4">
        <v>0</v>
      </c>
      <c r="U655" s="4">
        <v>261.73</v>
      </c>
      <c r="V655" s="4">
        <v>-100.62</v>
      </c>
      <c r="W655" t="s">
        <v>58</v>
      </c>
      <c r="X655" t="s">
        <v>55</v>
      </c>
      <c r="Y655" s="4">
        <v>20</v>
      </c>
      <c r="Z655" s="4">
        <v>1</v>
      </c>
      <c r="AA655" t="s">
        <v>52</v>
      </c>
      <c r="AB655" t="s">
        <v>44</v>
      </c>
      <c r="AC655" s="7">
        <v>2</v>
      </c>
      <c r="AD655" t="s">
        <v>45</v>
      </c>
      <c r="AE655">
        <f t="shared" si="10"/>
        <v>1</v>
      </c>
    </row>
    <row r="656" spans="1:31" x14ac:dyDescent="0.35">
      <c r="A656">
        <v>100655</v>
      </c>
      <c r="B656" s="3">
        <v>45933</v>
      </c>
      <c r="C656">
        <v>1104</v>
      </c>
      <c r="D656" t="s">
        <v>47</v>
      </c>
      <c r="E656" t="s">
        <v>74</v>
      </c>
      <c r="F656" t="s">
        <v>32</v>
      </c>
      <c r="G656" t="s">
        <v>33</v>
      </c>
      <c r="H656" t="s">
        <v>34</v>
      </c>
      <c r="I656" t="s">
        <v>69</v>
      </c>
      <c r="J656" s="4">
        <v>28.09</v>
      </c>
      <c r="K656" s="4">
        <v>18.12</v>
      </c>
      <c r="L656">
        <v>15</v>
      </c>
      <c r="M656" s="4">
        <v>76.349999999999994</v>
      </c>
      <c r="N656" s="4">
        <v>432.64</v>
      </c>
      <c r="O656" s="4">
        <v>184.51</v>
      </c>
      <c r="P656" s="4">
        <v>8.76</v>
      </c>
      <c r="Q656" s="4">
        <v>2.04</v>
      </c>
      <c r="R656" s="4">
        <v>5.19</v>
      </c>
      <c r="S656" s="4">
        <v>0</v>
      </c>
      <c r="T656" s="4">
        <v>0</v>
      </c>
      <c r="U656" s="4">
        <v>200.5</v>
      </c>
      <c r="V656" s="4">
        <v>232.14</v>
      </c>
      <c r="W656" t="s">
        <v>21</v>
      </c>
      <c r="X656" t="s">
        <v>36</v>
      </c>
      <c r="Y656" s="4">
        <v>0</v>
      </c>
      <c r="Z656" s="4">
        <v>0</v>
      </c>
      <c r="AA656" t="s">
        <v>37</v>
      </c>
      <c r="AB656" t="s">
        <v>38</v>
      </c>
      <c r="AC656" s="7">
        <v>0</v>
      </c>
      <c r="AD656" t="s">
        <v>39</v>
      </c>
      <c r="AE656">
        <f t="shared" si="10"/>
        <v>0</v>
      </c>
    </row>
    <row r="657" spans="1:31" x14ac:dyDescent="0.35">
      <c r="A657">
        <v>100656</v>
      </c>
      <c r="B657" s="3">
        <v>46007</v>
      </c>
      <c r="C657">
        <v>1033</v>
      </c>
      <c r="D657" t="s">
        <v>30</v>
      </c>
      <c r="E657" t="s">
        <v>31</v>
      </c>
      <c r="F657" t="s">
        <v>41</v>
      </c>
      <c r="G657" t="s">
        <v>33</v>
      </c>
      <c r="H657" t="s">
        <v>57</v>
      </c>
      <c r="I657" t="s">
        <v>35</v>
      </c>
      <c r="J657" s="4">
        <v>37.880000000000003</v>
      </c>
      <c r="K657" s="4">
        <v>18.93</v>
      </c>
      <c r="L657">
        <v>0</v>
      </c>
      <c r="M657" s="4">
        <v>0</v>
      </c>
      <c r="N657" s="4">
        <v>717.07</v>
      </c>
      <c r="O657" s="4">
        <v>276.70999999999998</v>
      </c>
      <c r="P657" s="4">
        <v>6.66</v>
      </c>
      <c r="Q657" s="4">
        <v>5.0199999999999996</v>
      </c>
      <c r="R657" s="4">
        <v>7.08</v>
      </c>
      <c r="S657" s="4">
        <v>0</v>
      </c>
      <c r="T657" s="4">
        <v>0</v>
      </c>
      <c r="U657" s="4">
        <v>295.47000000000003</v>
      </c>
      <c r="V657" s="4">
        <v>421.6</v>
      </c>
      <c r="W657" t="s">
        <v>21</v>
      </c>
      <c r="X657" t="s">
        <v>36</v>
      </c>
      <c r="Y657" s="4">
        <v>6</v>
      </c>
      <c r="Z657" s="4">
        <v>0</v>
      </c>
      <c r="AA657" t="s">
        <v>37</v>
      </c>
      <c r="AB657" t="s">
        <v>38</v>
      </c>
      <c r="AC657" s="7">
        <v>1</v>
      </c>
      <c r="AD657" t="s">
        <v>39</v>
      </c>
      <c r="AE657">
        <f t="shared" si="10"/>
        <v>0</v>
      </c>
    </row>
    <row r="658" spans="1:31" x14ac:dyDescent="0.35">
      <c r="A658">
        <v>100657</v>
      </c>
      <c r="B658" s="3">
        <v>45982</v>
      </c>
      <c r="C658">
        <v>1098</v>
      </c>
      <c r="D658" t="s">
        <v>64</v>
      </c>
      <c r="E658" t="s">
        <v>76</v>
      </c>
      <c r="F658" t="s">
        <v>61</v>
      </c>
      <c r="G658" t="s">
        <v>63</v>
      </c>
      <c r="H658" t="s">
        <v>34</v>
      </c>
      <c r="I658" t="s">
        <v>69</v>
      </c>
      <c r="J658" s="4">
        <v>17.07</v>
      </c>
      <c r="K658" s="4">
        <v>11.66</v>
      </c>
      <c r="L658">
        <v>0</v>
      </c>
      <c r="M658" s="4">
        <v>0</v>
      </c>
      <c r="N658" s="4">
        <v>199.04</v>
      </c>
      <c r="O658" s="4">
        <v>131</v>
      </c>
      <c r="P658" s="4">
        <v>7.15</v>
      </c>
      <c r="Q658" s="4">
        <v>0.8</v>
      </c>
      <c r="R658" s="4">
        <v>1.58</v>
      </c>
      <c r="S658" s="4">
        <v>0</v>
      </c>
      <c r="T658" s="4">
        <v>0</v>
      </c>
      <c r="U658" s="4">
        <v>140.53</v>
      </c>
      <c r="V658" s="4">
        <v>58.51</v>
      </c>
      <c r="W658" t="s">
        <v>21</v>
      </c>
      <c r="X658" t="s">
        <v>36</v>
      </c>
      <c r="Y658" s="4">
        <v>26</v>
      </c>
      <c r="Z658" s="4">
        <v>1</v>
      </c>
      <c r="AA658" t="s">
        <v>52</v>
      </c>
      <c r="AB658" t="s">
        <v>44</v>
      </c>
      <c r="AC658" s="7">
        <v>2</v>
      </c>
      <c r="AD658" t="s">
        <v>45</v>
      </c>
      <c r="AE658">
        <f t="shared" si="10"/>
        <v>1</v>
      </c>
    </row>
    <row r="659" spans="1:31" x14ac:dyDescent="0.35">
      <c r="A659">
        <v>100658</v>
      </c>
      <c r="B659" s="3">
        <v>46000</v>
      </c>
      <c r="C659">
        <v>1001</v>
      </c>
      <c r="D659" t="s">
        <v>59</v>
      </c>
      <c r="E659" t="s">
        <v>60</v>
      </c>
      <c r="F659" t="s">
        <v>71</v>
      </c>
      <c r="G659" t="s">
        <v>63</v>
      </c>
      <c r="H659" t="s">
        <v>57</v>
      </c>
      <c r="I659" t="s">
        <v>54</v>
      </c>
      <c r="J659" s="4">
        <v>30.64</v>
      </c>
      <c r="K659" s="4">
        <v>12.56</v>
      </c>
      <c r="L659">
        <v>5</v>
      </c>
      <c r="M659" s="4">
        <v>19.239999999999998</v>
      </c>
      <c r="N659" s="4">
        <v>365.6</v>
      </c>
      <c r="O659" s="4">
        <v>230.87</v>
      </c>
      <c r="P659" s="4">
        <v>11.47</v>
      </c>
      <c r="Q659" s="4">
        <v>4.62</v>
      </c>
      <c r="R659" s="4">
        <v>12.15</v>
      </c>
      <c r="S659" s="4">
        <v>0</v>
      </c>
      <c r="T659" s="4">
        <v>0</v>
      </c>
      <c r="U659" s="4">
        <v>259.11</v>
      </c>
      <c r="V659" s="4">
        <v>106.49</v>
      </c>
      <c r="W659" t="s">
        <v>21</v>
      </c>
      <c r="X659" t="s">
        <v>36</v>
      </c>
      <c r="Y659" s="4">
        <v>0</v>
      </c>
      <c r="Z659" s="4">
        <v>0</v>
      </c>
      <c r="AA659" t="s">
        <v>37</v>
      </c>
      <c r="AB659" t="s">
        <v>38</v>
      </c>
      <c r="AC659" s="7">
        <v>0</v>
      </c>
      <c r="AD659" t="s">
        <v>39</v>
      </c>
      <c r="AE659">
        <f t="shared" si="10"/>
        <v>0</v>
      </c>
    </row>
    <row r="660" spans="1:31" x14ac:dyDescent="0.35">
      <c r="A660">
        <v>100659</v>
      </c>
      <c r="B660" s="3">
        <v>46009</v>
      </c>
      <c r="C660">
        <v>1049</v>
      </c>
      <c r="D660" t="s">
        <v>30</v>
      </c>
      <c r="E660" t="s">
        <v>72</v>
      </c>
      <c r="F660" t="s">
        <v>41</v>
      </c>
      <c r="G660" t="s">
        <v>50</v>
      </c>
      <c r="H660" t="s">
        <v>57</v>
      </c>
      <c r="I660" t="s">
        <v>42</v>
      </c>
      <c r="J660" s="4">
        <v>30.52</v>
      </c>
      <c r="K660" s="4">
        <v>18.78</v>
      </c>
      <c r="L660">
        <v>0</v>
      </c>
      <c r="M660" s="4">
        <v>0</v>
      </c>
      <c r="N660" s="4">
        <v>573.16999999999996</v>
      </c>
      <c r="O660" s="4">
        <v>230.87</v>
      </c>
      <c r="P660" s="4">
        <v>11.16</v>
      </c>
      <c r="Q660" s="4">
        <v>8.6</v>
      </c>
      <c r="R660" s="4">
        <v>7.65</v>
      </c>
      <c r="S660" s="4">
        <v>0</v>
      </c>
      <c r="T660" s="4">
        <v>0</v>
      </c>
      <c r="U660" s="4">
        <v>258.27999999999997</v>
      </c>
      <c r="V660" s="4">
        <v>314.89</v>
      </c>
      <c r="W660" t="s">
        <v>21</v>
      </c>
      <c r="X660" t="s">
        <v>36</v>
      </c>
      <c r="Y660" s="4">
        <v>8</v>
      </c>
      <c r="Z660" s="4">
        <v>0</v>
      </c>
      <c r="AA660" t="s">
        <v>37</v>
      </c>
      <c r="AB660" t="s">
        <v>38</v>
      </c>
      <c r="AC660" s="7">
        <v>0</v>
      </c>
      <c r="AD660" t="s">
        <v>39</v>
      </c>
      <c r="AE660">
        <f t="shared" si="10"/>
        <v>0</v>
      </c>
    </row>
    <row r="661" spans="1:31" x14ac:dyDescent="0.35">
      <c r="A661">
        <v>100660</v>
      </c>
      <c r="B661" s="3">
        <v>45995</v>
      </c>
      <c r="C661">
        <v>1045</v>
      </c>
      <c r="D661" t="s">
        <v>64</v>
      </c>
      <c r="E661" t="s">
        <v>75</v>
      </c>
      <c r="F661" t="s">
        <v>61</v>
      </c>
      <c r="G661" t="s">
        <v>63</v>
      </c>
      <c r="H661" t="s">
        <v>34</v>
      </c>
      <c r="I661" t="s">
        <v>35</v>
      </c>
      <c r="J661" s="4">
        <v>24.23</v>
      </c>
      <c r="K661" s="4">
        <v>12.31</v>
      </c>
      <c r="L661">
        <v>0</v>
      </c>
      <c r="M661" s="4">
        <v>0</v>
      </c>
      <c r="N661" s="4">
        <v>298.27</v>
      </c>
      <c r="O661" s="4">
        <v>189.92</v>
      </c>
      <c r="P661" s="4">
        <v>4.51</v>
      </c>
      <c r="Q661" s="4">
        <v>2.09</v>
      </c>
      <c r="R661" s="4">
        <v>3.8</v>
      </c>
      <c r="S661" s="4">
        <v>0</v>
      </c>
      <c r="T661" s="4">
        <v>0</v>
      </c>
      <c r="U661" s="4">
        <v>200.32</v>
      </c>
      <c r="V661" s="4">
        <v>97.95</v>
      </c>
      <c r="W661" t="s">
        <v>21</v>
      </c>
      <c r="X661" t="s">
        <v>36</v>
      </c>
      <c r="Y661" s="4">
        <v>6</v>
      </c>
      <c r="Z661" s="4">
        <v>2</v>
      </c>
      <c r="AA661" t="s">
        <v>37</v>
      </c>
      <c r="AB661" t="s">
        <v>38</v>
      </c>
      <c r="AC661" s="7">
        <v>0</v>
      </c>
      <c r="AD661" t="s">
        <v>39</v>
      </c>
      <c r="AE661">
        <f t="shared" si="10"/>
        <v>0</v>
      </c>
    </row>
    <row r="662" spans="1:31" x14ac:dyDescent="0.35">
      <c r="A662">
        <v>100661</v>
      </c>
      <c r="B662" s="3">
        <v>45935</v>
      </c>
      <c r="C662">
        <v>1134</v>
      </c>
      <c r="D662" t="s">
        <v>64</v>
      </c>
      <c r="E662" t="s">
        <v>76</v>
      </c>
      <c r="F662" t="s">
        <v>49</v>
      </c>
      <c r="G662" t="s">
        <v>63</v>
      </c>
      <c r="H662" t="s">
        <v>34</v>
      </c>
      <c r="I662" t="s">
        <v>69</v>
      </c>
      <c r="J662" s="4">
        <v>10.050000000000001</v>
      </c>
      <c r="K662" s="4">
        <v>12.32</v>
      </c>
      <c r="L662">
        <v>0</v>
      </c>
      <c r="M662" s="4">
        <v>0</v>
      </c>
      <c r="N662" s="4">
        <v>123.82</v>
      </c>
      <c r="O662" s="4">
        <v>66.03</v>
      </c>
      <c r="P662" s="4">
        <v>6.71</v>
      </c>
      <c r="Q662" s="4">
        <v>0.5</v>
      </c>
      <c r="R662" s="4">
        <v>5.33</v>
      </c>
      <c r="S662" s="4">
        <v>0</v>
      </c>
      <c r="T662" s="4">
        <v>0</v>
      </c>
      <c r="U662" s="4">
        <v>78.569999999999993</v>
      </c>
      <c r="V662" s="4">
        <v>45.25</v>
      </c>
      <c r="W662" t="s">
        <v>21</v>
      </c>
      <c r="X662" t="s">
        <v>36</v>
      </c>
      <c r="Y662" s="4">
        <v>4</v>
      </c>
      <c r="Z662" s="4">
        <v>8</v>
      </c>
      <c r="AA662" t="s">
        <v>37</v>
      </c>
      <c r="AB662" t="s">
        <v>38</v>
      </c>
      <c r="AC662" s="7">
        <v>0</v>
      </c>
      <c r="AD662" t="s">
        <v>39</v>
      </c>
      <c r="AE662">
        <f t="shared" si="10"/>
        <v>0</v>
      </c>
    </row>
    <row r="663" spans="1:31" x14ac:dyDescent="0.35">
      <c r="A663">
        <v>100662</v>
      </c>
      <c r="B663" s="3">
        <v>46014</v>
      </c>
      <c r="C663">
        <v>1102</v>
      </c>
      <c r="D663" t="s">
        <v>64</v>
      </c>
      <c r="E663" t="s">
        <v>67</v>
      </c>
      <c r="F663" t="s">
        <v>49</v>
      </c>
      <c r="G663" t="s">
        <v>63</v>
      </c>
      <c r="H663" t="s">
        <v>34</v>
      </c>
      <c r="I663" t="s">
        <v>35</v>
      </c>
      <c r="J663" s="4">
        <v>20.260000000000002</v>
      </c>
      <c r="K663" s="4">
        <v>11.15</v>
      </c>
      <c r="L663">
        <v>0</v>
      </c>
      <c r="M663" s="4">
        <v>0</v>
      </c>
      <c r="N663" s="4">
        <v>225.9</v>
      </c>
      <c r="O663" s="4">
        <v>163.22999999999999</v>
      </c>
      <c r="P663" s="4">
        <v>7.88</v>
      </c>
      <c r="Q663" s="4">
        <v>1.58</v>
      </c>
      <c r="R663" s="4">
        <v>1.18</v>
      </c>
      <c r="S663" s="4">
        <v>0</v>
      </c>
      <c r="T663" s="4">
        <v>0</v>
      </c>
      <c r="U663" s="4">
        <v>173.87</v>
      </c>
      <c r="V663" s="4">
        <v>52.03</v>
      </c>
      <c r="W663" t="s">
        <v>21</v>
      </c>
      <c r="X663" t="s">
        <v>36</v>
      </c>
      <c r="Y663" s="4">
        <v>15</v>
      </c>
      <c r="Z663" s="4">
        <v>3</v>
      </c>
      <c r="AA663" t="s">
        <v>37</v>
      </c>
      <c r="AB663" t="s">
        <v>38</v>
      </c>
      <c r="AC663" s="7">
        <v>0</v>
      </c>
      <c r="AD663" t="s">
        <v>39</v>
      </c>
      <c r="AE663">
        <f t="shared" si="10"/>
        <v>0</v>
      </c>
    </row>
    <row r="664" spans="1:31" x14ac:dyDescent="0.35">
      <c r="A664">
        <v>100663</v>
      </c>
      <c r="B664" s="3">
        <v>45945</v>
      </c>
      <c r="C664">
        <v>1066</v>
      </c>
      <c r="D664" t="s">
        <v>47</v>
      </c>
      <c r="E664" t="s">
        <v>53</v>
      </c>
      <c r="F664" t="s">
        <v>61</v>
      </c>
      <c r="G664" t="s">
        <v>33</v>
      </c>
      <c r="H664" t="s">
        <v>57</v>
      </c>
      <c r="I664" t="s">
        <v>35</v>
      </c>
      <c r="J664" s="4">
        <v>33.07</v>
      </c>
      <c r="K664" s="4">
        <v>20.34</v>
      </c>
      <c r="L664">
        <v>5</v>
      </c>
      <c r="M664" s="4">
        <v>33.630000000000003</v>
      </c>
      <c r="N664" s="4">
        <v>639.01</v>
      </c>
      <c r="O664" s="4">
        <v>235.49</v>
      </c>
      <c r="P664" s="4">
        <v>5.85</v>
      </c>
      <c r="Q664" s="4">
        <v>4.71</v>
      </c>
      <c r="R664" s="4">
        <v>2.2599999999999998</v>
      </c>
      <c r="S664" s="4">
        <v>0</v>
      </c>
      <c r="T664" s="4">
        <v>0</v>
      </c>
      <c r="U664" s="4">
        <v>248.31</v>
      </c>
      <c r="V664" s="4">
        <v>390.7</v>
      </c>
      <c r="W664" t="s">
        <v>21</v>
      </c>
      <c r="X664" t="s">
        <v>36</v>
      </c>
      <c r="Y664" s="4">
        <v>25</v>
      </c>
      <c r="Z664" s="4">
        <v>8</v>
      </c>
      <c r="AA664" t="s">
        <v>52</v>
      </c>
      <c r="AB664" t="s">
        <v>44</v>
      </c>
      <c r="AC664" s="7">
        <v>1</v>
      </c>
      <c r="AD664" t="s">
        <v>45</v>
      </c>
      <c r="AE664">
        <f t="shared" si="10"/>
        <v>1</v>
      </c>
    </row>
    <row r="665" spans="1:31" x14ac:dyDescent="0.35">
      <c r="A665">
        <v>100664</v>
      </c>
      <c r="B665" s="3">
        <v>45956</v>
      </c>
      <c r="C665">
        <v>1086</v>
      </c>
      <c r="D665" t="s">
        <v>59</v>
      </c>
      <c r="E665" t="s">
        <v>73</v>
      </c>
      <c r="F665" t="s">
        <v>49</v>
      </c>
      <c r="G665" t="s">
        <v>63</v>
      </c>
      <c r="H665" t="s">
        <v>51</v>
      </c>
      <c r="I665" t="s">
        <v>54</v>
      </c>
      <c r="J665" s="4">
        <v>18.52</v>
      </c>
      <c r="K665" s="4">
        <v>15.26</v>
      </c>
      <c r="L665">
        <v>10</v>
      </c>
      <c r="M665" s="4">
        <v>28.26</v>
      </c>
      <c r="N665" s="4">
        <v>254.36</v>
      </c>
      <c r="O665" s="4">
        <v>126.36</v>
      </c>
      <c r="P665" s="4">
        <v>15.75</v>
      </c>
      <c r="Q665" s="4">
        <v>3.39</v>
      </c>
      <c r="R665" s="4">
        <v>9.5</v>
      </c>
      <c r="S665" s="4">
        <v>0</v>
      </c>
      <c r="T665" s="4">
        <v>0</v>
      </c>
      <c r="U665" s="4">
        <v>155</v>
      </c>
      <c r="V665" s="4">
        <v>99.36</v>
      </c>
      <c r="W665" t="s">
        <v>21</v>
      </c>
      <c r="X665" t="s">
        <v>36</v>
      </c>
      <c r="Y665" s="4">
        <v>3</v>
      </c>
      <c r="Z665" s="4">
        <v>9</v>
      </c>
      <c r="AA665" t="s">
        <v>37</v>
      </c>
      <c r="AB665" t="s">
        <v>38</v>
      </c>
      <c r="AC665" s="7">
        <v>0</v>
      </c>
      <c r="AD665" t="s">
        <v>39</v>
      </c>
      <c r="AE665">
        <f t="shared" si="10"/>
        <v>0</v>
      </c>
    </row>
    <row r="666" spans="1:31" x14ac:dyDescent="0.35">
      <c r="A666">
        <v>100665</v>
      </c>
      <c r="B666" s="3">
        <v>45933</v>
      </c>
      <c r="C666">
        <v>1137</v>
      </c>
      <c r="D666" t="s">
        <v>47</v>
      </c>
      <c r="E666" t="s">
        <v>74</v>
      </c>
      <c r="F666" t="s">
        <v>41</v>
      </c>
      <c r="G666" t="s">
        <v>63</v>
      </c>
      <c r="H666" t="s">
        <v>57</v>
      </c>
      <c r="I666" t="s">
        <v>69</v>
      </c>
      <c r="J666" s="4">
        <v>5.98</v>
      </c>
      <c r="K666" s="4">
        <v>12.98</v>
      </c>
      <c r="L666">
        <v>0</v>
      </c>
      <c r="M666" s="4">
        <v>0</v>
      </c>
      <c r="N666" s="4">
        <v>77.62</v>
      </c>
      <c r="O666" s="4">
        <v>43.75</v>
      </c>
      <c r="P666" s="4">
        <v>11.59</v>
      </c>
      <c r="Q666" s="4">
        <v>0.31</v>
      </c>
      <c r="R666" s="4">
        <v>6.74</v>
      </c>
      <c r="S666" s="4">
        <v>0</v>
      </c>
      <c r="T666" s="4">
        <v>0</v>
      </c>
      <c r="U666" s="4">
        <v>62.39</v>
      </c>
      <c r="V666" s="4">
        <v>15.23</v>
      </c>
      <c r="W666" t="s">
        <v>21</v>
      </c>
      <c r="X666" t="s">
        <v>36</v>
      </c>
      <c r="Y666" s="4">
        <v>12</v>
      </c>
      <c r="Z666" s="4">
        <v>2</v>
      </c>
      <c r="AA666" t="s">
        <v>37</v>
      </c>
      <c r="AB666" t="s">
        <v>38</v>
      </c>
      <c r="AC666" s="7">
        <v>0</v>
      </c>
      <c r="AD666" t="s">
        <v>39</v>
      </c>
      <c r="AE666">
        <f t="shared" si="10"/>
        <v>0</v>
      </c>
    </row>
    <row r="667" spans="1:31" x14ac:dyDescent="0.35">
      <c r="A667">
        <v>100666</v>
      </c>
      <c r="B667" s="3">
        <v>45968</v>
      </c>
      <c r="C667">
        <v>1031</v>
      </c>
      <c r="D667" t="s">
        <v>30</v>
      </c>
      <c r="E667" t="s">
        <v>72</v>
      </c>
      <c r="F667" t="s">
        <v>71</v>
      </c>
      <c r="G667" t="s">
        <v>46</v>
      </c>
      <c r="H667" t="s">
        <v>57</v>
      </c>
      <c r="I667" t="s">
        <v>35</v>
      </c>
      <c r="J667" s="4">
        <v>12.26</v>
      </c>
      <c r="K667" s="4">
        <v>16.36</v>
      </c>
      <c r="L667">
        <v>0</v>
      </c>
      <c r="M667" s="4">
        <v>0</v>
      </c>
      <c r="N667" s="4">
        <v>200.57</v>
      </c>
      <c r="O667" s="4">
        <v>81.489999999999995</v>
      </c>
      <c r="P667" s="4">
        <v>6.1</v>
      </c>
      <c r="Q667" s="4">
        <v>1.4</v>
      </c>
      <c r="R667" s="4">
        <v>3.26</v>
      </c>
      <c r="S667" s="4">
        <v>117.6</v>
      </c>
      <c r="T667" s="4">
        <v>15.45</v>
      </c>
      <c r="U667" s="4">
        <v>225.3</v>
      </c>
      <c r="V667" s="4">
        <v>-24.73</v>
      </c>
      <c r="W667" t="s">
        <v>58</v>
      </c>
      <c r="X667" t="s">
        <v>66</v>
      </c>
      <c r="Y667" s="4">
        <v>3</v>
      </c>
      <c r="Z667" s="4">
        <v>2</v>
      </c>
      <c r="AA667" t="s">
        <v>37</v>
      </c>
      <c r="AB667" t="s">
        <v>38</v>
      </c>
      <c r="AC667" s="7">
        <v>4</v>
      </c>
      <c r="AD667" t="s">
        <v>45</v>
      </c>
      <c r="AE667">
        <f t="shared" si="10"/>
        <v>0</v>
      </c>
    </row>
    <row r="668" spans="1:31" x14ac:dyDescent="0.35">
      <c r="A668">
        <v>100667</v>
      </c>
      <c r="B668" s="3">
        <v>46005</v>
      </c>
      <c r="C668">
        <v>1028</v>
      </c>
      <c r="D668" t="s">
        <v>30</v>
      </c>
      <c r="E668" t="s">
        <v>62</v>
      </c>
      <c r="F668" t="s">
        <v>41</v>
      </c>
      <c r="G668" t="s">
        <v>50</v>
      </c>
      <c r="H668" t="s">
        <v>34</v>
      </c>
      <c r="I668" t="s">
        <v>35</v>
      </c>
      <c r="J668" s="4">
        <v>22.19</v>
      </c>
      <c r="K668" s="4">
        <v>16.64</v>
      </c>
      <c r="L668">
        <v>0</v>
      </c>
      <c r="M668" s="4">
        <v>0</v>
      </c>
      <c r="N668" s="4">
        <v>369.24</v>
      </c>
      <c r="O668" s="4">
        <v>160.72</v>
      </c>
      <c r="P668" s="4">
        <v>9.77</v>
      </c>
      <c r="Q668" s="4">
        <v>2.58</v>
      </c>
      <c r="R668" s="4">
        <v>10.68</v>
      </c>
      <c r="S668" s="4">
        <v>264.02</v>
      </c>
      <c r="T668" s="4">
        <v>0</v>
      </c>
      <c r="U668" s="4">
        <v>447.77</v>
      </c>
      <c r="V668" s="4">
        <v>-78.53</v>
      </c>
      <c r="W668" t="s">
        <v>58</v>
      </c>
      <c r="X668" t="s">
        <v>55</v>
      </c>
      <c r="Y668" s="4">
        <v>8</v>
      </c>
      <c r="Z668" s="4">
        <v>2</v>
      </c>
      <c r="AA668" t="s">
        <v>37</v>
      </c>
      <c r="AB668" t="s">
        <v>44</v>
      </c>
      <c r="AC668" s="7">
        <v>3</v>
      </c>
      <c r="AD668" t="s">
        <v>45</v>
      </c>
      <c r="AE668">
        <f t="shared" si="10"/>
        <v>1</v>
      </c>
    </row>
    <row r="669" spans="1:31" x14ac:dyDescent="0.35">
      <c r="A669">
        <v>100668</v>
      </c>
      <c r="B669" s="3">
        <v>45968</v>
      </c>
      <c r="C669">
        <v>1149</v>
      </c>
      <c r="D669" t="s">
        <v>30</v>
      </c>
      <c r="E669" t="s">
        <v>31</v>
      </c>
      <c r="F669" t="s">
        <v>71</v>
      </c>
      <c r="G669" t="s">
        <v>33</v>
      </c>
      <c r="H669" t="s">
        <v>57</v>
      </c>
      <c r="I669" t="s">
        <v>69</v>
      </c>
      <c r="J669" s="4">
        <v>21.43</v>
      </c>
      <c r="K669" s="4">
        <v>20.78</v>
      </c>
      <c r="L669">
        <v>5</v>
      </c>
      <c r="M669" s="4">
        <v>22.27</v>
      </c>
      <c r="N669" s="4">
        <v>423.05</v>
      </c>
      <c r="O669" s="4">
        <v>192.84</v>
      </c>
      <c r="P669" s="4">
        <v>8.74</v>
      </c>
      <c r="Q669" s="4">
        <v>1.78</v>
      </c>
      <c r="R669" s="4">
        <v>8.2899999999999991</v>
      </c>
      <c r="S669" s="4">
        <v>0</v>
      </c>
      <c r="T669" s="4">
        <v>0</v>
      </c>
      <c r="U669" s="4">
        <v>211.65</v>
      </c>
      <c r="V669" s="4">
        <v>211.4</v>
      </c>
      <c r="W669" t="s">
        <v>21</v>
      </c>
      <c r="X669" t="s">
        <v>36</v>
      </c>
      <c r="Y669" s="4">
        <v>12</v>
      </c>
      <c r="Z669" s="4">
        <v>5</v>
      </c>
      <c r="AA669" t="s">
        <v>37</v>
      </c>
      <c r="AB669" t="s">
        <v>38</v>
      </c>
      <c r="AC669" s="7">
        <v>0</v>
      </c>
      <c r="AD669" t="s">
        <v>39</v>
      </c>
      <c r="AE669">
        <f t="shared" si="10"/>
        <v>0</v>
      </c>
    </row>
    <row r="670" spans="1:31" x14ac:dyDescent="0.35">
      <c r="A670">
        <v>100669</v>
      </c>
      <c r="B670" s="3">
        <v>45997</v>
      </c>
      <c r="C670">
        <v>1070</v>
      </c>
      <c r="D670" t="s">
        <v>30</v>
      </c>
      <c r="E670" t="s">
        <v>40</v>
      </c>
      <c r="F670" t="s">
        <v>41</v>
      </c>
      <c r="G670" t="s">
        <v>46</v>
      </c>
      <c r="H670" t="s">
        <v>57</v>
      </c>
      <c r="I670" t="s">
        <v>42</v>
      </c>
      <c r="J670" s="4">
        <v>42.07</v>
      </c>
      <c r="K670" s="4">
        <v>16.07</v>
      </c>
      <c r="L670">
        <v>0</v>
      </c>
      <c r="M670" s="4">
        <v>0</v>
      </c>
      <c r="N670" s="4">
        <v>676.06</v>
      </c>
      <c r="O670" s="4">
        <v>284.3</v>
      </c>
      <c r="P670" s="4">
        <v>6.9</v>
      </c>
      <c r="Q670" s="4">
        <v>10.14</v>
      </c>
      <c r="R670" s="4">
        <v>1.92</v>
      </c>
      <c r="S670" s="4">
        <v>0</v>
      </c>
      <c r="T670" s="4">
        <v>0</v>
      </c>
      <c r="U670" s="4">
        <v>303.26</v>
      </c>
      <c r="V670" s="4">
        <v>372.8</v>
      </c>
      <c r="W670" t="s">
        <v>21</v>
      </c>
      <c r="X670" t="s">
        <v>36</v>
      </c>
      <c r="Y670" s="4">
        <v>7</v>
      </c>
      <c r="Z670" s="4">
        <v>0</v>
      </c>
      <c r="AA670" t="s">
        <v>37</v>
      </c>
      <c r="AB670" t="s">
        <v>38</v>
      </c>
      <c r="AC670" s="7">
        <v>0</v>
      </c>
      <c r="AD670" t="s">
        <v>39</v>
      </c>
      <c r="AE670">
        <f t="shared" si="10"/>
        <v>0</v>
      </c>
    </row>
    <row r="671" spans="1:31" x14ac:dyDescent="0.35">
      <c r="A671">
        <v>100670</v>
      </c>
      <c r="B671" s="3">
        <v>46022</v>
      </c>
      <c r="C671">
        <v>1119</v>
      </c>
      <c r="D671" t="s">
        <v>59</v>
      </c>
      <c r="E671" t="s">
        <v>60</v>
      </c>
      <c r="F671" t="s">
        <v>49</v>
      </c>
      <c r="G671" t="s">
        <v>63</v>
      </c>
      <c r="H671" t="s">
        <v>34</v>
      </c>
      <c r="I671" t="s">
        <v>35</v>
      </c>
      <c r="J671" s="4">
        <v>20.56</v>
      </c>
      <c r="K671" s="4">
        <v>12.48</v>
      </c>
      <c r="L671">
        <v>5</v>
      </c>
      <c r="M671" s="4">
        <v>12.83</v>
      </c>
      <c r="N671" s="4">
        <v>243.76</v>
      </c>
      <c r="O671" s="4">
        <v>145.82</v>
      </c>
      <c r="P671" s="4">
        <v>4.0199999999999996</v>
      </c>
      <c r="Q671" s="4">
        <v>1.8</v>
      </c>
      <c r="R671" s="4">
        <v>4.1399999999999997</v>
      </c>
      <c r="S671" s="4">
        <v>0</v>
      </c>
      <c r="T671" s="4">
        <v>0</v>
      </c>
      <c r="U671" s="4">
        <v>155.78</v>
      </c>
      <c r="V671" s="4">
        <v>87.98</v>
      </c>
      <c r="W671" t="s">
        <v>21</v>
      </c>
      <c r="X671" t="s">
        <v>36</v>
      </c>
      <c r="Y671" s="4">
        <v>6</v>
      </c>
      <c r="Z671" s="4">
        <v>3</v>
      </c>
      <c r="AA671" t="s">
        <v>37</v>
      </c>
      <c r="AB671" t="s">
        <v>38</v>
      </c>
      <c r="AC671" s="7">
        <v>0</v>
      </c>
      <c r="AD671" t="s">
        <v>39</v>
      </c>
      <c r="AE671">
        <f t="shared" si="10"/>
        <v>0</v>
      </c>
    </row>
    <row r="672" spans="1:31" x14ac:dyDescent="0.35">
      <c r="A672">
        <v>100671</v>
      </c>
      <c r="B672" s="3">
        <v>46014</v>
      </c>
      <c r="C672">
        <v>1115</v>
      </c>
      <c r="D672" t="s">
        <v>47</v>
      </c>
      <c r="E672" t="s">
        <v>48</v>
      </c>
      <c r="F672" t="s">
        <v>71</v>
      </c>
      <c r="G672" t="s">
        <v>50</v>
      </c>
      <c r="H672" t="s">
        <v>34</v>
      </c>
      <c r="I672" t="s">
        <v>35</v>
      </c>
      <c r="J672" s="4">
        <v>14.89</v>
      </c>
      <c r="K672" s="4">
        <v>17.04</v>
      </c>
      <c r="L672">
        <v>15</v>
      </c>
      <c r="M672" s="4">
        <v>38.06</v>
      </c>
      <c r="N672" s="4">
        <v>215.67</v>
      </c>
      <c r="O672" s="4">
        <v>118.53</v>
      </c>
      <c r="P672" s="4">
        <v>7.7</v>
      </c>
      <c r="Q672" s="4">
        <v>1.78</v>
      </c>
      <c r="R672" s="4">
        <v>0.83</v>
      </c>
      <c r="S672" s="4">
        <v>0</v>
      </c>
      <c r="T672" s="4">
        <v>0</v>
      </c>
      <c r="U672" s="4">
        <v>128.84</v>
      </c>
      <c r="V672" s="4">
        <v>86.83</v>
      </c>
      <c r="W672" t="s">
        <v>21</v>
      </c>
      <c r="X672" t="s">
        <v>36</v>
      </c>
      <c r="Y672" s="4">
        <v>7</v>
      </c>
      <c r="Z672" s="4">
        <v>15</v>
      </c>
      <c r="AA672" t="s">
        <v>37</v>
      </c>
      <c r="AB672" t="s">
        <v>38</v>
      </c>
      <c r="AC672" s="7">
        <v>0</v>
      </c>
      <c r="AD672" t="s">
        <v>39</v>
      </c>
      <c r="AE672">
        <f t="shared" si="10"/>
        <v>0</v>
      </c>
    </row>
    <row r="673" spans="1:31" x14ac:dyDescent="0.35">
      <c r="A673">
        <v>100672</v>
      </c>
      <c r="B673" s="3">
        <v>45943</v>
      </c>
      <c r="C673">
        <v>1051</v>
      </c>
      <c r="D673" t="s">
        <v>59</v>
      </c>
      <c r="E673" t="s">
        <v>60</v>
      </c>
      <c r="F673" t="s">
        <v>41</v>
      </c>
      <c r="G673" t="s">
        <v>63</v>
      </c>
      <c r="H673" t="s">
        <v>34</v>
      </c>
      <c r="I673" t="s">
        <v>54</v>
      </c>
      <c r="J673" s="4">
        <v>20.87</v>
      </c>
      <c r="K673" s="4">
        <v>13.12</v>
      </c>
      <c r="L673">
        <v>5</v>
      </c>
      <c r="M673" s="4">
        <v>13.69</v>
      </c>
      <c r="N673" s="4">
        <v>260.12</v>
      </c>
      <c r="O673" s="4">
        <v>143.68</v>
      </c>
      <c r="P673" s="4">
        <v>5.79</v>
      </c>
      <c r="Q673" s="4">
        <v>3.29</v>
      </c>
      <c r="R673" s="4">
        <v>5.59</v>
      </c>
      <c r="S673" s="4">
        <v>178.94</v>
      </c>
      <c r="T673" s="4">
        <v>0</v>
      </c>
      <c r="U673" s="4">
        <v>337.29</v>
      </c>
      <c r="V673" s="4">
        <v>-77.17</v>
      </c>
      <c r="W673" t="s">
        <v>58</v>
      </c>
      <c r="X673" t="s">
        <v>55</v>
      </c>
      <c r="Y673" s="4">
        <v>0</v>
      </c>
      <c r="Z673" s="4">
        <v>11</v>
      </c>
      <c r="AA673" t="s">
        <v>37</v>
      </c>
      <c r="AB673" t="s">
        <v>44</v>
      </c>
      <c r="AC673" s="7">
        <v>2</v>
      </c>
      <c r="AD673" t="s">
        <v>45</v>
      </c>
      <c r="AE673">
        <f t="shared" si="10"/>
        <v>1</v>
      </c>
    </row>
    <row r="674" spans="1:31" x14ac:dyDescent="0.35">
      <c r="A674">
        <v>100673</v>
      </c>
      <c r="B674" s="3">
        <v>46006</v>
      </c>
      <c r="C674">
        <v>1019</v>
      </c>
      <c r="D674" t="s">
        <v>30</v>
      </c>
      <c r="E674" t="s">
        <v>72</v>
      </c>
      <c r="F674" t="s">
        <v>41</v>
      </c>
      <c r="G674" t="s">
        <v>63</v>
      </c>
      <c r="H674" t="s">
        <v>34</v>
      </c>
      <c r="I674" t="s">
        <v>35</v>
      </c>
      <c r="J674" s="4">
        <v>16.420000000000002</v>
      </c>
      <c r="K674" s="4">
        <v>14.72</v>
      </c>
      <c r="L674">
        <v>0</v>
      </c>
      <c r="M674" s="4">
        <v>0</v>
      </c>
      <c r="N674" s="4">
        <v>241.7</v>
      </c>
      <c r="O674" s="4">
        <v>129.56</v>
      </c>
      <c r="P674" s="4">
        <v>9.85</v>
      </c>
      <c r="Q674" s="4">
        <v>1.69</v>
      </c>
      <c r="R674" s="4">
        <v>9.06</v>
      </c>
      <c r="S674" s="4">
        <v>0</v>
      </c>
      <c r="T674" s="4">
        <v>0</v>
      </c>
      <c r="U674" s="4">
        <v>150.16</v>
      </c>
      <c r="V674" s="4">
        <v>91.54</v>
      </c>
      <c r="W674" t="s">
        <v>21</v>
      </c>
      <c r="X674" t="s">
        <v>36</v>
      </c>
      <c r="Y674" s="4">
        <v>1</v>
      </c>
      <c r="Z674" s="4">
        <v>5</v>
      </c>
      <c r="AA674" t="s">
        <v>37</v>
      </c>
      <c r="AB674" t="s">
        <v>38</v>
      </c>
      <c r="AC674" s="7">
        <v>0</v>
      </c>
      <c r="AD674" t="s">
        <v>39</v>
      </c>
      <c r="AE674">
        <f t="shared" si="10"/>
        <v>0</v>
      </c>
    </row>
    <row r="675" spans="1:31" x14ac:dyDescent="0.35">
      <c r="A675">
        <v>100674</v>
      </c>
      <c r="B675" s="3">
        <v>46012</v>
      </c>
      <c r="C675">
        <v>1150</v>
      </c>
      <c r="D675" t="s">
        <v>47</v>
      </c>
      <c r="E675" t="s">
        <v>53</v>
      </c>
      <c r="F675" t="s">
        <v>41</v>
      </c>
      <c r="G675" t="s">
        <v>46</v>
      </c>
      <c r="H675" t="s">
        <v>34</v>
      </c>
      <c r="I675" t="s">
        <v>35</v>
      </c>
      <c r="J675" s="4">
        <v>10.71</v>
      </c>
      <c r="K675" s="4">
        <v>15.8</v>
      </c>
      <c r="L675">
        <v>5</v>
      </c>
      <c r="M675" s="4">
        <v>8.4600000000000009</v>
      </c>
      <c r="N675" s="4">
        <v>160.76</v>
      </c>
      <c r="O675" s="4">
        <v>68.89</v>
      </c>
      <c r="P675" s="4">
        <v>5.21</v>
      </c>
      <c r="Q675" s="4">
        <v>1.18</v>
      </c>
      <c r="R675" s="4">
        <v>8.06</v>
      </c>
      <c r="S675" s="4">
        <v>144.12</v>
      </c>
      <c r="T675" s="4">
        <v>0</v>
      </c>
      <c r="U675" s="4">
        <v>227.46</v>
      </c>
      <c r="V675" s="4">
        <v>-66.7</v>
      </c>
      <c r="W675" t="s">
        <v>58</v>
      </c>
      <c r="X675" t="s">
        <v>55</v>
      </c>
      <c r="Y675" s="4">
        <v>7</v>
      </c>
      <c r="Z675" s="4">
        <v>0</v>
      </c>
      <c r="AA675" t="s">
        <v>37</v>
      </c>
      <c r="AB675" t="s">
        <v>44</v>
      </c>
      <c r="AC675" s="7">
        <v>3</v>
      </c>
      <c r="AD675" t="s">
        <v>45</v>
      </c>
      <c r="AE675">
        <f t="shared" si="10"/>
        <v>1</v>
      </c>
    </row>
    <row r="676" spans="1:31" x14ac:dyDescent="0.35">
      <c r="A676">
        <v>100675</v>
      </c>
      <c r="B676" s="3">
        <v>45940</v>
      </c>
      <c r="C676">
        <v>1145</v>
      </c>
      <c r="D676" t="s">
        <v>47</v>
      </c>
      <c r="E676" t="s">
        <v>53</v>
      </c>
      <c r="F676" t="s">
        <v>61</v>
      </c>
      <c r="G676" t="s">
        <v>46</v>
      </c>
      <c r="H676" t="s">
        <v>34</v>
      </c>
      <c r="I676" t="s">
        <v>35</v>
      </c>
      <c r="J676" s="4">
        <v>43.94</v>
      </c>
      <c r="K676" s="4">
        <v>15.55</v>
      </c>
      <c r="L676">
        <v>0</v>
      </c>
      <c r="M676" s="4">
        <v>0</v>
      </c>
      <c r="N676" s="4">
        <v>683.27</v>
      </c>
      <c r="O676" s="4">
        <v>316.79000000000002</v>
      </c>
      <c r="P676" s="4">
        <v>9.4700000000000006</v>
      </c>
      <c r="Q676" s="4">
        <v>4.78</v>
      </c>
      <c r="R676" s="4">
        <v>4.0199999999999996</v>
      </c>
      <c r="S676" s="4">
        <v>0</v>
      </c>
      <c r="T676" s="4">
        <v>0</v>
      </c>
      <c r="U676" s="4">
        <v>335.06</v>
      </c>
      <c r="V676" s="4">
        <v>348.21</v>
      </c>
      <c r="W676" t="s">
        <v>21</v>
      </c>
      <c r="X676" t="s">
        <v>36</v>
      </c>
      <c r="Y676" s="4">
        <v>6</v>
      </c>
      <c r="Z676" s="4">
        <v>4</v>
      </c>
      <c r="AA676" t="s">
        <v>37</v>
      </c>
      <c r="AB676" t="s">
        <v>38</v>
      </c>
      <c r="AC676" s="7">
        <v>0</v>
      </c>
      <c r="AD676" t="s">
        <v>39</v>
      </c>
      <c r="AE676">
        <f t="shared" si="10"/>
        <v>0</v>
      </c>
    </row>
    <row r="677" spans="1:31" x14ac:dyDescent="0.35">
      <c r="A677">
        <v>100676</v>
      </c>
      <c r="B677" s="3">
        <v>45954</v>
      </c>
      <c r="C677">
        <v>1047</v>
      </c>
      <c r="D677" t="s">
        <v>64</v>
      </c>
      <c r="E677" t="s">
        <v>65</v>
      </c>
      <c r="F677" t="s">
        <v>49</v>
      </c>
      <c r="G677" t="s">
        <v>63</v>
      </c>
      <c r="H677" t="s">
        <v>57</v>
      </c>
      <c r="I677" t="s">
        <v>69</v>
      </c>
      <c r="J677" s="4">
        <v>37.64</v>
      </c>
      <c r="K677" s="4">
        <v>13.25</v>
      </c>
      <c r="L677">
        <v>0</v>
      </c>
      <c r="M677" s="4">
        <v>0</v>
      </c>
      <c r="N677" s="4">
        <v>498.73</v>
      </c>
      <c r="O677" s="4">
        <v>271.77999999999997</v>
      </c>
      <c r="P677" s="4">
        <v>8.49</v>
      </c>
      <c r="Q677" s="4">
        <v>1.99</v>
      </c>
      <c r="R677" s="4">
        <v>7.95</v>
      </c>
      <c r="S677" s="4">
        <v>0</v>
      </c>
      <c r="T677" s="4">
        <v>0</v>
      </c>
      <c r="U677" s="4">
        <v>290.20999999999998</v>
      </c>
      <c r="V677" s="4">
        <v>208.52</v>
      </c>
      <c r="W677" t="s">
        <v>21</v>
      </c>
      <c r="X677" t="s">
        <v>36</v>
      </c>
      <c r="Y677" s="4">
        <v>1</v>
      </c>
      <c r="Z677" s="4">
        <v>7</v>
      </c>
      <c r="AA677" t="s">
        <v>37</v>
      </c>
      <c r="AB677" t="s">
        <v>38</v>
      </c>
      <c r="AC677" s="7">
        <v>0</v>
      </c>
      <c r="AD677" t="s">
        <v>39</v>
      </c>
      <c r="AE677">
        <f t="shared" si="10"/>
        <v>0</v>
      </c>
    </row>
    <row r="678" spans="1:31" x14ac:dyDescent="0.35">
      <c r="A678">
        <v>100677</v>
      </c>
      <c r="B678" s="3">
        <v>46008</v>
      </c>
      <c r="C678">
        <v>1134</v>
      </c>
      <c r="D678" t="s">
        <v>47</v>
      </c>
      <c r="E678" t="s">
        <v>56</v>
      </c>
      <c r="F678" t="s">
        <v>61</v>
      </c>
      <c r="G678" t="s">
        <v>50</v>
      </c>
      <c r="H678" t="s">
        <v>34</v>
      </c>
      <c r="I678" t="s">
        <v>42</v>
      </c>
      <c r="J678" s="4">
        <v>42.73</v>
      </c>
      <c r="K678" s="4">
        <v>17.809999999999999</v>
      </c>
      <c r="L678">
        <v>5</v>
      </c>
      <c r="M678" s="4">
        <v>38.049999999999997</v>
      </c>
      <c r="N678" s="4">
        <v>722.97</v>
      </c>
      <c r="O678" s="4">
        <v>316.43</v>
      </c>
      <c r="P678" s="4">
        <v>7.65</v>
      </c>
      <c r="Q678" s="4">
        <v>11.42</v>
      </c>
      <c r="R678" s="4">
        <v>12.26</v>
      </c>
      <c r="S678" s="4">
        <v>0</v>
      </c>
      <c r="T678" s="4">
        <v>0</v>
      </c>
      <c r="U678" s="4">
        <v>347.76</v>
      </c>
      <c r="V678" s="4">
        <v>375.21</v>
      </c>
      <c r="W678" t="s">
        <v>21</v>
      </c>
      <c r="X678" t="s">
        <v>36</v>
      </c>
      <c r="Y678" s="4">
        <v>1</v>
      </c>
      <c r="Z678" s="4">
        <v>12</v>
      </c>
      <c r="AA678" t="s">
        <v>37</v>
      </c>
      <c r="AB678" t="s">
        <v>38</v>
      </c>
      <c r="AC678" s="7">
        <v>0</v>
      </c>
      <c r="AD678" t="s">
        <v>39</v>
      </c>
      <c r="AE678">
        <f t="shared" si="10"/>
        <v>0</v>
      </c>
    </row>
    <row r="679" spans="1:31" x14ac:dyDescent="0.35">
      <c r="A679">
        <v>100678</v>
      </c>
      <c r="B679" s="3">
        <v>45985</v>
      </c>
      <c r="C679">
        <v>1027</v>
      </c>
      <c r="D679" t="s">
        <v>59</v>
      </c>
      <c r="E679" t="s">
        <v>68</v>
      </c>
      <c r="F679" t="s">
        <v>61</v>
      </c>
      <c r="G679" t="s">
        <v>63</v>
      </c>
      <c r="H679" t="s">
        <v>51</v>
      </c>
      <c r="I679" t="s">
        <v>69</v>
      </c>
      <c r="J679" s="4">
        <v>25.46</v>
      </c>
      <c r="K679" s="4">
        <v>13.08</v>
      </c>
      <c r="L679">
        <v>0</v>
      </c>
      <c r="M679" s="4">
        <v>0</v>
      </c>
      <c r="N679" s="4">
        <v>333.02</v>
      </c>
      <c r="O679" s="4">
        <v>197.55</v>
      </c>
      <c r="P679" s="4">
        <v>5.98</v>
      </c>
      <c r="Q679" s="4">
        <v>1.33</v>
      </c>
      <c r="R679" s="4">
        <v>5.53</v>
      </c>
      <c r="S679" s="4">
        <v>0</v>
      </c>
      <c r="T679" s="4">
        <v>0</v>
      </c>
      <c r="U679" s="4">
        <v>210.39</v>
      </c>
      <c r="V679" s="4">
        <v>122.63</v>
      </c>
      <c r="W679" t="s">
        <v>21</v>
      </c>
      <c r="X679" t="s">
        <v>36</v>
      </c>
      <c r="Y679" s="4">
        <v>7</v>
      </c>
      <c r="Z679" s="4">
        <v>20</v>
      </c>
      <c r="AA679" t="s">
        <v>37</v>
      </c>
      <c r="AB679" t="s">
        <v>44</v>
      </c>
      <c r="AC679" s="7">
        <v>2</v>
      </c>
      <c r="AD679" t="s">
        <v>45</v>
      </c>
      <c r="AE679">
        <f t="shared" si="10"/>
        <v>1</v>
      </c>
    </row>
    <row r="680" spans="1:31" x14ac:dyDescent="0.35">
      <c r="A680">
        <v>100679</v>
      </c>
      <c r="B680" s="3">
        <v>45974</v>
      </c>
      <c r="C680">
        <v>1065</v>
      </c>
      <c r="D680" t="s">
        <v>64</v>
      </c>
      <c r="E680" t="s">
        <v>65</v>
      </c>
      <c r="F680" t="s">
        <v>41</v>
      </c>
      <c r="G680" t="s">
        <v>50</v>
      </c>
      <c r="H680" t="s">
        <v>51</v>
      </c>
      <c r="I680" t="s">
        <v>54</v>
      </c>
      <c r="J680" s="4">
        <v>22.97</v>
      </c>
      <c r="K680" s="4">
        <v>18.440000000000001</v>
      </c>
      <c r="L680">
        <v>5</v>
      </c>
      <c r="M680" s="4">
        <v>21.18</v>
      </c>
      <c r="N680" s="4">
        <v>402.39</v>
      </c>
      <c r="O680" s="4">
        <v>174.31</v>
      </c>
      <c r="P680" s="4">
        <v>4.88</v>
      </c>
      <c r="Q680" s="4">
        <v>5.08</v>
      </c>
      <c r="R680" s="4">
        <v>12.11</v>
      </c>
      <c r="S680" s="4">
        <v>0</v>
      </c>
      <c r="T680" s="4">
        <v>0</v>
      </c>
      <c r="U680" s="4">
        <v>196.38</v>
      </c>
      <c r="V680" s="4">
        <v>206.01</v>
      </c>
      <c r="W680" t="s">
        <v>21</v>
      </c>
      <c r="X680" t="s">
        <v>36</v>
      </c>
      <c r="Y680" s="4">
        <v>0</v>
      </c>
      <c r="Z680" s="4">
        <v>0</v>
      </c>
      <c r="AA680" t="s">
        <v>37</v>
      </c>
      <c r="AB680" t="s">
        <v>38</v>
      </c>
      <c r="AC680" s="7">
        <v>0</v>
      </c>
      <c r="AD680" t="s">
        <v>39</v>
      </c>
      <c r="AE680">
        <f t="shared" si="10"/>
        <v>0</v>
      </c>
    </row>
    <row r="681" spans="1:31" x14ac:dyDescent="0.35">
      <c r="A681">
        <v>100680</v>
      </c>
      <c r="B681" s="3">
        <v>45950</v>
      </c>
      <c r="C681">
        <v>1137</v>
      </c>
      <c r="D681" t="s">
        <v>47</v>
      </c>
      <c r="E681" t="s">
        <v>48</v>
      </c>
      <c r="F681" t="s">
        <v>49</v>
      </c>
      <c r="G681" t="s">
        <v>63</v>
      </c>
      <c r="H681" t="s">
        <v>51</v>
      </c>
      <c r="I681" t="s">
        <v>35</v>
      </c>
      <c r="J681" s="4">
        <v>6.48</v>
      </c>
      <c r="K681" s="4">
        <v>12.51</v>
      </c>
      <c r="L681">
        <v>0</v>
      </c>
      <c r="M681" s="4">
        <v>0</v>
      </c>
      <c r="N681" s="4">
        <v>81.06</v>
      </c>
      <c r="O681" s="4">
        <v>44.1</v>
      </c>
      <c r="P681" s="4">
        <v>7.71</v>
      </c>
      <c r="Q681" s="4">
        <v>0.56999999999999995</v>
      </c>
      <c r="R681" s="4">
        <v>11.38</v>
      </c>
      <c r="S681" s="4">
        <v>0</v>
      </c>
      <c r="T681" s="4">
        <v>0</v>
      </c>
      <c r="U681" s="4">
        <v>63.76</v>
      </c>
      <c r="V681" s="4">
        <v>17.3</v>
      </c>
      <c r="W681" t="s">
        <v>21</v>
      </c>
      <c r="X681" t="s">
        <v>36</v>
      </c>
      <c r="Y681" s="4">
        <v>0</v>
      </c>
      <c r="Z681" s="4">
        <v>12</v>
      </c>
      <c r="AA681" t="s">
        <v>37</v>
      </c>
      <c r="AB681" t="s">
        <v>38</v>
      </c>
      <c r="AC681" s="7">
        <v>0</v>
      </c>
      <c r="AD681" t="s">
        <v>39</v>
      </c>
      <c r="AE681">
        <f t="shared" si="10"/>
        <v>0</v>
      </c>
    </row>
    <row r="682" spans="1:31" x14ac:dyDescent="0.35">
      <c r="A682">
        <v>100681</v>
      </c>
      <c r="B682" s="3">
        <v>45944</v>
      </c>
      <c r="C682">
        <v>1071</v>
      </c>
      <c r="D682" t="s">
        <v>59</v>
      </c>
      <c r="E682" t="s">
        <v>60</v>
      </c>
      <c r="F682" t="s">
        <v>61</v>
      </c>
      <c r="G682" t="s">
        <v>63</v>
      </c>
      <c r="H682" t="s">
        <v>57</v>
      </c>
      <c r="I682" t="s">
        <v>35</v>
      </c>
      <c r="J682" s="4">
        <v>28.72</v>
      </c>
      <c r="K682" s="4">
        <v>11.83</v>
      </c>
      <c r="L682">
        <v>0</v>
      </c>
      <c r="M682" s="4">
        <v>0</v>
      </c>
      <c r="N682" s="4">
        <v>339.76</v>
      </c>
      <c r="O682" s="4">
        <v>214.62</v>
      </c>
      <c r="P682" s="4">
        <v>9.32</v>
      </c>
      <c r="Q682" s="4">
        <v>2.38</v>
      </c>
      <c r="R682" s="4">
        <v>9.49</v>
      </c>
      <c r="S682" s="4">
        <v>0</v>
      </c>
      <c r="T682" s="4">
        <v>0</v>
      </c>
      <c r="U682" s="4">
        <v>235.81</v>
      </c>
      <c r="V682" s="4">
        <v>103.95</v>
      </c>
      <c r="W682" t="s">
        <v>21</v>
      </c>
      <c r="X682" t="s">
        <v>36</v>
      </c>
      <c r="Y682" s="4">
        <v>22</v>
      </c>
      <c r="Z682" s="4">
        <v>3</v>
      </c>
      <c r="AA682" t="s">
        <v>52</v>
      </c>
      <c r="AB682" t="s">
        <v>44</v>
      </c>
      <c r="AC682" s="7">
        <v>2</v>
      </c>
      <c r="AD682" t="s">
        <v>45</v>
      </c>
      <c r="AE682">
        <f t="shared" si="10"/>
        <v>1</v>
      </c>
    </row>
    <row r="683" spans="1:31" x14ac:dyDescent="0.35">
      <c r="A683">
        <v>100682</v>
      </c>
      <c r="B683" s="3">
        <v>45937</v>
      </c>
      <c r="C683">
        <v>1016</v>
      </c>
      <c r="D683" t="s">
        <v>30</v>
      </c>
      <c r="E683" t="s">
        <v>72</v>
      </c>
      <c r="F683" t="s">
        <v>61</v>
      </c>
      <c r="G683" t="s">
        <v>46</v>
      </c>
      <c r="H683" t="s">
        <v>34</v>
      </c>
      <c r="I683" t="s">
        <v>54</v>
      </c>
      <c r="J683" s="4">
        <v>32.43</v>
      </c>
      <c r="K683" s="4">
        <v>14.9</v>
      </c>
      <c r="L683">
        <v>0</v>
      </c>
      <c r="M683" s="4">
        <v>0</v>
      </c>
      <c r="N683" s="4">
        <v>483.21</v>
      </c>
      <c r="O683" s="4">
        <v>227.53</v>
      </c>
      <c r="P683" s="4">
        <v>12.6</v>
      </c>
      <c r="Q683" s="4">
        <v>5.8</v>
      </c>
      <c r="R683" s="4">
        <v>6.15</v>
      </c>
      <c r="S683" s="4">
        <v>0</v>
      </c>
      <c r="T683" s="4">
        <v>0</v>
      </c>
      <c r="U683" s="4">
        <v>252.08</v>
      </c>
      <c r="V683" s="4">
        <v>231.13</v>
      </c>
      <c r="W683" t="s">
        <v>21</v>
      </c>
      <c r="X683" t="s">
        <v>36</v>
      </c>
      <c r="Y683" s="4">
        <v>6</v>
      </c>
      <c r="Z683" s="4">
        <v>1</v>
      </c>
      <c r="AA683" t="s">
        <v>37</v>
      </c>
      <c r="AB683" t="s">
        <v>38</v>
      </c>
      <c r="AC683" s="7">
        <v>0</v>
      </c>
      <c r="AD683" t="s">
        <v>39</v>
      </c>
      <c r="AE683">
        <f t="shared" si="10"/>
        <v>0</v>
      </c>
    </row>
    <row r="684" spans="1:31" x14ac:dyDescent="0.35">
      <c r="A684">
        <v>100683</v>
      </c>
      <c r="B684" s="3">
        <v>45937</v>
      </c>
      <c r="C684">
        <v>1122</v>
      </c>
      <c r="D684" t="s">
        <v>59</v>
      </c>
      <c r="E684" t="s">
        <v>60</v>
      </c>
      <c r="F684" t="s">
        <v>32</v>
      </c>
      <c r="G684" t="s">
        <v>33</v>
      </c>
      <c r="H684" t="s">
        <v>34</v>
      </c>
      <c r="I684" t="s">
        <v>69</v>
      </c>
      <c r="J684" s="4">
        <v>24.61</v>
      </c>
      <c r="K684" s="4">
        <v>20.329999999999998</v>
      </c>
      <c r="L684">
        <v>0</v>
      </c>
      <c r="M684" s="4">
        <v>0</v>
      </c>
      <c r="N684" s="4">
        <v>500.32</v>
      </c>
      <c r="O684" s="4">
        <v>183.71</v>
      </c>
      <c r="P684" s="4">
        <v>12.45</v>
      </c>
      <c r="Q684" s="4">
        <v>2</v>
      </c>
      <c r="R684" s="4">
        <v>8.26</v>
      </c>
      <c r="S684" s="4">
        <v>0</v>
      </c>
      <c r="T684" s="4">
        <v>0</v>
      </c>
      <c r="U684" s="4">
        <v>206.42</v>
      </c>
      <c r="V684" s="4">
        <v>293.89999999999998</v>
      </c>
      <c r="W684" t="s">
        <v>21</v>
      </c>
      <c r="X684" t="s">
        <v>36</v>
      </c>
      <c r="Y684" s="4">
        <v>9</v>
      </c>
      <c r="Z684" s="4">
        <v>15</v>
      </c>
      <c r="AA684" t="s">
        <v>37</v>
      </c>
      <c r="AB684" t="s">
        <v>38</v>
      </c>
      <c r="AC684" s="7">
        <v>0</v>
      </c>
      <c r="AD684" t="s">
        <v>39</v>
      </c>
      <c r="AE684">
        <f t="shared" si="10"/>
        <v>0</v>
      </c>
    </row>
    <row r="685" spans="1:31" x14ac:dyDescent="0.35">
      <c r="A685">
        <v>100684</v>
      </c>
      <c r="B685" s="3">
        <v>45967</v>
      </c>
      <c r="C685">
        <v>1112</v>
      </c>
      <c r="D685" t="s">
        <v>30</v>
      </c>
      <c r="E685" t="s">
        <v>62</v>
      </c>
      <c r="F685" t="s">
        <v>32</v>
      </c>
      <c r="G685" t="s">
        <v>50</v>
      </c>
      <c r="H685" t="s">
        <v>34</v>
      </c>
      <c r="I685" t="s">
        <v>35</v>
      </c>
      <c r="J685" s="4">
        <v>48.63</v>
      </c>
      <c r="K685" s="4">
        <v>17.350000000000001</v>
      </c>
      <c r="L685">
        <v>5</v>
      </c>
      <c r="M685" s="4">
        <v>42.19</v>
      </c>
      <c r="N685" s="4">
        <v>801.54</v>
      </c>
      <c r="O685" s="4">
        <v>402.48</v>
      </c>
      <c r="P685" s="4">
        <v>13.15</v>
      </c>
      <c r="Q685" s="4">
        <v>5.91</v>
      </c>
      <c r="R685" s="4">
        <v>7.89</v>
      </c>
      <c r="S685" s="4">
        <v>0</v>
      </c>
      <c r="T685" s="4">
        <v>0</v>
      </c>
      <c r="U685" s="4">
        <v>429.43</v>
      </c>
      <c r="V685" s="4">
        <v>372.11</v>
      </c>
      <c r="W685" t="s">
        <v>21</v>
      </c>
      <c r="X685" t="s">
        <v>36</v>
      </c>
      <c r="Y685" s="4">
        <v>12</v>
      </c>
      <c r="Z685" s="4">
        <v>1</v>
      </c>
      <c r="AA685" t="s">
        <v>37</v>
      </c>
      <c r="AB685" t="s">
        <v>38</v>
      </c>
      <c r="AC685" s="7">
        <v>0</v>
      </c>
      <c r="AD685" t="s">
        <v>39</v>
      </c>
      <c r="AE685">
        <f t="shared" si="10"/>
        <v>0</v>
      </c>
    </row>
    <row r="686" spans="1:31" x14ac:dyDescent="0.35">
      <c r="A686">
        <v>100685</v>
      </c>
      <c r="B686" s="3">
        <v>45943</v>
      </c>
      <c r="C686">
        <v>1098</v>
      </c>
      <c r="D686" t="s">
        <v>64</v>
      </c>
      <c r="E686" t="s">
        <v>76</v>
      </c>
      <c r="F686" t="s">
        <v>71</v>
      </c>
      <c r="G686" t="s">
        <v>63</v>
      </c>
      <c r="H686" t="s">
        <v>34</v>
      </c>
      <c r="I686" t="s">
        <v>42</v>
      </c>
      <c r="J686" s="4">
        <v>14.4</v>
      </c>
      <c r="K686" s="4">
        <v>12.43</v>
      </c>
      <c r="L686">
        <v>5</v>
      </c>
      <c r="M686" s="4">
        <v>8.9499999999999993</v>
      </c>
      <c r="N686" s="4">
        <v>170.04</v>
      </c>
      <c r="O686" s="4">
        <v>110.78</v>
      </c>
      <c r="P686" s="4">
        <v>10.73</v>
      </c>
      <c r="Q686" s="4">
        <v>2.68</v>
      </c>
      <c r="R686" s="4">
        <v>8.84</v>
      </c>
      <c r="S686" s="4">
        <v>0</v>
      </c>
      <c r="T686" s="4">
        <v>0</v>
      </c>
      <c r="U686" s="4">
        <v>133.03</v>
      </c>
      <c r="V686" s="4">
        <v>37.01</v>
      </c>
      <c r="W686" t="s">
        <v>21</v>
      </c>
      <c r="X686" t="s">
        <v>36</v>
      </c>
      <c r="Y686" s="4">
        <v>20</v>
      </c>
      <c r="Z686" s="4">
        <v>5</v>
      </c>
      <c r="AA686" t="s">
        <v>52</v>
      </c>
      <c r="AB686" t="s">
        <v>38</v>
      </c>
      <c r="AC686" s="7">
        <v>0</v>
      </c>
      <c r="AD686" t="s">
        <v>39</v>
      </c>
      <c r="AE686">
        <f t="shared" si="10"/>
        <v>0</v>
      </c>
    </row>
    <row r="687" spans="1:31" x14ac:dyDescent="0.35">
      <c r="A687">
        <v>100686</v>
      </c>
      <c r="B687" s="3">
        <v>45970</v>
      </c>
      <c r="C687">
        <v>1031</v>
      </c>
      <c r="D687" t="s">
        <v>59</v>
      </c>
      <c r="E687" t="s">
        <v>70</v>
      </c>
      <c r="F687" t="s">
        <v>41</v>
      </c>
      <c r="G687" t="s">
        <v>63</v>
      </c>
      <c r="H687" t="s">
        <v>34</v>
      </c>
      <c r="I687" t="s">
        <v>35</v>
      </c>
      <c r="J687" s="4">
        <v>21.84</v>
      </c>
      <c r="K687" s="4">
        <v>12.91</v>
      </c>
      <c r="L687">
        <v>15</v>
      </c>
      <c r="M687" s="4">
        <v>42.29</v>
      </c>
      <c r="N687" s="4">
        <v>239.66</v>
      </c>
      <c r="O687" s="4">
        <v>159.15</v>
      </c>
      <c r="P687" s="4">
        <v>18.21</v>
      </c>
      <c r="Q687" s="4">
        <v>1.97</v>
      </c>
      <c r="R687" s="4">
        <v>7.98</v>
      </c>
      <c r="S687" s="4">
        <v>111.37</v>
      </c>
      <c r="T687" s="4">
        <v>0</v>
      </c>
      <c r="U687" s="4">
        <v>298.68</v>
      </c>
      <c r="V687" s="4">
        <v>-59.02</v>
      </c>
      <c r="W687" t="s">
        <v>58</v>
      </c>
      <c r="X687" t="s">
        <v>66</v>
      </c>
      <c r="Y687" s="4">
        <v>2</v>
      </c>
      <c r="Z687" s="4">
        <v>2</v>
      </c>
      <c r="AA687" t="s">
        <v>37</v>
      </c>
      <c r="AB687" t="s">
        <v>38</v>
      </c>
      <c r="AC687" s="7">
        <v>1</v>
      </c>
      <c r="AD687" t="s">
        <v>45</v>
      </c>
      <c r="AE687">
        <f t="shared" si="10"/>
        <v>0</v>
      </c>
    </row>
    <row r="688" spans="1:31" x14ac:dyDescent="0.35">
      <c r="A688">
        <v>100687</v>
      </c>
      <c r="B688" s="3">
        <v>45938</v>
      </c>
      <c r="C688">
        <v>1001</v>
      </c>
      <c r="D688" t="s">
        <v>59</v>
      </c>
      <c r="E688" t="s">
        <v>68</v>
      </c>
      <c r="F688" t="s">
        <v>32</v>
      </c>
      <c r="G688" t="s">
        <v>63</v>
      </c>
      <c r="H688" t="s">
        <v>34</v>
      </c>
      <c r="I688" t="s">
        <v>42</v>
      </c>
      <c r="J688" s="4">
        <v>23.35</v>
      </c>
      <c r="K688" s="4">
        <v>12.46</v>
      </c>
      <c r="L688">
        <v>15</v>
      </c>
      <c r="M688" s="4">
        <v>43.64</v>
      </c>
      <c r="N688" s="4">
        <v>247.3</v>
      </c>
      <c r="O688" s="4">
        <v>204.88</v>
      </c>
      <c r="P688" s="4">
        <v>13.44</v>
      </c>
      <c r="Q688" s="4">
        <v>4.3600000000000003</v>
      </c>
      <c r="R688" s="4">
        <v>7.96</v>
      </c>
      <c r="S688" s="4">
        <v>0</v>
      </c>
      <c r="T688" s="4">
        <v>0</v>
      </c>
      <c r="U688" s="4">
        <v>230.64</v>
      </c>
      <c r="V688" s="4">
        <v>16.66</v>
      </c>
      <c r="W688" t="s">
        <v>21</v>
      </c>
      <c r="X688" t="s">
        <v>36</v>
      </c>
      <c r="Y688" s="4">
        <v>4</v>
      </c>
      <c r="Z688" s="4">
        <v>3</v>
      </c>
      <c r="AA688" t="s">
        <v>37</v>
      </c>
      <c r="AB688" t="s">
        <v>38</v>
      </c>
      <c r="AC688" s="7">
        <v>0</v>
      </c>
      <c r="AD688" t="s">
        <v>39</v>
      </c>
      <c r="AE688">
        <f t="shared" si="10"/>
        <v>0</v>
      </c>
    </row>
    <row r="689" spans="1:31" x14ac:dyDescent="0.35">
      <c r="A689">
        <v>100688</v>
      </c>
      <c r="B689" s="3">
        <v>45971</v>
      </c>
      <c r="C689">
        <v>1109</v>
      </c>
      <c r="D689" t="s">
        <v>30</v>
      </c>
      <c r="E689" t="s">
        <v>40</v>
      </c>
      <c r="F689" t="s">
        <v>32</v>
      </c>
      <c r="G689" t="s">
        <v>50</v>
      </c>
      <c r="H689" t="s">
        <v>34</v>
      </c>
      <c r="I689" t="s">
        <v>42</v>
      </c>
      <c r="J689" s="4">
        <v>30.3</v>
      </c>
      <c r="K689" s="4">
        <v>17.37</v>
      </c>
      <c r="L689">
        <v>0</v>
      </c>
      <c r="M689" s="4">
        <v>0</v>
      </c>
      <c r="N689" s="4">
        <v>526.30999999999995</v>
      </c>
      <c r="O689" s="4">
        <v>204.94</v>
      </c>
      <c r="P689" s="4">
        <v>7.78</v>
      </c>
      <c r="Q689" s="4">
        <v>7.89</v>
      </c>
      <c r="R689" s="4">
        <v>7.08</v>
      </c>
      <c r="S689" s="4">
        <v>0</v>
      </c>
      <c r="T689" s="4">
        <v>0</v>
      </c>
      <c r="U689" s="4">
        <v>227.69</v>
      </c>
      <c r="V689" s="4">
        <v>298.62</v>
      </c>
      <c r="W689" t="s">
        <v>21</v>
      </c>
      <c r="X689" t="s">
        <v>36</v>
      </c>
      <c r="Y689" s="4">
        <v>75</v>
      </c>
      <c r="Z689" s="4">
        <v>10</v>
      </c>
      <c r="AA689" t="s">
        <v>43</v>
      </c>
      <c r="AB689" t="s">
        <v>44</v>
      </c>
      <c r="AC689" s="7">
        <v>3</v>
      </c>
      <c r="AD689" t="s">
        <v>45</v>
      </c>
      <c r="AE689">
        <f t="shared" si="10"/>
        <v>1</v>
      </c>
    </row>
    <row r="690" spans="1:31" x14ac:dyDescent="0.35">
      <c r="A690">
        <v>100689</v>
      </c>
      <c r="B690" s="3">
        <v>45982</v>
      </c>
      <c r="C690">
        <v>1012</v>
      </c>
      <c r="D690" t="s">
        <v>47</v>
      </c>
      <c r="E690" t="s">
        <v>48</v>
      </c>
      <c r="F690" t="s">
        <v>41</v>
      </c>
      <c r="G690" t="s">
        <v>46</v>
      </c>
      <c r="H690" t="s">
        <v>34</v>
      </c>
      <c r="I690" t="s">
        <v>42</v>
      </c>
      <c r="J690" s="4">
        <v>22.4</v>
      </c>
      <c r="K690" s="4">
        <v>16.03</v>
      </c>
      <c r="L690">
        <v>5</v>
      </c>
      <c r="M690" s="4">
        <v>17.95</v>
      </c>
      <c r="N690" s="4">
        <v>341.12</v>
      </c>
      <c r="O690" s="4">
        <v>154.85</v>
      </c>
      <c r="P690" s="4">
        <v>5.3</v>
      </c>
      <c r="Q690" s="4">
        <v>5.39</v>
      </c>
      <c r="R690" s="4">
        <v>12.34</v>
      </c>
      <c r="S690" s="4">
        <v>0</v>
      </c>
      <c r="T690" s="4">
        <v>0</v>
      </c>
      <c r="U690" s="4">
        <v>177.88</v>
      </c>
      <c r="V690" s="4">
        <v>163.24</v>
      </c>
      <c r="W690" t="s">
        <v>21</v>
      </c>
      <c r="X690" t="s">
        <v>36</v>
      </c>
      <c r="Y690" s="4">
        <v>18</v>
      </c>
      <c r="Z690" s="4">
        <v>0</v>
      </c>
      <c r="AA690" t="s">
        <v>52</v>
      </c>
      <c r="AB690" t="s">
        <v>38</v>
      </c>
      <c r="AC690" s="7">
        <v>0</v>
      </c>
      <c r="AD690" t="s">
        <v>39</v>
      </c>
      <c r="AE690">
        <f t="shared" si="10"/>
        <v>0</v>
      </c>
    </row>
    <row r="691" spans="1:31" x14ac:dyDescent="0.35">
      <c r="A691">
        <v>100690</v>
      </c>
      <c r="B691" s="3">
        <v>45954</v>
      </c>
      <c r="C691">
        <v>1041</v>
      </c>
      <c r="D691" t="s">
        <v>59</v>
      </c>
      <c r="E691" t="s">
        <v>73</v>
      </c>
      <c r="F691" t="s">
        <v>32</v>
      </c>
      <c r="G691" t="s">
        <v>46</v>
      </c>
      <c r="H691" t="s">
        <v>57</v>
      </c>
      <c r="I691" t="s">
        <v>69</v>
      </c>
      <c r="J691" s="4">
        <v>27.25</v>
      </c>
      <c r="K691" s="4">
        <v>15.31</v>
      </c>
      <c r="L691">
        <v>15</v>
      </c>
      <c r="M691" s="4">
        <v>62.58</v>
      </c>
      <c r="N691" s="4">
        <v>354.62</v>
      </c>
      <c r="O691" s="4">
        <v>213.15</v>
      </c>
      <c r="P691" s="4">
        <v>4</v>
      </c>
      <c r="Q691" s="4">
        <v>1.67</v>
      </c>
      <c r="R691" s="4">
        <v>5.44</v>
      </c>
      <c r="S691" s="4">
        <v>0</v>
      </c>
      <c r="T691" s="4">
        <v>0</v>
      </c>
      <c r="U691" s="4">
        <v>224.26</v>
      </c>
      <c r="V691" s="4">
        <v>130.36000000000001</v>
      </c>
      <c r="W691" t="s">
        <v>21</v>
      </c>
      <c r="X691" t="s">
        <v>36</v>
      </c>
      <c r="Y691" s="4">
        <v>2</v>
      </c>
      <c r="Z691" s="4">
        <v>2</v>
      </c>
      <c r="AA691" t="s">
        <v>37</v>
      </c>
      <c r="AB691" t="s">
        <v>38</v>
      </c>
      <c r="AC691" s="7">
        <v>0</v>
      </c>
      <c r="AD691" t="s">
        <v>39</v>
      </c>
      <c r="AE691">
        <f t="shared" si="10"/>
        <v>0</v>
      </c>
    </row>
    <row r="692" spans="1:31" x14ac:dyDescent="0.35">
      <c r="A692">
        <v>100691</v>
      </c>
      <c r="B692" s="3">
        <v>45955</v>
      </c>
      <c r="C692">
        <v>1059</v>
      </c>
      <c r="D692" t="s">
        <v>30</v>
      </c>
      <c r="E692" t="s">
        <v>62</v>
      </c>
      <c r="F692" t="s">
        <v>61</v>
      </c>
      <c r="G692" t="s">
        <v>63</v>
      </c>
      <c r="H692" t="s">
        <v>51</v>
      </c>
      <c r="I692" t="s">
        <v>35</v>
      </c>
      <c r="J692" s="4">
        <v>20.02</v>
      </c>
      <c r="K692" s="4">
        <v>12.31</v>
      </c>
      <c r="L692">
        <v>10</v>
      </c>
      <c r="M692" s="4">
        <v>24.64</v>
      </c>
      <c r="N692" s="4">
        <v>221.81</v>
      </c>
      <c r="O692" s="4">
        <v>130.25</v>
      </c>
      <c r="P692" s="4">
        <v>4.57</v>
      </c>
      <c r="Q692" s="4">
        <v>1.73</v>
      </c>
      <c r="R692" s="4">
        <v>2.88</v>
      </c>
      <c r="S692" s="4">
        <v>0</v>
      </c>
      <c r="T692" s="4">
        <v>0</v>
      </c>
      <c r="U692" s="4">
        <v>139.43</v>
      </c>
      <c r="V692" s="4">
        <v>82.38</v>
      </c>
      <c r="W692" t="s">
        <v>21</v>
      </c>
      <c r="X692" t="s">
        <v>36</v>
      </c>
      <c r="Y692" s="4">
        <v>10</v>
      </c>
      <c r="Z692" s="4">
        <v>9</v>
      </c>
      <c r="AA692" t="s">
        <v>37</v>
      </c>
      <c r="AB692" t="s">
        <v>38</v>
      </c>
      <c r="AC692" s="7">
        <v>0</v>
      </c>
      <c r="AD692" t="s">
        <v>39</v>
      </c>
      <c r="AE692">
        <f t="shared" si="10"/>
        <v>0</v>
      </c>
    </row>
    <row r="693" spans="1:31" x14ac:dyDescent="0.35">
      <c r="A693">
        <v>100692</v>
      </c>
      <c r="B693" s="3">
        <v>45964</v>
      </c>
      <c r="C693">
        <v>1067</v>
      </c>
      <c r="D693" t="s">
        <v>59</v>
      </c>
      <c r="E693" t="s">
        <v>73</v>
      </c>
      <c r="F693" t="s">
        <v>49</v>
      </c>
      <c r="G693" t="s">
        <v>63</v>
      </c>
      <c r="H693" t="s">
        <v>34</v>
      </c>
      <c r="I693" t="s">
        <v>42</v>
      </c>
      <c r="J693" s="4">
        <v>13.77</v>
      </c>
      <c r="K693" s="4">
        <v>12.3</v>
      </c>
      <c r="L693">
        <v>10</v>
      </c>
      <c r="M693" s="4">
        <v>16.940000000000001</v>
      </c>
      <c r="N693" s="4">
        <v>152.43</v>
      </c>
      <c r="O693" s="4">
        <v>104.66</v>
      </c>
      <c r="P693" s="4">
        <v>3.68</v>
      </c>
      <c r="Q693" s="4">
        <v>2.54</v>
      </c>
      <c r="R693" s="4">
        <v>4.0599999999999996</v>
      </c>
      <c r="S693" s="4">
        <v>0</v>
      </c>
      <c r="T693" s="4">
        <v>0</v>
      </c>
      <c r="U693" s="4">
        <v>114.94</v>
      </c>
      <c r="V693" s="4">
        <v>37.49</v>
      </c>
      <c r="W693" t="s">
        <v>21</v>
      </c>
      <c r="X693" t="s">
        <v>36</v>
      </c>
      <c r="Y693" s="4">
        <v>17</v>
      </c>
      <c r="Z693" s="4">
        <v>9</v>
      </c>
      <c r="AA693" t="s">
        <v>52</v>
      </c>
      <c r="AB693" t="s">
        <v>38</v>
      </c>
      <c r="AC693" s="7">
        <v>0</v>
      </c>
      <c r="AD693" t="s">
        <v>39</v>
      </c>
      <c r="AE693">
        <f t="shared" si="10"/>
        <v>0</v>
      </c>
    </row>
    <row r="694" spans="1:31" x14ac:dyDescent="0.35">
      <c r="A694">
        <v>100693</v>
      </c>
      <c r="B694" s="3">
        <v>45973</v>
      </c>
      <c r="C694">
        <v>1032</v>
      </c>
      <c r="D694" t="s">
        <v>59</v>
      </c>
      <c r="E694" t="s">
        <v>70</v>
      </c>
      <c r="F694" t="s">
        <v>49</v>
      </c>
      <c r="G694" t="s">
        <v>63</v>
      </c>
      <c r="H694" t="s">
        <v>34</v>
      </c>
      <c r="I694" t="s">
        <v>69</v>
      </c>
      <c r="J694" s="4">
        <v>12.55</v>
      </c>
      <c r="K694" s="4">
        <v>13.31</v>
      </c>
      <c r="L694">
        <v>5</v>
      </c>
      <c r="M694" s="4">
        <v>8.35</v>
      </c>
      <c r="N694" s="4">
        <v>158.69</v>
      </c>
      <c r="O694" s="4">
        <v>96.77</v>
      </c>
      <c r="P694" s="4">
        <v>13.25</v>
      </c>
      <c r="Q694" s="4">
        <v>0.67</v>
      </c>
      <c r="R694" s="4">
        <v>3.13</v>
      </c>
      <c r="S694" s="4">
        <v>0</v>
      </c>
      <c r="T694" s="4">
        <v>0</v>
      </c>
      <c r="U694" s="4">
        <v>113.82</v>
      </c>
      <c r="V694" s="4">
        <v>44.87</v>
      </c>
      <c r="W694" t="s">
        <v>21</v>
      </c>
      <c r="X694" t="s">
        <v>36</v>
      </c>
      <c r="Y694" s="4">
        <v>1</v>
      </c>
      <c r="Z694" s="4">
        <v>10</v>
      </c>
      <c r="AA694" t="s">
        <v>37</v>
      </c>
      <c r="AB694" t="s">
        <v>38</v>
      </c>
      <c r="AC694" s="7">
        <v>0</v>
      </c>
      <c r="AD694" t="s">
        <v>39</v>
      </c>
      <c r="AE694">
        <f t="shared" si="10"/>
        <v>0</v>
      </c>
    </row>
    <row r="695" spans="1:31" x14ac:dyDescent="0.35">
      <c r="A695">
        <v>100694</v>
      </c>
      <c r="B695" s="3">
        <v>45960</v>
      </c>
      <c r="C695">
        <v>1040</v>
      </c>
      <c r="D695" t="s">
        <v>64</v>
      </c>
      <c r="E695" t="s">
        <v>65</v>
      </c>
      <c r="F695" t="s">
        <v>71</v>
      </c>
      <c r="G695" t="s">
        <v>63</v>
      </c>
      <c r="H695" t="s">
        <v>34</v>
      </c>
      <c r="I695" t="s">
        <v>35</v>
      </c>
      <c r="J695" s="4">
        <v>20.52</v>
      </c>
      <c r="K695" s="4">
        <v>12.97</v>
      </c>
      <c r="L695">
        <v>0</v>
      </c>
      <c r="M695" s="4">
        <v>0</v>
      </c>
      <c r="N695" s="4">
        <v>266.14</v>
      </c>
      <c r="O695" s="4">
        <v>141.21</v>
      </c>
      <c r="P695" s="4">
        <v>9.8699999999999992</v>
      </c>
      <c r="Q695" s="4">
        <v>1.86</v>
      </c>
      <c r="R695" s="4">
        <v>11</v>
      </c>
      <c r="S695" s="4">
        <v>0</v>
      </c>
      <c r="T695" s="4">
        <v>0</v>
      </c>
      <c r="U695" s="4">
        <v>163.94</v>
      </c>
      <c r="V695" s="4">
        <v>102.2</v>
      </c>
      <c r="W695" t="s">
        <v>21</v>
      </c>
      <c r="X695" t="s">
        <v>36</v>
      </c>
      <c r="Y695" s="4">
        <v>15</v>
      </c>
      <c r="Z695" s="4">
        <v>26</v>
      </c>
      <c r="AA695" t="s">
        <v>37</v>
      </c>
      <c r="AB695" t="s">
        <v>44</v>
      </c>
      <c r="AC695" s="7">
        <v>2</v>
      </c>
      <c r="AD695" t="s">
        <v>45</v>
      </c>
      <c r="AE695">
        <f t="shared" si="10"/>
        <v>1</v>
      </c>
    </row>
    <row r="696" spans="1:31" x14ac:dyDescent="0.35">
      <c r="A696">
        <v>100695</v>
      </c>
      <c r="B696" s="3">
        <v>45979</v>
      </c>
      <c r="C696">
        <v>1057</v>
      </c>
      <c r="D696" t="s">
        <v>59</v>
      </c>
      <c r="E696" t="s">
        <v>70</v>
      </c>
      <c r="F696" t="s">
        <v>61</v>
      </c>
      <c r="G696" t="s">
        <v>50</v>
      </c>
      <c r="H696" t="s">
        <v>34</v>
      </c>
      <c r="I696" t="s">
        <v>35</v>
      </c>
      <c r="J696" s="4">
        <v>29.27</v>
      </c>
      <c r="K696" s="4">
        <v>17.34</v>
      </c>
      <c r="L696">
        <v>0</v>
      </c>
      <c r="M696" s="4">
        <v>0</v>
      </c>
      <c r="N696" s="4">
        <v>507.54</v>
      </c>
      <c r="O696" s="4">
        <v>195.4</v>
      </c>
      <c r="P696" s="4">
        <v>6.18</v>
      </c>
      <c r="Q696" s="4">
        <v>3.55</v>
      </c>
      <c r="R696" s="4">
        <v>0</v>
      </c>
      <c r="S696" s="4">
        <v>0</v>
      </c>
      <c r="T696" s="4">
        <v>0</v>
      </c>
      <c r="U696" s="4">
        <v>205.13</v>
      </c>
      <c r="V696" s="4">
        <v>302.41000000000003</v>
      </c>
      <c r="W696" t="s">
        <v>21</v>
      </c>
      <c r="X696" t="s">
        <v>36</v>
      </c>
      <c r="Y696" s="4">
        <v>12</v>
      </c>
      <c r="Z696" s="4">
        <v>0</v>
      </c>
      <c r="AA696" t="s">
        <v>37</v>
      </c>
      <c r="AB696" t="s">
        <v>38</v>
      </c>
      <c r="AC696" s="7">
        <v>0</v>
      </c>
      <c r="AD696" t="s">
        <v>39</v>
      </c>
      <c r="AE696">
        <f t="shared" si="10"/>
        <v>0</v>
      </c>
    </row>
    <row r="697" spans="1:31" x14ac:dyDescent="0.35">
      <c r="A697">
        <v>100696</v>
      </c>
      <c r="B697" s="3">
        <v>45964</v>
      </c>
      <c r="C697">
        <v>1146</v>
      </c>
      <c r="D697" t="s">
        <v>64</v>
      </c>
      <c r="E697" t="s">
        <v>76</v>
      </c>
      <c r="F697" t="s">
        <v>41</v>
      </c>
      <c r="G697" t="s">
        <v>50</v>
      </c>
      <c r="H697" t="s">
        <v>34</v>
      </c>
      <c r="I697" t="s">
        <v>54</v>
      </c>
      <c r="J697" s="4">
        <v>27.16</v>
      </c>
      <c r="K697" s="4">
        <v>16.47</v>
      </c>
      <c r="L697">
        <v>0</v>
      </c>
      <c r="M697" s="4">
        <v>0</v>
      </c>
      <c r="N697" s="4">
        <v>447.33</v>
      </c>
      <c r="O697" s="4">
        <v>210.75</v>
      </c>
      <c r="P697" s="4">
        <v>6.24</v>
      </c>
      <c r="Q697" s="4">
        <v>5.37</v>
      </c>
      <c r="R697" s="4">
        <v>9.1999999999999993</v>
      </c>
      <c r="S697" s="4">
        <v>0</v>
      </c>
      <c r="T697" s="4">
        <v>0</v>
      </c>
      <c r="U697" s="4">
        <v>231.56</v>
      </c>
      <c r="V697" s="4">
        <v>215.77</v>
      </c>
      <c r="W697" t="s">
        <v>21</v>
      </c>
      <c r="X697" t="s">
        <v>36</v>
      </c>
      <c r="Y697" s="4">
        <v>10</v>
      </c>
      <c r="Z697" s="4">
        <v>0</v>
      </c>
      <c r="AA697" t="s">
        <v>37</v>
      </c>
      <c r="AB697" t="s">
        <v>38</v>
      </c>
      <c r="AC697" s="7">
        <v>0</v>
      </c>
      <c r="AD697" t="s">
        <v>39</v>
      </c>
      <c r="AE697">
        <f t="shared" si="10"/>
        <v>0</v>
      </c>
    </row>
    <row r="698" spans="1:31" x14ac:dyDescent="0.35">
      <c r="A698">
        <v>100697</v>
      </c>
      <c r="B698" s="3">
        <v>45999</v>
      </c>
      <c r="C698">
        <v>1018</v>
      </c>
      <c r="D698" t="s">
        <v>64</v>
      </c>
      <c r="E698" t="s">
        <v>67</v>
      </c>
      <c r="F698" t="s">
        <v>49</v>
      </c>
      <c r="G698" t="s">
        <v>46</v>
      </c>
      <c r="H698" t="s">
        <v>51</v>
      </c>
      <c r="I698" t="s">
        <v>42</v>
      </c>
      <c r="J698" s="4">
        <v>28.16</v>
      </c>
      <c r="K698" s="4">
        <v>15.47</v>
      </c>
      <c r="L698">
        <v>10</v>
      </c>
      <c r="M698" s="4">
        <v>43.56</v>
      </c>
      <c r="N698" s="4">
        <v>392.08</v>
      </c>
      <c r="O698" s="4">
        <v>160.30000000000001</v>
      </c>
      <c r="P698" s="4">
        <v>11.18</v>
      </c>
      <c r="Q698" s="4">
        <v>6.53</v>
      </c>
      <c r="R698" s="4">
        <v>3.65</v>
      </c>
      <c r="S698" s="4">
        <v>291.91000000000003</v>
      </c>
      <c r="T698" s="4">
        <v>22.48</v>
      </c>
      <c r="U698" s="4">
        <v>496.05</v>
      </c>
      <c r="V698" s="4">
        <v>-103.97</v>
      </c>
      <c r="W698" t="s">
        <v>58</v>
      </c>
      <c r="X698" t="s">
        <v>66</v>
      </c>
      <c r="Y698" s="4">
        <v>5</v>
      </c>
      <c r="Z698" s="4">
        <v>9</v>
      </c>
      <c r="AA698" t="s">
        <v>37</v>
      </c>
      <c r="AB698" t="s">
        <v>38</v>
      </c>
      <c r="AC698" s="7">
        <v>1</v>
      </c>
      <c r="AD698" t="s">
        <v>45</v>
      </c>
      <c r="AE698">
        <f t="shared" si="10"/>
        <v>0</v>
      </c>
    </row>
    <row r="699" spans="1:31" x14ac:dyDescent="0.35">
      <c r="A699">
        <v>100698</v>
      </c>
      <c r="B699" s="3">
        <v>46022</v>
      </c>
      <c r="C699">
        <v>1046</v>
      </c>
      <c r="D699" t="s">
        <v>47</v>
      </c>
      <c r="E699" t="s">
        <v>53</v>
      </c>
      <c r="F699" t="s">
        <v>71</v>
      </c>
      <c r="G699" t="s">
        <v>63</v>
      </c>
      <c r="H699" t="s">
        <v>51</v>
      </c>
      <c r="I699" t="s">
        <v>35</v>
      </c>
      <c r="J699" s="4">
        <v>15.02</v>
      </c>
      <c r="K699" s="4">
        <v>12.93</v>
      </c>
      <c r="L699">
        <v>0</v>
      </c>
      <c r="M699" s="4">
        <v>0</v>
      </c>
      <c r="N699" s="4">
        <v>194.21</v>
      </c>
      <c r="O699" s="4">
        <v>102.63</v>
      </c>
      <c r="P699" s="4">
        <v>11.03</v>
      </c>
      <c r="Q699" s="4">
        <v>1.36</v>
      </c>
      <c r="R699" s="4">
        <v>6.37</v>
      </c>
      <c r="S699" s="4">
        <v>0</v>
      </c>
      <c r="T699" s="4">
        <v>0</v>
      </c>
      <c r="U699" s="4">
        <v>121.39</v>
      </c>
      <c r="V699" s="4">
        <v>72.819999999999993</v>
      </c>
      <c r="W699" t="s">
        <v>21</v>
      </c>
      <c r="X699" t="s">
        <v>36</v>
      </c>
      <c r="Y699" s="4">
        <v>2</v>
      </c>
      <c r="Z699" s="4">
        <v>62</v>
      </c>
      <c r="AA699" t="s">
        <v>37</v>
      </c>
      <c r="AB699" t="s">
        <v>44</v>
      </c>
      <c r="AC699" s="7">
        <v>1</v>
      </c>
      <c r="AD699" t="s">
        <v>45</v>
      </c>
      <c r="AE699">
        <f t="shared" si="10"/>
        <v>1</v>
      </c>
    </row>
    <row r="700" spans="1:31" x14ac:dyDescent="0.35">
      <c r="A700">
        <v>100699</v>
      </c>
      <c r="B700" s="3">
        <v>46014</v>
      </c>
      <c r="C700">
        <v>1148</v>
      </c>
      <c r="D700" t="s">
        <v>47</v>
      </c>
      <c r="E700" t="s">
        <v>56</v>
      </c>
      <c r="F700" t="s">
        <v>71</v>
      </c>
      <c r="G700" t="s">
        <v>33</v>
      </c>
      <c r="H700" t="s">
        <v>34</v>
      </c>
      <c r="I700" t="s">
        <v>35</v>
      </c>
      <c r="J700" s="4">
        <v>29.33</v>
      </c>
      <c r="K700" s="4">
        <v>17.239999999999998</v>
      </c>
      <c r="L700">
        <v>10</v>
      </c>
      <c r="M700" s="4">
        <v>50.56</v>
      </c>
      <c r="N700" s="4">
        <v>455.09</v>
      </c>
      <c r="O700" s="4">
        <v>201.28</v>
      </c>
      <c r="P700" s="4">
        <v>8.4700000000000006</v>
      </c>
      <c r="Q700" s="4">
        <v>3.54</v>
      </c>
      <c r="R700" s="4">
        <v>5.74</v>
      </c>
      <c r="S700" s="4">
        <v>0</v>
      </c>
      <c r="T700" s="4">
        <v>0</v>
      </c>
      <c r="U700" s="4">
        <v>219.03</v>
      </c>
      <c r="V700" s="4">
        <v>236.06</v>
      </c>
      <c r="W700" t="s">
        <v>21</v>
      </c>
      <c r="X700" t="s">
        <v>36</v>
      </c>
      <c r="Y700" s="4">
        <v>11</v>
      </c>
      <c r="Z700" s="4">
        <v>17</v>
      </c>
      <c r="AA700" t="s">
        <v>37</v>
      </c>
      <c r="AB700" t="s">
        <v>44</v>
      </c>
      <c r="AC700" s="7">
        <v>4</v>
      </c>
      <c r="AD700" t="s">
        <v>45</v>
      </c>
      <c r="AE700">
        <f t="shared" si="10"/>
        <v>1</v>
      </c>
    </row>
    <row r="701" spans="1:31" x14ac:dyDescent="0.35">
      <c r="A701">
        <v>100700</v>
      </c>
      <c r="B701" s="3">
        <v>45953</v>
      </c>
      <c r="C701">
        <v>1135</v>
      </c>
      <c r="D701" t="s">
        <v>30</v>
      </c>
      <c r="E701" t="s">
        <v>31</v>
      </c>
      <c r="F701" t="s">
        <v>61</v>
      </c>
      <c r="G701" t="s">
        <v>33</v>
      </c>
      <c r="H701" t="s">
        <v>34</v>
      </c>
      <c r="I701" t="s">
        <v>54</v>
      </c>
      <c r="J701" s="4">
        <v>26.24</v>
      </c>
      <c r="K701" s="4">
        <v>20.98</v>
      </c>
      <c r="L701">
        <v>0</v>
      </c>
      <c r="M701" s="4">
        <v>0</v>
      </c>
      <c r="N701" s="4">
        <v>550.52</v>
      </c>
      <c r="O701" s="4">
        <v>179.98</v>
      </c>
      <c r="P701" s="4">
        <v>6.06</v>
      </c>
      <c r="Q701" s="4">
        <v>6.61</v>
      </c>
      <c r="R701" s="4">
        <v>7.9</v>
      </c>
      <c r="S701" s="4">
        <v>0</v>
      </c>
      <c r="T701" s="4">
        <v>0</v>
      </c>
      <c r="U701" s="4">
        <v>200.55</v>
      </c>
      <c r="V701" s="4">
        <v>349.97</v>
      </c>
      <c r="W701" t="s">
        <v>21</v>
      </c>
      <c r="X701" t="s">
        <v>36</v>
      </c>
      <c r="Y701" s="4">
        <v>13</v>
      </c>
      <c r="Z701" s="4">
        <v>8</v>
      </c>
      <c r="AA701" t="s">
        <v>37</v>
      </c>
      <c r="AB701" t="s">
        <v>38</v>
      </c>
      <c r="AC701" s="7">
        <v>0</v>
      </c>
      <c r="AD701" t="s">
        <v>39</v>
      </c>
      <c r="AE701">
        <f t="shared" si="10"/>
        <v>0</v>
      </c>
    </row>
    <row r="702" spans="1:31" x14ac:dyDescent="0.35">
      <c r="A702">
        <v>100701</v>
      </c>
      <c r="B702" s="3">
        <v>46013</v>
      </c>
      <c r="C702">
        <v>1113</v>
      </c>
      <c r="D702" t="s">
        <v>47</v>
      </c>
      <c r="E702" t="s">
        <v>53</v>
      </c>
      <c r="F702" t="s">
        <v>71</v>
      </c>
      <c r="G702" t="s">
        <v>46</v>
      </c>
      <c r="H702" t="s">
        <v>34</v>
      </c>
      <c r="I702" t="s">
        <v>35</v>
      </c>
      <c r="J702" s="4">
        <v>33.840000000000003</v>
      </c>
      <c r="K702" s="4">
        <v>14.68</v>
      </c>
      <c r="L702">
        <v>0</v>
      </c>
      <c r="M702" s="4">
        <v>0</v>
      </c>
      <c r="N702" s="4">
        <v>496.77</v>
      </c>
      <c r="O702" s="4">
        <v>212.44</v>
      </c>
      <c r="P702" s="4">
        <v>5.52</v>
      </c>
      <c r="Q702" s="4">
        <v>3.48</v>
      </c>
      <c r="R702" s="4">
        <v>10.33</v>
      </c>
      <c r="S702" s="4">
        <v>0</v>
      </c>
      <c r="T702" s="4">
        <v>0</v>
      </c>
      <c r="U702" s="4">
        <v>231.77</v>
      </c>
      <c r="V702" s="4">
        <v>265</v>
      </c>
      <c r="W702" t="s">
        <v>21</v>
      </c>
      <c r="X702" t="s">
        <v>36</v>
      </c>
      <c r="Y702" s="4">
        <v>5</v>
      </c>
      <c r="Z702" s="4">
        <v>35</v>
      </c>
      <c r="AA702" t="s">
        <v>37</v>
      </c>
      <c r="AB702" t="s">
        <v>44</v>
      </c>
      <c r="AC702" s="7">
        <v>1</v>
      </c>
      <c r="AD702" t="s">
        <v>45</v>
      </c>
      <c r="AE702">
        <f t="shared" si="10"/>
        <v>1</v>
      </c>
    </row>
    <row r="703" spans="1:31" x14ac:dyDescent="0.35">
      <c r="A703">
        <v>100702</v>
      </c>
      <c r="B703" s="3">
        <v>45984</v>
      </c>
      <c r="C703">
        <v>1125</v>
      </c>
      <c r="D703" t="s">
        <v>47</v>
      </c>
      <c r="E703" t="s">
        <v>53</v>
      </c>
      <c r="F703" t="s">
        <v>71</v>
      </c>
      <c r="G703" t="s">
        <v>46</v>
      </c>
      <c r="H703" t="s">
        <v>57</v>
      </c>
      <c r="I703" t="s">
        <v>35</v>
      </c>
      <c r="J703" s="4">
        <v>30.55</v>
      </c>
      <c r="K703" s="4">
        <v>15.4</v>
      </c>
      <c r="L703">
        <v>15</v>
      </c>
      <c r="M703" s="4">
        <v>70.569999999999993</v>
      </c>
      <c r="N703" s="4">
        <v>399.9</v>
      </c>
      <c r="O703" s="4">
        <v>274.51</v>
      </c>
      <c r="P703" s="4">
        <v>5.31</v>
      </c>
      <c r="Q703" s="4">
        <v>3.29</v>
      </c>
      <c r="R703" s="4">
        <v>3.9</v>
      </c>
      <c r="S703" s="4">
        <v>394.7</v>
      </c>
      <c r="T703" s="4">
        <v>8.51</v>
      </c>
      <c r="U703" s="4">
        <v>690.22</v>
      </c>
      <c r="V703" s="4">
        <v>-290.32</v>
      </c>
      <c r="W703" t="s">
        <v>58</v>
      </c>
      <c r="X703" t="s">
        <v>66</v>
      </c>
      <c r="Y703" s="4">
        <v>3</v>
      </c>
      <c r="Z703" s="4">
        <v>0</v>
      </c>
      <c r="AA703" t="s">
        <v>37</v>
      </c>
      <c r="AB703" t="s">
        <v>38</v>
      </c>
      <c r="AC703" s="7">
        <v>1</v>
      </c>
      <c r="AD703" t="s">
        <v>45</v>
      </c>
      <c r="AE703">
        <f t="shared" si="10"/>
        <v>0</v>
      </c>
    </row>
    <row r="704" spans="1:31" x14ac:dyDescent="0.35">
      <c r="A704">
        <v>100703</v>
      </c>
      <c r="B704" s="3">
        <v>45983</v>
      </c>
      <c r="C704">
        <v>1056</v>
      </c>
      <c r="D704" t="s">
        <v>30</v>
      </c>
      <c r="E704" t="s">
        <v>72</v>
      </c>
      <c r="F704" t="s">
        <v>71</v>
      </c>
      <c r="G704" t="s">
        <v>50</v>
      </c>
      <c r="H704" t="s">
        <v>51</v>
      </c>
      <c r="I704" t="s">
        <v>42</v>
      </c>
      <c r="J704" s="4">
        <v>33</v>
      </c>
      <c r="K704" s="4">
        <v>16.79</v>
      </c>
      <c r="L704">
        <v>5</v>
      </c>
      <c r="M704" s="4">
        <v>27.7</v>
      </c>
      <c r="N704" s="4">
        <v>526.37</v>
      </c>
      <c r="O704" s="4">
        <v>210.49</v>
      </c>
      <c r="P704" s="4">
        <v>9.3000000000000007</v>
      </c>
      <c r="Q704" s="4">
        <v>8.31</v>
      </c>
      <c r="R704" s="4">
        <v>9.07</v>
      </c>
      <c r="S704" s="4">
        <v>0</v>
      </c>
      <c r="T704" s="4">
        <v>0</v>
      </c>
      <c r="U704" s="4">
        <v>237.17</v>
      </c>
      <c r="V704" s="4">
        <v>289.2</v>
      </c>
      <c r="W704" t="s">
        <v>21</v>
      </c>
      <c r="X704" t="s">
        <v>36</v>
      </c>
      <c r="Y704" s="4">
        <v>6</v>
      </c>
      <c r="Z704" s="4">
        <v>18</v>
      </c>
      <c r="AA704" t="s">
        <v>37</v>
      </c>
      <c r="AB704" t="s">
        <v>44</v>
      </c>
      <c r="AC704" s="7">
        <v>1</v>
      </c>
      <c r="AD704" t="s">
        <v>45</v>
      </c>
      <c r="AE704">
        <f t="shared" si="10"/>
        <v>1</v>
      </c>
    </row>
    <row r="705" spans="1:31" x14ac:dyDescent="0.35">
      <c r="A705">
        <v>100704</v>
      </c>
      <c r="B705" s="3">
        <v>45936</v>
      </c>
      <c r="C705">
        <v>1059</v>
      </c>
      <c r="D705" t="s">
        <v>47</v>
      </c>
      <c r="E705" t="s">
        <v>53</v>
      </c>
      <c r="F705" t="s">
        <v>71</v>
      </c>
      <c r="G705" t="s">
        <v>46</v>
      </c>
      <c r="H705" t="s">
        <v>34</v>
      </c>
      <c r="I705" t="s">
        <v>35</v>
      </c>
      <c r="J705" s="4">
        <v>13.73</v>
      </c>
      <c r="K705" s="4">
        <v>15.72</v>
      </c>
      <c r="L705">
        <v>10</v>
      </c>
      <c r="M705" s="4">
        <v>21.58</v>
      </c>
      <c r="N705" s="4">
        <v>194.26</v>
      </c>
      <c r="O705" s="4">
        <v>92.62</v>
      </c>
      <c r="P705" s="4">
        <v>4.1900000000000004</v>
      </c>
      <c r="Q705" s="4">
        <v>1.51</v>
      </c>
      <c r="R705" s="4">
        <v>0</v>
      </c>
      <c r="S705" s="4">
        <v>0</v>
      </c>
      <c r="T705" s="4">
        <v>0</v>
      </c>
      <c r="U705" s="4">
        <v>98.32</v>
      </c>
      <c r="V705" s="4">
        <v>95.94</v>
      </c>
      <c r="W705" t="s">
        <v>21</v>
      </c>
      <c r="X705" t="s">
        <v>36</v>
      </c>
      <c r="Y705" s="4">
        <v>27</v>
      </c>
      <c r="Z705" s="4">
        <v>6</v>
      </c>
      <c r="AA705" t="s">
        <v>52</v>
      </c>
      <c r="AB705" t="s">
        <v>44</v>
      </c>
      <c r="AC705" s="7">
        <v>2</v>
      </c>
      <c r="AD705" t="s">
        <v>45</v>
      </c>
      <c r="AE705">
        <f t="shared" si="10"/>
        <v>1</v>
      </c>
    </row>
    <row r="706" spans="1:31" x14ac:dyDescent="0.35">
      <c r="A706">
        <v>100705</v>
      </c>
      <c r="B706" s="3">
        <v>46016</v>
      </c>
      <c r="C706">
        <v>1107</v>
      </c>
      <c r="D706" t="s">
        <v>30</v>
      </c>
      <c r="E706" t="s">
        <v>31</v>
      </c>
      <c r="F706" t="s">
        <v>71</v>
      </c>
      <c r="G706" t="s">
        <v>46</v>
      </c>
      <c r="H706" t="s">
        <v>51</v>
      </c>
      <c r="I706" t="s">
        <v>42</v>
      </c>
      <c r="J706" s="4">
        <v>18.88</v>
      </c>
      <c r="K706" s="4">
        <v>15.47</v>
      </c>
      <c r="L706">
        <v>5</v>
      </c>
      <c r="M706" s="4">
        <v>14.6</v>
      </c>
      <c r="N706" s="4">
        <v>277.47000000000003</v>
      </c>
      <c r="O706" s="4">
        <v>149.16999999999999</v>
      </c>
      <c r="P706" s="4">
        <v>11</v>
      </c>
      <c r="Q706" s="4">
        <v>4.38</v>
      </c>
      <c r="R706" s="4">
        <v>14.46</v>
      </c>
      <c r="S706" s="4">
        <v>0</v>
      </c>
      <c r="T706" s="4">
        <v>0</v>
      </c>
      <c r="U706" s="4">
        <v>179.01</v>
      </c>
      <c r="V706" s="4">
        <v>98.46</v>
      </c>
      <c r="W706" t="s">
        <v>21</v>
      </c>
      <c r="X706" t="s">
        <v>36</v>
      </c>
      <c r="Y706" s="4">
        <v>1</v>
      </c>
      <c r="Z706" s="4">
        <v>23</v>
      </c>
      <c r="AA706" t="s">
        <v>37</v>
      </c>
      <c r="AB706" t="s">
        <v>44</v>
      </c>
      <c r="AC706" s="7">
        <v>3</v>
      </c>
      <c r="AD706" t="s">
        <v>45</v>
      </c>
      <c r="AE706">
        <f t="shared" si="10"/>
        <v>1</v>
      </c>
    </row>
    <row r="707" spans="1:31" x14ac:dyDescent="0.35">
      <c r="A707">
        <v>100706</v>
      </c>
      <c r="B707" s="3">
        <v>45993</v>
      </c>
      <c r="C707">
        <v>1041</v>
      </c>
      <c r="D707" t="s">
        <v>30</v>
      </c>
      <c r="E707" t="s">
        <v>31</v>
      </c>
      <c r="F707" t="s">
        <v>41</v>
      </c>
      <c r="G707" t="s">
        <v>63</v>
      </c>
      <c r="H707" t="s">
        <v>34</v>
      </c>
      <c r="I707" t="s">
        <v>54</v>
      </c>
      <c r="J707" s="4">
        <v>29.1</v>
      </c>
      <c r="K707" s="4">
        <v>12.91</v>
      </c>
      <c r="L707">
        <v>5</v>
      </c>
      <c r="M707" s="4">
        <v>18.78</v>
      </c>
      <c r="N707" s="4">
        <v>356.9</v>
      </c>
      <c r="O707" s="4">
        <v>210.83</v>
      </c>
      <c r="P707" s="4">
        <v>9.4700000000000006</v>
      </c>
      <c r="Q707" s="4">
        <v>4.51</v>
      </c>
      <c r="R707" s="4">
        <v>0</v>
      </c>
      <c r="S707" s="4">
        <v>199.65</v>
      </c>
      <c r="T707" s="4">
        <v>0</v>
      </c>
      <c r="U707" s="4">
        <v>424.46</v>
      </c>
      <c r="V707" s="4">
        <v>-67.56</v>
      </c>
      <c r="W707" t="s">
        <v>58</v>
      </c>
      <c r="X707" t="s">
        <v>66</v>
      </c>
      <c r="Y707" s="4">
        <v>2</v>
      </c>
      <c r="Z707" s="4">
        <v>0</v>
      </c>
      <c r="AA707" t="s">
        <v>37</v>
      </c>
      <c r="AB707" t="s">
        <v>38</v>
      </c>
      <c r="AC707" s="7">
        <v>1</v>
      </c>
      <c r="AD707" t="s">
        <v>45</v>
      </c>
      <c r="AE707">
        <f t="shared" ref="AE707:AE770" si="11">IF(AB707="Yes",1,0)</f>
        <v>0</v>
      </c>
    </row>
    <row r="708" spans="1:31" x14ac:dyDescent="0.35">
      <c r="A708">
        <v>100707</v>
      </c>
      <c r="B708" s="3">
        <v>45978</v>
      </c>
      <c r="C708">
        <v>1084</v>
      </c>
      <c r="D708" t="s">
        <v>59</v>
      </c>
      <c r="E708" t="s">
        <v>73</v>
      </c>
      <c r="F708" t="s">
        <v>71</v>
      </c>
      <c r="G708" t="s">
        <v>46</v>
      </c>
      <c r="H708" t="s">
        <v>34</v>
      </c>
      <c r="I708" t="s">
        <v>35</v>
      </c>
      <c r="J708" s="4">
        <v>24.22</v>
      </c>
      <c r="K708" s="4">
        <v>14.23</v>
      </c>
      <c r="L708">
        <v>10</v>
      </c>
      <c r="M708" s="4">
        <v>34.46</v>
      </c>
      <c r="N708" s="4">
        <v>310.19</v>
      </c>
      <c r="O708" s="4">
        <v>190.96</v>
      </c>
      <c r="P708" s="4">
        <v>2.7</v>
      </c>
      <c r="Q708" s="4">
        <v>2.41</v>
      </c>
      <c r="R708" s="4">
        <v>1.98</v>
      </c>
      <c r="S708" s="4">
        <v>0</v>
      </c>
      <c r="T708" s="4">
        <v>0</v>
      </c>
      <c r="U708" s="4">
        <v>198.05</v>
      </c>
      <c r="V708" s="4">
        <v>112.14</v>
      </c>
      <c r="W708" t="s">
        <v>21</v>
      </c>
      <c r="X708" t="s">
        <v>36</v>
      </c>
      <c r="Y708" s="4">
        <v>14</v>
      </c>
      <c r="Z708" s="4">
        <v>3</v>
      </c>
      <c r="AA708" t="s">
        <v>37</v>
      </c>
      <c r="AB708" t="s">
        <v>38</v>
      </c>
      <c r="AC708" s="7">
        <v>0</v>
      </c>
      <c r="AD708" t="s">
        <v>39</v>
      </c>
      <c r="AE708">
        <f t="shared" si="11"/>
        <v>0</v>
      </c>
    </row>
    <row r="709" spans="1:31" x14ac:dyDescent="0.35">
      <c r="A709">
        <v>100708</v>
      </c>
      <c r="B709" s="3">
        <v>45941</v>
      </c>
      <c r="C709">
        <v>1126</v>
      </c>
      <c r="D709" t="s">
        <v>47</v>
      </c>
      <c r="E709" t="s">
        <v>48</v>
      </c>
      <c r="F709" t="s">
        <v>61</v>
      </c>
      <c r="G709" t="s">
        <v>33</v>
      </c>
      <c r="H709" t="s">
        <v>57</v>
      </c>
      <c r="I709" t="s">
        <v>35</v>
      </c>
      <c r="J709" s="4">
        <v>28.98</v>
      </c>
      <c r="K709" s="4">
        <v>20.12</v>
      </c>
      <c r="L709">
        <v>0</v>
      </c>
      <c r="M709" s="4">
        <v>0</v>
      </c>
      <c r="N709" s="4">
        <v>583.08000000000004</v>
      </c>
      <c r="O709" s="4">
        <v>202.83</v>
      </c>
      <c r="P709" s="4">
        <v>11.79</v>
      </c>
      <c r="Q709" s="4">
        <v>4.08</v>
      </c>
      <c r="R709" s="4">
        <v>9.8699999999999992</v>
      </c>
      <c r="S709" s="4">
        <v>0</v>
      </c>
      <c r="T709" s="4">
        <v>0</v>
      </c>
      <c r="U709" s="4">
        <v>228.57</v>
      </c>
      <c r="V709" s="4">
        <v>354.51</v>
      </c>
      <c r="W709" t="s">
        <v>21</v>
      </c>
      <c r="X709" t="s">
        <v>36</v>
      </c>
      <c r="Y709" s="4">
        <v>28</v>
      </c>
      <c r="Z709" s="4">
        <v>5</v>
      </c>
      <c r="AA709" t="s">
        <v>52</v>
      </c>
      <c r="AB709" t="s">
        <v>44</v>
      </c>
      <c r="AC709" s="7">
        <v>3</v>
      </c>
      <c r="AD709" t="s">
        <v>45</v>
      </c>
      <c r="AE709">
        <f t="shared" si="11"/>
        <v>1</v>
      </c>
    </row>
    <row r="710" spans="1:31" x14ac:dyDescent="0.35">
      <c r="A710">
        <v>100709</v>
      </c>
      <c r="B710" s="3">
        <v>45969</v>
      </c>
      <c r="C710">
        <v>1062</v>
      </c>
      <c r="D710" t="s">
        <v>30</v>
      </c>
      <c r="E710" t="s">
        <v>72</v>
      </c>
      <c r="F710" t="s">
        <v>41</v>
      </c>
      <c r="G710" t="s">
        <v>46</v>
      </c>
      <c r="H710" t="s">
        <v>34</v>
      </c>
      <c r="I710" t="s">
        <v>35</v>
      </c>
      <c r="J710" s="4">
        <v>28.67</v>
      </c>
      <c r="K710" s="4">
        <v>14.73</v>
      </c>
      <c r="L710">
        <v>0</v>
      </c>
      <c r="M710" s="4">
        <v>0</v>
      </c>
      <c r="N710" s="4">
        <v>422.31</v>
      </c>
      <c r="O710" s="4">
        <v>202.7</v>
      </c>
      <c r="P710" s="4">
        <v>12.67</v>
      </c>
      <c r="Q710" s="4">
        <v>2.96</v>
      </c>
      <c r="R710" s="4">
        <v>4.7300000000000004</v>
      </c>
      <c r="S710" s="4">
        <v>0</v>
      </c>
      <c r="T710" s="4">
        <v>0</v>
      </c>
      <c r="U710" s="4">
        <v>223.06</v>
      </c>
      <c r="V710" s="4">
        <v>199.25</v>
      </c>
      <c r="W710" t="s">
        <v>21</v>
      </c>
      <c r="X710" t="s">
        <v>36</v>
      </c>
      <c r="Y710" s="4">
        <v>0</v>
      </c>
      <c r="Z710" s="4">
        <v>8</v>
      </c>
      <c r="AA710" t="s">
        <v>37</v>
      </c>
      <c r="AB710" t="s">
        <v>38</v>
      </c>
      <c r="AC710" s="7">
        <v>0</v>
      </c>
      <c r="AD710" t="s">
        <v>39</v>
      </c>
      <c r="AE710">
        <f t="shared" si="11"/>
        <v>0</v>
      </c>
    </row>
    <row r="711" spans="1:31" x14ac:dyDescent="0.35">
      <c r="A711">
        <v>100710</v>
      </c>
      <c r="B711" s="3">
        <v>46007</v>
      </c>
      <c r="C711">
        <v>1108</v>
      </c>
      <c r="D711" t="s">
        <v>59</v>
      </c>
      <c r="E711" t="s">
        <v>60</v>
      </c>
      <c r="F711" t="s">
        <v>71</v>
      </c>
      <c r="G711" t="s">
        <v>50</v>
      </c>
      <c r="H711" t="s">
        <v>34</v>
      </c>
      <c r="I711" t="s">
        <v>42</v>
      </c>
      <c r="J711" s="4">
        <v>25.75</v>
      </c>
      <c r="K711" s="4">
        <v>19.38</v>
      </c>
      <c r="L711">
        <v>5</v>
      </c>
      <c r="M711" s="4">
        <v>24.95</v>
      </c>
      <c r="N711" s="4">
        <v>474.09</v>
      </c>
      <c r="O711" s="4">
        <v>166.57</v>
      </c>
      <c r="P711" s="4">
        <v>11.71</v>
      </c>
      <c r="Q711" s="4">
        <v>7.49</v>
      </c>
      <c r="R711" s="4">
        <v>6.37</v>
      </c>
      <c r="S711" s="4">
        <v>374.19</v>
      </c>
      <c r="T711" s="4">
        <v>0</v>
      </c>
      <c r="U711" s="4">
        <v>566.33000000000004</v>
      </c>
      <c r="V711" s="4">
        <v>-92.24</v>
      </c>
      <c r="W711" t="s">
        <v>58</v>
      </c>
      <c r="X711" t="s">
        <v>55</v>
      </c>
      <c r="Y711" s="4">
        <v>15</v>
      </c>
      <c r="Z711" s="4">
        <v>15</v>
      </c>
      <c r="AA711" t="s">
        <v>37</v>
      </c>
      <c r="AB711" t="s">
        <v>44</v>
      </c>
      <c r="AC711" s="7">
        <v>3</v>
      </c>
      <c r="AD711" t="s">
        <v>45</v>
      </c>
      <c r="AE711">
        <f t="shared" si="11"/>
        <v>1</v>
      </c>
    </row>
    <row r="712" spans="1:31" x14ac:dyDescent="0.35">
      <c r="A712">
        <v>100711</v>
      </c>
      <c r="B712" s="3">
        <v>45993</v>
      </c>
      <c r="C712">
        <v>1080</v>
      </c>
      <c r="D712" t="s">
        <v>30</v>
      </c>
      <c r="E712" t="s">
        <v>40</v>
      </c>
      <c r="F712" t="s">
        <v>49</v>
      </c>
      <c r="G712" t="s">
        <v>46</v>
      </c>
      <c r="H712" t="s">
        <v>34</v>
      </c>
      <c r="I712" t="s">
        <v>54</v>
      </c>
      <c r="J712" s="4">
        <v>31.93</v>
      </c>
      <c r="K712" s="4">
        <v>18.63</v>
      </c>
      <c r="L712">
        <v>10</v>
      </c>
      <c r="M712" s="4">
        <v>59.49</v>
      </c>
      <c r="N712" s="4">
        <v>535.37</v>
      </c>
      <c r="O712" s="4">
        <v>229.71</v>
      </c>
      <c r="P712" s="4">
        <v>7.13</v>
      </c>
      <c r="Q712" s="4">
        <v>7.14</v>
      </c>
      <c r="R712" s="4">
        <v>7.94</v>
      </c>
      <c r="S712" s="4">
        <v>0</v>
      </c>
      <c r="T712" s="4">
        <v>0</v>
      </c>
      <c r="U712" s="4">
        <v>251.92</v>
      </c>
      <c r="V712" s="4">
        <v>283.45</v>
      </c>
      <c r="W712" t="s">
        <v>21</v>
      </c>
      <c r="X712" t="s">
        <v>36</v>
      </c>
      <c r="Y712" s="4">
        <v>4</v>
      </c>
      <c r="Z712" s="4">
        <v>8</v>
      </c>
      <c r="AA712" t="s">
        <v>37</v>
      </c>
      <c r="AB712" t="s">
        <v>38</v>
      </c>
      <c r="AC712" s="7">
        <v>0</v>
      </c>
      <c r="AD712" t="s">
        <v>39</v>
      </c>
      <c r="AE712">
        <f t="shared" si="11"/>
        <v>0</v>
      </c>
    </row>
    <row r="713" spans="1:31" x14ac:dyDescent="0.35">
      <c r="A713">
        <v>100712</v>
      </c>
      <c r="B713" s="3">
        <v>46004</v>
      </c>
      <c r="C713">
        <v>1086</v>
      </c>
      <c r="D713" t="s">
        <v>47</v>
      </c>
      <c r="E713" t="s">
        <v>48</v>
      </c>
      <c r="F713" t="s">
        <v>61</v>
      </c>
      <c r="G713" t="s">
        <v>46</v>
      </c>
      <c r="H713" t="s">
        <v>57</v>
      </c>
      <c r="I713" t="s">
        <v>69</v>
      </c>
      <c r="J713" s="4">
        <v>42.83</v>
      </c>
      <c r="K713" s="4">
        <v>16.350000000000001</v>
      </c>
      <c r="L713">
        <v>5</v>
      </c>
      <c r="M713" s="4">
        <v>35.01</v>
      </c>
      <c r="N713" s="4">
        <v>665.26</v>
      </c>
      <c r="O713" s="4">
        <v>282</v>
      </c>
      <c r="P713" s="4">
        <v>11.97</v>
      </c>
      <c r="Q713" s="4">
        <v>2.8</v>
      </c>
      <c r="R713" s="4">
        <v>2.93</v>
      </c>
      <c r="S713" s="4">
        <v>418.35</v>
      </c>
      <c r="T713" s="4">
        <v>10.38</v>
      </c>
      <c r="U713" s="4">
        <v>728.43</v>
      </c>
      <c r="V713" s="4">
        <v>-63.17</v>
      </c>
      <c r="W713" t="s">
        <v>58</v>
      </c>
      <c r="X713" t="s">
        <v>66</v>
      </c>
      <c r="Y713" s="4">
        <v>2</v>
      </c>
      <c r="Z713" s="4">
        <v>14</v>
      </c>
      <c r="AA713" t="s">
        <v>37</v>
      </c>
      <c r="AB713" t="s">
        <v>38</v>
      </c>
      <c r="AC713" s="7">
        <v>1</v>
      </c>
      <c r="AD713" t="s">
        <v>45</v>
      </c>
      <c r="AE713">
        <f t="shared" si="11"/>
        <v>0</v>
      </c>
    </row>
    <row r="714" spans="1:31" x14ac:dyDescent="0.35">
      <c r="A714">
        <v>100713</v>
      </c>
      <c r="B714" s="3">
        <v>46011</v>
      </c>
      <c r="C714">
        <v>1047</v>
      </c>
      <c r="D714" t="s">
        <v>30</v>
      </c>
      <c r="E714" t="s">
        <v>72</v>
      </c>
      <c r="F714" t="s">
        <v>71</v>
      </c>
      <c r="G714" t="s">
        <v>63</v>
      </c>
      <c r="H714" t="s">
        <v>57</v>
      </c>
      <c r="I714" t="s">
        <v>35</v>
      </c>
      <c r="J714" s="4">
        <v>17.399999999999999</v>
      </c>
      <c r="K714" s="4">
        <v>11.77</v>
      </c>
      <c r="L714">
        <v>10</v>
      </c>
      <c r="M714" s="4">
        <v>20.48</v>
      </c>
      <c r="N714" s="4">
        <v>184.32</v>
      </c>
      <c r="O714" s="4">
        <v>93.96</v>
      </c>
      <c r="P714" s="4">
        <v>10.029999999999999</v>
      </c>
      <c r="Q714" s="4">
        <v>1.43</v>
      </c>
      <c r="R714" s="4">
        <v>11.87</v>
      </c>
      <c r="S714" s="4">
        <v>0</v>
      </c>
      <c r="T714" s="4">
        <v>0</v>
      </c>
      <c r="U714" s="4">
        <v>117.29</v>
      </c>
      <c r="V714" s="4">
        <v>67.03</v>
      </c>
      <c r="W714" t="s">
        <v>21</v>
      </c>
      <c r="X714" t="s">
        <v>36</v>
      </c>
      <c r="Y714" s="4">
        <v>11</v>
      </c>
      <c r="Z714" s="4">
        <v>37</v>
      </c>
      <c r="AA714" t="s">
        <v>37</v>
      </c>
      <c r="AB714" t="s">
        <v>44</v>
      </c>
      <c r="AC714" s="7">
        <v>4</v>
      </c>
      <c r="AD714" t="s">
        <v>45</v>
      </c>
      <c r="AE714">
        <f t="shared" si="11"/>
        <v>1</v>
      </c>
    </row>
    <row r="715" spans="1:31" x14ac:dyDescent="0.35">
      <c r="A715">
        <v>100714</v>
      </c>
      <c r="B715" s="3">
        <v>45972</v>
      </c>
      <c r="C715">
        <v>1066</v>
      </c>
      <c r="D715" t="s">
        <v>47</v>
      </c>
      <c r="E715" t="s">
        <v>48</v>
      </c>
      <c r="F715" t="s">
        <v>61</v>
      </c>
      <c r="G715" t="s">
        <v>46</v>
      </c>
      <c r="H715" t="s">
        <v>34</v>
      </c>
      <c r="I715" t="s">
        <v>42</v>
      </c>
      <c r="J715" s="4">
        <v>43.98</v>
      </c>
      <c r="K715" s="4">
        <v>15.29</v>
      </c>
      <c r="L715">
        <v>15</v>
      </c>
      <c r="M715" s="4">
        <v>100.87</v>
      </c>
      <c r="N715" s="4">
        <v>571.58000000000004</v>
      </c>
      <c r="O715" s="4">
        <v>355.37</v>
      </c>
      <c r="P715" s="4">
        <v>6.65</v>
      </c>
      <c r="Q715" s="4">
        <v>10.09</v>
      </c>
      <c r="R715" s="4">
        <v>7.58</v>
      </c>
      <c r="S715" s="4">
        <v>0</v>
      </c>
      <c r="T715" s="4">
        <v>0</v>
      </c>
      <c r="U715" s="4">
        <v>379.69</v>
      </c>
      <c r="V715" s="4">
        <v>191.89</v>
      </c>
      <c r="W715" t="s">
        <v>21</v>
      </c>
      <c r="X715" t="s">
        <v>36</v>
      </c>
      <c r="Y715" s="4">
        <v>21</v>
      </c>
      <c r="Z715" s="4">
        <v>5</v>
      </c>
      <c r="AA715" t="s">
        <v>52</v>
      </c>
      <c r="AB715" t="s">
        <v>44</v>
      </c>
      <c r="AC715" s="7">
        <v>3</v>
      </c>
      <c r="AD715" t="s">
        <v>45</v>
      </c>
      <c r="AE715">
        <f t="shared" si="11"/>
        <v>1</v>
      </c>
    </row>
    <row r="716" spans="1:31" x14ac:dyDescent="0.35">
      <c r="A716">
        <v>100715</v>
      </c>
      <c r="B716" s="3">
        <v>45995</v>
      </c>
      <c r="C716">
        <v>1049</v>
      </c>
      <c r="D716" t="s">
        <v>59</v>
      </c>
      <c r="E716" t="s">
        <v>60</v>
      </c>
      <c r="F716" t="s">
        <v>71</v>
      </c>
      <c r="G716" t="s">
        <v>50</v>
      </c>
      <c r="H716" t="s">
        <v>57</v>
      </c>
      <c r="I716" t="s">
        <v>54</v>
      </c>
      <c r="J716" s="4">
        <v>34.97</v>
      </c>
      <c r="K716" s="4">
        <v>17.96</v>
      </c>
      <c r="L716">
        <v>0</v>
      </c>
      <c r="M716" s="4">
        <v>0</v>
      </c>
      <c r="N716" s="4">
        <v>628.05999999999995</v>
      </c>
      <c r="O716" s="4">
        <v>229.6</v>
      </c>
      <c r="P716" s="4">
        <v>12.58</v>
      </c>
      <c r="Q716" s="4">
        <v>7.54</v>
      </c>
      <c r="R716" s="4">
        <v>9.49</v>
      </c>
      <c r="S716" s="4">
        <v>0</v>
      </c>
      <c r="T716" s="4">
        <v>0</v>
      </c>
      <c r="U716" s="4">
        <v>259.20999999999998</v>
      </c>
      <c r="V716" s="4">
        <v>368.85</v>
      </c>
      <c r="W716" t="s">
        <v>21</v>
      </c>
      <c r="X716" t="s">
        <v>36</v>
      </c>
      <c r="Y716" s="4">
        <v>0</v>
      </c>
      <c r="Z716" s="4">
        <v>9</v>
      </c>
      <c r="AA716" t="s">
        <v>37</v>
      </c>
      <c r="AB716" t="s">
        <v>38</v>
      </c>
      <c r="AC716" s="7">
        <v>0</v>
      </c>
      <c r="AD716" t="s">
        <v>39</v>
      </c>
      <c r="AE716">
        <f t="shared" si="11"/>
        <v>0</v>
      </c>
    </row>
    <row r="717" spans="1:31" x14ac:dyDescent="0.35">
      <c r="A717">
        <v>100716</v>
      </c>
      <c r="B717" s="3">
        <v>45974</v>
      </c>
      <c r="C717">
        <v>1068</v>
      </c>
      <c r="D717" t="s">
        <v>64</v>
      </c>
      <c r="E717" t="s">
        <v>75</v>
      </c>
      <c r="F717" t="s">
        <v>71</v>
      </c>
      <c r="G717" t="s">
        <v>46</v>
      </c>
      <c r="H717" t="s">
        <v>34</v>
      </c>
      <c r="I717" t="s">
        <v>54</v>
      </c>
      <c r="J717" s="4">
        <v>25.46</v>
      </c>
      <c r="K717" s="4">
        <v>16.829999999999998</v>
      </c>
      <c r="L717">
        <v>5</v>
      </c>
      <c r="M717" s="4">
        <v>21.42</v>
      </c>
      <c r="N717" s="4">
        <v>407.07</v>
      </c>
      <c r="O717" s="4">
        <v>153.22</v>
      </c>
      <c r="P717" s="4">
        <v>5.63</v>
      </c>
      <c r="Q717" s="4">
        <v>5.14</v>
      </c>
      <c r="R717" s="4">
        <v>7.31</v>
      </c>
      <c r="S717" s="4">
        <v>0</v>
      </c>
      <c r="T717" s="4">
        <v>0</v>
      </c>
      <c r="U717" s="4">
        <v>171.3</v>
      </c>
      <c r="V717" s="4">
        <v>235.77</v>
      </c>
      <c r="W717" t="s">
        <v>21</v>
      </c>
      <c r="X717" t="s">
        <v>36</v>
      </c>
      <c r="Y717" s="4">
        <v>4</v>
      </c>
      <c r="Z717" s="4">
        <v>0</v>
      </c>
      <c r="AA717" t="s">
        <v>37</v>
      </c>
      <c r="AB717" t="s">
        <v>38</v>
      </c>
      <c r="AC717" s="7">
        <v>0</v>
      </c>
      <c r="AD717" t="s">
        <v>39</v>
      </c>
      <c r="AE717">
        <f t="shared" si="11"/>
        <v>0</v>
      </c>
    </row>
    <row r="718" spans="1:31" x14ac:dyDescent="0.35">
      <c r="A718">
        <v>100717</v>
      </c>
      <c r="B718" s="3">
        <v>46006</v>
      </c>
      <c r="C718">
        <v>1022</v>
      </c>
      <c r="D718" t="s">
        <v>30</v>
      </c>
      <c r="E718" t="s">
        <v>40</v>
      </c>
      <c r="F718" t="s">
        <v>71</v>
      </c>
      <c r="G718" t="s">
        <v>50</v>
      </c>
      <c r="H718" t="s">
        <v>51</v>
      </c>
      <c r="I718" t="s">
        <v>42</v>
      </c>
      <c r="J718" s="4">
        <v>24.46</v>
      </c>
      <c r="K718" s="4">
        <v>17.489999999999998</v>
      </c>
      <c r="L718">
        <v>10</v>
      </c>
      <c r="M718" s="4">
        <v>42.78</v>
      </c>
      <c r="N718" s="4">
        <v>385.03</v>
      </c>
      <c r="O718" s="4">
        <v>181.72</v>
      </c>
      <c r="P718" s="4">
        <v>8.6</v>
      </c>
      <c r="Q718" s="4">
        <v>6.42</v>
      </c>
      <c r="R718" s="4">
        <v>0</v>
      </c>
      <c r="S718" s="4">
        <v>0</v>
      </c>
      <c r="T718" s="4">
        <v>0</v>
      </c>
      <c r="U718" s="4">
        <v>196.74</v>
      </c>
      <c r="V718" s="4">
        <v>188.29</v>
      </c>
      <c r="W718" t="s">
        <v>21</v>
      </c>
      <c r="X718" t="s">
        <v>36</v>
      </c>
      <c r="Y718" s="4">
        <v>2</v>
      </c>
      <c r="Z718" s="4">
        <v>19</v>
      </c>
      <c r="AA718" t="s">
        <v>37</v>
      </c>
      <c r="AB718" t="s">
        <v>44</v>
      </c>
      <c r="AC718" s="7">
        <v>1</v>
      </c>
      <c r="AD718" t="s">
        <v>45</v>
      </c>
      <c r="AE718">
        <f t="shared" si="11"/>
        <v>1</v>
      </c>
    </row>
    <row r="719" spans="1:31" x14ac:dyDescent="0.35">
      <c r="A719">
        <v>100718</v>
      </c>
      <c r="B719" s="3">
        <v>46021</v>
      </c>
      <c r="C719">
        <v>1042</v>
      </c>
      <c r="D719" t="s">
        <v>47</v>
      </c>
      <c r="E719" t="s">
        <v>74</v>
      </c>
      <c r="F719" t="s">
        <v>49</v>
      </c>
      <c r="G719" t="s">
        <v>46</v>
      </c>
      <c r="H719" t="s">
        <v>34</v>
      </c>
      <c r="I719" t="s">
        <v>35</v>
      </c>
      <c r="J719" s="4">
        <v>34.9</v>
      </c>
      <c r="K719" s="4">
        <v>16.260000000000002</v>
      </c>
      <c r="L719">
        <v>20</v>
      </c>
      <c r="M719" s="4">
        <v>113.49</v>
      </c>
      <c r="N719" s="4">
        <v>453.98</v>
      </c>
      <c r="O719" s="4">
        <v>215.84</v>
      </c>
      <c r="P719" s="4">
        <v>11.31</v>
      </c>
      <c r="Q719" s="4">
        <v>3.97</v>
      </c>
      <c r="R719" s="4">
        <v>3.91</v>
      </c>
      <c r="S719" s="4">
        <v>0</v>
      </c>
      <c r="T719" s="4">
        <v>0</v>
      </c>
      <c r="U719" s="4">
        <v>235.03</v>
      </c>
      <c r="V719" s="4">
        <v>218.95</v>
      </c>
      <c r="W719" t="s">
        <v>21</v>
      </c>
      <c r="X719" t="s">
        <v>36</v>
      </c>
      <c r="Y719" s="4">
        <v>0</v>
      </c>
      <c r="Z719" s="4">
        <v>12</v>
      </c>
      <c r="AA719" t="s">
        <v>37</v>
      </c>
      <c r="AB719" t="s">
        <v>38</v>
      </c>
      <c r="AC719" s="7">
        <v>1</v>
      </c>
      <c r="AD719" t="s">
        <v>39</v>
      </c>
      <c r="AE719">
        <f t="shared" si="11"/>
        <v>0</v>
      </c>
    </row>
    <row r="720" spans="1:31" x14ac:dyDescent="0.35">
      <c r="A720">
        <v>100719</v>
      </c>
      <c r="B720" s="3">
        <v>45994</v>
      </c>
      <c r="C720">
        <v>1085</v>
      </c>
      <c r="D720" t="s">
        <v>64</v>
      </c>
      <c r="E720" t="s">
        <v>75</v>
      </c>
      <c r="F720" t="s">
        <v>71</v>
      </c>
      <c r="G720" t="s">
        <v>63</v>
      </c>
      <c r="H720" t="s">
        <v>57</v>
      </c>
      <c r="I720" t="s">
        <v>35</v>
      </c>
      <c r="J720" s="4">
        <v>20.239999999999998</v>
      </c>
      <c r="K720" s="4">
        <v>13.28</v>
      </c>
      <c r="L720">
        <v>10</v>
      </c>
      <c r="M720" s="4">
        <v>26.88</v>
      </c>
      <c r="N720" s="4">
        <v>241.91</v>
      </c>
      <c r="O720" s="4">
        <v>114.95</v>
      </c>
      <c r="P720" s="4">
        <v>7.38</v>
      </c>
      <c r="Q720" s="4">
        <v>1.88</v>
      </c>
      <c r="R720" s="4">
        <v>0</v>
      </c>
      <c r="S720" s="4">
        <v>95.76</v>
      </c>
      <c r="T720" s="4">
        <v>11.74</v>
      </c>
      <c r="U720" s="4">
        <v>231.71</v>
      </c>
      <c r="V720" s="4">
        <v>10.199999999999999</v>
      </c>
      <c r="W720" t="s">
        <v>21</v>
      </c>
      <c r="X720" t="s">
        <v>55</v>
      </c>
      <c r="Y720" s="4">
        <v>2</v>
      </c>
      <c r="Z720" s="4">
        <v>1</v>
      </c>
      <c r="AA720" t="s">
        <v>37</v>
      </c>
      <c r="AB720" t="s">
        <v>44</v>
      </c>
      <c r="AC720" s="7">
        <v>2</v>
      </c>
      <c r="AD720" t="s">
        <v>45</v>
      </c>
      <c r="AE720">
        <f t="shared" si="11"/>
        <v>1</v>
      </c>
    </row>
    <row r="721" spans="1:31" x14ac:dyDescent="0.35">
      <c r="A721">
        <v>100720</v>
      </c>
      <c r="B721" s="3">
        <v>45935</v>
      </c>
      <c r="C721">
        <v>1008</v>
      </c>
      <c r="D721" t="s">
        <v>30</v>
      </c>
      <c r="E721" t="s">
        <v>40</v>
      </c>
      <c r="F721" t="s">
        <v>32</v>
      </c>
      <c r="G721" t="s">
        <v>50</v>
      </c>
      <c r="H721" t="s">
        <v>57</v>
      </c>
      <c r="I721" t="s">
        <v>35</v>
      </c>
      <c r="J721" s="4">
        <v>26.09</v>
      </c>
      <c r="K721" s="4">
        <v>16.89</v>
      </c>
      <c r="L721">
        <v>5</v>
      </c>
      <c r="M721" s="4">
        <v>22.03</v>
      </c>
      <c r="N721" s="4">
        <v>418.63</v>
      </c>
      <c r="O721" s="4">
        <v>160.5</v>
      </c>
      <c r="P721" s="4">
        <v>13.26</v>
      </c>
      <c r="Q721" s="4">
        <v>3.08</v>
      </c>
      <c r="R721" s="4">
        <v>3.59</v>
      </c>
      <c r="S721" s="4">
        <v>0</v>
      </c>
      <c r="T721" s="4">
        <v>0</v>
      </c>
      <c r="U721" s="4">
        <v>180.43</v>
      </c>
      <c r="V721" s="4">
        <v>238.2</v>
      </c>
      <c r="W721" t="s">
        <v>21</v>
      </c>
      <c r="X721" t="s">
        <v>36</v>
      </c>
      <c r="Y721" s="4">
        <v>7</v>
      </c>
      <c r="Z721" s="4">
        <v>7</v>
      </c>
      <c r="AA721" t="s">
        <v>37</v>
      </c>
      <c r="AB721" t="s">
        <v>38</v>
      </c>
      <c r="AC721" s="7">
        <v>0</v>
      </c>
      <c r="AD721" t="s">
        <v>39</v>
      </c>
      <c r="AE721">
        <f t="shared" si="11"/>
        <v>0</v>
      </c>
    </row>
    <row r="722" spans="1:31" x14ac:dyDescent="0.35">
      <c r="A722">
        <v>100721</v>
      </c>
      <c r="B722" s="3">
        <v>46000</v>
      </c>
      <c r="C722">
        <v>1037</v>
      </c>
      <c r="D722" t="s">
        <v>64</v>
      </c>
      <c r="E722" t="s">
        <v>76</v>
      </c>
      <c r="F722" t="s">
        <v>61</v>
      </c>
      <c r="G722" t="s">
        <v>63</v>
      </c>
      <c r="H722" t="s">
        <v>57</v>
      </c>
      <c r="I722" t="s">
        <v>69</v>
      </c>
      <c r="J722" s="4">
        <v>22.36</v>
      </c>
      <c r="K722" s="4">
        <v>12.55</v>
      </c>
      <c r="L722">
        <v>10</v>
      </c>
      <c r="M722" s="4">
        <v>28.06</v>
      </c>
      <c r="N722" s="4">
        <v>252.56</v>
      </c>
      <c r="O722" s="4">
        <v>151.82</v>
      </c>
      <c r="P722" s="4">
        <v>7.37</v>
      </c>
      <c r="Q722" s="4">
        <v>1.1200000000000001</v>
      </c>
      <c r="R722" s="4">
        <v>11.78</v>
      </c>
      <c r="S722" s="4">
        <v>0</v>
      </c>
      <c r="T722" s="4">
        <v>0</v>
      </c>
      <c r="U722" s="4">
        <v>172.09</v>
      </c>
      <c r="V722" s="4">
        <v>80.47</v>
      </c>
      <c r="W722" t="s">
        <v>21</v>
      </c>
      <c r="X722" t="s">
        <v>36</v>
      </c>
      <c r="Y722" s="4">
        <v>13</v>
      </c>
      <c r="Z722" s="4">
        <v>12</v>
      </c>
      <c r="AA722" t="s">
        <v>37</v>
      </c>
      <c r="AB722" t="s">
        <v>38</v>
      </c>
      <c r="AC722" s="7">
        <v>0</v>
      </c>
      <c r="AD722" t="s">
        <v>39</v>
      </c>
      <c r="AE722">
        <f t="shared" si="11"/>
        <v>0</v>
      </c>
    </row>
    <row r="723" spans="1:31" x14ac:dyDescent="0.35">
      <c r="A723">
        <v>100722</v>
      </c>
      <c r="B723" s="3">
        <v>45962</v>
      </c>
      <c r="C723">
        <v>1114</v>
      </c>
      <c r="D723" t="s">
        <v>30</v>
      </c>
      <c r="E723" t="s">
        <v>31</v>
      </c>
      <c r="F723" t="s">
        <v>32</v>
      </c>
      <c r="G723" t="s">
        <v>63</v>
      </c>
      <c r="H723" t="s">
        <v>34</v>
      </c>
      <c r="I723" t="s">
        <v>42</v>
      </c>
      <c r="J723" s="4">
        <v>8.6300000000000008</v>
      </c>
      <c r="K723" s="4">
        <v>12.56</v>
      </c>
      <c r="L723">
        <v>0</v>
      </c>
      <c r="M723" s="4">
        <v>0</v>
      </c>
      <c r="N723" s="4">
        <v>108.39</v>
      </c>
      <c r="O723" s="4">
        <v>66.849999999999994</v>
      </c>
      <c r="P723" s="4">
        <v>5.49</v>
      </c>
      <c r="Q723" s="4">
        <v>1.63</v>
      </c>
      <c r="R723" s="4">
        <v>1.1599999999999999</v>
      </c>
      <c r="S723" s="4">
        <v>0</v>
      </c>
      <c r="T723" s="4">
        <v>0</v>
      </c>
      <c r="U723" s="4">
        <v>75.13</v>
      </c>
      <c r="V723" s="4">
        <v>33.26</v>
      </c>
      <c r="W723" t="s">
        <v>21</v>
      </c>
      <c r="X723" t="s">
        <v>36</v>
      </c>
      <c r="Y723" s="4">
        <v>21</v>
      </c>
      <c r="Z723" s="4">
        <v>16</v>
      </c>
      <c r="AA723" t="s">
        <v>52</v>
      </c>
      <c r="AB723" t="s">
        <v>44</v>
      </c>
      <c r="AC723" s="7">
        <v>2</v>
      </c>
      <c r="AD723" t="s">
        <v>45</v>
      </c>
      <c r="AE723">
        <f t="shared" si="11"/>
        <v>1</v>
      </c>
    </row>
    <row r="724" spans="1:31" x14ac:dyDescent="0.35">
      <c r="A724">
        <v>100723</v>
      </c>
      <c r="B724" s="3">
        <v>46011</v>
      </c>
      <c r="C724">
        <v>1100</v>
      </c>
      <c r="D724" t="s">
        <v>47</v>
      </c>
      <c r="E724" t="s">
        <v>56</v>
      </c>
      <c r="F724" t="s">
        <v>71</v>
      </c>
      <c r="G724" t="s">
        <v>50</v>
      </c>
      <c r="H724" t="s">
        <v>34</v>
      </c>
      <c r="I724" t="s">
        <v>42</v>
      </c>
      <c r="J724" s="4">
        <v>32.28</v>
      </c>
      <c r="K724" s="4">
        <v>18.03</v>
      </c>
      <c r="L724">
        <v>10</v>
      </c>
      <c r="M724" s="4">
        <v>58.2</v>
      </c>
      <c r="N724" s="4">
        <v>523.80999999999995</v>
      </c>
      <c r="O724" s="4">
        <v>270.14</v>
      </c>
      <c r="P724" s="4">
        <v>3.32</v>
      </c>
      <c r="Q724" s="4">
        <v>8.73</v>
      </c>
      <c r="R724" s="4">
        <v>10.87</v>
      </c>
      <c r="S724" s="4">
        <v>0</v>
      </c>
      <c r="T724" s="4">
        <v>0</v>
      </c>
      <c r="U724" s="4">
        <v>293.06</v>
      </c>
      <c r="V724" s="4">
        <v>230.75</v>
      </c>
      <c r="W724" t="s">
        <v>21</v>
      </c>
      <c r="X724" t="s">
        <v>36</v>
      </c>
      <c r="Y724" s="4">
        <v>17</v>
      </c>
      <c r="Z724" s="4">
        <v>15</v>
      </c>
      <c r="AA724" t="s">
        <v>52</v>
      </c>
      <c r="AB724" t="s">
        <v>38</v>
      </c>
      <c r="AC724" s="7">
        <v>2</v>
      </c>
      <c r="AD724" t="s">
        <v>39</v>
      </c>
      <c r="AE724">
        <f t="shared" si="11"/>
        <v>0</v>
      </c>
    </row>
    <row r="725" spans="1:31" x14ac:dyDescent="0.35">
      <c r="A725">
        <v>100724</v>
      </c>
      <c r="B725" s="3">
        <v>45989</v>
      </c>
      <c r="C725">
        <v>1092</v>
      </c>
      <c r="D725" t="s">
        <v>59</v>
      </c>
      <c r="E725" t="s">
        <v>60</v>
      </c>
      <c r="F725" t="s">
        <v>41</v>
      </c>
      <c r="G725" t="s">
        <v>63</v>
      </c>
      <c r="H725" t="s">
        <v>51</v>
      </c>
      <c r="I725" t="s">
        <v>54</v>
      </c>
      <c r="J725" s="4">
        <v>21.1</v>
      </c>
      <c r="K725" s="4">
        <v>13.79</v>
      </c>
      <c r="L725">
        <v>0</v>
      </c>
      <c r="M725" s="4">
        <v>0</v>
      </c>
      <c r="N725" s="4">
        <v>290.97000000000003</v>
      </c>
      <c r="O725" s="4">
        <v>142.06</v>
      </c>
      <c r="P725" s="4">
        <v>3.06</v>
      </c>
      <c r="Q725" s="4">
        <v>3.49</v>
      </c>
      <c r="R725" s="4">
        <v>2.1800000000000002</v>
      </c>
      <c r="S725" s="4">
        <v>0</v>
      </c>
      <c r="T725" s="4">
        <v>0</v>
      </c>
      <c r="U725" s="4">
        <v>150.79</v>
      </c>
      <c r="V725" s="4">
        <v>140.18</v>
      </c>
      <c r="W725" t="s">
        <v>21</v>
      </c>
      <c r="X725" t="s">
        <v>36</v>
      </c>
      <c r="Y725" s="4">
        <v>32</v>
      </c>
      <c r="Z725" s="4">
        <v>5</v>
      </c>
      <c r="AA725" t="s">
        <v>43</v>
      </c>
      <c r="AB725" t="s">
        <v>44</v>
      </c>
      <c r="AC725" s="7">
        <v>1</v>
      </c>
      <c r="AD725" t="s">
        <v>45</v>
      </c>
      <c r="AE725">
        <f t="shared" si="11"/>
        <v>1</v>
      </c>
    </row>
    <row r="726" spans="1:31" x14ac:dyDescent="0.35">
      <c r="A726">
        <v>100725</v>
      </c>
      <c r="B726" s="3">
        <v>45998</v>
      </c>
      <c r="C726">
        <v>1024</v>
      </c>
      <c r="D726" t="s">
        <v>64</v>
      </c>
      <c r="E726" t="s">
        <v>67</v>
      </c>
      <c r="F726" t="s">
        <v>61</v>
      </c>
      <c r="G726" t="s">
        <v>63</v>
      </c>
      <c r="H726" t="s">
        <v>57</v>
      </c>
      <c r="I726" t="s">
        <v>35</v>
      </c>
      <c r="J726" s="4">
        <v>10.130000000000001</v>
      </c>
      <c r="K726" s="4">
        <v>12.55</v>
      </c>
      <c r="L726">
        <v>0</v>
      </c>
      <c r="M726" s="4">
        <v>0</v>
      </c>
      <c r="N726" s="4">
        <v>127.13</v>
      </c>
      <c r="O726" s="4">
        <v>80.19</v>
      </c>
      <c r="P726" s="4">
        <v>8.1300000000000008</v>
      </c>
      <c r="Q726" s="4">
        <v>0.89</v>
      </c>
      <c r="R726" s="4">
        <v>6.79</v>
      </c>
      <c r="S726" s="4">
        <v>0</v>
      </c>
      <c r="T726" s="4">
        <v>0</v>
      </c>
      <c r="U726" s="4">
        <v>96</v>
      </c>
      <c r="V726" s="4">
        <v>31.13</v>
      </c>
      <c r="W726" t="s">
        <v>21</v>
      </c>
      <c r="X726" t="s">
        <v>36</v>
      </c>
      <c r="Y726" s="4">
        <v>7</v>
      </c>
      <c r="Z726" s="4">
        <v>12</v>
      </c>
      <c r="AA726" t="s">
        <v>37</v>
      </c>
      <c r="AB726" t="s">
        <v>38</v>
      </c>
      <c r="AC726" s="7">
        <v>0</v>
      </c>
      <c r="AD726" t="s">
        <v>39</v>
      </c>
      <c r="AE726">
        <f t="shared" si="11"/>
        <v>0</v>
      </c>
    </row>
    <row r="727" spans="1:31" x14ac:dyDescent="0.35">
      <c r="A727">
        <v>100726</v>
      </c>
      <c r="B727" s="3">
        <v>45958</v>
      </c>
      <c r="C727">
        <v>1082</v>
      </c>
      <c r="D727" t="s">
        <v>59</v>
      </c>
      <c r="E727" t="s">
        <v>70</v>
      </c>
      <c r="F727" t="s">
        <v>61</v>
      </c>
      <c r="G727" t="s">
        <v>63</v>
      </c>
      <c r="H727" t="s">
        <v>51</v>
      </c>
      <c r="I727" t="s">
        <v>69</v>
      </c>
      <c r="J727" s="4">
        <v>7.95</v>
      </c>
      <c r="K727" s="4">
        <v>14.45</v>
      </c>
      <c r="L727">
        <v>5</v>
      </c>
      <c r="M727" s="4">
        <v>5.74</v>
      </c>
      <c r="N727" s="4">
        <v>109.14</v>
      </c>
      <c r="O727" s="4">
        <v>54.01</v>
      </c>
      <c r="P727" s="4">
        <v>11.02</v>
      </c>
      <c r="Q727" s="4">
        <v>0.46</v>
      </c>
      <c r="R727" s="4">
        <v>4.91</v>
      </c>
      <c r="S727" s="4">
        <v>0</v>
      </c>
      <c r="T727" s="4">
        <v>0</v>
      </c>
      <c r="U727" s="4">
        <v>70.400000000000006</v>
      </c>
      <c r="V727" s="4">
        <v>38.74</v>
      </c>
      <c r="W727" t="s">
        <v>21</v>
      </c>
      <c r="X727" t="s">
        <v>36</v>
      </c>
      <c r="Y727" s="4">
        <v>7</v>
      </c>
      <c r="Z727" s="4">
        <v>29</v>
      </c>
      <c r="AA727" t="s">
        <v>37</v>
      </c>
      <c r="AB727" t="s">
        <v>44</v>
      </c>
      <c r="AC727" s="7">
        <v>2</v>
      </c>
      <c r="AD727" t="s">
        <v>45</v>
      </c>
      <c r="AE727">
        <f t="shared" si="11"/>
        <v>1</v>
      </c>
    </row>
    <row r="728" spans="1:31" x14ac:dyDescent="0.35">
      <c r="A728">
        <v>100727</v>
      </c>
      <c r="B728" s="3">
        <v>45957</v>
      </c>
      <c r="C728">
        <v>1001</v>
      </c>
      <c r="D728" t="s">
        <v>64</v>
      </c>
      <c r="E728" t="s">
        <v>67</v>
      </c>
      <c r="F728" t="s">
        <v>61</v>
      </c>
      <c r="G728" t="s">
        <v>63</v>
      </c>
      <c r="H728" t="s">
        <v>34</v>
      </c>
      <c r="I728" t="s">
        <v>69</v>
      </c>
      <c r="J728" s="4">
        <v>25.69</v>
      </c>
      <c r="K728" s="4">
        <v>12.51</v>
      </c>
      <c r="L728">
        <v>0</v>
      </c>
      <c r="M728" s="4">
        <v>0</v>
      </c>
      <c r="N728" s="4">
        <v>321.38</v>
      </c>
      <c r="O728" s="4">
        <v>195.48</v>
      </c>
      <c r="P728" s="4">
        <v>13.95</v>
      </c>
      <c r="Q728" s="4">
        <v>1.29</v>
      </c>
      <c r="R728" s="4">
        <v>3.1</v>
      </c>
      <c r="S728" s="4">
        <v>0</v>
      </c>
      <c r="T728" s="4">
        <v>0</v>
      </c>
      <c r="U728" s="4">
        <v>213.82</v>
      </c>
      <c r="V728" s="4">
        <v>107.56</v>
      </c>
      <c r="W728" t="s">
        <v>21</v>
      </c>
      <c r="X728" t="s">
        <v>36</v>
      </c>
      <c r="Y728" s="4">
        <v>11</v>
      </c>
      <c r="Z728" s="4">
        <v>6</v>
      </c>
      <c r="AA728" t="s">
        <v>37</v>
      </c>
      <c r="AB728" t="s">
        <v>38</v>
      </c>
      <c r="AC728" s="7">
        <v>0</v>
      </c>
      <c r="AD728" t="s">
        <v>39</v>
      </c>
      <c r="AE728">
        <f t="shared" si="11"/>
        <v>0</v>
      </c>
    </row>
    <row r="729" spans="1:31" x14ac:dyDescent="0.35">
      <c r="A729">
        <v>100728</v>
      </c>
      <c r="B729" s="3">
        <v>46009</v>
      </c>
      <c r="C729">
        <v>1049</v>
      </c>
      <c r="D729" t="s">
        <v>64</v>
      </c>
      <c r="E729" t="s">
        <v>76</v>
      </c>
      <c r="F729" t="s">
        <v>41</v>
      </c>
      <c r="G729" t="s">
        <v>50</v>
      </c>
      <c r="H729" t="s">
        <v>57</v>
      </c>
      <c r="I729" t="s">
        <v>35</v>
      </c>
      <c r="J729" s="4">
        <v>20.49</v>
      </c>
      <c r="K729" s="4">
        <v>17.670000000000002</v>
      </c>
      <c r="L729">
        <v>0</v>
      </c>
      <c r="M729" s="4">
        <v>0</v>
      </c>
      <c r="N729" s="4">
        <v>362.06</v>
      </c>
      <c r="O729" s="4">
        <v>160.6</v>
      </c>
      <c r="P729" s="4">
        <v>5.94</v>
      </c>
      <c r="Q729" s="4">
        <v>2.5299999999999998</v>
      </c>
      <c r="R729" s="4">
        <v>7.71</v>
      </c>
      <c r="S729" s="4">
        <v>0</v>
      </c>
      <c r="T729" s="4">
        <v>0</v>
      </c>
      <c r="U729" s="4">
        <v>176.78</v>
      </c>
      <c r="V729" s="4">
        <v>185.28</v>
      </c>
      <c r="W729" t="s">
        <v>21</v>
      </c>
      <c r="X729" t="s">
        <v>36</v>
      </c>
      <c r="Y729" s="4">
        <v>2</v>
      </c>
      <c r="Z729" s="4">
        <v>6</v>
      </c>
      <c r="AA729" t="s">
        <v>37</v>
      </c>
      <c r="AB729" t="s">
        <v>38</v>
      </c>
      <c r="AC729" s="7">
        <v>0</v>
      </c>
      <c r="AD729" t="s">
        <v>39</v>
      </c>
      <c r="AE729">
        <f t="shared" si="11"/>
        <v>0</v>
      </c>
    </row>
    <row r="730" spans="1:31" x14ac:dyDescent="0.35">
      <c r="A730">
        <v>100729</v>
      </c>
      <c r="B730" s="3">
        <v>45955</v>
      </c>
      <c r="C730">
        <v>1087</v>
      </c>
      <c r="D730" t="s">
        <v>47</v>
      </c>
      <c r="E730" t="s">
        <v>53</v>
      </c>
      <c r="F730" t="s">
        <v>71</v>
      </c>
      <c r="G730" t="s">
        <v>33</v>
      </c>
      <c r="H730" t="s">
        <v>51</v>
      </c>
      <c r="I730" t="s">
        <v>42</v>
      </c>
      <c r="J730" s="4">
        <v>42.67</v>
      </c>
      <c r="K730" s="4">
        <v>18.48</v>
      </c>
      <c r="L730">
        <v>10</v>
      </c>
      <c r="M730" s="4">
        <v>78.849999999999994</v>
      </c>
      <c r="N730" s="4">
        <v>709.69</v>
      </c>
      <c r="O730" s="4">
        <v>303.11</v>
      </c>
      <c r="P730" s="4">
        <v>4.63</v>
      </c>
      <c r="Q730" s="4">
        <v>11.83</v>
      </c>
      <c r="R730" s="4">
        <v>10.23</v>
      </c>
      <c r="S730" s="4">
        <v>0</v>
      </c>
      <c r="T730" s="4">
        <v>0</v>
      </c>
      <c r="U730" s="4">
        <v>329.8</v>
      </c>
      <c r="V730" s="4">
        <v>379.89</v>
      </c>
      <c r="W730" t="s">
        <v>21</v>
      </c>
      <c r="X730" t="s">
        <v>36</v>
      </c>
      <c r="Y730" s="4">
        <v>1</v>
      </c>
      <c r="Z730" s="4">
        <v>10</v>
      </c>
      <c r="AA730" t="s">
        <v>37</v>
      </c>
      <c r="AB730" t="s">
        <v>38</v>
      </c>
      <c r="AC730" s="7">
        <v>0</v>
      </c>
      <c r="AD730" t="s">
        <v>39</v>
      </c>
      <c r="AE730">
        <f t="shared" si="11"/>
        <v>0</v>
      </c>
    </row>
    <row r="731" spans="1:31" x14ac:dyDescent="0.35">
      <c r="A731">
        <v>100730</v>
      </c>
      <c r="B731" s="3">
        <v>45971</v>
      </c>
      <c r="C731">
        <v>1133</v>
      </c>
      <c r="D731" t="s">
        <v>30</v>
      </c>
      <c r="E731" t="s">
        <v>62</v>
      </c>
      <c r="F731" t="s">
        <v>61</v>
      </c>
      <c r="G731" t="s">
        <v>33</v>
      </c>
      <c r="H731" t="s">
        <v>51</v>
      </c>
      <c r="I731" t="s">
        <v>35</v>
      </c>
      <c r="J731" s="4">
        <v>30.48</v>
      </c>
      <c r="K731" s="4">
        <v>19.510000000000002</v>
      </c>
      <c r="L731">
        <v>0</v>
      </c>
      <c r="M731" s="4">
        <v>0</v>
      </c>
      <c r="N731" s="4">
        <v>594.66</v>
      </c>
      <c r="O731" s="4">
        <v>225.36</v>
      </c>
      <c r="P731" s="4">
        <v>5.51</v>
      </c>
      <c r="Q731" s="4">
        <v>4.16</v>
      </c>
      <c r="R731" s="4">
        <v>9.0399999999999991</v>
      </c>
      <c r="S731" s="4">
        <v>0</v>
      </c>
      <c r="T731" s="4">
        <v>0</v>
      </c>
      <c r="U731" s="4">
        <v>244.07</v>
      </c>
      <c r="V731" s="4">
        <v>350.59</v>
      </c>
      <c r="W731" t="s">
        <v>21</v>
      </c>
      <c r="X731" t="s">
        <v>36</v>
      </c>
      <c r="Y731" s="4">
        <v>10</v>
      </c>
      <c r="Z731" s="4">
        <v>1</v>
      </c>
      <c r="AA731" t="s">
        <v>37</v>
      </c>
      <c r="AB731" t="s">
        <v>38</v>
      </c>
      <c r="AC731" s="7">
        <v>1</v>
      </c>
      <c r="AD731" t="s">
        <v>39</v>
      </c>
      <c r="AE731">
        <f t="shared" si="11"/>
        <v>0</v>
      </c>
    </row>
    <row r="732" spans="1:31" x14ac:dyDescent="0.35">
      <c r="A732">
        <v>100731</v>
      </c>
      <c r="B732" s="3">
        <v>45974</v>
      </c>
      <c r="C732">
        <v>1005</v>
      </c>
      <c r="D732" t="s">
        <v>30</v>
      </c>
      <c r="E732" t="s">
        <v>72</v>
      </c>
      <c r="F732" t="s">
        <v>32</v>
      </c>
      <c r="G732" t="s">
        <v>46</v>
      </c>
      <c r="H732" t="s">
        <v>34</v>
      </c>
      <c r="I732" t="s">
        <v>35</v>
      </c>
      <c r="J732" s="4">
        <v>27.68</v>
      </c>
      <c r="K732" s="4">
        <v>14.27</v>
      </c>
      <c r="L732">
        <v>0</v>
      </c>
      <c r="M732" s="4">
        <v>0</v>
      </c>
      <c r="N732" s="4">
        <v>394.99</v>
      </c>
      <c r="O732" s="4">
        <v>196.38</v>
      </c>
      <c r="P732" s="4">
        <v>3.52</v>
      </c>
      <c r="Q732" s="4">
        <v>2.76</v>
      </c>
      <c r="R732" s="4">
        <v>9.0500000000000007</v>
      </c>
      <c r="S732" s="4">
        <v>0</v>
      </c>
      <c r="T732" s="4">
        <v>0</v>
      </c>
      <c r="U732" s="4">
        <v>211.71</v>
      </c>
      <c r="V732" s="4">
        <v>183.28</v>
      </c>
      <c r="W732" t="s">
        <v>21</v>
      </c>
      <c r="X732" t="s">
        <v>36</v>
      </c>
      <c r="Y732" s="4">
        <v>1</v>
      </c>
      <c r="Z732" s="4">
        <v>3</v>
      </c>
      <c r="AA732" t="s">
        <v>37</v>
      </c>
      <c r="AB732" t="s">
        <v>38</v>
      </c>
      <c r="AC732" s="7">
        <v>1</v>
      </c>
      <c r="AD732" t="s">
        <v>39</v>
      </c>
      <c r="AE732">
        <f t="shared" si="11"/>
        <v>0</v>
      </c>
    </row>
    <row r="733" spans="1:31" x14ac:dyDescent="0.35">
      <c r="A733">
        <v>100732</v>
      </c>
      <c r="B733" s="3">
        <v>45985</v>
      </c>
      <c r="C733">
        <v>1070</v>
      </c>
      <c r="D733" t="s">
        <v>47</v>
      </c>
      <c r="E733" t="s">
        <v>56</v>
      </c>
      <c r="F733" t="s">
        <v>41</v>
      </c>
      <c r="G733" t="s">
        <v>46</v>
      </c>
      <c r="H733" t="s">
        <v>57</v>
      </c>
      <c r="I733" t="s">
        <v>69</v>
      </c>
      <c r="J733" s="4">
        <v>34.369999999999997</v>
      </c>
      <c r="K733" s="4">
        <v>15.91</v>
      </c>
      <c r="L733">
        <v>15</v>
      </c>
      <c r="M733" s="4">
        <v>82.02</v>
      </c>
      <c r="N733" s="4">
        <v>464.81</v>
      </c>
      <c r="O733" s="4">
        <v>280.77999999999997</v>
      </c>
      <c r="P733" s="4">
        <v>9.84</v>
      </c>
      <c r="Q733" s="4">
        <v>2.19</v>
      </c>
      <c r="R733" s="4">
        <v>0.14000000000000001</v>
      </c>
      <c r="S733" s="4">
        <v>0</v>
      </c>
      <c r="T733" s="4">
        <v>0</v>
      </c>
      <c r="U733" s="4">
        <v>292.95</v>
      </c>
      <c r="V733" s="4">
        <v>171.86</v>
      </c>
      <c r="W733" t="s">
        <v>21</v>
      </c>
      <c r="X733" t="s">
        <v>36</v>
      </c>
      <c r="Y733" s="4">
        <v>13</v>
      </c>
      <c r="Z733" s="4">
        <v>11</v>
      </c>
      <c r="AA733" t="s">
        <v>37</v>
      </c>
      <c r="AB733" t="s">
        <v>38</v>
      </c>
      <c r="AC733" s="7">
        <v>1</v>
      </c>
      <c r="AD733" t="s">
        <v>39</v>
      </c>
      <c r="AE733">
        <f t="shared" si="11"/>
        <v>0</v>
      </c>
    </row>
    <row r="734" spans="1:31" x14ac:dyDescent="0.35">
      <c r="A734">
        <v>100733</v>
      </c>
      <c r="B734" s="3">
        <v>45985</v>
      </c>
      <c r="C734">
        <v>1061</v>
      </c>
      <c r="D734" t="s">
        <v>47</v>
      </c>
      <c r="E734" t="s">
        <v>74</v>
      </c>
      <c r="F734" t="s">
        <v>71</v>
      </c>
      <c r="G734" t="s">
        <v>50</v>
      </c>
      <c r="H734" t="s">
        <v>34</v>
      </c>
      <c r="I734" t="s">
        <v>35</v>
      </c>
      <c r="J734" s="4">
        <v>26.19</v>
      </c>
      <c r="K734" s="4">
        <v>17.48</v>
      </c>
      <c r="L734">
        <v>10</v>
      </c>
      <c r="M734" s="4">
        <v>45.78</v>
      </c>
      <c r="N734" s="4">
        <v>412.02</v>
      </c>
      <c r="O734" s="4">
        <v>218.26</v>
      </c>
      <c r="P734" s="4">
        <v>4.93</v>
      </c>
      <c r="Q734" s="4">
        <v>3.2</v>
      </c>
      <c r="R734" s="4">
        <v>10.130000000000001</v>
      </c>
      <c r="S734" s="4">
        <v>0</v>
      </c>
      <c r="T734" s="4">
        <v>0</v>
      </c>
      <c r="U734" s="4">
        <v>236.52</v>
      </c>
      <c r="V734" s="4">
        <v>175.5</v>
      </c>
      <c r="W734" t="s">
        <v>21</v>
      </c>
      <c r="X734" t="s">
        <v>36</v>
      </c>
      <c r="Y734" s="4">
        <v>3</v>
      </c>
      <c r="Z734" s="4">
        <v>8</v>
      </c>
      <c r="AA734" t="s">
        <v>37</v>
      </c>
      <c r="AB734" t="s">
        <v>38</v>
      </c>
      <c r="AC734" s="7">
        <v>0</v>
      </c>
      <c r="AD734" t="s">
        <v>39</v>
      </c>
      <c r="AE734">
        <f t="shared" si="11"/>
        <v>0</v>
      </c>
    </row>
    <row r="735" spans="1:31" x14ac:dyDescent="0.35">
      <c r="A735">
        <v>100734</v>
      </c>
      <c r="B735" s="3">
        <v>45981</v>
      </c>
      <c r="C735">
        <v>1071</v>
      </c>
      <c r="D735" t="s">
        <v>64</v>
      </c>
      <c r="E735" t="s">
        <v>75</v>
      </c>
      <c r="F735" t="s">
        <v>41</v>
      </c>
      <c r="G735" t="s">
        <v>46</v>
      </c>
      <c r="H735" t="s">
        <v>34</v>
      </c>
      <c r="I735" t="s">
        <v>54</v>
      </c>
      <c r="J735" s="4">
        <v>24.28</v>
      </c>
      <c r="K735" s="4">
        <v>15.36</v>
      </c>
      <c r="L735">
        <v>0</v>
      </c>
      <c r="M735" s="4">
        <v>0</v>
      </c>
      <c r="N735" s="4">
        <v>372.94</v>
      </c>
      <c r="O735" s="4">
        <v>173.94</v>
      </c>
      <c r="P735" s="4">
        <v>9.0500000000000007</v>
      </c>
      <c r="Q735" s="4">
        <v>4.4800000000000004</v>
      </c>
      <c r="R735" s="4">
        <v>8.08</v>
      </c>
      <c r="S735" s="4">
        <v>0</v>
      </c>
      <c r="T735" s="4">
        <v>0</v>
      </c>
      <c r="U735" s="4">
        <v>195.55</v>
      </c>
      <c r="V735" s="4">
        <v>177.39</v>
      </c>
      <c r="W735" t="s">
        <v>21</v>
      </c>
      <c r="X735" t="s">
        <v>36</v>
      </c>
      <c r="Y735" s="4">
        <v>5</v>
      </c>
      <c r="Z735" s="4">
        <v>7</v>
      </c>
      <c r="AA735" t="s">
        <v>37</v>
      </c>
      <c r="AB735" t="s">
        <v>38</v>
      </c>
      <c r="AC735" s="7">
        <v>0</v>
      </c>
      <c r="AD735" t="s">
        <v>39</v>
      </c>
      <c r="AE735">
        <f t="shared" si="11"/>
        <v>0</v>
      </c>
    </row>
    <row r="736" spans="1:31" x14ac:dyDescent="0.35">
      <c r="A736">
        <v>100735</v>
      </c>
      <c r="B736" s="3">
        <v>45941</v>
      </c>
      <c r="C736">
        <v>1150</v>
      </c>
      <c r="D736" t="s">
        <v>30</v>
      </c>
      <c r="E736" t="s">
        <v>72</v>
      </c>
      <c r="F736" t="s">
        <v>71</v>
      </c>
      <c r="G736" t="s">
        <v>63</v>
      </c>
      <c r="H736" t="s">
        <v>51</v>
      </c>
      <c r="I736" t="s">
        <v>54</v>
      </c>
      <c r="J736" s="4">
        <v>20.27</v>
      </c>
      <c r="K736" s="4">
        <v>12.46</v>
      </c>
      <c r="L736">
        <v>5</v>
      </c>
      <c r="M736" s="4">
        <v>12.63</v>
      </c>
      <c r="N736" s="4">
        <v>239.93</v>
      </c>
      <c r="O736" s="4">
        <v>132.97999999999999</v>
      </c>
      <c r="P736" s="4">
        <v>4.22</v>
      </c>
      <c r="Q736" s="4">
        <v>3.03</v>
      </c>
      <c r="R736" s="4">
        <v>12.56</v>
      </c>
      <c r="S736" s="4">
        <v>0</v>
      </c>
      <c r="T736" s="4">
        <v>0</v>
      </c>
      <c r="U736" s="4">
        <v>152.79</v>
      </c>
      <c r="V736" s="4">
        <v>87.14</v>
      </c>
      <c r="W736" t="s">
        <v>21</v>
      </c>
      <c r="X736" t="s">
        <v>36</v>
      </c>
      <c r="Y736" s="4">
        <v>11</v>
      </c>
      <c r="Z736" s="4">
        <v>24</v>
      </c>
      <c r="AA736" t="s">
        <v>37</v>
      </c>
      <c r="AB736" t="s">
        <v>44</v>
      </c>
      <c r="AC736" s="7">
        <v>3</v>
      </c>
      <c r="AD736" t="s">
        <v>45</v>
      </c>
      <c r="AE736">
        <f t="shared" si="11"/>
        <v>1</v>
      </c>
    </row>
    <row r="737" spans="1:31" x14ac:dyDescent="0.35">
      <c r="A737">
        <v>100736</v>
      </c>
      <c r="B737" s="3">
        <v>45931</v>
      </c>
      <c r="C737">
        <v>1061</v>
      </c>
      <c r="D737" t="s">
        <v>30</v>
      </c>
      <c r="E737" t="s">
        <v>62</v>
      </c>
      <c r="F737" t="s">
        <v>32</v>
      </c>
      <c r="G737" t="s">
        <v>46</v>
      </c>
      <c r="H737" t="s">
        <v>57</v>
      </c>
      <c r="I737" t="s">
        <v>54</v>
      </c>
      <c r="J737" s="4">
        <v>33.049999999999997</v>
      </c>
      <c r="K737" s="4">
        <v>15.26</v>
      </c>
      <c r="L737">
        <v>0</v>
      </c>
      <c r="M737" s="4">
        <v>0</v>
      </c>
      <c r="N737" s="4">
        <v>504.34</v>
      </c>
      <c r="O737" s="4">
        <v>202.42</v>
      </c>
      <c r="P737" s="4">
        <v>10.47</v>
      </c>
      <c r="Q737" s="4">
        <v>6.05</v>
      </c>
      <c r="R737" s="4">
        <v>3.23</v>
      </c>
      <c r="S737" s="4">
        <v>0</v>
      </c>
      <c r="T737" s="4">
        <v>0</v>
      </c>
      <c r="U737" s="4">
        <v>222.17</v>
      </c>
      <c r="V737" s="4">
        <v>282.17</v>
      </c>
      <c r="W737" t="s">
        <v>21</v>
      </c>
      <c r="X737" t="s">
        <v>36</v>
      </c>
      <c r="Y737" s="4">
        <v>1</v>
      </c>
      <c r="Z737" s="4">
        <v>15</v>
      </c>
      <c r="AA737" t="s">
        <v>37</v>
      </c>
      <c r="AB737" t="s">
        <v>38</v>
      </c>
      <c r="AC737" s="7">
        <v>0</v>
      </c>
      <c r="AD737" t="s">
        <v>39</v>
      </c>
      <c r="AE737">
        <f t="shared" si="11"/>
        <v>0</v>
      </c>
    </row>
    <row r="738" spans="1:31" x14ac:dyDescent="0.35">
      <c r="A738">
        <v>100737</v>
      </c>
      <c r="B738" s="3">
        <v>46018</v>
      </c>
      <c r="C738">
        <v>1115</v>
      </c>
      <c r="D738" t="s">
        <v>30</v>
      </c>
      <c r="E738" t="s">
        <v>31</v>
      </c>
      <c r="F738" t="s">
        <v>41</v>
      </c>
      <c r="G738" t="s">
        <v>33</v>
      </c>
      <c r="H738" t="s">
        <v>57</v>
      </c>
      <c r="I738" t="s">
        <v>35</v>
      </c>
      <c r="J738" s="4">
        <v>34.81</v>
      </c>
      <c r="K738" s="4">
        <v>19.09</v>
      </c>
      <c r="L738">
        <v>10</v>
      </c>
      <c r="M738" s="4">
        <v>66.45</v>
      </c>
      <c r="N738" s="4">
        <v>598.07000000000005</v>
      </c>
      <c r="O738" s="4">
        <v>266.57</v>
      </c>
      <c r="P738" s="4">
        <v>9.66</v>
      </c>
      <c r="Q738" s="4">
        <v>4.6500000000000004</v>
      </c>
      <c r="R738" s="4">
        <v>6.79</v>
      </c>
      <c r="S738" s="4">
        <v>0</v>
      </c>
      <c r="T738" s="4">
        <v>0</v>
      </c>
      <c r="U738" s="4">
        <v>287.67</v>
      </c>
      <c r="V738" s="4">
        <v>310.39999999999998</v>
      </c>
      <c r="W738" t="s">
        <v>21</v>
      </c>
      <c r="X738" t="s">
        <v>36</v>
      </c>
      <c r="Y738" s="4">
        <v>24</v>
      </c>
      <c r="Z738" s="4">
        <v>0</v>
      </c>
      <c r="AA738" t="s">
        <v>52</v>
      </c>
      <c r="AB738" t="s">
        <v>44</v>
      </c>
      <c r="AC738" s="7">
        <v>1</v>
      </c>
      <c r="AD738" t="s">
        <v>45</v>
      </c>
      <c r="AE738">
        <f t="shared" si="11"/>
        <v>1</v>
      </c>
    </row>
    <row r="739" spans="1:31" x14ac:dyDescent="0.35">
      <c r="A739">
        <v>100738</v>
      </c>
      <c r="B739" s="3">
        <v>46017</v>
      </c>
      <c r="C739">
        <v>1051</v>
      </c>
      <c r="D739" t="s">
        <v>64</v>
      </c>
      <c r="E739" t="s">
        <v>67</v>
      </c>
      <c r="F739" t="s">
        <v>71</v>
      </c>
      <c r="G739" t="s">
        <v>50</v>
      </c>
      <c r="H739" t="s">
        <v>34</v>
      </c>
      <c r="I739" t="s">
        <v>35</v>
      </c>
      <c r="J739" s="4">
        <v>6.87</v>
      </c>
      <c r="K739" s="4">
        <v>17.25</v>
      </c>
      <c r="L739">
        <v>0</v>
      </c>
      <c r="M739" s="4">
        <v>0</v>
      </c>
      <c r="N739" s="4">
        <v>118.51</v>
      </c>
      <c r="O739" s="4">
        <v>42.82</v>
      </c>
      <c r="P739" s="4">
        <v>3.37</v>
      </c>
      <c r="Q739" s="4">
        <v>0.83</v>
      </c>
      <c r="R739" s="4">
        <v>2.11</v>
      </c>
      <c r="S739" s="4">
        <v>106.82</v>
      </c>
      <c r="T739" s="4">
        <v>0</v>
      </c>
      <c r="U739" s="4">
        <v>155.94999999999999</v>
      </c>
      <c r="V739" s="4">
        <v>-37.44</v>
      </c>
      <c r="W739" t="s">
        <v>58</v>
      </c>
      <c r="X739" t="s">
        <v>55</v>
      </c>
      <c r="Y739" s="4">
        <v>0</v>
      </c>
      <c r="Z739" s="4">
        <v>4</v>
      </c>
      <c r="AA739" t="s">
        <v>37</v>
      </c>
      <c r="AB739" t="s">
        <v>44</v>
      </c>
      <c r="AC739" s="7">
        <v>3</v>
      </c>
      <c r="AD739" t="s">
        <v>45</v>
      </c>
      <c r="AE739">
        <f t="shared" si="11"/>
        <v>1</v>
      </c>
    </row>
    <row r="740" spans="1:31" x14ac:dyDescent="0.35">
      <c r="A740">
        <v>100739</v>
      </c>
      <c r="B740" s="3">
        <v>45932</v>
      </c>
      <c r="C740">
        <v>1081</v>
      </c>
      <c r="D740" t="s">
        <v>30</v>
      </c>
      <c r="E740" t="s">
        <v>31</v>
      </c>
      <c r="F740" t="s">
        <v>41</v>
      </c>
      <c r="G740" t="s">
        <v>46</v>
      </c>
      <c r="H740" t="s">
        <v>34</v>
      </c>
      <c r="I740" t="s">
        <v>35</v>
      </c>
      <c r="J740" s="4">
        <v>18.43</v>
      </c>
      <c r="K740" s="4">
        <v>14.07</v>
      </c>
      <c r="L740">
        <v>5</v>
      </c>
      <c r="M740" s="4">
        <v>12.97</v>
      </c>
      <c r="N740" s="4">
        <v>246.34</v>
      </c>
      <c r="O740" s="4">
        <v>108.18</v>
      </c>
      <c r="P740" s="4">
        <v>9.35</v>
      </c>
      <c r="Q740" s="4">
        <v>1.82</v>
      </c>
      <c r="R740" s="4">
        <v>5.48</v>
      </c>
      <c r="S740" s="4">
        <v>0</v>
      </c>
      <c r="T740" s="4">
        <v>0</v>
      </c>
      <c r="U740" s="4">
        <v>124.83</v>
      </c>
      <c r="V740" s="4">
        <v>121.51</v>
      </c>
      <c r="W740" t="s">
        <v>21</v>
      </c>
      <c r="X740" t="s">
        <v>36</v>
      </c>
      <c r="Y740" s="4">
        <v>21</v>
      </c>
      <c r="Z740" s="4">
        <v>2</v>
      </c>
      <c r="AA740" t="s">
        <v>52</v>
      </c>
      <c r="AB740" t="s">
        <v>44</v>
      </c>
      <c r="AC740" s="7">
        <v>4</v>
      </c>
      <c r="AD740" t="s">
        <v>45</v>
      </c>
      <c r="AE740">
        <f t="shared" si="11"/>
        <v>1</v>
      </c>
    </row>
    <row r="741" spans="1:31" x14ac:dyDescent="0.35">
      <c r="A741">
        <v>100740</v>
      </c>
      <c r="B741" s="3">
        <v>45932</v>
      </c>
      <c r="C741">
        <v>1011</v>
      </c>
      <c r="D741" t="s">
        <v>47</v>
      </c>
      <c r="E741" t="s">
        <v>56</v>
      </c>
      <c r="F741" t="s">
        <v>49</v>
      </c>
      <c r="G741" t="s">
        <v>46</v>
      </c>
      <c r="H741" t="s">
        <v>57</v>
      </c>
      <c r="I741" t="s">
        <v>69</v>
      </c>
      <c r="J741" s="4">
        <v>21.68</v>
      </c>
      <c r="K741" s="4">
        <v>14.69</v>
      </c>
      <c r="L741">
        <v>5</v>
      </c>
      <c r="M741" s="4">
        <v>15.92</v>
      </c>
      <c r="N741" s="4">
        <v>302.56</v>
      </c>
      <c r="O741" s="4">
        <v>129.97999999999999</v>
      </c>
      <c r="P741" s="4">
        <v>5.01</v>
      </c>
      <c r="Q741" s="4">
        <v>1.27</v>
      </c>
      <c r="R741" s="4">
        <v>8.5</v>
      </c>
      <c r="S741" s="4">
        <v>0</v>
      </c>
      <c r="T741" s="4">
        <v>0</v>
      </c>
      <c r="U741" s="4">
        <v>144.76</v>
      </c>
      <c r="V741" s="4">
        <v>157.80000000000001</v>
      </c>
      <c r="W741" t="s">
        <v>21</v>
      </c>
      <c r="X741" t="s">
        <v>36</v>
      </c>
      <c r="Y741" s="4">
        <v>10</v>
      </c>
      <c r="Z741" s="4">
        <v>17</v>
      </c>
      <c r="AA741" t="s">
        <v>37</v>
      </c>
      <c r="AB741" t="s">
        <v>44</v>
      </c>
      <c r="AC741" s="7">
        <v>1</v>
      </c>
      <c r="AD741" t="s">
        <v>45</v>
      </c>
      <c r="AE741">
        <f t="shared" si="11"/>
        <v>1</v>
      </c>
    </row>
    <row r="742" spans="1:31" x14ac:dyDescent="0.35">
      <c r="A742">
        <v>100741</v>
      </c>
      <c r="B742" s="3">
        <v>46009</v>
      </c>
      <c r="C742">
        <v>1077</v>
      </c>
      <c r="D742" t="s">
        <v>59</v>
      </c>
      <c r="E742" t="s">
        <v>70</v>
      </c>
      <c r="F742" t="s">
        <v>49</v>
      </c>
      <c r="G742" t="s">
        <v>63</v>
      </c>
      <c r="H742" t="s">
        <v>57</v>
      </c>
      <c r="I742" t="s">
        <v>42</v>
      </c>
      <c r="J742" s="4">
        <v>34.22</v>
      </c>
      <c r="K742" s="4">
        <v>12.99</v>
      </c>
      <c r="L742">
        <v>10</v>
      </c>
      <c r="M742" s="4">
        <v>44.45</v>
      </c>
      <c r="N742" s="4">
        <v>400.07</v>
      </c>
      <c r="O742" s="4">
        <v>250.68</v>
      </c>
      <c r="P742" s="4">
        <v>6.4</v>
      </c>
      <c r="Q742" s="4">
        <v>6.67</v>
      </c>
      <c r="R742" s="4">
        <v>5.55</v>
      </c>
      <c r="S742" s="4">
        <v>358.6</v>
      </c>
      <c r="T742" s="4">
        <v>20.81</v>
      </c>
      <c r="U742" s="4">
        <v>648.71</v>
      </c>
      <c r="V742" s="4">
        <v>-248.64</v>
      </c>
      <c r="W742" t="s">
        <v>58</v>
      </c>
      <c r="X742" t="s">
        <v>55</v>
      </c>
      <c r="Y742" s="4">
        <v>9</v>
      </c>
      <c r="Z742" s="4">
        <v>3</v>
      </c>
      <c r="AA742" t="s">
        <v>37</v>
      </c>
      <c r="AB742" t="s">
        <v>44</v>
      </c>
      <c r="AC742" s="7">
        <v>1</v>
      </c>
      <c r="AD742" t="s">
        <v>45</v>
      </c>
      <c r="AE742">
        <f t="shared" si="11"/>
        <v>1</v>
      </c>
    </row>
    <row r="743" spans="1:31" x14ac:dyDescent="0.35">
      <c r="A743">
        <v>100742</v>
      </c>
      <c r="B743" s="3">
        <v>45959</v>
      </c>
      <c r="C743">
        <v>1025</v>
      </c>
      <c r="D743" t="s">
        <v>64</v>
      </c>
      <c r="E743" t="s">
        <v>67</v>
      </c>
      <c r="F743" t="s">
        <v>61</v>
      </c>
      <c r="G743" t="s">
        <v>33</v>
      </c>
      <c r="H743" t="s">
        <v>34</v>
      </c>
      <c r="I743" t="s">
        <v>69</v>
      </c>
      <c r="J743" s="4">
        <v>20.52</v>
      </c>
      <c r="K743" s="4">
        <v>18.23</v>
      </c>
      <c r="L743">
        <v>5</v>
      </c>
      <c r="M743" s="4">
        <v>18.7</v>
      </c>
      <c r="N743" s="4">
        <v>355.38</v>
      </c>
      <c r="O743" s="4">
        <v>157.12</v>
      </c>
      <c r="P743" s="4">
        <v>5.36</v>
      </c>
      <c r="Q743" s="4">
        <v>1.5</v>
      </c>
      <c r="R743" s="4">
        <v>11.3</v>
      </c>
      <c r="S743" s="4">
        <v>0</v>
      </c>
      <c r="T743" s="4">
        <v>0</v>
      </c>
      <c r="U743" s="4">
        <v>175.28</v>
      </c>
      <c r="V743" s="4">
        <v>180.1</v>
      </c>
      <c r="W743" t="s">
        <v>21</v>
      </c>
      <c r="X743" t="s">
        <v>36</v>
      </c>
      <c r="Y743" s="4">
        <v>11</v>
      </c>
      <c r="Z743" s="4">
        <v>6</v>
      </c>
      <c r="AA743" t="s">
        <v>37</v>
      </c>
      <c r="AB743" t="s">
        <v>38</v>
      </c>
      <c r="AC743" s="7">
        <v>0</v>
      </c>
      <c r="AD743" t="s">
        <v>39</v>
      </c>
      <c r="AE743">
        <f t="shared" si="11"/>
        <v>0</v>
      </c>
    </row>
    <row r="744" spans="1:31" x14ac:dyDescent="0.35">
      <c r="A744">
        <v>100743</v>
      </c>
      <c r="B744" s="3">
        <v>46012</v>
      </c>
      <c r="C744">
        <v>1044</v>
      </c>
      <c r="D744" t="s">
        <v>47</v>
      </c>
      <c r="E744" t="s">
        <v>53</v>
      </c>
      <c r="F744" t="s">
        <v>71</v>
      </c>
      <c r="G744" t="s">
        <v>46</v>
      </c>
      <c r="H744" t="s">
        <v>34</v>
      </c>
      <c r="I744" t="s">
        <v>35</v>
      </c>
      <c r="J744" s="4">
        <v>24.5</v>
      </c>
      <c r="K744" s="4">
        <v>15.16</v>
      </c>
      <c r="L744">
        <v>5</v>
      </c>
      <c r="M744" s="4">
        <v>18.57</v>
      </c>
      <c r="N744" s="4">
        <v>352.85</v>
      </c>
      <c r="O744" s="4">
        <v>209.76</v>
      </c>
      <c r="P744" s="4">
        <v>7.18</v>
      </c>
      <c r="Q744" s="4">
        <v>2.6</v>
      </c>
      <c r="R744" s="4">
        <v>8.33</v>
      </c>
      <c r="S744" s="4">
        <v>0</v>
      </c>
      <c r="T744" s="4">
        <v>0</v>
      </c>
      <c r="U744" s="4">
        <v>227.87</v>
      </c>
      <c r="V744" s="4">
        <v>124.98</v>
      </c>
      <c r="W744" t="s">
        <v>21</v>
      </c>
      <c r="X744" t="s">
        <v>36</v>
      </c>
      <c r="Y744" s="4">
        <v>3</v>
      </c>
      <c r="Z744" s="4">
        <v>5</v>
      </c>
      <c r="AA744" t="s">
        <v>37</v>
      </c>
      <c r="AB744" t="s">
        <v>38</v>
      </c>
      <c r="AC744" s="7">
        <v>0</v>
      </c>
      <c r="AD744" t="s">
        <v>39</v>
      </c>
      <c r="AE744">
        <f t="shared" si="11"/>
        <v>0</v>
      </c>
    </row>
    <row r="745" spans="1:31" x14ac:dyDescent="0.35">
      <c r="A745">
        <v>100744</v>
      </c>
      <c r="B745" s="3">
        <v>45957</v>
      </c>
      <c r="C745">
        <v>1085</v>
      </c>
      <c r="D745" t="s">
        <v>30</v>
      </c>
      <c r="E745" t="s">
        <v>40</v>
      </c>
      <c r="F745" t="s">
        <v>32</v>
      </c>
      <c r="G745" t="s">
        <v>33</v>
      </c>
      <c r="H745" t="s">
        <v>34</v>
      </c>
      <c r="I745" t="s">
        <v>42</v>
      </c>
      <c r="J745" s="4">
        <v>35.479999999999997</v>
      </c>
      <c r="K745" s="4">
        <v>19.89</v>
      </c>
      <c r="L745">
        <v>10</v>
      </c>
      <c r="M745" s="4">
        <v>70.569999999999993</v>
      </c>
      <c r="N745" s="4">
        <v>635.13</v>
      </c>
      <c r="O745" s="4">
        <v>250.54</v>
      </c>
      <c r="P745" s="4">
        <v>10.26</v>
      </c>
      <c r="Q745" s="4">
        <v>10.59</v>
      </c>
      <c r="R745" s="4">
        <v>11.33</v>
      </c>
      <c r="S745" s="4">
        <v>332.36</v>
      </c>
      <c r="T745" s="4">
        <v>0</v>
      </c>
      <c r="U745" s="4">
        <v>615.08000000000004</v>
      </c>
      <c r="V745" s="4">
        <v>20.05</v>
      </c>
      <c r="W745" t="s">
        <v>21</v>
      </c>
      <c r="X745" t="s">
        <v>66</v>
      </c>
      <c r="Y745" s="4">
        <v>2</v>
      </c>
      <c r="Z745" s="4">
        <v>8</v>
      </c>
      <c r="AA745" t="s">
        <v>37</v>
      </c>
      <c r="AB745" t="s">
        <v>38</v>
      </c>
      <c r="AC745" s="7">
        <v>3</v>
      </c>
      <c r="AD745" t="s">
        <v>45</v>
      </c>
      <c r="AE745">
        <f t="shared" si="11"/>
        <v>0</v>
      </c>
    </row>
    <row r="746" spans="1:31" x14ac:dyDescent="0.35">
      <c r="A746">
        <v>100745</v>
      </c>
      <c r="B746" s="3">
        <v>45981</v>
      </c>
      <c r="C746">
        <v>1062</v>
      </c>
      <c r="D746" t="s">
        <v>47</v>
      </c>
      <c r="E746" t="s">
        <v>74</v>
      </c>
      <c r="F746" t="s">
        <v>49</v>
      </c>
      <c r="G746" t="s">
        <v>63</v>
      </c>
      <c r="H746" t="s">
        <v>51</v>
      </c>
      <c r="I746" t="s">
        <v>35</v>
      </c>
      <c r="J746" s="4">
        <v>25.3</v>
      </c>
      <c r="K746" s="4">
        <v>12.23</v>
      </c>
      <c r="L746">
        <v>5</v>
      </c>
      <c r="M746" s="4">
        <v>15.47</v>
      </c>
      <c r="N746" s="4">
        <v>293.95</v>
      </c>
      <c r="O746" s="4">
        <v>190.43</v>
      </c>
      <c r="P746" s="4">
        <v>10.37</v>
      </c>
      <c r="Q746" s="4">
        <v>2.17</v>
      </c>
      <c r="R746" s="4">
        <v>9.0399999999999991</v>
      </c>
      <c r="S746" s="4">
        <v>0</v>
      </c>
      <c r="T746" s="4">
        <v>0</v>
      </c>
      <c r="U746" s="4">
        <v>212.01</v>
      </c>
      <c r="V746" s="4">
        <v>81.94</v>
      </c>
      <c r="W746" t="s">
        <v>21</v>
      </c>
      <c r="X746" t="s">
        <v>36</v>
      </c>
      <c r="Y746" s="4">
        <v>38</v>
      </c>
      <c r="Z746" s="4">
        <v>4</v>
      </c>
      <c r="AA746" t="s">
        <v>43</v>
      </c>
      <c r="AB746" t="s">
        <v>44</v>
      </c>
      <c r="AC746" s="7">
        <v>2</v>
      </c>
      <c r="AD746" t="s">
        <v>45</v>
      </c>
      <c r="AE746">
        <f t="shared" si="11"/>
        <v>1</v>
      </c>
    </row>
    <row r="747" spans="1:31" x14ac:dyDescent="0.35">
      <c r="A747">
        <v>100746</v>
      </c>
      <c r="B747" s="3">
        <v>46016</v>
      </c>
      <c r="C747">
        <v>1112</v>
      </c>
      <c r="D747" t="s">
        <v>59</v>
      </c>
      <c r="E747" t="s">
        <v>68</v>
      </c>
      <c r="F747" t="s">
        <v>61</v>
      </c>
      <c r="G747" t="s">
        <v>63</v>
      </c>
      <c r="H747" t="s">
        <v>34</v>
      </c>
      <c r="I747" t="s">
        <v>35</v>
      </c>
      <c r="J747" s="4">
        <v>20.73</v>
      </c>
      <c r="K747" s="4">
        <v>13</v>
      </c>
      <c r="L747">
        <v>15</v>
      </c>
      <c r="M747" s="4">
        <v>40.42</v>
      </c>
      <c r="N747" s="4">
        <v>229.07</v>
      </c>
      <c r="O747" s="4">
        <v>149.94999999999999</v>
      </c>
      <c r="P747" s="4">
        <v>8.83</v>
      </c>
      <c r="Q747" s="4">
        <v>1.89</v>
      </c>
      <c r="R747" s="4">
        <v>4.2300000000000004</v>
      </c>
      <c r="S747" s="4">
        <v>0</v>
      </c>
      <c r="T747" s="4">
        <v>0</v>
      </c>
      <c r="U747" s="4">
        <v>164.9</v>
      </c>
      <c r="V747" s="4">
        <v>64.17</v>
      </c>
      <c r="W747" t="s">
        <v>21</v>
      </c>
      <c r="X747" t="s">
        <v>36</v>
      </c>
      <c r="Y747" s="4">
        <v>12</v>
      </c>
      <c r="Z747" s="4">
        <v>1</v>
      </c>
      <c r="AA747" t="s">
        <v>37</v>
      </c>
      <c r="AB747" t="s">
        <v>38</v>
      </c>
      <c r="AC747" s="7">
        <v>1</v>
      </c>
      <c r="AD747" t="s">
        <v>39</v>
      </c>
      <c r="AE747">
        <f t="shared" si="11"/>
        <v>0</v>
      </c>
    </row>
    <row r="748" spans="1:31" x14ac:dyDescent="0.35">
      <c r="A748">
        <v>100747</v>
      </c>
      <c r="B748" s="3">
        <v>45937</v>
      </c>
      <c r="C748">
        <v>1148</v>
      </c>
      <c r="D748" t="s">
        <v>30</v>
      </c>
      <c r="E748" t="s">
        <v>31</v>
      </c>
      <c r="F748" t="s">
        <v>32</v>
      </c>
      <c r="G748" t="s">
        <v>50</v>
      </c>
      <c r="H748" t="s">
        <v>34</v>
      </c>
      <c r="I748" t="s">
        <v>35</v>
      </c>
      <c r="J748" s="4">
        <v>22.14</v>
      </c>
      <c r="K748" s="4">
        <v>17.34</v>
      </c>
      <c r="L748">
        <v>10</v>
      </c>
      <c r="M748" s="4">
        <v>38.39</v>
      </c>
      <c r="N748" s="4">
        <v>345.52</v>
      </c>
      <c r="O748" s="4">
        <v>187.51</v>
      </c>
      <c r="P748" s="4">
        <v>7.85</v>
      </c>
      <c r="Q748" s="4">
        <v>2.69</v>
      </c>
      <c r="R748" s="4">
        <v>2.91</v>
      </c>
      <c r="S748" s="4">
        <v>148.57</v>
      </c>
      <c r="T748" s="4">
        <v>0</v>
      </c>
      <c r="U748" s="4">
        <v>349.53</v>
      </c>
      <c r="V748" s="4">
        <v>-4.01</v>
      </c>
      <c r="W748" t="s">
        <v>58</v>
      </c>
      <c r="X748" t="s">
        <v>55</v>
      </c>
      <c r="Y748" s="4">
        <v>4</v>
      </c>
      <c r="Z748" s="4">
        <v>13</v>
      </c>
      <c r="AA748" t="s">
        <v>37</v>
      </c>
      <c r="AB748" t="s">
        <v>44</v>
      </c>
      <c r="AC748" s="7">
        <v>3</v>
      </c>
      <c r="AD748" t="s">
        <v>45</v>
      </c>
      <c r="AE748">
        <f t="shared" si="11"/>
        <v>1</v>
      </c>
    </row>
    <row r="749" spans="1:31" x14ac:dyDescent="0.35">
      <c r="A749">
        <v>100748</v>
      </c>
      <c r="B749" s="3">
        <v>46002</v>
      </c>
      <c r="C749">
        <v>1008</v>
      </c>
      <c r="D749" t="s">
        <v>64</v>
      </c>
      <c r="E749" t="s">
        <v>75</v>
      </c>
      <c r="F749" t="s">
        <v>41</v>
      </c>
      <c r="G749" t="s">
        <v>63</v>
      </c>
      <c r="H749" t="s">
        <v>51</v>
      </c>
      <c r="I749" t="s">
        <v>42</v>
      </c>
      <c r="J749" s="4">
        <v>20.79</v>
      </c>
      <c r="K749" s="4">
        <v>13.74</v>
      </c>
      <c r="L749">
        <v>5</v>
      </c>
      <c r="M749" s="4">
        <v>14.28</v>
      </c>
      <c r="N749" s="4">
        <v>271.37</v>
      </c>
      <c r="O749" s="4">
        <v>159.69</v>
      </c>
      <c r="P749" s="4">
        <v>2.73</v>
      </c>
      <c r="Q749" s="4">
        <v>4.28</v>
      </c>
      <c r="R749" s="4">
        <v>1.1499999999999999</v>
      </c>
      <c r="S749" s="4">
        <v>0</v>
      </c>
      <c r="T749" s="4">
        <v>0</v>
      </c>
      <c r="U749" s="4">
        <v>167.85</v>
      </c>
      <c r="V749" s="4">
        <v>103.52</v>
      </c>
      <c r="W749" t="s">
        <v>21</v>
      </c>
      <c r="X749" t="s">
        <v>36</v>
      </c>
      <c r="Y749" s="4">
        <v>51</v>
      </c>
      <c r="Z749" s="4">
        <v>14</v>
      </c>
      <c r="AA749" t="s">
        <v>43</v>
      </c>
      <c r="AB749" t="s">
        <v>44</v>
      </c>
      <c r="AC749" s="7">
        <v>3</v>
      </c>
      <c r="AD749" t="s">
        <v>45</v>
      </c>
      <c r="AE749">
        <f t="shared" si="11"/>
        <v>1</v>
      </c>
    </row>
    <row r="750" spans="1:31" x14ac:dyDescent="0.35">
      <c r="A750">
        <v>100749</v>
      </c>
      <c r="B750" s="3">
        <v>45934</v>
      </c>
      <c r="C750">
        <v>1021</v>
      </c>
      <c r="D750" t="s">
        <v>30</v>
      </c>
      <c r="E750" t="s">
        <v>72</v>
      </c>
      <c r="F750" t="s">
        <v>41</v>
      </c>
      <c r="G750" t="s">
        <v>46</v>
      </c>
      <c r="H750" t="s">
        <v>57</v>
      </c>
      <c r="I750" t="s">
        <v>69</v>
      </c>
      <c r="J750" s="4">
        <v>30.31</v>
      </c>
      <c r="K750" s="4">
        <v>15.97</v>
      </c>
      <c r="L750">
        <v>0</v>
      </c>
      <c r="M750" s="4">
        <v>0</v>
      </c>
      <c r="N750" s="4">
        <v>484.05</v>
      </c>
      <c r="O750" s="4">
        <v>255.62</v>
      </c>
      <c r="P750" s="4">
        <v>10.87</v>
      </c>
      <c r="Q750" s="4">
        <v>1.94</v>
      </c>
      <c r="R750" s="4">
        <v>8.8699999999999992</v>
      </c>
      <c r="S750" s="4">
        <v>0</v>
      </c>
      <c r="T750" s="4">
        <v>0</v>
      </c>
      <c r="U750" s="4">
        <v>277.3</v>
      </c>
      <c r="V750" s="4">
        <v>206.75</v>
      </c>
      <c r="W750" t="s">
        <v>21</v>
      </c>
      <c r="X750" t="s">
        <v>36</v>
      </c>
      <c r="Y750" s="4">
        <v>7</v>
      </c>
      <c r="Z750" s="4">
        <v>9</v>
      </c>
      <c r="AA750" t="s">
        <v>37</v>
      </c>
      <c r="AB750" t="s">
        <v>38</v>
      </c>
      <c r="AC750" s="7">
        <v>0</v>
      </c>
      <c r="AD750" t="s">
        <v>39</v>
      </c>
      <c r="AE750">
        <f t="shared" si="11"/>
        <v>0</v>
      </c>
    </row>
    <row r="751" spans="1:31" x14ac:dyDescent="0.35">
      <c r="A751">
        <v>100750</v>
      </c>
      <c r="B751" s="3">
        <v>45956</v>
      </c>
      <c r="C751">
        <v>1059</v>
      </c>
      <c r="D751" t="s">
        <v>30</v>
      </c>
      <c r="E751" t="s">
        <v>40</v>
      </c>
      <c r="F751" t="s">
        <v>71</v>
      </c>
      <c r="G751" t="s">
        <v>46</v>
      </c>
      <c r="H751" t="s">
        <v>51</v>
      </c>
      <c r="I751" t="s">
        <v>35</v>
      </c>
      <c r="J751" s="4">
        <v>40.26</v>
      </c>
      <c r="K751" s="4">
        <v>15.48</v>
      </c>
      <c r="L751">
        <v>15</v>
      </c>
      <c r="M751" s="4">
        <v>93.48</v>
      </c>
      <c r="N751" s="4">
        <v>529.74</v>
      </c>
      <c r="O751" s="4">
        <v>255.94</v>
      </c>
      <c r="P751" s="4">
        <v>7.82</v>
      </c>
      <c r="Q751" s="4">
        <v>4.3600000000000003</v>
      </c>
      <c r="R751" s="4">
        <v>9.3699999999999992</v>
      </c>
      <c r="S751" s="4">
        <v>0</v>
      </c>
      <c r="T751" s="4">
        <v>0</v>
      </c>
      <c r="U751" s="4">
        <v>277.49</v>
      </c>
      <c r="V751" s="4">
        <v>252.25</v>
      </c>
      <c r="W751" t="s">
        <v>21</v>
      </c>
      <c r="X751" t="s">
        <v>36</v>
      </c>
      <c r="Y751" s="4">
        <v>13</v>
      </c>
      <c r="Z751" s="4">
        <v>7</v>
      </c>
      <c r="AA751" t="s">
        <v>37</v>
      </c>
      <c r="AB751" t="s">
        <v>38</v>
      </c>
      <c r="AC751" s="7">
        <v>0</v>
      </c>
      <c r="AD751" t="s">
        <v>39</v>
      </c>
      <c r="AE751">
        <f t="shared" si="11"/>
        <v>0</v>
      </c>
    </row>
    <row r="752" spans="1:31" x14ac:dyDescent="0.35">
      <c r="A752">
        <v>100751</v>
      </c>
      <c r="B752" s="3">
        <v>45969</v>
      </c>
      <c r="C752">
        <v>1117</v>
      </c>
      <c r="D752" t="s">
        <v>30</v>
      </c>
      <c r="E752" t="s">
        <v>62</v>
      </c>
      <c r="F752" t="s">
        <v>61</v>
      </c>
      <c r="G752" t="s">
        <v>46</v>
      </c>
      <c r="H752" t="s">
        <v>34</v>
      </c>
      <c r="I752" t="s">
        <v>35</v>
      </c>
      <c r="J752" s="4">
        <v>24.19</v>
      </c>
      <c r="K752" s="4">
        <v>15.17</v>
      </c>
      <c r="L752">
        <v>15</v>
      </c>
      <c r="M752" s="4">
        <v>55.04</v>
      </c>
      <c r="N752" s="4">
        <v>311.92</v>
      </c>
      <c r="O752" s="4">
        <v>183.83</v>
      </c>
      <c r="P752" s="4">
        <v>11.85</v>
      </c>
      <c r="Q752" s="4">
        <v>2.57</v>
      </c>
      <c r="R752" s="4">
        <v>15.15</v>
      </c>
      <c r="S752" s="4">
        <v>289.07</v>
      </c>
      <c r="T752" s="4">
        <v>0</v>
      </c>
      <c r="U752" s="4">
        <v>502.47</v>
      </c>
      <c r="V752" s="4">
        <v>-190.55</v>
      </c>
      <c r="W752" t="s">
        <v>58</v>
      </c>
      <c r="X752" t="s">
        <v>55</v>
      </c>
      <c r="Y752" s="4">
        <v>9</v>
      </c>
      <c r="Z752" s="4">
        <v>4</v>
      </c>
      <c r="AA752" t="s">
        <v>37</v>
      </c>
      <c r="AB752" t="s">
        <v>44</v>
      </c>
      <c r="AC752" s="7">
        <v>2</v>
      </c>
      <c r="AD752" t="s">
        <v>45</v>
      </c>
      <c r="AE752">
        <f t="shared" si="11"/>
        <v>1</v>
      </c>
    </row>
    <row r="753" spans="1:31" x14ac:dyDescent="0.35">
      <c r="A753">
        <v>100752</v>
      </c>
      <c r="B753" s="3">
        <v>45991</v>
      </c>
      <c r="C753">
        <v>1113</v>
      </c>
      <c r="D753" t="s">
        <v>64</v>
      </c>
      <c r="E753" t="s">
        <v>75</v>
      </c>
      <c r="F753" t="s">
        <v>61</v>
      </c>
      <c r="G753" t="s">
        <v>46</v>
      </c>
      <c r="H753" t="s">
        <v>34</v>
      </c>
      <c r="I753" t="s">
        <v>35</v>
      </c>
      <c r="J753" s="4">
        <v>34.79</v>
      </c>
      <c r="K753" s="4">
        <v>16.89</v>
      </c>
      <c r="L753">
        <v>5</v>
      </c>
      <c r="M753" s="4">
        <v>29.38</v>
      </c>
      <c r="N753" s="4">
        <v>558.22</v>
      </c>
      <c r="O753" s="4">
        <v>233.73</v>
      </c>
      <c r="P753" s="4">
        <v>6.75</v>
      </c>
      <c r="Q753" s="4">
        <v>4.1100000000000003</v>
      </c>
      <c r="R753" s="4">
        <v>4.9400000000000004</v>
      </c>
      <c r="S753" s="4">
        <v>0</v>
      </c>
      <c r="T753" s="4">
        <v>0</v>
      </c>
      <c r="U753" s="4">
        <v>249.53</v>
      </c>
      <c r="V753" s="4">
        <v>308.69</v>
      </c>
      <c r="W753" t="s">
        <v>21</v>
      </c>
      <c r="X753" t="s">
        <v>36</v>
      </c>
      <c r="Y753" s="4">
        <v>3</v>
      </c>
      <c r="Z753" s="4">
        <v>2</v>
      </c>
      <c r="AA753" t="s">
        <v>37</v>
      </c>
      <c r="AB753" t="s">
        <v>38</v>
      </c>
      <c r="AC753" s="7">
        <v>0</v>
      </c>
      <c r="AD753" t="s">
        <v>39</v>
      </c>
      <c r="AE753">
        <f t="shared" si="11"/>
        <v>0</v>
      </c>
    </row>
    <row r="754" spans="1:31" x14ac:dyDescent="0.35">
      <c r="A754">
        <v>100753</v>
      </c>
      <c r="B754" s="3">
        <v>45961</v>
      </c>
      <c r="C754">
        <v>1051</v>
      </c>
      <c r="D754" t="s">
        <v>30</v>
      </c>
      <c r="E754" t="s">
        <v>31</v>
      </c>
      <c r="F754" t="s">
        <v>32</v>
      </c>
      <c r="G754" t="s">
        <v>50</v>
      </c>
      <c r="H754" t="s">
        <v>57</v>
      </c>
      <c r="I754" t="s">
        <v>35</v>
      </c>
      <c r="J754" s="4">
        <v>36.79</v>
      </c>
      <c r="K754" s="4">
        <v>18.010000000000002</v>
      </c>
      <c r="L754">
        <v>10</v>
      </c>
      <c r="M754" s="4">
        <v>66.260000000000005</v>
      </c>
      <c r="N754" s="4">
        <v>596.33000000000004</v>
      </c>
      <c r="O754" s="4">
        <v>248.87</v>
      </c>
      <c r="P754" s="4">
        <v>3.38</v>
      </c>
      <c r="Q754" s="4">
        <v>4.6399999999999997</v>
      </c>
      <c r="R754" s="4">
        <v>7.28</v>
      </c>
      <c r="S754" s="4">
        <v>0</v>
      </c>
      <c r="T754" s="4">
        <v>0</v>
      </c>
      <c r="U754" s="4">
        <v>264.17</v>
      </c>
      <c r="V754" s="4">
        <v>332.16</v>
      </c>
      <c r="W754" t="s">
        <v>21</v>
      </c>
      <c r="X754" t="s">
        <v>36</v>
      </c>
      <c r="Y754" s="4">
        <v>37</v>
      </c>
      <c r="Z754" s="4">
        <v>6</v>
      </c>
      <c r="AA754" t="s">
        <v>43</v>
      </c>
      <c r="AB754" t="s">
        <v>44</v>
      </c>
      <c r="AC754" s="7">
        <v>1</v>
      </c>
      <c r="AD754" t="s">
        <v>45</v>
      </c>
      <c r="AE754">
        <f t="shared" si="11"/>
        <v>1</v>
      </c>
    </row>
    <row r="755" spans="1:31" x14ac:dyDescent="0.35">
      <c r="A755">
        <v>100754</v>
      </c>
      <c r="B755" s="3">
        <v>45993</v>
      </c>
      <c r="C755">
        <v>1024</v>
      </c>
      <c r="D755" t="s">
        <v>30</v>
      </c>
      <c r="E755" t="s">
        <v>40</v>
      </c>
      <c r="F755" t="s">
        <v>61</v>
      </c>
      <c r="G755" t="s">
        <v>63</v>
      </c>
      <c r="H755" t="s">
        <v>51</v>
      </c>
      <c r="I755" t="s">
        <v>42</v>
      </c>
      <c r="J755" s="4">
        <v>26.51</v>
      </c>
      <c r="K755" s="4">
        <v>13.75</v>
      </c>
      <c r="L755">
        <v>5</v>
      </c>
      <c r="M755" s="4">
        <v>18.23</v>
      </c>
      <c r="N755" s="4">
        <v>346.28</v>
      </c>
      <c r="O755" s="4">
        <v>190.29</v>
      </c>
      <c r="P755" s="4">
        <v>4.4400000000000004</v>
      </c>
      <c r="Q755" s="4">
        <v>5.47</v>
      </c>
      <c r="R755" s="4">
        <v>6.33</v>
      </c>
      <c r="S755" s="4">
        <v>0</v>
      </c>
      <c r="T755" s="4">
        <v>0</v>
      </c>
      <c r="U755" s="4">
        <v>206.53</v>
      </c>
      <c r="V755" s="4">
        <v>139.75</v>
      </c>
      <c r="W755" t="s">
        <v>21</v>
      </c>
      <c r="X755" t="s">
        <v>36</v>
      </c>
      <c r="Y755" s="4">
        <v>3</v>
      </c>
      <c r="Z755" s="4">
        <v>34</v>
      </c>
      <c r="AA755" t="s">
        <v>37</v>
      </c>
      <c r="AB755" t="s">
        <v>44</v>
      </c>
      <c r="AC755" s="7">
        <v>3</v>
      </c>
      <c r="AD755" t="s">
        <v>45</v>
      </c>
      <c r="AE755">
        <f t="shared" si="11"/>
        <v>1</v>
      </c>
    </row>
    <row r="756" spans="1:31" x14ac:dyDescent="0.35">
      <c r="A756">
        <v>100755</v>
      </c>
      <c r="B756" s="3">
        <v>45985</v>
      </c>
      <c r="C756">
        <v>1085</v>
      </c>
      <c r="D756" t="s">
        <v>30</v>
      </c>
      <c r="E756" t="s">
        <v>62</v>
      </c>
      <c r="F756" t="s">
        <v>32</v>
      </c>
      <c r="G756" t="s">
        <v>33</v>
      </c>
      <c r="H756" t="s">
        <v>34</v>
      </c>
      <c r="I756" t="s">
        <v>54</v>
      </c>
      <c r="J756" s="4">
        <v>26.88</v>
      </c>
      <c r="K756" s="4">
        <v>20.62</v>
      </c>
      <c r="L756">
        <v>0</v>
      </c>
      <c r="M756" s="4">
        <v>0</v>
      </c>
      <c r="N756" s="4">
        <v>554.27</v>
      </c>
      <c r="O756" s="4">
        <v>176.62</v>
      </c>
      <c r="P756" s="4">
        <v>2.21</v>
      </c>
      <c r="Q756" s="4">
        <v>6.65</v>
      </c>
      <c r="R756" s="4">
        <v>8.48</v>
      </c>
      <c r="S756" s="4">
        <v>0</v>
      </c>
      <c r="T756" s="4">
        <v>0</v>
      </c>
      <c r="U756" s="4">
        <v>193.96</v>
      </c>
      <c r="V756" s="4">
        <v>360.31</v>
      </c>
      <c r="W756" t="s">
        <v>21</v>
      </c>
      <c r="X756" t="s">
        <v>36</v>
      </c>
      <c r="Y756" s="4">
        <v>10</v>
      </c>
      <c r="Z756" s="4">
        <v>1</v>
      </c>
      <c r="AA756" t="s">
        <v>37</v>
      </c>
      <c r="AB756" t="s">
        <v>38</v>
      </c>
      <c r="AC756" s="7">
        <v>0</v>
      </c>
      <c r="AD756" t="s">
        <v>39</v>
      </c>
      <c r="AE756">
        <f t="shared" si="11"/>
        <v>0</v>
      </c>
    </row>
    <row r="757" spans="1:31" x14ac:dyDescent="0.35">
      <c r="A757">
        <v>100756</v>
      </c>
      <c r="B757" s="3">
        <v>45946</v>
      </c>
      <c r="C757">
        <v>1032</v>
      </c>
      <c r="D757" t="s">
        <v>30</v>
      </c>
      <c r="E757" t="s">
        <v>62</v>
      </c>
      <c r="F757" t="s">
        <v>61</v>
      </c>
      <c r="G757" t="s">
        <v>46</v>
      </c>
      <c r="H757" t="s">
        <v>57</v>
      </c>
      <c r="I757" t="s">
        <v>35</v>
      </c>
      <c r="J757" s="4">
        <v>37.58</v>
      </c>
      <c r="K757" s="4">
        <v>15.56</v>
      </c>
      <c r="L757">
        <v>20</v>
      </c>
      <c r="M757" s="4">
        <v>116.95</v>
      </c>
      <c r="N757" s="4">
        <v>467.79</v>
      </c>
      <c r="O757" s="4">
        <v>254.06</v>
      </c>
      <c r="P757" s="4">
        <v>6.65</v>
      </c>
      <c r="Q757" s="4">
        <v>4.09</v>
      </c>
      <c r="R757" s="4">
        <v>4.05</v>
      </c>
      <c r="S757" s="4">
        <v>0</v>
      </c>
      <c r="T757" s="4">
        <v>0</v>
      </c>
      <c r="U757" s="4">
        <v>268.85000000000002</v>
      </c>
      <c r="V757" s="4">
        <v>198.94</v>
      </c>
      <c r="W757" t="s">
        <v>21</v>
      </c>
      <c r="X757" t="s">
        <v>36</v>
      </c>
      <c r="Y757" s="4">
        <v>12</v>
      </c>
      <c r="Z757" s="4">
        <v>3</v>
      </c>
      <c r="AA757" t="s">
        <v>37</v>
      </c>
      <c r="AB757" t="s">
        <v>38</v>
      </c>
      <c r="AC757" s="7">
        <v>0</v>
      </c>
      <c r="AD757" t="s">
        <v>39</v>
      </c>
      <c r="AE757">
        <f t="shared" si="11"/>
        <v>0</v>
      </c>
    </row>
    <row r="758" spans="1:31" x14ac:dyDescent="0.35">
      <c r="A758">
        <v>100757</v>
      </c>
      <c r="B758" s="3">
        <v>45988</v>
      </c>
      <c r="C758">
        <v>1109</v>
      </c>
      <c r="D758" t="s">
        <v>30</v>
      </c>
      <c r="E758" t="s">
        <v>72</v>
      </c>
      <c r="F758" t="s">
        <v>61</v>
      </c>
      <c r="G758" t="s">
        <v>33</v>
      </c>
      <c r="H758" t="s">
        <v>34</v>
      </c>
      <c r="I758" t="s">
        <v>35</v>
      </c>
      <c r="J758" s="4">
        <v>28.31</v>
      </c>
      <c r="K758" s="4">
        <v>18.93</v>
      </c>
      <c r="L758">
        <v>15</v>
      </c>
      <c r="M758" s="4">
        <v>80.39</v>
      </c>
      <c r="N758" s="4">
        <v>455.52</v>
      </c>
      <c r="O758" s="4">
        <v>191.73</v>
      </c>
      <c r="P758" s="4">
        <v>12.79</v>
      </c>
      <c r="Q758" s="4">
        <v>3.75</v>
      </c>
      <c r="R758" s="4">
        <v>4.6100000000000003</v>
      </c>
      <c r="S758" s="4">
        <v>0</v>
      </c>
      <c r="T758" s="4">
        <v>0</v>
      </c>
      <c r="U758" s="4">
        <v>212.88</v>
      </c>
      <c r="V758" s="4">
        <v>242.64</v>
      </c>
      <c r="W758" t="s">
        <v>21</v>
      </c>
      <c r="X758" t="s">
        <v>36</v>
      </c>
      <c r="Y758" s="4">
        <v>11</v>
      </c>
      <c r="Z758" s="4">
        <v>4</v>
      </c>
      <c r="AA758" t="s">
        <v>37</v>
      </c>
      <c r="AB758" t="s">
        <v>38</v>
      </c>
      <c r="AC758" s="7">
        <v>0</v>
      </c>
      <c r="AD758" t="s">
        <v>39</v>
      </c>
      <c r="AE758">
        <f t="shared" si="11"/>
        <v>0</v>
      </c>
    </row>
    <row r="759" spans="1:31" x14ac:dyDescent="0.35">
      <c r="A759">
        <v>100758</v>
      </c>
      <c r="B759" s="3">
        <v>45990</v>
      </c>
      <c r="C759">
        <v>1142</v>
      </c>
      <c r="D759" t="s">
        <v>59</v>
      </c>
      <c r="E759" t="s">
        <v>60</v>
      </c>
      <c r="F759" t="s">
        <v>71</v>
      </c>
      <c r="G759" t="s">
        <v>50</v>
      </c>
      <c r="H759" t="s">
        <v>51</v>
      </c>
      <c r="I759" t="s">
        <v>54</v>
      </c>
      <c r="J759" s="4">
        <v>28.83</v>
      </c>
      <c r="K759" s="4">
        <v>17.71</v>
      </c>
      <c r="L759">
        <v>10</v>
      </c>
      <c r="M759" s="4">
        <v>51.06</v>
      </c>
      <c r="N759" s="4">
        <v>459.52</v>
      </c>
      <c r="O759" s="4">
        <v>233.65</v>
      </c>
      <c r="P759" s="4">
        <v>9.73</v>
      </c>
      <c r="Q759" s="4">
        <v>6.13</v>
      </c>
      <c r="R759" s="4">
        <v>2.4300000000000002</v>
      </c>
      <c r="S759" s="4">
        <v>0</v>
      </c>
      <c r="T759" s="4">
        <v>0</v>
      </c>
      <c r="U759" s="4">
        <v>251.94</v>
      </c>
      <c r="V759" s="4">
        <v>207.58</v>
      </c>
      <c r="W759" t="s">
        <v>21</v>
      </c>
      <c r="X759" t="s">
        <v>36</v>
      </c>
      <c r="Y759" s="4">
        <v>24</v>
      </c>
      <c r="Z759" s="4">
        <v>12</v>
      </c>
      <c r="AA759" t="s">
        <v>52</v>
      </c>
      <c r="AB759" t="s">
        <v>44</v>
      </c>
      <c r="AC759" s="7">
        <v>3</v>
      </c>
      <c r="AD759" t="s">
        <v>45</v>
      </c>
      <c r="AE759">
        <f t="shared" si="11"/>
        <v>1</v>
      </c>
    </row>
    <row r="760" spans="1:31" x14ac:dyDescent="0.35">
      <c r="A760">
        <v>100759</v>
      </c>
      <c r="B760" s="3">
        <v>45977</v>
      </c>
      <c r="C760">
        <v>1072</v>
      </c>
      <c r="D760" t="s">
        <v>47</v>
      </c>
      <c r="E760" t="s">
        <v>53</v>
      </c>
      <c r="F760" t="s">
        <v>41</v>
      </c>
      <c r="G760" t="s">
        <v>63</v>
      </c>
      <c r="H760" t="s">
        <v>34</v>
      </c>
      <c r="I760" t="s">
        <v>42</v>
      </c>
      <c r="J760" s="4">
        <v>23.93</v>
      </c>
      <c r="K760" s="4">
        <v>13.41</v>
      </c>
      <c r="L760">
        <v>0</v>
      </c>
      <c r="M760" s="4">
        <v>0</v>
      </c>
      <c r="N760" s="4">
        <v>320.89999999999998</v>
      </c>
      <c r="O760" s="4">
        <v>168.32</v>
      </c>
      <c r="P760" s="4">
        <v>6.49</v>
      </c>
      <c r="Q760" s="4">
        <v>4.8099999999999996</v>
      </c>
      <c r="R760" s="4">
        <v>7.18</v>
      </c>
      <c r="S760" s="4">
        <v>0</v>
      </c>
      <c r="T760" s="4">
        <v>0</v>
      </c>
      <c r="U760" s="4">
        <v>186.8</v>
      </c>
      <c r="V760" s="4">
        <v>134.1</v>
      </c>
      <c r="W760" t="s">
        <v>21</v>
      </c>
      <c r="X760" t="s">
        <v>36</v>
      </c>
      <c r="Y760" s="4">
        <v>3</v>
      </c>
      <c r="Z760" s="4">
        <v>5</v>
      </c>
      <c r="AA760" t="s">
        <v>37</v>
      </c>
      <c r="AB760" t="s">
        <v>38</v>
      </c>
      <c r="AC760" s="7">
        <v>1</v>
      </c>
      <c r="AD760" t="s">
        <v>39</v>
      </c>
      <c r="AE760">
        <f t="shared" si="11"/>
        <v>0</v>
      </c>
    </row>
    <row r="761" spans="1:31" x14ac:dyDescent="0.35">
      <c r="A761">
        <v>100760</v>
      </c>
      <c r="B761" s="3">
        <v>46017</v>
      </c>
      <c r="C761">
        <v>1056</v>
      </c>
      <c r="D761" t="s">
        <v>64</v>
      </c>
      <c r="E761" t="s">
        <v>75</v>
      </c>
      <c r="F761" t="s">
        <v>61</v>
      </c>
      <c r="G761" t="s">
        <v>63</v>
      </c>
      <c r="H761" t="s">
        <v>34</v>
      </c>
      <c r="I761" t="s">
        <v>54</v>
      </c>
      <c r="J761" s="4">
        <v>34.82</v>
      </c>
      <c r="K761" s="4">
        <v>12.74</v>
      </c>
      <c r="L761">
        <v>0</v>
      </c>
      <c r="M761" s="4">
        <v>0</v>
      </c>
      <c r="N761" s="4">
        <v>443.61</v>
      </c>
      <c r="O761" s="4">
        <v>333.63</v>
      </c>
      <c r="P761" s="4">
        <v>9.07</v>
      </c>
      <c r="Q761" s="4">
        <v>5.32</v>
      </c>
      <c r="R761" s="4">
        <v>4.3899999999999997</v>
      </c>
      <c r="S761" s="4">
        <v>0</v>
      </c>
      <c r="T761" s="4">
        <v>0</v>
      </c>
      <c r="U761" s="4">
        <v>352.41</v>
      </c>
      <c r="V761" s="4">
        <v>91.2</v>
      </c>
      <c r="W761" t="s">
        <v>21</v>
      </c>
      <c r="X761" t="s">
        <v>36</v>
      </c>
      <c r="Y761" s="4">
        <v>14</v>
      </c>
      <c r="Z761" s="4">
        <v>0</v>
      </c>
      <c r="AA761" t="s">
        <v>37</v>
      </c>
      <c r="AB761" t="s">
        <v>38</v>
      </c>
      <c r="AC761" s="7">
        <v>0</v>
      </c>
      <c r="AD761" t="s">
        <v>39</v>
      </c>
      <c r="AE761">
        <f t="shared" si="11"/>
        <v>0</v>
      </c>
    </row>
    <row r="762" spans="1:31" x14ac:dyDescent="0.35">
      <c r="A762">
        <v>100761</v>
      </c>
      <c r="B762" s="3">
        <v>45947</v>
      </c>
      <c r="C762">
        <v>1026</v>
      </c>
      <c r="D762" t="s">
        <v>47</v>
      </c>
      <c r="E762" t="s">
        <v>53</v>
      </c>
      <c r="F762" t="s">
        <v>41</v>
      </c>
      <c r="G762" t="s">
        <v>46</v>
      </c>
      <c r="H762" t="s">
        <v>51</v>
      </c>
      <c r="I762" t="s">
        <v>54</v>
      </c>
      <c r="J762" s="4">
        <v>26.88</v>
      </c>
      <c r="K762" s="4">
        <v>13.97</v>
      </c>
      <c r="L762">
        <v>0</v>
      </c>
      <c r="M762" s="4">
        <v>0</v>
      </c>
      <c r="N762" s="4">
        <v>375.51</v>
      </c>
      <c r="O762" s="4">
        <v>187.04</v>
      </c>
      <c r="P762" s="4">
        <v>7.71</v>
      </c>
      <c r="Q762" s="4">
        <v>4.51</v>
      </c>
      <c r="R762" s="4">
        <v>6.3</v>
      </c>
      <c r="S762" s="4">
        <v>0</v>
      </c>
      <c r="T762" s="4">
        <v>0</v>
      </c>
      <c r="U762" s="4">
        <v>205.56</v>
      </c>
      <c r="V762" s="4">
        <v>169.95</v>
      </c>
      <c r="W762" t="s">
        <v>21</v>
      </c>
      <c r="X762" t="s">
        <v>36</v>
      </c>
      <c r="Y762" s="4">
        <v>5</v>
      </c>
      <c r="Z762" s="4">
        <v>4</v>
      </c>
      <c r="AA762" t="s">
        <v>37</v>
      </c>
      <c r="AB762" t="s">
        <v>38</v>
      </c>
      <c r="AC762" s="7">
        <v>1</v>
      </c>
      <c r="AD762" t="s">
        <v>39</v>
      </c>
      <c r="AE762">
        <f t="shared" si="11"/>
        <v>0</v>
      </c>
    </row>
    <row r="763" spans="1:31" x14ac:dyDescent="0.35">
      <c r="A763">
        <v>100762</v>
      </c>
      <c r="B763" s="3">
        <v>45970</v>
      </c>
      <c r="C763">
        <v>1047</v>
      </c>
      <c r="D763" t="s">
        <v>47</v>
      </c>
      <c r="E763" t="s">
        <v>53</v>
      </c>
      <c r="F763" t="s">
        <v>61</v>
      </c>
      <c r="G763" t="s">
        <v>63</v>
      </c>
      <c r="H763" t="s">
        <v>51</v>
      </c>
      <c r="I763" t="s">
        <v>69</v>
      </c>
      <c r="J763" s="4">
        <v>3</v>
      </c>
      <c r="K763" s="4">
        <v>12.14</v>
      </c>
      <c r="L763">
        <v>5</v>
      </c>
      <c r="M763" s="4">
        <v>1.82</v>
      </c>
      <c r="N763" s="4">
        <v>34.6</v>
      </c>
      <c r="O763" s="4">
        <v>17.760000000000002</v>
      </c>
      <c r="P763" s="4">
        <v>8.86</v>
      </c>
      <c r="Q763" s="4">
        <v>0.15</v>
      </c>
      <c r="R763" s="4">
        <v>0</v>
      </c>
      <c r="S763" s="4">
        <v>0</v>
      </c>
      <c r="T763" s="4">
        <v>0</v>
      </c>
      <c r="U763" s="4">
        <v>26.77</v>
      </c>
      <c r="V763" s="4">
        <v>7.83</v>
      </c>
      <c r="W763" t="s">
        <v>21</v>
      </c>
      <c r="X763" t="s">
        <v>36</v>
      </c>
      <c r="Y763" s="4">
        <v>0</v>
      </c>
      <c r="Z763" s="4">
        <v>14</v>
      </c>
      <c r="AA763" t="s">
        <v>37</v>
      </c>
      <c r="AB763" t="s">
        <v>38</v>
      </c>
      <c r="AC763" s="7">
        <v>0</v>
      </c>
      <c r="AD763" t="s">
        <v>39</v>
      </c>
      <c r="AE763">
        <f t="shared" si="11"/>
        <v>0</v>
      </c>
    </row>
    <row r="764" spans="1:31" x14ac:dyDescent="0.35">
      <c r="A764">
        <v>100763</v>
      </c>
      <c r="B764" s="3">
        <v>45975</v>
      </c>
      <c r="C764">
        <v>1069</v>
      </c>
      <c r="D764" t="s">
        <v>59</v>
      </c>
      <c r="E764" t="s">
        <v>73</v>
      </c>
      <c r="F764" t="s">
        <v>71</v>
      </c>
      <c r="G764" t="s">
        <v>46</v>
      </c>
      <c r="H764" t="s">
        <v>57</v>
      </c>
      <c r="I764" t="s">
        <v>35</v>
      </c>
      <c r="J764" s="4">
        <v>16.940000000000001</v>
      </c>
      <c r="K764" s="4">
        <v>15.23</v>
      </c>
      <c r="L764">
        <v>10</v>
      </c>
      <c r="M764" s="4">
        <v>25.8</v>
      </c>
      <c r="N764" s="4">
        <v>232.2</v>
      </c>
      <c r="O764" s="4">
        <v>105.67</v>
      </c>
      <c r="P764" s="4">
        <v>8.9499999999999993</v>
      </c>
      <c r="Q764" s="4">
        <v>1.81</v>
      </c>
      <c r="R764" s="4">
        <v>6.24</v>
      </c>
      <c r="S764" s="4">
        <v>0</v>
      </c>
      <c r="T764" s="4">
        <v>0</v>
      </c>
      <c r="U764" s="4">
        <v>122.67</v>
      </c>
      <c r="V764" s="4">
        <v>109.53</v>
      </c>
      <c r="W764" t="s">
        <v>21</v>
      </c>
      <c r="X764" t="s">
        <v>36</v>
      </c>
      <c r="Y764" s="4">
        <v>7</v>
      </c>
      <c r="Z764" s="4">
        <v>1</v>
      </c>
      <c r="AA764" t="s">
        <v>37</v>
      </c>
      <c r="AB764" t="s">
        <v>38</v>
      </c>
      <c r="AC764" s="7">
        <v>0</v>
      </c>
      <c r="AD764" t="s">
        <v>39</v>
      </c>
      <c r="AE764">
        <f t="shared" si="11"/>
        <v>0</v>
      </c>
    </row>
    <row r="765" spans="1:31" x14ac:dyDescent="0.35">
      <c r="A765">
        <v>100764</v>
      </c>
      <c r="B765" s="3">
        <v>45997</v>
      </c>
      <c r="C765">
        <v>1013</v>
      </c>
      <c r="D765" t="s">
        <v>64</v>
      </c>
      <c r="E765" t="s">
        <v>75</v>
      </c>
      <c r="F765" t="s">
        <v>71</v>
      </c>
      <c r="G765" t="s">
        <v>46</v>
      </c>
      <c r="H765" t="s">
        <v>57</v>
      </c>
      <c r="I765" t="s">
        <v>35</v>
      </c>
      <c r="J765" s="4">
        <v>28.44</v>
      </c>
      <c r="K765" s="4">
        <v>15.94</v>
      </c>
      <c r="L765">
        <v>0</v>
      </c>
      <c r="M765" s="4">
        <v>0</v>
      </c>
      <c r="N765" s="4">
        <v>453.33</v>
      </c>
      <c r="O765" s="4">
        <v>226.94</v>
      </c>
      <c r="P765" s="4">
        <v>6.28</v>
      </c>
      <c r="Q765" s="4">
        <v>3.17</v>
      </c>
      <c r="R765" s="4">
        <v>2.84</v>
      </c>
      <c r="S765" s="4">
        <v>0</v>
      </c>
      <c r="T765" s="4">
        <v>0</v>
      </c>
      <c r="U765" s="4">
        <v>239.23</v>
      </c>
      <c r="V765" s="4">
        <v>214.1</v>
      </c>
      <c r="W765" t="s">
        <v>21</v>
      </c>
      <c r="X765" t="s">
        <v>36</v>
      </c>
      <c r="Y765" s="4">
        <v>13</v>
      </c>
      <c r="Z765" s="4">
        <v>11</v>
      </c>
      <c r="AA765" t="s">
        <v>37</v>
      </c>
      <c r="AB765" t="s">
        <v>38</v>
      </c>
      <c r="AC765" s="7">
        <v>1</v>
      </c>
      <c r="AD765" t="s">
        <v>39</v>
      </c>
      <c r="AE765">
        <f t="shared" si="11"/>
        <v>0</v>
      </c>
    </row>
    <row r="766" spans="1:31" x14ac:dyDescent="0.35">
      <c r="A766">
        <v>100765</v>
      </c>
      <c r="B766" s="3">
        <v>45964</v>
      </c>
      <c r="C766">
        <v>1043</v>
      </c>
      <c r="D766" t="s">
        <v>47</v>
      </c>
      <c r="E766" t="s">
        <v>53</v>
      </c>
      <c r="F766" t="s">
        <v>32</v>
      </c>
      <c r="G766" t="s">
        <v>46</v>
      </c>
      <c r="H766" t="s">
        <v>34</v>
      </c>
      <c r="I766" t="s">
        <v>35</v>
      </c>
      <c r="J766" s="4">
        <v>21.41</v>
      </c>
      <c r="K766" s="4">
        <v>15.6</v>
      </c>
      <c r="L766">
        <v>0</v>
      </c>
      <c r="M766" s="4">
        <v>0</v>
      </c>
      <c r="N766" s="4">
        <v>334</v>
      </c>
      <c r="O766" s="4">
        <v>151.79</v>
      </c>
      <c r="P766" s="4">
        <v>6.08</v>
      </c>
      <c r="Q766" s="4">
        <v>2.34</v>
      </c>
      <c r="R766" s="4">
        <v>1.02</v>
      </c>
      <c r="S766" s="4">
        <v>0</v>
      </c>
      <c r="T766" s="4">
        <v>0</v>
      </c>
      <c r="U766" s="4">
        <v>161.22999999999999</v>
      </c>
      <c r="V766" s="4">
        <v>172.77</v>
      </c>
      <c r="W766" t="s">
        <v>21</v>
      </c>
      <c r="X766" t="s">
        <v>36</v>
      </c>
      <c r="Y766" s="4">
        <v>15</v>
      </c>
      <c r="Z766" s="4">
        <v>5</v>
      </c>
      <c r="AA766" t="s">
        <v>37</v>
      </c>
      <c r="AB766" t="s">
        <v>38</v>
      </c>
      <c r="AC766" s="7">
        <v>0</v>
      </c>
      <c r="AD766" t="s">
        <v>39</v>
      </c>
      <c r="AE766">
        <f t="shared" si="11"/>
        <v>0</v>
      </c>
    </row>
    <row r="767" spans="1:31" x14ac:dyDescent="0.35">
      <c r="A767">
        <v>100766</v>
      </c>
      <c r="B767" s="3">
        <v>45993</v>
      </c>
      <c r="C767">
        <v>1105</v>
      </c>
      <c r="D767" t="s">
        <v>47</v>
      </c>
      <c r="E767" t="s">
        <v>53</v>
      </c>
      <c r="F767" t="s">
        <v>61</v>
      </c>
      <c r="G767" t="s">
        <v>33</v>
      </c>
      <c r="H767" t="s">
        <v>51</v>
      </c>
      <c r="I767" t="s">
        <v>54</v>
      </c>
      <c r="J767" s="4">
        <v>27.36</v>
      </c>
      <c r="K767" s="4">
        <v>19.93</v>
      </c>
      <c r="L767">
        <v>5</v>
      </c>
      <c r="M767" s="4">
        <v>27.26</v>
      </c>
      <c r="N767" s="4">
        <v>518.02</v>
      </c>
      <c r="O767" s="4">
        <v>203.38</v>
      </c>
      <c r="P767" s="4">
        <v>7.39</v>
      </c>
      <c r="Q767" s="4">
        <v>6.54</v>
      </c>
      <c r="R767" s="4">
        <v>7.79</v>
      </c>
      <c r="S767" s="4">
        <v>272.23</v>
      </c>
      <c r="T767" s="4">
        <v>23.13</v>
      </c>
      <c r="U767" s="4">
        <v>520.46</v>
      </c>
      <c r="V767" s="4">
        <v>-2.44</v>
      </c>
      <c r="W767" t="s">
        <v>58</v>
      </c>
      <c r="X767" t="s">
        <v>66</v>
      </c>
      <c r="Y767" s="4">
        <v>2</v>
      </c>
      <c r="Z767" s="4">
        <v>5</v>
      </c>
      <c r="AA767" t="s">
        <v>37</v>
      </c>
      <c r="AB767" t="s">
        <v>38</v>
      </c>
      <c r="AC767" s="7">
        <v>2</v>
      </c>
      <c r="AD767" t="s">
        <v>45</v>
      </c>
      <c r="AE767">
        <f t="shared" si="11"/>
        <v>0</v>
      </c>
    </row>
    <row r="768" spans="1:31" x14ac:dyDescent="0.35">
      <c r="A768">
        <v>100767</v>
      </c>
      <c r="B768" s="3">
        <v>45991</v>
      </c>
      <c r="C768">
        <v>1142</v>
      </c>
      <c r="D768" t="s">
        <v>30</v>
      </c>
      <c r="E768" t="s">
        <v>31</v>
      </c>
      <c r="F768" t="s">
        <v>71</v>
      </c>
      <c r="G768" t="s">
        <v>46</v>
      </c>
      <c r="H768" t="s">
        <v>51</v>
      </c>
      <c r="I768" t="s">
        <v>35</v>
      </c>
      <c r="J768" s="4">
        <v>41.56</v>
      </c>
      <c r="K768" s="4">
        <v>15.3</v>
      </c>
      <c r="L768">
        <v>10</v>
      </c>
      <c r="M768" s="4">
        <v>63.59</v>
      </c>
      <c r="N768" s="4">
        <v>572.28</v>
      </c>
      <c r="O768" s="4">
        <v>300.06</v>
      </c>
      <c r="P768" s="4">
        <v>9.77</v>
      </c>
      <c r="Q768" s="4">
        <v>4.45</v>
      </c>
      <c r="R768" s="4">
        <v>7.12</v>
      </c>
      <c r="S768" s="4">
        <v>0</v>
      </c>
      <c r="T768" s="4">
        <v>0</v>
      </c>
      <c r="U768" s="4">
        <v>321.39999999999998</v>
      </c>
      <c r="V768" s="4">
        <v>250.88</v>
      </c>
      <c r="W768" t="s">
        <v>21</v>
      </c>
      <c r="X768" t="s">
        <v>36</v>
      </c>
      <c r="Y768" s="4">
        <v>37</v>
      </c>
      <c r="Z768" s="4">
        <v>25</v>
      </c>
      <c r="AA768" t="s">
        <v>43</v>
      </c>
      <c r="AB768" t="s">
        <v>44</v>
      </c>
      <c r="AC768" s="7">
        <v>2</v>
      </c>
      <c r="AD768" t="s">
        <v>45</v>
      </c>
      <c r="AE768">
        <f t="shared" si="11"/>
        <v>1</v>
      </c>
    </row>
    <row r="769" spans="1:31" x14ac:dyDescent="0.35">
      <c r="A769">
        <v>100768</v>
      </c>
      <c r="B769" s="3">
        <v>46004</v>
      </c>
      <c r="C769">
        <v>1041</v>
      </c>
      <c r="D769" t="s">
        <v>64</v>
      </c>
      <c r="E769" t="s">
        <v>65</v>
      </c>
      <c r="F769" t="s">
        <v>71</v>
      </c>
      <c r="G769" t="s">
        <v>63</v>
      </c>
      <c r="H769" t="s">
        <v>34</v>
      </c>
      <c r="I769" t="s">
        <v>54</v>
      </c>
      <c r="J769" s="4">
        <v>9.6</v>
      </c>
      <c r="K769" s="4">
        <v>13.73</v>
      </c>
      <c r="L769">
        <v>0</v>
      </c>
      <c r="M769" s="4">
        <v>0</v>
      </c>
      <c r="N769" s="4">
        <v>131.81</v>
      </c>
      <c r="O769" s="4">
        <v>69</v>
      </c>
      <c r="P769" s="4">
        <v>10.47</v>
      </c>
      <c r="Q769" s="4">
        <v>1.58</v>
      </c>
      <c r="R769" s="4">
        <v>7.61</v>
      </c>
      <c r="S769" s="4">
        <v>107.02</v>
      </c>
      <c r="T769" s="4">
        <v>0</v>
      </c>
      <c r="U769" s="4">
        <v>195.68</v>
      </c>
      <c r="V769" s="4">
        <v>-63.87</v>
      </c>
      <c r="W769" t="s">
        <v>58</v>
      </c>
      <c r="X769" t="s">
        <v>55</v>
      </c>
      <c r="Y769" s="4">
        <v>46</v>
      </c>
      <c r="Z769" s="4">
        <v>21</v>
      </c>
      <c r="AA769" t="s">
        <v>43</v>
      </c>
      <c r="AB769" t="s">
        <v>44</v>
      </c>
      <c r="AC769" s="7">
        <v>3</v>
      </c>
      <c r="AD769" t="s">
        <v>45</v>
      </c>
      <c r="AE769">
        <f t="shared" si="11"/>
        <v>1</v>
      </c>
    </row>
    <row r="770" spans="1:31" x14ac:dyDescent="0.35">
      <c r="A770">
        <v>100769</v>
      </c>
      <c r="B770" s="3">
        <v>46021</v>
      </c>
      <c r="C770">
        <v>1087</v>
      </c>
      <c r="D770" t="s">
        <v>64</v>
      </c>
      <c r="E770" t="s">
        <v>75</v>
      </c>
      <c r="F770" t="s">
        <v>61</v>
      </c>
      <c r="G770" t="s">
        <v>46</v>
      </c>
      <c r="H770" t="s">
        <v>51</v>
      </c>
      <c r="I770" t="s">
        <v>69</v>
      </c>
      <c r="J770" s="4">
        <v>34.1</v>
      </c>
      <c r="K770" s="4">
        <v>16.36</v>
      </c>
      <c r="L770">
        <v>10</v>
      </c>
      <c r="M770" s="4">
        <v>55.79</v>
      </c>
      <c r="N770" s="4">
        <v>502.09</v>
      </c>
      <c r="O770" s="4">
        <v>223.71</v>
      </c>
      <c r="P770" s="4">
        <v>2.42</v>
      </c>
      <c r="Q770" s="4">
        <v>2.23</v>
      </c>
      <c r="R770" s="4">
        <v>4.83</v>
      </c>
      <c r="S770" s="4">
        <v>0</v>
      </c>
      <c r="T770" s="4">
        <v>0</v>
      </c>
      <c r="U770" s="4">
        <v>233.19</v>
      </c>
      <c r="V770" s="4">
        <v>268.89999999999998</v>
      </c>
      <c r="W770" t="s">
        <v>21</v>
      </c>
      <c r="X770" t="s">
        <v>36</v>
      </c>
      <c r="Y770" s="4">
        <v>2</v>
      </c>
      <c r="Z770" s="4">
        <v>2</v>
      </c>
      <c r="AA770" t="s">
        <v>37</v>
      </c>
      <c r="AB770" t="s">
        <v>38</v>
      </c>
      <c r="AC770" s="7">
        <v>0</v>
      </c>
      <c r="AD770" t="s">
        <v>39</v>
      </c>
      <c r="AE770">
        <f t="shared" si="11"/>
        <v>0</v>
      </c>
    </row>
    <row r="771" spans="1:31" x14ac:dyDescent="0.35">
      <c r="A771">
        <v>100770</v>
      </c>
      <c r="B771" s="3">
        <v>45981</v>
      </c>
      <c r="C771">
        <v>1125</v>
      </c>
      <c r="D771" t="s">
        <v>47</v>
      </c>
      <c r="E771" t="s">
        <v>74</v>
      </c>
      <c r="F771" t="s">
        <v>41</v>
      </c>
      <c r="G771" t="s">
        <v>46</v>
      </c>
      <c r="H771" t="s">
        <v>57</v>
      </c>
      <c r="I771" t="s">
        <v>69</v>
      </c>
      <c r="J771" s="4">
        <v>20.16</v>
      </c>
      <c r="K771" s="4">
        <v>16.22</v>
      </c>
      <c r="L771">
        <v>5</v>
      </c>
      <c r="M771" s="4">
        <v>16.350000000000001</v>
      </c>
      <c r="N771" s="4">
        <v>310.64999999999998</v>
      </c>
      <c r="O771" s="4">
        <v>150.4</v>
      </c>
      <c r="P771" s="4">
        <v>5.72</v>
      </c>
      <c r="Q771" s="4">
        <v>1.31</v>
      </c>
      <c r="R771" s="4">
        <v>5.05</v>
      </c>
      <c r="S771" s="4">
        <v>0</v>
      </c>
      <c r="T771" s="4">
        <v>0</v>
      </c>
      <c r="U771" s="4">
        <v>162.47999999999999</v>
      </c>
      <c r="V771" s="4">
        <v>148.16999999999999</v>
      </c>
      <c r="W771" t="s">
        <v>21</v>
      </c>
      <c r="X771" t="s">
        <v>36</v>
      </c>
      <c r="Y771" s="4">
        <v>15</v>
      </c>
      <c r="Z771" s="4">
        <v>4</v>
      </c>
      <c r="AA771" t="s">
        <v>37</v>
      </c>
      <c r="AB771" t="s">
        <v>38</v>
      </c>
      <c r="AC771" s="7">
        <v>0</v>
      </c>
      <c r="AD771" t="s">
        <v>39</v>
      </c>
      <c r="AE771">
        <f t="shared" ref="AE771:AE834" si="12">IF(AB771="Yes",1,0)</f>
        <v>0</v>
      </c>
    </row>
    <row r="772" spans="1:31" x14ac:dyDescent="0.35">
      <c r="A772">
        <v>100771</v>
      </c>
      <c r="B772" s="3">
        <v>46014</v>
      </c>
      <c r="C772">
        <v>1049</v>
      </c>
      <c r="D772" t="s">
        <v>30</v>
      </c>
      <c r="E772" t="s">
        <v>31</v>
      </c>
      <c r="F772" t="s">
        <v>32</v>
      </c>
      <c r="G772" t="s">
        <v>33</v>
      </c>
      <c r="H772" t="s">
        <v>34</v>
      </c>
      <c r="I772" t="s">
        <v>42</v>
      </c>
      <c r="J772" s="4">
        <v>22.27</v>
      </c>
      <c r="K772" s="4">
        <v>18.329999999999998</v>
      </c>
      <c r="L772">
        <v>0</v>
      </c>
      <c r="M772" s="4">
        <v>0</v>
      </c>
      <c r="N772" s="4">
        <v>408.21</v>
      </c>
      <c r="O772" s="4">
        <v>153.88999999999999</v>
      </c>
      <c r="P772" s="4">
        <v>9.16</v>
      </c>
      <c r="Q772" s="4">
        <v>6.12</v>
      </c>
      <c r="R772" s="4">
        <v>9.5399999999999991</v>
      </c>
      <c r="S772" s="4">
        <v>0</v>
      </c>
      <c r="T772" s="4">
        <v>0</v>
      </c>
      <c r="U772" s="4">
        <v>178.71</v>
      </c>
      <c r="V772" s="4">
        <v>229.5</v>
      </c>
      <c r="W772" t="s">
        <v>21</v>
      </c>
      <c r="X772" t="s">
        <v>36</v>
      </c>
      <c r="Y772" s="4">
        <v>0</v>
      </c>
      <c r="Z772" s="4">
        <v>2</v>
      </c>
      <c r="AA772" t="s">
        <v>37</v>
      </c>
      <c r="AB772" t="s">
        <v>38</v>
      </c>
      <c r="AC772" s="7">
        <v>0</v>
      </c>
      <c r="AD772" t="s">
        <v>39</v>
      </c>
      <c r="AE772">
        <f t="shared" si="12"/>
        <v>0</v>
      </c>
    </row>
    <row r="773" spans="1:31" x14ac:dyDescent="0.35">
      <c r="A773">
        <v>100772</v>
      </c>
      <c r="B773" s="3">
        <v>45934</v>
      </c>
      <c r="C773">
        <v>1066</v>
      </c>
      <c r="D773" t="s">
        <v>47</v>
      </c>
      <c r="E773" t="s">
        <v>48</v>
      </c>
      <c r="F773" t="s">
        <v>49</v>
      </c>
      <c r="G773" t="s">
        <v>63</v>
      </c>
      <c r="H773" t="s">
        <v>51</v>
      </c>
      <c r="I773" t="s">
        <v>35</v>
      </c>
      <c r="J773" s="4">
        <v>28.76</v>
      </c>
      <c r="K773" s="4">
        <v>13.2</v>
      </c>
      <c r="L773">
        <v>10</v>
      </c>
      <c r="M773" s="4">
        <v>37.96</v>
      </c>
      <c r="N773" s="4">
        <v>341.67</v>
      </c>
      <c r="O773" s="4">
        <v>232.75</v>
      </c>
      <c r="P773" s="4">
        <v>6.85</v>
      </c>
      <c r="Q773" s="4">
        <v>2.66</v>
      </c>
      <c r="R773" s="4">
        <v>1.34</v>
      </c>
      <c r="S773" s="4">
        <v>0</v>
      </c>
      <c r="T773" s="4">
        <v>0</v>
      </c>
      <c r="U773" s="4">
        <v>243.6</v>
      </c>
      <c r="V773" s="4">
        <v>98.07</v>
      </c>
      <c r="W773" t="s">
        <v>21</v>
      </c>
      <c r="X773" t="s">
        <v>36</v>
      </c>
      <c r="Y773" s="4">
        <v>0</v>
      </c>
      <c r="Z773" s="4">
        <v>14</v>
      </c>
      <c r="AA773" t="s">
        <v>37</v>
      </c>
      <c r="AB773" t="s">
        <v>38</v>
      </c>
      <c r="AC773" s="7">
        <v>0</v>
      </c>
      <c r="AD773" t="s">
        <v>39</v>
      </c>
      <c r="AE773">
        <f t="shared" si="12"/>
        <v>0</v>
      </c>
    </row>
    <row r="774" spans="1:31" x14ac:dyDescent="0.35">
      <c r="A774">
        <v>100773</v>
      </c>
      <c r="B774" s="3">
        <v>45970</v>
      </c>
      <c r="C774">
        <v>1111</v>
      </c>
      <c r="D774" t="s">
        <v>59</v>
      </c>
      <c r="E774" t="s">
        <v>73</v>
      </c>
      <c r="F774" t="s">
        <v>41</v>
      </c>
      <c r="G774" t="s">
        <v>33</v>
      </c>
      <c r="H774" t="s">
        <v>57</v>
      </c>
      <c r="I774" t="s">
        <v>69</v>
      </c>
      <c r="J774" s="4">
        <v>30.86</v>
      </c>
      <c r="K774" s="4">
        <v>18.600000000000001</v>
      </c>
      <c r="L774">
        <v>5</v>
      </c>
      <c r="M774" s="4">
        <v>28.7</v>
      </c>
      <c r="N774" s="4">
        <v>545.29999999999995</v>
      </c>
      <c r="O774" s="4">
        <v>223.92</v>
      </c>
      <c r="P774" s="4">
        <v>7.29</v>
      </c>
      <c r="Q774" s="4">
        <v>2.2999999999999998</v>
      </c>
      <c r="R774" s="4">
        <v>5.34</v>
      </c>
      <c r="S774" s="4">
        <v>0</v>
      </c>
      <c r="T774" s="4">
        <v>0</v>
      </c>
      <c r="U774" s="4">
        <v>238.85</v>
      </c>
      <c r="V774" s="4">
        <v>306.45</v>
      </c>
      <c r="W774" t="s">
        <v>21</v>
      </c>
      <c r="X774" t="s">
        <v>36</v>
      </c>
      <c r="Y774" s="4">
        <v>8</v>
      </c>
      <c r="Z774" s="4">
        <v>3</v>
      </c>
      <c r="AA774" t="s">
        <v>37</v>
      </c>
      <c r="AB774" t="s">
        <v>38</v>
      </c>
      <c r="AC774" s="7">
        <v>0</v>
      </c>
      <c r="AD774" t="s">
        <v>39</v>
      </c>
      <c r="AE774">
        <f t="shared" si="12"/>
        <v>0</v>
      </c>
    </row>
    <row r="775" spans="1:31" x14ac:dyDescent="0.35">
      <c r="A775">
        <v>100774</v>
      </c>
      <c r="B775" s="3">
        <v>45949</v>
      </c>
      <c r="C775">
        <v>1071</v>
      </c>
      <c r="D775" t="s">
        <v>59</v>
      </c>
      <c r="E775" t="s">
        <v>60</v>
      </c>
      <c r="F775" t="s">
        <v>61</v>
      </c>
      <c r="G775" t="s">
        <v>63</v>
      </c>
      <c r="H775" t="s">
        <v>57</v>
      </c>
      <c r="I775" t="s">
        <v>35</v>
      </c>
      <c r="J775" s="4">
        <v>11.64</v>
      </c>
      <c r="K775" s="4">
        <v>13.72</v>
      </c>
      <c r="L775">
        <v>0</v>
      </c>
      <c r="M775" s="4">
        <v>0</v>
      </c>
      <c r="N775" s="4">
        <v>159.69999999999999</v>
      </c>
      <c r="O775" s="4">
        <v>95.61</v>
      </c>
      <c r="P775" s="4">
        <v>10.08</v>
      </c>
      <c r="Q775" s="4">
        <v>1.1200000000000001</v>
      </c>
      <c r="R775" s="4">
        <v>13.31</v>
      </c>
      <c r="S775" s="4">
        <v>0</v>
      </c>
      <c r="T775" s="4">
        <v>0</v>
      </c>
      <c r="U775" s="4">
        <v>120.12</v>
      </c>
      <c r="V775" s="4">
        <v>39.58</v>
      </c>
      <c r="W775" t="s">
        <v>21</v>
      </c>
      <c r="X775" t="s">
        <v>36</v>
      </c>
      <c r="Y775" s="4">
        <v>5</v>
      </c>
      <c r="Z775" s="4">
        <v>8</v>
      </c>
      <c r="AA775" t="s">
        <v>37</v>
      </c>
      <c r="AB775" t="s">
        <v>38</v>
      </c>
      <c r="AC775" s="7">
        <v>0</v>
      </c>
      <c r="AD775" t="s">
        <v>39</v>
      </c>
      <c r="AE775">
        <f t="shared" si="12"/>
        <v>0</v>
      </c>
    </row>
    <row r="776" spans="1:31" x14ac:dyDescent="0.35">
      <c r="A776">
        <v>100775</v>
      </c>
      <c r="B776" s="3">
        <v>45949</v>
      </c>
      <c r="C776">
        <v>1007</v>
      </c>
      <c r="D776" t="s">
        <v>64</v>
      </c>
      <c r="E776" t="s">
        <v>75</v>
      </c>
      <c r="F776" t="s">
        <v>41</v>
      </c>
      <c r="G776" t="s">
        <v>63</v>
      </c>
      <c r="H776" t="s">
        <v>57</v>
      </c>
      <c r="I776" t="s">
        <v>69</v>
      </c>
      <c r="J776" s="4">
        <v>26.35</v>
      </c>
      <c r="K776" s="4">
        <v>12.49</v>
      </c>
      <c r="L776">
        <v>0</v>
      </c>
      <c r="M776" s="4">
        <v>0</v>
      </c>
      <c r="N776" s="4">
        <v>329.11</v>
      </c>
      <c r="O776" s="4">
        <v>202.44</v>
      </c>
      <c r="P776" s="4">
        <v>11.51</v>
      </c>
      <c r="Q776" s="4">
        <v>1.32</v>
      </c>
      <c r="R776" s="4">
        <v>7.0000000000000007E-2</v>
      </c>
      <c r="S776" s="4">
        <v>0</v>
      </c>
      <c r="T776" s="4">
        <v>0</v>
      </c>
      <c r="U776" s="4">
        <v>215.34</v>
      </c>
      <c r="V776" s="4">
        <v>113.77</v>
      </c>
      <c r="W776" t="s">
        <v>21</v>
      </c>
      <c r="X776" t="s">
        <v>36</v>
      </c>
      <c r="Y776" s="4">
        <v>1</v>
      </c>
      <c r="Z776" s="4">
        <v>2</v>
      </c>
      <c r="AA776" t="s">
        <v>37</v>
      </c>
      <c r="AB776" t="s">
        <v>38</v>
      </c>
      <c r="AC776" s="7">
        <v>0</v>
      </c>
      <c r="AD776" t="s">
        <v>39</v>
      </c>
      <c r="AE776">
        <f t="shared" si="12"/>
        <v>0</v>
      </c>
    </row>
    <row r="777" spans="1:31" x14ac:dyDescent="0.35">
      <c r="A777">
        <v>100776</v>
      </c>
      <c r="B777" s="3">
        <v>45954</v>
      </c>
      <c r="C777">
        <v>1041</v>
      </c>
      <c r="D777" t="s">
        <v>64</v>
      </c>
      <c r="E777" t="s">
        <v>67</v>
      </c>
      <c r="F777" t="s">
        <v>41</v>
      </c>
      <c r="G777" t="s">
        <v>63</v>
      </c>
      <c r="H777" t="s">
        <v>34</v>
      </c>
      <c r="I777" t="s">
        <v>35</v>
      </c>
      <c r="J777" s="4">
        <v>11.01</v>
      </c>
      <c r="K777" s="4">
        <v>14.57</v>
      </c>
      <c r="L777">
        <v>10</v>
      </c>
      <c r="M777" s="4">
        <v>16.04</v>
      </c>
      <c r="N777" s="4">
        <v>144.38</v>
      </c>
      <c r="O777" s="4">
        <v>81.7</v>
      </c>
      <c r="P777" s="4">
        <v>3.88</v>
      </c>
      <c r="Q777" s="4">
        <v>1.1200000000000001</v>
      </c>
      <c r="R777" s="4">
        <v>10.61</v>
      </c>
      <c r="S777" s="4">
        <v>0</v>
      </c>
      <c r="T777" s="4">
        <v>0</v>
      </c>
      <c r="U777" s="4">
        <v>97.31</v>
      </c>
      <c r="V777" s="4">
        <v>47.07</v>
      </c>
      <c r="W777" t="s">
        <v>21</v>
      </c>
      <c r="X777" t="s">
        <v>36</v>
      </c>
      <c r="Y777" s="4">
        <v>12</v>
      </c>
      <c r="Z777" s="4">
        <v>0</v>
      </c>
      <c r="AA777" t="s">
        <v>37</v>
      </c>
      <c r="AB777" t="s">
        <v>38</v>
      </c>
      <c r="AC777" s="7">
        <v>0</v>
      </c>
      <c r="AD777" t="s">
        <v>39</v>
      </c>
      <c r="AE777">
        <f t="shared" si="12"/>
        <v>0</v>
      </c>
    </row>
    <row r="778" spans="1:31" x14ac:dyDescent="0.35">
      <c r="A778">
        <v>100777</v>
      </c>
      <c r="B778" s="3">
        <v>45962</v>
      </c>
      <c r="C778">
        <v>1083</v>
      </c>
      <c r="D778" t="s">
        <v>47</v>
      </c>
      <c r="E778" t="s">
        <v>53</v>
      </c>
      <c r="F778" t="s">
        <v>32</v>
      </c>
      <c r="G778" t="s">
        <v>50</v>
      </c>
      <c r="H778" t="s">
        <v>34</v>
      </c>
      <c r="I778" t="s">
        <v>35</v>
      </c>
      <c r="J778" s="4">
        <v>24.17</v>
      </c>
      <c r="K778" s="4">
        <v>17.16</v>
      </c>
      <c r="L778">
        <v>10</v>
      </c>
      <c r="M778" s="4">
        <v>41.48</v>
      </c>
      <c r="N778" s="4">
        <v>373.28</v>
      </c>
      <c r="O778" s="4">
        <v>162.38</v>
      </c>
      <c r="P778" s="4">
        <v>4.47</v>
      </c>
      <c r="Q778" s="4">
        <v>2.9</v>
      </c>
      <c r="R778" s="4">
        <v>0</v>
      </c>
      <c r="S778" s="4">
        <v>0</v>
      </c>
      <c r="T778" s="4">
        <v>0</v>
      </c>
      <c r="U778" s="4">
        <v>169.75</v>
      </c>
      <c r="V778" s="4">
        <v>203.53</v>
      </c>
      <c r="W778" t="s">
        <v>21</v>
      </c>
      <c r="X778" t="s">
        <v>36</v>
      </c>
      <c r="Y778" s="4">
        <v>1</v>
      </c>
      <c r="Z778" s="4">
        <v>7</v>
      </c>
      <c r="AA778" t="s">
        <v>37</v>
      </c>
      <c r="AB778" t="s">
        <v>38</v>
      </c>
      <c r="AC778" s="7">
        <v>0</v>
      </c>
      <c r="AD778" t="s">
        <v>39</v>
      </c>
      <c r="AE778">
        <f t="shared" si="12"/>
        <v>0</v>
      </c>
    </row>
    <row r="779" spans="1:31" x14ac:dyDescent="0.35">
      <c r="A779">
        <v>100778</v>
      </c>
      <c r="B779" s="3">
        <v>45965</v>
      </c>
      <c r="C779">
        <v>1025</v>
      </c>
      <c r="D779" t="s">
        <v>59</v>
      </c>
      <c r="E779" t="s">
        <v>73</v>
      </c>
      <c r="F779" t="s">
        <v>61</v>
      </c>
      <c r="G779" t="s">
        <v>33</v>
      </c>
      <c r="H779" t="s">
        <v>34</v>
      </c>
      <c r="I779" t="s">
        <v>54</v>
      </c>
      <c r="J779" s="4">
        <v>29.22</v>
      </c>
      <c r="K779" s="4">
        <v>19.07</v>
      </c>
      <c r="L779">
        <v>0</v>
      </c>
      <c r="M779" s="4">
        <v>0</v>
      </c>
      <c r="N779" s="4">
        <v>557.23</v>
      </c>
      <c r="O779" s="4">
        <v>184.55</v>
      </c>
      <c r="P779" s="4">
        <v>9.65</v>
      </c>
      <c r="Q779" s="4">
        <v>6.69</v>
      </c>
      <c r="R779" s="4">
        <v>11.72</v>
      </c>
      <c r="S779" s="4">
        <v>337.96</v>
      </c>
      <c r="T779" s="4">
        <v>0</v>
      </c>
      <c r="U779" s="4">
        <v>550.57000000000005</v>
      </c>
      <c r="V779" s="4">
        <v>6.66</v>
      </c>
      <c r="W779" t="s">
        <v>21</v>
      </c>
      <c r="X779" t="s">
        <v>66</v>
      </c>
      <c r="Y779" s="4">
        <v>11</v>
      </c>
      <c r="Z779" s="4">
        <v>4</v>
      </c>
      <c r="AA779" t="s">
        <v>37</v>
      </c>
      <c r="AB779" t="s">
        <v>38</v>
      </c>
      <c r="AC779" s="7">
        <v>1</v>
      </c>
      <c r="AD779" t="s">
        <v>45</v>
      </c>
      <c r="AE779">
        <f t="shared" si="12"/>
        <v>0</v>
      </c>
    </row>
    <row r="780" spans="1:31" x14ac:dyDescent="0.35">
      <c r="A780">
        <v>100779</v>
      </c>
      <c r="B780" s="3">
        <v>46020</v>
      </c>
      <c r="C780">
        <v>1027</v>
      </c>
      <c r="D780" t="s">
        <v>64</v>
      </c>
      <c r="E780" t="s">
        <v>67</v>
      </c>
      <c r="F780" t="s">
        <v>41</v>
      </c>
      <c r="G780" t="s">
        <v>63</v>
      </c>
      <c r="H780" t="s">
        <v>57</v>
      </c>
      <c r="I780" t="s">
        <v>35</v>
      </c>
      <c r="J780" s="4">
        <v>25.54</v>
      </c>
      <c r="K780" s="4">
        <v>12.46</v>
      </c>
      <c r="L780">
        <v>15</v>
      </c>
      <c r="M780" s="4">
        <v>47.73</v>
      </c>
      <c r="N780" s="4">
        <v>270.5</v>
      </c>
      <c r="O780" s="4">
        <v>172.19</v>
      </c>
      <c r="P780" s="4">
        <v>4.08</v>
      </c>
      <c r="Q780" s="4">
        <v>2.23</v>
      </c>
      <c r="R780" s="4">
        <v>8.41</v>
      </c>
      <c r="S780" s="4">
        <v>0</v>
      </c>
      <c r="T780" s="4">
        <v>0</v>
      </c>
      <c r="U780" s="4">
        <v>186.91</v>
      </c>
      <c r="V780" s="4">
        <v>83.59</v>
      </c>
      <c r="W780" t="s">
        <v>21</v>
      </c>
      <c r="X780" t="s">
        <v>36</v>
      </c>
      <c r="Y780" s="4">
        <v>7</v>
      </c>
      <c r="Z780" s="4">
        <v>1</v>
      </c>
      <c r="AA780" t="s">
        <v>37</v>
      </c>
      <c r="AB780" t="s">
        <v>38</v>
      </c>
      <c r="AC780" s="7">
        <v>0</v>
      </c>
      <c r="AD780" t="s">
        <v>39</v>
      </c>
      <c r="AE780">
        <f t="shared" si="12"/>
        <v>0</v>
      </c>
    </row>
    <row r="781" spans="1:31" x14ac:dyDescent="0.35">
      <c r="A781">
        <v>100780</v>
      </c>
      <c r="B781" s="3">
        <v>45984</v>
      </c>
      <c r="C781">
        <v>1026</v>
      </c>
      <c r="D781" t="s">
        <v>47</v>
      </c>
      <c r="E781" t="s">
        <v>48</v>
      </c>
      <c r="F781" t="s">
        <v>32</v>
      </c>
      <c r="G781" t="s">
        <v>63</v>
      </c>
      <c r="H781" t="s">
        <v>57</v>
      </c>
      <c r="I781" t="s">
        <v>35</v>
      </c>
      <c r="J781" s="4">
        <v>28.75</v>
      </c>
      <c r="K781" s="4">
        <v>12.92</v>
      </c>
      <c r="L781">
        <v>0</v>
      </c>
      <c r="M781" s="4">
        <v>0</v>
      </c>
      <c r="N781" s="4">
        <v>371.45</v>
      </c>
      <c r="O781" s="4">
        <v>217.18</v>
      </c>
      <c r="P781" s="4">
        <v>11.65</v>
      </c>
      <c r="Q781" s="4">
        <v>2.6</v>
      </c>
      <c r="R781" s="4">
        <v>5.82</v>
      </c>
      <c r="S781" s="4">
        <v>0</v>
      </c>
      <c r="T781" s="4">
        <v>0</v>
      </c>
      <c r="U781" s="4">
        <v>237.25</v>
      </c>
      <c r="V781" s="4">
        <v>134.19999999999999</v>
      </c>
      <c r="W781" t="s">
        <v>21</v>
      </c>
      <c r="X781" t="s">
        <v>36</v>
      </c>
      <c r="Y781" s="4">
        <v>26</v>
      </c>
      <c r="Z781" s="4">
        <v>9</v>
      </c>
      <c r="AA781" t="s">
        <v>52</v>
      </c>
      <c r="AB781" t="s">
        <v>44</v>
      </c>
      <c r="AC781" s="7">
        <v>2</v>
      </c>
      <c r="AD781" t="s">
        <v>45</v>
      </c>
      <c r="AE781">
        <f t="shared" si="12"/>
        <v>1</v>
      </c>
    </row>
    <row r="782" spans="1:31" x14ac:dyDescent="0.35">
      <c r="A782">
        <v>100781</v>
      </c>
      <c r="B782" s="3">
        <v>45996</v>
      </c>
      <c r="C782">
        <v>1112</v>
      </c>
      <c r="D782" t="s">
        <v>59</v>
      </c>
      <c r="E782" t="s">
        <v>73</v>
      </c>
      <c r="F782" t="s">
        <v>49</v>
      </c>
      <c r="G782" t="s">
        <v>50</v>
      </c>
      <c r="H782" t="s">
        <v>57</v>
      </c>
      <c r="I782" t="s">
        <v>54</v>
      </c>
      <c r="J782" s="4">
        <v>18.55</v>
      </c>
      <c r="K782" s="4">
        <v>18.07</v>
      </c>
      <c r="L782">
        <v>15</v>
      </c>
      <c r="M782" s="4">
        <v>50.28</v>
      </c>
      <c r="N782" s="4">
        <v>284.92</v>
      </c>
      <c r="O782" s="4">
        <v>157</v>
      </c>
      <c r="P782" s="4">
        <v>2.5499999999999998</v>
      </c>
      <c r="Q782" s="4">
        <v>4.0199999999999996</v>
      </c>
      <c r="R782" s="4">
        <v>1.98</v>
      </c>
      <c r="S782" s="4">
        <v>273.83</v>
      </c>
      <c r="T782" s="4">
        <v>15.88</v>
      </c>
      <c r="U782" s="4">
        <v>455.26</v>
      </c>
      <c r="V782" s="4">
        <v>-170.34</v>
      </c>
      <c r="W782" t="s">
        <v>58</v>
      </c>
      <c r="X782" t="s">
        <v>55</v>
      </c>
      <c r="Y782" s="4">
        <v>13</v>
      </c>
      <c r="Z782" s="4">
        <v>10</v>
      </c>
      <c r="AA782" t="s">
        <v>37</v>
      </c>
      <c r="AB782" t="s">
        <v>44</v>
      </c>
      <c r="AC782" s="7">
        <v>3</v>
      </c>
      <c r="AD782" t="s">
        <v>45</v>
      </c>
      <c r="AE782">
        <f t="shared" si="12"/>
        <v>1</v>
      </c>
    </row>
    <row r="783" spans="1:31" x14ac:dyDescent="0.35">
      <c r="A783">
        <v>100782</v>
      </c>
      <c r="B783" s="3">
        <v>45993</v>
      </c>
      <c r="C783">
        <v>1145</v>
      </c>
      <c r="D783" t="s">
        <v>30</v>
      </c>
      <c r="E783" t="s">
        <v>72</v>
      </c>
      <c r="F783" t="s">
        <v>71</v>
      </c>
      <c r="G783" t="s">
        <v>46</v>
      </c>
      <c r="H783" t="s">
        <v>34</v>
      </c>
      <c r="I783" t="s">
        <v>35</v>
      </c>
      <c r="J783" s="4">
        <v>30.81</v>
      </c>
      <c r="K783" s="4">
        <v>15.33</v>
      </c>
      <c r="L783">
        <v>15</v>
      </c>
      <c r="M783" s="4">
        <v>70.849999999999994</v>
      </c>
      <c r="N783" s="4">
        <v>401.47</v>
      </c>
      <c r="O783" s="4">
        <v>260.77</v>
      </c>
      <c r="P783" s="4">
        <v>7.45</v>
      </c>
      <c r="Q783" s="4">
        <v>3.31</v>
      </c>
      <c r="R783" s="4">
        <v>6.13</v>
      </c>
      <c r="S783" s="4">
        <v>0</v>
      </c>
      <c r="T783" s="4">
        <v>0</v>
      </c>
      <c r="U783" s="4">
        <v>277.66000000000003</v>
      </c>
      <c r="V783" s="4">
        <v>123.81</v>
      </c>
      <c r="W783" t="s">
        <v>21</v>
      </c>
      <c r="X783" t="s">
        <v>36</v>
      </c>
      <c r="Y783" s="4">
        <v>41</v>
      </c>
      <c r="Z783" s="4">
        <v>9</v>
      </c>
      <c r="AA783" t="s">
        <v>43</v>
      </c>
      <c r="AB783" t="s">
        <v>44</v>
      </c>
      <c r="AC783" s="7">
        <v>3</v>
      </c>
      <c r="AD783" t="s">
        <v>45</v>
      </c>
      <c r="AE783">
        <f t="shared" si="12"/>
        <v>1</v>
      </c>
    </row>
    <row r="784" spans="1:31" x14ac:dyDescent="0.35">
      <c r="A784">
        <v>100783</v>
      </c>
      <c r="B784" s="3">
        <v>45992</v>
      </c>
      <c r="C784">
        <v>1104</v>
      </c>
      <c r="D784" t="s">
        <v>30</v>
      </c>
      <c r="E784" t="s">
        <v>62</v>
      </c>
      <c r="F784" t="s">
        <v>32</v>
      </c>
      <c r="G784" t="s">
        <v>63</v>
      </c>
      <c r="H784" t="s">
        <v>57</v>
      </c>
      <c r="I784" t="s">
        <v>54</v>
      </c>
      <c r="J784" s="4">
        <v>33.72</v>
      </c>
      <c r="K784" s="4">
        <v>11.37</v>
      </c>
      <c r="L784">
        <v>10</v>
      </c>
      <c r="M784" s="4">
        <v>38.340000000000003</v>
      </c>
      <c r="N784" s="4">
        <v>345.06</v>
      </c>
      <c r="O784" s="4">
        <v>239.25</v>
      </c>
      <c r="P784" s="4">
        <v>12.16</v>
      </c>
      <c r="Q784" s="4">
        <v>4.5999999999999996</v>
      </c>
      <c r="R784" s="4">
        <v>10.93</v>
      </c>
      <c r="S784" s="4">
        <v>0</v>
      </c>
      <c r="T784" s="4">
        <v>0</v>
      </c>
      <c r="U784" s="4">
        <v>266.94</v>
      </c>
      <c r="V784" s="4">
        <v>78.12</v>
      </c>
      <c r="W784" t="s">
        <v>21</v>
      </c>
      <c r="X784" t="s">
        <v>36</v>
      </c>
      <c r="Y784" s="4">
        <v>7</v>
      </c>
      <c r="Z784" s="4">
        <v>2</v>
      </c>
      <c r="AA784" t="s">
        <v>37</v>
      </c>
      <c r="AB784" t="s">
        <v>38</v>
      </c>
      <c r="AC784" s="7">
        <v>0</v>
      </c>
      <c r="AD784" t="s">
        <v>39</v>
      </c>
      <c r="AE784">
        <f t="shared" si="12"/>
        <v>0</v>
      </c>
    </row>
    <row r="785" spans="1:31" x14ac:dyDescent="0.35">
      <c r="A785">
        <v>100784</v>
      </c>
      <c r="B785" s="3">
        <v>45938</v>
      </c>
      <c r="C785">
        <v>1013</v>
      </c>
      <c r="D785" t="s">
        <v>30</v>
      </c>
      <c r="E785" t="s">
        <v>62</v>
      </c>
      <c r="F785" t="s">
        <v>41</v>
      </c>
      <c r="G785" t="s">
        <v>63</v>
      </c>
      <c r="H785" t="s">
        <v>34</v>
      </c>
      <c r="I785" t="s">
        <v>35</v>
      </c>
      <c r="J785" s="4">
        <v>29.25</v>
      </c>
      <c r="K785" s="4">
        <v>12.71</v>
      </c>
      <c r="L785">
        <v>5</v>
      </c>
      <c r="M785" s="4">
        <v>18.59</v>
      </c>
      <c r="N785" s="4">
        <v>353.18</v>
      </c>
      <c r="O785" s="4">
        <v>231.46</v>
      </c>
      <c r="P785" s="4">
        <v>6.2</v>
      </c>
      <c r="Q785" s="4">
        <v>2.6</v>
      </c>
      <c r="R785" s="4">
        <v>10.85</v>
      </c>
      <c r="S785" s="4">
        <v>0</v>
      </c>
      <c r="T785" s="4">
        <v>0</v>
      </c>
      <c r="U785" s="4">
        <v>251.11</v>
      </c>
      <c r="V785" s="4">
        <v>102.07</v>
      </c>
      <c r="W785" t="s">
        <v>21</v>
      </c>
      <c r="X785" t="s">
        <v>36</v>
      </c>
      <c r="Y785" s="4">
        <v>0</v>
      </c>
      <c r="Z785" s="4">
        <v>0</v>
      </c>
      <c r="AA785" t="s">
        <v>37</v>
      </c>
      <c r="AB785" t="s">
        <v>38</v>
      </c>
      <c r="AC785" s="7">
        <v>0</v>
      </c>
      <c r="AD785" t="s">
        <v>39</v>
      </c>
      <c r="AE785">
        <f t="shared" si="12"/>
        <v>0</v>
      </c>
    </row>
    <row r="786" spans="1:31" x14ac:dyDescent="0.35">
      <c r="A786">
        <v>100785</v>
      </c>
      <c r="B786" s="3">
        <v>45934</v>
      </c>
      <c r="C786">
        <v>1133</v>
      </c>
      <c r="D786" t="s">
        <v>59</v>
      </c>
      <c r="E786" t="s">
        <v>68</v>
      </c>
      <c r="F786" t="s">
        <v>32</v>
      </c>
      <c r="G786" t="s">
        <v>50</v>
      </c>
      <c r="H786" t="s">
        <v>57</v>
      </c>
      <c r="I786" t="s">
        <v>69</v>
      </c>
      <c r="J786" s="4">
        <v>22.36</v>
      </c>
      <c r="K786" s="4">
        <v>17.73</v>
      </c>
      <c r="L786">
        <v>0</v>
      </c>
      <c r="M786" s="4">
        <v>0</v>
      </c>
      <c r="N786" s="4">
        <v>396.44</v>
      </c>
      <c r="O786" s="4">
        <v>187.02</v>
      </c>
      <c r="P786" s="4">
        <v>11.13</v>
      </c>
      <c r="Q786" s="4">
        <v>1.59</v>
      </c>
      <c r="R786" s="4">
        <v>4.5999999999999996</v>
      </c>
      <c r="S786" s="4">
        <v>255.85</v>
      </c>
      <c r="T786" s="4">
        <v>0.53</v>
      </c>
      <c r="U786" s="4">
        <v>460.72</v>
      </c>
      <c r="V786" s="4">
        <v>-64.28</v>
      </c>
      <c r="W786" t="s">
        <v>58</v>
      </c>
      <c r="X786" t="s">
        <v>55</v>
      </c>
      <c r="Y786" s="4">
        <v>0</v>
      </c>
      <c r="Z786" s="4">
        <v>6</v>
      </c>
      <c r="AA786" t="s">
        <v>37</v>
      </c>
      <c r="AB786" t="s">
        <v>44</v>
      </c>
      <c r="AC786" s="7">
        <v>1</v>
      </c>
      <c r="AD786" t="s">
        <v>45</v>
      </c>
      <c r="AE786">
        <f t="shared" si="12"/>
        <v>1</v>
      </c>
    </row>
    <row r="787" spans="1:31" x14ac:dyDescent="0.35">
      <c r="A787">
        <v>100786</v>
      </c>
      <c r="B787" s="3">
        <v>45940</v>
      </c>
      <c r="C787">
        <v>1097</v>
      </c>
      <c r="D787" t="s">
        <v>59</v>
      </c>
      <c r="E787" t="s">
        <v>60</v>
      </c>
      <c r="F787" t="s">
        <v>41</v>
      </c>
      <c r="G787" t="s">
        <v>46</v>
      </c>
      <c r="H787" t="s">
        <v>51</v>
      </c>
      <c r="I787" t="s">
        <v>42</v>
      </c>
      <c r="J787" s="4">
        <v>30.91</v>
      </c>
      <c r="K787" s="4">
        <v>15.75</v>
      </c>
      <c r="L787">
        <v>5</v>
      </c>
      <c r="M787" s="4">
        <v>24.34</v>
      </c>
      <c r="N787" s="4">
        <v>462.49</v>
      </c>
      <c r="O787" s="4">
        <v>227.23</v>
      </c>
      <c r="P787" s="4">
        <v>6.4</v>
      </c>
      <c r="Q787" s="4">
        <v>7.3</v>
      </c>
      <c r="R787" s="4">
        <v>0.93</v>
      </c>
      <c r="S787" s="4">
        <v>0</v>
      </c>
      <c r="T787" s="4">
        <v>0</v>
      </c>
      <c r="U787" s="4">
        <v>241.86</v>
      </c>
      <c r="V787" s="4">
        <v>220.63</v>
      </c>
      <c r="W787" t="s">
        <v>21</v>
      </c>
      <c r="X787" t="s">
        <v>36</v>
      </c>
      <c r="Y787" s="4">
        <v>3</v>
      </c>
      <c r="Z787" s="4">
        <v>2</v>
      </c>
      <c r="AA787" t="s">
        <v>37</v>
      </c>
      <c r="AB787" t="s">
        <v>38</v>
      </c>
      <c r="AC787" s="7">
        <v>0</v>
      </c>
      <c r="AD787" t="s">
        <v>39</v>
      </c>
      <c r="AE787">
        <f t="shared" si="12"/>
        <v>0</v>
      </c>
    </row>
    <row r="788" spans="1:31" x14ac:dyDescent="0.35">
      <c r="A788">
        <v>100787</v>
      </c>
      <c r="B788" s="3">
        <v>45942</v>
      </c>
      <c r="C788">
        <v>1088</v>
      </c>
      <c r="D788" t="s">
        <v>64</v>
      </c>
      <c r="E788" t="s">
        <v>75</v>
      </c>
      <c r="F788" t="s">
        <v>41</v>
      </c>
      <c r="G788" t="s">
        <v>63</v>
      </c>
      <c r="H788" t="s">
        <v>57</v>
      </c>
      <c r="I788" t="s">
        <v>35</v>
      </c>
      <c r="J788" s="4">
        <v>19.12</v>
      </c>
      <c r="K788" s="4">
        <v>12.64</v>
      </c>
      <c r="L788">
        <v>0</v>
      </c>
      <c r="M788" s="4">
        <v>0</v>
      </c>
      <c r="N788" s="4">
        <v>241.68</v>
      </c>
      <c r="O788" s="4">
        <v>138.6</v>
      </c>
      <c r="P788" s="4">
        <v>9.66</v>
      </c>
      <c r="Q788" s="4">
        <v>1.69</v>
      </c>
      <c r="R788" s="4">
        <v>5.58</v>
      </c>
      <c r="S788" s="4">
        <v>0</v>
      </c>
      <c r="T788" s="4">
        <v>0</v>
      </c>
      <c r="U788" s="4">
        <v>155.53</v>
      </c>
      <c r="V788" s="4">
        <v>86.15</v>
      </c>
      <c r="W788" t="s">
        <v>21</v>
      </c>
      <c r="X788" t="s">
        <v>36</v>
      </c>
      <c r="Y788" s="4">
        <v>1</v>
      </c>
      <c r="Z788" s="4">
        <v>6</v>
      </c>
      <c r="AA788" t="s">
        <v>37</v>
      </c>
      <c r="AB788" t="s">
        <v>38</v>
      </c>
      <c r="AC788" s="7">
        <v>0</v>
      </c>
      <c r="AD788" t="s">
        <v>39</v>
      </c>
      <c r="AE788">
        <f t="shared" si="12"/>
        <v>0</v>
      </c>
    </row>
    <row r="789" spans="1:31" x14ac:dyDescent="0.35">
      <c r="A789">
        <v>100788</v>
      </c>
      <c r="B789" s="3">
        <v>45979</v>
      </c>
      <c r="C789">
        <v>1013</v>
      </c>
      <c r="D789" t="s">
        <v>30</v>
      </c>
      <c r="E789" t="s">
        <v>31</v>
      </c>
      <c r="F789" t="s">
        <v>32</v>
      </c>
      <c r="G789" t="s">
        <v>46</v>
      </c>
      <c r="H789" t="s">
        <v>57</v>
      </c>
      <c r="I789" t="s">
        <v>35</v>
      </c>
      <c r="J789" s="4">
        <v>29.48</v>
      </c>
      <c r="K789" s="4">
        <v>16.05</v>
      </c>
      <c r="L789">
        <v>10</v>
      </c>
      <c r="M789" s="4">
        <v>47.32</v>
      </c>
      <c r="N789" s="4">
        <v>425.83</v>
      </c>
      <c r="O789" s="4">
        <v>197.67</v>
      </c>
      <c r="P789" s="4">
        <v>7.37</v>
      </c>
      <c r="Q789" s="4">
        <v>3.31</v>
      </c>
      <c r="R789" s="4">
        <v>4.3499999999999996</v>
      </c>
      <c r="S789" s="4">
        <v>0</v>
      </c>
      <c r="T789" s="4">
        <v>0</v>
      </c>
      <c r="U789" s="4">
        <v>212.7</v>
      </c>
      <c r="V789" s="4">
        <v>213.13</v>
      </c>
      <c r="W789" t="s">
        <v>21</v>
      </c>
      <c r="X789" t="s">
        <v>36</v>
      </c>
      <c r="Y789" s="4">
        <v>6</v>
      </c>
      <c r="Z789" s="4">
        <v>6</v>
      </c>
      <c r="AA789" t="s">
        <v>37</v>
      </c>
      <c r="AB789" t="s">
        <v>38</v>
      </c>
      <c r="AC789" s="7">
        <v>0</v>
      </c>
      <c r="AD789" t="s">
        <v>39</v>
      </c>
      <c r="AE789">
        <f t="shared" si="12"/>
        <v>0</v>
      </c>
    </row>
    <row r="790" spans="1:31" x14ac:dyDescent="0.35">
      <c r="A790">
        <v>100789</v>
      </c>
      <c r="B790" s="3">
        <v>45979</v>
      </c>
      <c r="C790">
        <v>1031</v>
      </c>
      <c r="D790" t="s">
        <v>30</v>
      </c>
      <c r="E790" t="s">
        <v>40</v>
      </c>
      <c r="F790" t="s">
        <v>71</v>
      </c>
      <c r="G790" t="s">
        <v>33</v>
      </c>
      <c r="H790" t="s">
        <v>34</v>
      </c>
      <c r="I790" t="s">
        <v>35</v>
      </c>
      <c r="J790" s="4">
        <v>23.92</v>
      </c>
      <c r="K790" s="4">
        <v>18.649999999999999</v>
      </c>
      <c r="L790">
        <v>20</v>
      </c>
      <c r="M790" s="4">
        <v>89.22</v>
      </c>
      <c r="N790" s="4">
        <v>356.89</v>
      </c>
      <c r="O790" s="4">
        <v>180.65</v>
      </c>
      <c r="P790" s="4">
        <v>13.72</v>
      </c>
      <c r="Q790" s="4">
        <v>3.12</v>
      </c>
      <c r="R790" s="4">
        <v>7.65</v>
      </c>
      <c r="S790" s="4">
        <v>0</v>
      </c>
      <c r="T790" s="4">
        <v>0</v>
      </c>
      <c r="U790" s="4">
        <v>205.14</v>
      </c>
      <c r="V790" s="4">
        <v>151.75</v>
      </c>
      <c r="W790" t="s">
        <v>21</v>
      </c>
      <c r="X790" t="s">
        <v>36</v>
      </c>
      <c r="Y790" s="4">
        <v>6</v>
      </c>
      <c r="Z790" s="4">
        <v>0</v>
      </c>
      <c r="AA790" t="s">
        <v>37</v>
      </c>
      <c r="AB790" t="s">
        <v>38</v>
      </c>
      <c r="AC790" s="7">
        <v>0</v>
      </c>
      <c r="AD790" t="s">
        <v>39</v>
      </c>
      <c r="AE790">
        <f t="shared" si="12"/>
        <v>0</v>
      </c>
    </row>
    <row r="791" spans="1:31" x14ac:dyDescent="0.35">
      <c r="A791">
        <v>100790</v>
      </c>
      <c r="B791" s="3">
        <v>46007</v>
      </c>
      <c r="C791">
        <v>1106</v>
      </c>
      <c r="D791" t="s">
        <v>30</v>
      </c>
      <c r="E791" t="s">
        <v>62</v>
      </c>
      <c r="F791" t="s">
        <v>61</v>
      </c>
      <c r="G791" t="s">
        <v>63</v>
      </c>
      <c r="H791" t="s">
        <v>34</v>
      </c>
      <c r="I791" t="s">
        <v>35</v>
      </c>
      <c r="J791" s="4">
        <v>11.99</v>
      </c>
      <c r="K791" s="4">
        <v>12.43</v>
      </c>
      <c r="L791">
        <v>10</v>
      </c>
      <c r="M791" s="4">
        <v>14.9</v>
      </c>
      <c r="N791" s="4">
        <v>134.13999999999999</v>
      </c>
      <c r="O791" s="4">
        <v>93.67</v>
      </c>
      <c r="P791" s="4">
        <v>5.09</v>
      </c>
      <c r="Q791" s="4">
        <v>1.04</v>
      </c>
      <c r="R791" s="4">
        <v>4.75</v>
      </c>
      <c r="S791" s="4">
        <v>0</v>
      </c>
      <c r="T791" s="4">
        <v>0</v>
      </c>
      <c r="U791" s="4">
        <v>104.55</v>
      </c>
      <c r="V791" s="4">
        <v>29.59</v>
      </c>
      <c r="W791" t="s">
        <v>21</v>
      </c>
      <c r="X791" t="s">
        <v>36</v>
      </c>
      <c r="Y791" s="4">
        <v>7</v>
      </c>
      <c r="Z791" s="4">
        <v>3</v>
      </c>
      <c r="AA791" t="s">
        <v>37</v>
      </c>
      <c r="AB791" t="s">
        <v>38</v>
      </c>
      <c r="AC791" s="7">
        <v>0</v>
      </c>
      <c r="AD791" t="s">
        <v>39</v>
      </c>
      <c r="AE791">
        <f t="shared" si="12"/>
        <v>0</v>
      </c>
    </row>
    <row r="792" spans="1:31" x14ac:dyDescent="0.35">
      <c r="A792">
        <v>100791</v>
      </c>
      <c r="B792" s="3">
        <v>45979</v>
      </c>
      <c r="C792">
        <v>1009</v>
      </c>
      <c r="D792" t="s">
        <v>30</v>
      </c>
      <c r="E792" t="s">
        <v>31</v>
      </c>
      <c r="F792" t="s">
        <v>41</v>
      </c>
      <c r="G792" t="s">
        <v>46</v>
      </c>
      <c r="H792" t="s">
        <v>34</v>
      </c>
      <c r="I792" t="s">
        <v>42</v>
      </c>
      <c r="J792" s="4">
        <v>38.04</v>
      </c>
      <c r="K792" s="4">
        <v>15.94</v>
      </c>
      <c r="L792">
        <v>0</v>
      </c>
      <c r="M792" s="4">
        <v>0</v>
      </c>
      <c r="N792" s="4">
        <v>606.36</v>
      </c>
      <c r="O792" s="4">
        <v>328.96</v>
      </c>
      <c r="P792" s="4">
        <v>7.75</v>
      </c>
      <c r="Q792" s="4">
        <v>9.1</v>
      </c>
      <c r="R792" s="4">
        <v>3.89</v>
      </c>
      <c r="S792" s="4">
        <v>0</v>
      </c>
      <c r="T792" s="4">
        <v>0</v>
      </c>
      <c r="U792" s="4">
        <v>349.7</v>
      </c>
      <c r="V792" s="4">
        <v>256.66000000000003</v>
      </c>
      <c r="W792" t="s">
        <v>21</v>
      </c>
      <c r="X792" t="s">
        <v>36</v>
      </c>
      <c r="Y792" s="4">
        <v>16</v>
      </c>
      <c r="Z792" s="4">
        <v>22</v>
      </c>
      <c r="AA792" t="s">
        <v>52</v>
      </c>
      <c r="AB792" t="s">
        <v>44</v>
      </c>
      <c r="AC792" s="7">
        <v>2</v>
      </c>
      <c r="AD792" t="s">
        <v>45</v>
      </c>
      <c r="AE792">
        <f t="shared" si="12"/>
        <v>1</v>
      </c>
    </row>
    <row r="793" spans="1:31" x14ac:dyDescent="0.35">
      <c r="A793">
        <v>100792</v>
      </c>
      <c r="B793" s="3">
        <v>46017</v>
      </c>
      <c r="C793">
        <v>1130</v>
      </c>
      <c r="D793" t="s">
        <v>30</v>
      </c>
      <c r="E793" t="s">
        <v>31</v>
      </c>
      <c r="F793" t="s">
        <v>49</v>
      </c>
      <c r="G793" t="s">
        <v>46</v>
      </c>
      <c r="H793" t="s">
        <v>34</v>
      </c>
      <c r="I793" t="s">
        <v>35</v>
      </c>
      <c r="J793" s="4">
        <v>20.84</v>
      </c>
      <c r="K793" s="4">
        <v>15.76</v>
      </c>
      <c r="L793">
        <v>0</v>
      </c>
      <c r="M793" s="4">
        <v>0</v>
      </c>
      <c r="N793" s="4">
        <v>328.44</v>
      </c>
      <c r="O793" s="4">
        <v>169.91</v>
      </c>
      <c r="P793" s="4">
        <v>6.08</v>
      </c>
      <c r="Q793" s="4">
        <v>2.2999999999999998</v>
      </c>
      <c r="R793" s="4">
        <v>11.63</v>
      </c>
      <c r="S793" s="4">
        <v>0</v>
      </c>
      <c r="T793" s="4">
        <v>0</v>
      </c>
      <c r="U793" s="4">
        <v>189.92</v>
      </c>
      <c r="V793" s="4">
        <v>138.52000000000001</v>
      </c>
      <c r="W793" t="s">
        <v>21</v>
      </c>
      <c r="X793" t="s">
        <v>36</v>
      </c>
      <c r="Y793" s="4">
        <v>4</v>
      </c>
      <c r="Z793" s="4">
        <v>12</v>
      </c>
      <c r="AA793" t="s">
        <v>37</v>
      </c>
      <c r="AB793" t="s">
        <v>38</v>
      </c>
      <c r="AC793" s="7">
        <v>0</v>
      </c>
      <c r="AD793" t="s">
        <v>39</v>
      </c>
      <c r="AE793">
        <f t="shared" si="12"/>
        <v>0</v>
      </c>
    </row>
    <row r="794" spans="1:31" x14ac:dyDescent="0.35">
      <c r="A794">
        <v>100793</v>
      </c>
      <c r="B794" s="3">
        <v>46005</v>
      </c>
      <c r="C794">
        <v>1147</v>
      </c>
      <c r="D794" t="s">
        <v>64</v>
      </c>
      <c r="E794" t="s">
        <v>76</v>
      </c>
      <c r="F794" t="s">
        <v>49</v>
      </c>
      <c r="G794" t="s">
        <v>63</v>
      </c>
      <c r="H794" t="s">
        <v>51</v>
      </c>
      <c r="I794" t="s">
        <v>42</v>
      </c>
      <c r="J794" s="4">
        <v>28.16</v>
      </c>
      <c r="K794" s="4">
        <v>10.61</v>
      </c>
      <c r="L794">
        <v>20</v>
      </c>
      <c r="M794" s="4">
        <v>59.76</v>
      </c>
      <c r="N794" s="4">
        <v>239.02</v>
      </c>
      <c r="O794" s="4">
        <v>208.98</v>
      </c>
      <c r="P794" s="4">
        <v>7.15</v>
      </c>
      <c r="Q794" s="4">
        <v>4.4800000000000004</v>
      </c>
      <c r="R794" s="4">
        <v>5.91</v>
      </c>
      <c r="S794" s="4">
        <v>0</v>
      </c>
      <c r="T794" s="4">
        <v>0</v>
      </c>
      <c r="U794" s="4">
        <v>226.52</v>
      </c>
      <c r="V794" s="4">
        <v>12.5</v>
      </c>
      <c r="W794" t="s">
        <v>21</v>
      </c>
      <c r="X794" t="s">
        <v>36</v>
      </c>
      <c r="Y794" s="4">
        <v>60</v>
      </c>
      <c r="Z794" s="4">
        <v>1</v>
      </c>
      <c r="AA794" t="s">
        <v>43</v>
      </c>
      <c r="AB794" t="s">
        <v>44</v>
      </c>
      <c r="AC794" s="7">
        <v>2</v>
      </c>
      <c r="AD794" t="s">
        <v>45</v>
      </c>
      <c r="AE794">
        <f t="shared" si="12"/>
        <v>1</v>
      </c>
    </row>
    <row r="795" spans="1:31" x14ac:dyDescent="0.35">
      <c r="A795">
        <v>100794</v>
      </c>
      <c r="B795" s="3">
        <v>45961</v>
      </c>
      <c r="C795">
        <v>1074</v>
      </c>
      <c r="D795" t="s">
        <v>47</v>
      </c>
      <c r="E795" t="s">
        <v>56</v>
      </c>
      <c r="F795" t="s">
        <v>61</v>
      </c>
      <c r="G795" t="s">
        <v>50</v>
      </c>
      <c r="H795" t="s">
        <v>34</v>
      </c>
      <c r="I795" t="s">
        <v>69</v>
      </c>
      <c r="J795" s="4">
        <v>32.08</v>
      </c>
      <c r="K795" s="4">
        <v>16.37</v>
      </c>
      <c r="L795">
        <v>0</v>
      </c>
      <c r="M795" s="4">
        <v>0</v>
      </c>
      <c r="N795" s="4">
        <v>525.15</v>
      </c>
      <c r="O795" s="4">
        <v>234.71</v>
      </c>
      <c r="P795" s="4">
        <v>8.07</v>
      </c>
      <c r="Q795" s="4">
        <v>2.1</v>
      </c>
      <c r="R795" s="4">
        <v>0</v>
      </c>
      <c r="S795" s="4">
        <v>0</v>
      </c>
      <c r="T795" s="4">
        <v>0</v>
      </c>
      <c r="U795" s="4">
        <v>244.88</v>
      </c>
      <c r="V795" s="4">
        <v>280.27</v>
      </c>
      <c r="W795" t="s">
        <v>21</v>
      </c>
      <c r="X795" t="s">
        <v>36</v>
      </c>
      <c r="Y795" s="4">
        <v>7</v>
      </c>
      <c r="Z795" s="4">
        <v>4</v>
      </c>
      <c r="AA795" t="s">
        <v>37</v>
      </c>
      <c r="AB795" t="s">
        <v>38</v>
      </c>
      <c r="AC795" s="7">
        <v>0</v>
      </c>
      <c r="AD795" t="s">
        <v>39</v>
      </c>
      <c r="AE795">
        <f t="shared" si="12"/>
        <v>0</v>
      </c>
    </row>
    <row r="796" spans="1:31" x14ac:dyDescent="0.35">
      <c r="A796">
        <v>100795</v>
      </c>
      <c r="B796" s="3">
        <v>45966</v>
      </c>
      <c r="C796">
        <v>1005</v>
      </c>
      <c r="D796" t="s">
        <v>47</v>
      </c>
      <c r="E796" t="s">
        <v>56</v>
      </c>
      <c r="F796" t="s">
        <v>41</v>
      </c>
      <c r="G796" t="s">
        <v>63</v>
      </c>
      <c r="H796" t="s">
        <v>34</v>
      </c>
      <c r="I796" t="s">
        <v>35</v>
      </c>
      <c r="J796" s="4">
        <v>29.15</v>
      </c>
      <c r="K796" s="4">
        <v>12.74</v>
      </c>
      <c r="L796">
        <v>0</v>
      </c>
      <c r="M796" s="4">
        <v>0</v>
      </c>
      <c r="N796" s="4">
        <v>371.37</v>
      </c>
      <c r="O796" s="4">
        <v>181.67</v>
      </c>
      <c r="P796" s="4">
        <v>9.2899999999999991</v>
      </c>
      <c r="Q796" s="4">
        <v>2.6</v>
      </c>
      <c r="R796" s="4">
        <v>12.75</v>
      </c>
      <c r="S796" s="4">
        <v>0</v>
      </c>
      <c r="T796" s="4">
        <v>0</v>
      </c>
      <c r="U796" s="4">
        <v>206.31</v>
      </c>
      <c r="V796" s="4">
        <v>165.06</v>
      </c>
      <c r="W796" t="s">
        <v>21</v>
      </c>
      <c r="X796" t="s">
        <v>36</v>
      </c>
      <c r="Y796" s="4">
        <v>28</v>
      </c>
      <c r="Z796" s="4">
        <v>16</v>
      </c>
      <c r="AA796" t="s">
        <v>52</v>
      </c>
      <c r="AB796" t="s">
        <v>44</v>
      </c>
      <c r="AC796" s="7">
        <v>3</v>
      </c>
      <c r="AD796" t="s">
        <v>45</v>
      </c>
      <c r="AE796">
        <f t="shared" si="12"/>
        <v>1</v>
      </c>
    </row>
    <row r="797" spans="1:31" x14ac:dyDescent="0.35">
      <c r="A797">
        <v>100796</v>
      </c>
      <c r="B797" s="3">
        <v>45994</v>
      </c>
      <c r="C797">
        <v>1063</v>
      </c>
      <c r="D797" t="s">
        <v>30</v>
      </c>
      <c r="E797" t="s">
        <v>31</v>
      </c>
      <c r="F797" t="s">
        <v>41</v>
      </c>
      <c r="G797" t="s">
        <v>46</v>
      </c>
      <c r="H797" t="s">
        <v>57</v>
      </c>
      <c r="I797" t="s">
        <v>35</v>
      </c>
      <c r="J797" s="4">
        <v>29.66</v>
      </c>
      <c r="K797" s="4">
        <v>15.6</v>
      </c>
      <c r="L797">
        <v>0</v>
      </c>
      <c r="M797" s="4">
        <v>0</v>
      </c>
      <c r="N797" s="4">
        <v>462.7</v>
      </c>
      <c r="O797" s="4">
        <v>196.47</v>
      </c>
      <c r="P797" s="4">
        <v>1</v>
      </c>
      <c r="Q797" s="4">
        <v>3.24</v>
      </c>
      <c r="R797" s="4">
        <v>5.65</v>
      </c>
      <c r="S797" s="4">
        <v>0</v>
      </c>
      <c r="T797" s="4">
        <v>0</v>
      </c>
      <c r="U797" s="4">
        <v>206.36</v>
      </c>
      <c r="V797" s="4">
        <v>256.33999999999997</v>
      </c>
      <c r="W797" t="s">
        <v>21</v>
      </c>
      <c r="X797" t="s">
        <v>36</v>
      </c>
      <c r="Y797" s="4">
        <v>3</v>
      </c>
      <c r="Z797" s="4">
        <v>15</v>
      </c>
      <c r="AA797" t="s">
        <v>37</v>
      </c>
      <c r="AB797" t="s">
        <v>38</v>
      </c>
      <c r="AC797" s="7">
        <v>0</v>
      </c>
      <c r="AD797" t="s">
        <v>39</v>
      </c>
      <c r="AE797">
        <f t="shared" si="12"/>
        <v>0</v>
      </c>
    </row>
    <row r="798" spans="1:31" x14ac:dyDescent="0.35">
      <c r="A798">
        <v>100797</v>
      </c>
      <c r="B798" s="3">
        <v>45955</v>
      </c>
      <c r="C798">
        <v>1023</v>
      </c>
      <c r="D798" t="s">
        <v>30</v>
      </c>
      <c r="E798" t="s">
        <v>62</v>
      </c>
      <c r="F798" t="s">
        <v>61</v>
      </c>
      <c r="G798" t="s">
        <v>33</v>
      </c>
      <c r="H798" t="s">
        <v>34</v>
      </c>
      <c r="I798" t="s">
        <v>35</v>
      </c>
      <c r="J798" s="4">
        <v>16.96</v>
      </c>
      <c r="K798" s="4">
        <v>19.87</v>
      </c>
      <c r="L798">
        <v>10</v>
      </c>
      <c r="M798" s="4">
        <v>33.700000000000003</v>
      </c>
      <c r="N798" s="4">
        <v>303.3</v>
      </c>
      <c r="O798" s="4">
        <v>123.95</v>
      </c>
      <c r="P798" s="4">
        <v>3.85</v>
      </c>
      <c r="Q798" s="4">
        <v>2.36</v>
      </c>
      <c r="R798" s="4">
        <v>8.84</v>
      </c>
      <c r="S798" s="4">
        <v>0</v>
      </c>
      <c r="T798" s="4">
        <v>0</v>
      </c>
      <c r="U798" s="4">
        <v>139</v>
      </c>
      <c r="V798" s="4">
        <v>164.3</v>
      </c>
      <c r="W798" t="s">
        <v>21</v>
      </c>
      <c r="X798" t="s">
        <v>36</v>
      </c>
      <c r="Y798" s="4">
        <v>15</v>
      </c>
      <c r="Z798" s="4">
        <v>2</v>
      </c>
      <c r="AA798" t="s">
        <v>37</v>
      </c>
      <c r="AB798" t="s">
        <v>38</v>
      </c>
      <c r="AC798" s="7">
        <v>0</v>
      </c>
      <c r="AD798" t="s">
        <v>39</v>
      </c>
      <c r="AE798">
        <f t="shared" si="12"/>
        <v>0</v>
      </c>
    </row>
    <row r="799" spans="1:31" x14ac:dyDescent="0.35">
      <c r="A799">
        <v>100798</v>
      </c>
      <c r="B799" s="3">
        <v>45987</v>
      </c>
      <c r="C799">
        <v>1021</v>
      </c>
      <c r="D799" t="s">
        <v>30</v>
      </c>
      <c r="E799" t="s">
        <v>62</v>
      </c>
      <c r="F799" t="s">
        <v>49</v>
      </c>
      <c r="G799" t="s">
        <v>33</v>
      </c>
      <c r="H799" t="s">
        <v>34</v>
      </c>
      <c r="I799" t="s">
        <v>35</v>
      </c>
      <c r="J799" s="4">
        <v>30.37</v>
      </c>
      <c r="K799" s="4">
        <v>19.72</v>
      </c>
      <c r="L799">
        <v>5</v>
      </c>
      <c r="M799" s="4">
        <v>29.94</v>
      </c>
      <c r="N799" s="4">
        <v>568.96</v>
      </c>
      <c r="O799" s="4">
        <v>214.81</v>
      </c>
      <c r="P799" s="4">
        <v>9.85</v>
      </c>
      <c r="Q799" s="4">
        <v>4.1900000000000004</v>
      </c>
      <c r="R799" s="4">
        <v>5.48</v>
      </c>
      <c r="S799" s="4">
        <v>0</v>
      </c>
      <c r="T799" s="4">
        <v>0</v>
      </c>
      <c r="U799" s="4">
        <v>234.33</v>
      </c>
      <c r="V799" s="4">
        <v>334.63</v>
      </c>
      <c r="W799" t="s">
        <v>21</v>
      </c>
      <c r="X799" t="s">
        <v>36</v>
      </c>
      <c r="Y799" s="4">
        <v>20</v>
      </c>
      <c r="Z799" s="4">
        <v>10</v>
      </c>
      <c r="AA799" t="s">
        <v>52</v>
      </c>
      <c r="AB799" t="s">
        <v>38</v>
      </c>
      <c r="AC799" s="7">
        <v>0</v>
      </c>
      <c r="AD799" t="s">
        <v>39</v>
      </c>
      <c r="AE799">
        <f t="shared" si="12"/>
        <v>0</v>
      </c>
    </row>
    <row r="800" spans="1:31" x14ac:dyDescent="0.35">
      <c r="A800">
        <v>100799</v>
      </c>
      <c r="B800" s="3">
        <v>46009</v>
      </c>
      <c r="C800">
        <v>1144</v>
      </c>
      <c r="D800" t="s">
        <v>59</v>
      </c>
      <c r="E800" t="s">
        <v>60</v>
      </c>
      <c r="F800" t="s">
        <v>71</v>
      </c>
      <c r="G800" t="s">
        <v>46</v>
      </c>
      <c r="H800" t="s">
        <v>51</v>
      </c>
      <c r="I800" t="s">
        <v>35</v>
      </c>
      <c r="J800" s="4">
        <v>17.63</v>
      </c>
      <c r="K800" s="4">
        <v>15.75</v>
      </c>
      <c r="L800">
        <v>0</v>
      </c>
      <c r="M800" s="4">
        <v>0</v>
      </c>
      <c r="N800" s="4">
        <v>277.67</v>
      </c>
      <c r="O800" s="4">
        <v>129.13</v>
      </c>
      <c r="P800" s="4">
        <v>5.38</v>
      </c>
      <c r="Q800" s="4">
        <v>1.94</v>
      </c>
      <c r="R800" s="4">
        <v>4.17</v>
      </c>
      <c r="S800" s="4">
        <v>0</v>
      </c>
      <c r="T800" s="4">
        <v>0</v>
      </c>
      <c r="U800" s="4">
        <v>140.62</v>
      </c>
      <c r="V800" s="4">
        <v>137.05000000000001</v>
      </c>
      <c r="W800" t="s">
        <v>21</v>
      </c>
      <c r="X800" t="s">
        <v>36</v>
      </c>
      <c r="Y800" s="4">
        <v>7</v>
      </c>
      <c r="Z800" s="4">
        <v>4</v>
      </c>
      <c r="AA800" t="s">
        <v>37</v>
      </c>
      <c r="AB800" t="s">
        <v>38</v>
      </c>
      <c r="AC800" s="7">
        <v>0</v>
      </c>
      <c r="AD800" t="s">
        <v>39</v>
      </c>
      <c r="AE800">
        <f t="shared" si="12"/>
        <v>0</v>
      </c>
    </row>
    <row r="801" spans="1:31" x14ac:dyDescent="0.35">
      <c r="A801">
        <v>100800</v>
      </c>
      <c r="B801" s="3">
        <v>46009</v>
      </c>
      <c r="C801">
        <v>1005</v>
      </c>
      <c r="D801" t="s">
        <v>47</v>
      </c>
      <c r="E801" t="s">
        <v>48</v>
      </c>
      <c r="F801" t="s">
        <v>71</v>
      </c>
      <c r="G801" t="s">
        <v>50</v>
      </c>
      <c r="H801" t="s">
        <v>34</v>
      </c>
      <c r="I801" t="s">
        <v>42</v>
      </c>
      <c r="J801" s="4">
        <v>29.97</v>
      </c>
      <c r="K801" s="4">
        <v>19.73</v>
      </c>
      <c r="L801">
        <v>0</v>
      </c>
      <c r="M801" s="4">
        <v>0</v>
      </c>
      <c r="N801" s="4">
        <v>591.30999999999995</v>
      </c>
      <c r="O801" s="4">
        <v>178.47</v>
      </c>
      <c r="P801" s="4">
        <v>4.47</v>
      </c>
      <c r="Q801" s="4">
        <v>8.8699999999999992</v>
      </c>
      <c r="R801" s="4">
        <v>8.67</v>
      </c>
      <c r="S801" s="4">
        <v>301.54000000000002</v>
      </c>
      <c r="T801" s="4">
        <v>0</v>
      </c>
      <c r="U801" s="4">
        <v>502.02</v>
      </c>
      <c r="V801" s="4">
        <v>89.29</v>
      </c>
      <c r="W801" t="s">
        <v>21</v>
      </c>
      <c r="X801" t="s">
        <v>55</v>
      </c>
      <c r="Y801" s="4">
        <v>17</v>
      </c>
      <c r="Z801" s="4">
        <v>5</v>
      </c>
      <c r="AA801" t="s">
        <v>52</v>
      </c>
      <c r="AB801" t="s">
        <v>44</v>
      </c>
      <c r="AC801" s="7">
        <v>1</v>
      </c>
      <c r="AD801" t="s">
        <v>45</v>
      </c>
      <c r="AE801">
        <f t="shared" si="12"/>
        <v>1</v>
      </c>
    </row>
    <row r="802" spans="1:31" x14ac:dyDescent="0.35">
      <c r="A802">
        <v>100801</v>
      </c>
      <c r="B802" s="3">
        <v>45983</v>
      </c>
      <c r="C802">
        <v>1121</v>
      </c>
      <c r="D802" t="s">
        <v>64</v>
      </c>
      <c r="E802" t="s">
        <v>76</v>
      </c>
      <c r="F802" t="s">
        <v>71</v>
      </c>
      <c r="G802" t="s">
        <v>63</v>
      </c>
      <c r="H802" t="s">
        <v>34</v>
      </c>
      <c r="I802" t="s">
        <v>42</v>
      </c>
      <c r="J802" s="4">
        <v>9.15</v>
      </c>
      <c r="K802" s="4">
        <v>13.27</v>
      </c>
      <c r="L802">
        <v>0</v>
      </c>
      <c r="M802" s="4">
        <v>0</v>
      </c>
      <c r="N802" s="4">
        <v>121.42</v>
      </c>
      <c r="O802" s="4">
        <v>62.82</v>
      </c>
      <c r="P802" s="4">
        <v>9.0299999999999994</v>
      </c>
      <c r="Q802" s="4">
        <v>1.82</v>
      </c>
      <c r="R802" s="4">
        <v>14.08</v>
      </c>
      <c r="S802" s="4">
        <v>0</v>
      </c>
      <c r="T802" s="4">
        <v>0</v>
      </c>
      <c r="U802" s="4">
        <v>87.75</v>
      </c>
      <c r="V802" s="4">
        <v>33.67</v>
      </c>
      <c r="W802" t="s">
        <v>21</v>
      </c>
      <c r="X802" t="s">
        <v>36</v>
      </c>
      <c r="Y802" s="4">
        <v>1</v>
      </c>
      <c r="Z802" s="4">
        <v>5</v>
      </c>
      <c r="AA802" t="s">
        <v>37</v>
      </c>
      <c r="AB802" t="s">
        <v>38</v>
      </c>
      <c r="AC802" s="7">
        <v>1</v>
      </c>
      <c r="AD802" t="s">
        <v>39</v>
      </c>
      <c r="AE802">
        <f t="shared" si="12"/>
        <v>0</v>
      </c>
    </row>
    <row r="803" spans="1:31" x14ac:dyDescent="0.35">
      <c r="A803">
        <v>100802</v>
      </c>
      <c r="B803" s="3">
        <v>45957</v>
      </c>
      <c r="C803">
        <v>1013</v>
      </c>
      <c r="D803" t="s">
        <v>30</v>
      </c>
      <c r="E803" t="s">
        <v>62</v>
      </c>
      <c r="F803" t="s">
        <v>71</v>
      </c>
      <c r="G803" t="s">
        <v>46</v>
      </c>
      <c r="H803" t="s">
        <v>34</v>
      </c>
      <c r="I803" t="s">
        <v>69</v>
      </c>
      <c r="J803" s="4">
        <v>27.29</v>
      </c>
      <c r="K803" s="4">
        <v>15</v>
      </c>
      <c r="L803">
        <v>0</v>
      </c>
      <c r="M803" s="4">
        <v>0</v>
      </c>
      <c r="N803" s="4">
        <v>409.35</v>
      </c>
      <c r="O803" s="4">
        <v>218.08</v>
      </c>
      <c r="P803" s="4">
        <v>12.39</v>
      </c>
      <c r="Q803" s="4">
        <v>1.64</v>
      </c>
      <c r="R803" s="4">
        <v>6.86</v>
      </c>
      <c r="S803" s="4">
        <v>0</v>
      </c>
      <c r="T803" s="4">
        <v>0</v>
      </c>
      <c r="U803" s="4">
        <v>238.97</v>
      </c>
      <c r="V803" s="4">
        <v>170.38</v>
      </c>
      <c r="W803" t="s">
        <v>21</v>
      </c>
      <c r="X803" t="s">
        <v>36</v>
      </c>
      <c r="Y803" s="4">
        <v>5</v>
      </c>
      <c r="Z803" s="4">
        <v>1</v>
      </c>
      <c r="AA803" t="s">
        <v>37</v>
      </c>
      <c r="AB803" t="s">
        <v>38</v>
      </c>
      <c r="AC803" s="7">
        <v>0</v>
      </c>
      <c r="AD803" t="s">
        <v>39</v>
      </c>
      <c r="AE803">
        <f t="shared" si="12"/>
        <v>0</v>
      </c>
    </row>
    <row r="804" spans="1:31" x14ac:dyDescent="0.35">
      <c r="A804">
        <v>100803</v>
      </c>
      <c r="B804" s="3">
        <v>45980</v>
      </c>
      <c r="C804">
        <v>1089</v>
      </c>
      <c r="D804" t="s">
        <v>47</v>
      </c>
      <c r="E804" t="s">
        <v>53</v>
      </c>
      <c r="F804" t="s">
        <v>71</v>
      </c>
      <c r="G804" t="s">
        <v>50</v>
      </c>
      <c r="H804" t="s">
        <v>57</v>
      </c>
      <c r="I804" t="s">
        <v>35</v>
      </c>
      <c r="J804" s="4">
        <v>29.64</v>
      </c>
      <c r="K804" s="4">
        <v>18.670000000000002</v>
      </c>
      <c r="L804">
        <v>0</v>
      </c>
      <c r="M804" s="4">
        <v>0</v>
      </c>
      <c r="N804" s="4">
        <v>553.38</v>
      </c>
      <c r="O804" s="4">
        <v>199.38</v>
      </c>
      <c r="P804" s="4">
        <v>1.23</v>
      </c>
      <c r="Q804" s="4">
        <v>3.87</v>
      </c>
      <c r="R804" s="4">
        <v>7.82</v>
      </c>
      <c r="S804" s="4">
        <v>0</v>
      </c>
      <c r="T804" s="4">
        <v>0</v>
      </c>
      <c r="U804" s="4">
        <v>212.3</v>
      </c>
      <c r="V804" s="4">
        <v>341.08</v>
      </c>
      <c r="W804" t="s">
        <v>21</v>
      </c>
      <c r="X804" t="s">
        <v>36</v>
      </c>
      <c r="Y804" s="4">
        <v>36</v>
      </c>
      <c r="Z804" s="4">
        <v>9</v>
      </c>
      <c r="AA804" t="s">
        <v>43</v>
      </c>
      <c r="AB804" t="s">
        <v>44</v>
      </c>
      <c r="AC804" s="7">
        <v>3</v>
      </c>
      <c r="AD804" t="s">
        <v>45</v>
      </c>
      <c r="AE804">
        <f t="shared" si="12"/>
        <v>1</v>
      </c>
    </row>
    <row r="805" spans="1:31" x14ac:dyDescent="0.35">
      <c r="A805">
        <v>100804</v>
      </c>
      <c r="B805" s="3">
        <v>45938</v>
      </c>
      <c r="C805">
        <v>1057</v>
      </c>
      <c r="D805" t="s">
        <v>30</v>
      </c>
      <c r="E805" t="s">
        <v>31</v>
      </c>
      <c r="F805" t="s">
        <v>71</v>
      </c>
      <c r="G805" t="s">
        <v>46</v>
      </c>
      <c r="H805" t="s">
        <v>34</v>
      </c>
      <c r="I805" t="s">
        <v>54</v>
      </c>
      <c r="J805" s="4">
        <v>34.21</v>
      </c>
      <c r="K805" s="4">
        <v>15.03</v>
      </c>
      <c r="L805">
        <v>0</v>
      </c>
      <c r="M805" s="4">
        <v>0</v>
      </c>
      <c r="N805" s="4">
        <v>514.17999999999995</v>
      </c>
      <c r="O805" s="4">
        <v>264.75</v>
      </c>
      <c r="P805" s="4">
        <v>12.49</v>
      </c>
      <c r="Q805" s="4">
        <v>6.17</v>
      </c>
      <c r="R805" s="4">
        <v>6.7</v>
      </c>
      <c r="S805" s="4">
        <v>0</v>
      </c>
      <c r="T805" s="4">
        <v>0</v>
      </c>
      <c r="U805" s="4">
        <v>290.11</v>
      </c>
      <c r="V805" s="4">
        <v>224.07</v>
      </c>
      <c r="W805" t="s">
        <v>21</v>
      </c>
      <c r="X805" t="s">
        <v>36</v>
      </c>
      <c r="Y805" s="4">
        <v>9</v>
      </c>
      <c r="Z805" s="4">
        <v>0</v>
      </c>
      <c r="AA805" t="s">
        <v>37</v>
      </c>
      <c r="AB805" t="s">
        <v>38</v>
      </c>
      <c r="AC805" s="7">
        <v>0</v>
      </c>
      <c r="AD805" t="s">
        <v>39</v>
      </c>
      <c r="AE805">
        <f t="shared" si="12"/>
        <v>0</v>
      </c>
    </row>
    <row r="806" spans="1:31" x14ac:dyDescent="0.35">
      <c r="A806">
        <v>100805</v>
      </c>
      <c r="B806" s="3">
        <v>45969</v>
      </c>
      <c r="C806">
        <v>1147</v>
      </c>
      <c r="D806" t="s">
        <v>64</v>
      </c>
      <c r="E806" t="s">
        <v>67</v>
      </c>
      <c r="F806" t="s">
        <v>49</v>
      </c>
      <c r="G806" t="s">
        <v>63</v>
      </c>
      <c r="H806" t="s">
        <v>51</v>
      </c>
      <c r="I806" t="s">
        <v>35</v>
      </c>
      <c r="J806" s="4">
        <v>12.84</v>
      </c>
      <c r="K806" s="4">
        <v>13.35</v>
      </c>
      <c r="L806">
        <v>0</v>
      </c>
      <c r="M806" s="4">
        <v>0</v>
      </c>
      <c r="N806" s="4">
        <v>171.41</v>
      </c>
      <c r="O806" s="4">
        <v>88.69</v>
      </c>
      <c r="P806" s="4">
        <v>3.97</v>
      </c>
      <c r="Q806" s="4">
        <v>1.2</v>
      </c>
      <c r="R806" s="4">
        <v>12.6</v>
      </c>
      <c r="S806" s="4">
        <v>0</v>
      </c>
      <c r="T806" s="4">
        <v>0</v>
      </c>
      <c r="U806" s="4">
        <v>106.46</v>
      </c>
      <c r="V806" s="4">
        <v>64.95</v>
      </c>
      <c r="W806" t="s">
        <v>21</v>
      </c>
      <c r="X806" t="s">
        <v>36</v>
      </c>
      <c r="Y806" s="4">
        <v>14</v>
      </c>
      <c r="Z806" s="4">
        <v>0</v>
      </c>
      <c r="AA806" t="s">
        <v>37</v>
      </c>
      <c r="AB806" t="s">
        <v>38</v>
      </c>
      <c r="AC806" s="7">
        <v>0</v>
      </c>
      <c r="AD806" t="s">
        <v>39</v>
      </c>
      <c r="AE806">
        <f t="shared" si="12"/>
        <v>0</v>
      </c>
    </row>
    <row r="807" spans="1:31" x14ac:dyDescent="0.35">
      <c r="A807">
        <v>100806</v>
      </c>
      <c r="B807" s="3">
        <v>45944</v>
      </c>
      <c r="C807">
        <v>1040</v>
      </c>
      <c r="D807" t="s">
        <v>30</v>
      </c>
      <c r="E807" t="s">
        <v>40</v>
      </c>
      <c r="F807" t="s">
        <v>61</v>
      </c>
      <c r="G807" t="s">
        <v>46</v>
      </c>
      <c r="H807" t="s">
        <v>34</v>
      </c>
      <c r="I807" t="s">
        <v>54</v>
      </c>
      <c r="J807" s="4">
        <v>28.99</v>
      </c>
      <c r="K807" s="4">
        <v>15.81</v>
      </c>
      <c r="L807">
        <v>0</v>
      </c>
      <c r="M807" s="4">
        <v>0</v>
      </c>
      <c r="N807" s="4">
        <v>458.33</v>
      </c>
      <c r="O807" s="4">
        <v>208.91</v>
      </c>
      <c r="P807" s="4">
        <v>15.57</v>
      </c>
      <c r="Q807" s="4">
        <v>5.5</v>
      </c>
      <c r="R807" s="4">
        <v>11.19</v>
      </c>
      <c r="S807" s="4">
        <v>0</v>
      </c>
      <c r="T807" s="4">
        <v>0</v>
      </c>
      <c r="U807" s="4">
        <v>241.17</v>
      </c>
      <c r="V807" s="4">
        <v>217.16</v>
      </c>
      <c r="W807" t="s">
        <v>21</v>
      </c>
      <c r="X807" t="s">
        <v>36</v>
      </c>
      <c r="Y807" s="4">
        <v>57</v>
      </c>
      <c r="Z807" s="4">
        <v>3</v>
      </c>
      <c r="AA807" t="s">
        <v>43</v>
      </c>
      <c r="AB807" t="s">
        <v>44</v>
      </c>
      <c r="AC807" s="7">
        <v>1</v>
      </c>
      <c r="AD807" t="s">
        <v>45</v>
      </c>
      <c r="AE807">
        <f t="shared" si="12"/>
        <v>1</v>
      </c>
    </row>
    <row r="808" spans="1:31" x14ac:dyDescent="0.35">
      <c r="A808">
        <v>100807</v>
      </c>
      <c r="B808" s="3">
        <v>46019</v>
      </c>
      <c r="C808">
        <v>1118</v>
      </c>
      <c r="D808" t="s">
        <v>64</v>
      </c>
      <c r="E808" t="s">
        <v>75</v>
      </c>
      <c r="F808" t="s">
        <v>71</v>
      </c>
      <c r="G808" t="s">
        <v>63</v>
      </c>
      <c r="H808" t="s">
        <v>57</v>
      </c>
      <c r="I808" t="s">
        <v>54</v>
      </c>
      <c r="J808" s="4">
        <v>24.19</v>
      </c>
      <c r="K808" s="4">
        <v>13.17</v>
      </c>
      <c r="L808">
        <v>0</v>
      </c>
      <c r="M808" s="4">
        <v>0</v>
      </c>
      <c r="N808" s="4">
        <v>318.58</v>
      </c>
      <c r="O808" s="4">
        <v>132.59</v>
      </c>
      <c r="P808" s="4">
        <v>7.15</v>
      </c>
      <c r="Q808" s="4">
        <v>3.82</v>
      </c>
      <c r="R808" s="4">
        <v>5.89</v>
      </c>
      <c r="S808" s="4">
        <v>0</v>
      </c>
      <c r="T808" s="4">
        <v>0</v>
      </c>
      <c r="U808" s="4">
        <v>149.44999999999999</v>
      </c>
      <c r="V808" s="4">
        <v>169.13</v>
      </c>
      <c r="W808" t="s">
        <v>21</v>
      </c>
      <c r="X808" t="s">
        <v>36</v>
      </c>
      <c r="Y808" s="4">
        <v>0</v>
      </c>
      <c r="Z808" s="4">
        <v>24</v>
      </c>
      <c r="AA808" t="s">
        <v>37</v>
      </c>
      <c r="AB808" t="s">
        <v>44</v>
      </c>
      <c r="AC808" s="7">
        <v>2</v>
      </c>
      <c r="AD808" t="s">
        <v>45</v>
      </c>
      <c r="AE808">
        <f t="shared" si="12"/>
        <v>1</v>
      </c>
    </row>
    <row r="809" spans="1:31" x14ac:dyDescent="0.35">
      <c r="A809">
        <v>100808</v>
      </c>
      <c r="B809" s="3">
        <v>45967</v>
      </c>
      <c r="C809">
        <v>1082</v>
      </c>
      <c r="D809" t="s">
        <v>59</v>
      </c>
      <c r="E809" t="s">
        <v>60</v>
      </c>
      <c r="F809" t="s">
        <v>71</v>
      </c>
      <c r="G809" t="s">
        <v>33</v>
      </c>
      <c r="H809" t="s">
        <v>34</v>
      </c>
      <c r="I809" t="s">
        <v>35</v>
      </c>
      <c r="J809" s="4">
        <v>21.72</v>
      </c>
      <c r="K809" s="4">
        <v>21.04</v>
      </c>
      <c r="L809">
        <v>5</v>
      </c>
      <c r="M809" s="4">
        <v>22.85</v>
      </c>
      <c r="N809" s="4">
        <v>434.14</v>
      </c>
      <c r="O809" s="4">
        <v>156.77000000000001</v>
      </c>
      <c r="P809" s="4">
        <v>9.07</v>
      </c>
      <c r="Q809" s="4">
        <v>3.2</v>
      </c>
      <c r="R809" s="4">
        <v>2.84</v>
      </c>
      <c r="S809" s="4">
        <v>0</v>
      </c>
      <c r="T809" s="4">
        <v>0</v>
      </c>
      <c r="U809" s="4">
        <v>171.88</v>
      </c>
      <c r="V809" s="4">
        <v>262.26</v>
      </c>
      <c r="W809" t="s">
        <v>21</v>
      </c>
      <c r="X809" t="s">
        <v>36</v>
      </c>
      <c r="Y809" s="4">
        <v>2</v>
      </c>
      <c r="Z809" s="4">
        <v>2</v>
      </c>
      <c r="AA809" t="s">
        <v>37</v>
      </c>
      <c r="AB809" t="s">
        <v>38</v>
      </c>
      <c r="AC809" s="7">
        <v>0</v>
      </c>
      <c r="AD809" t="s">
        <v>39</v>
      </c>
      <c r="AE809">
        <f t="shared" si="12"/>
        <v>0</v>
      </c>
    </row>
    <row r="810" spans="1:31" x14ac:dyDescent="0.35">
      <c r="A810">
        <v>100809</v>
      </c>
      <c r="B810" s="3">
        <v>45936</v>
      </c>
      <c r="C810">
        <v>1013</v>
      </c>
      <c r="D810" t="s">
        <v>30</v>
      </c>
      <c r="E810" t="s">
        <v>40</v>
      </c>
      <c r="F810" t="s">
        <v>32</v>
      </c>
      <c r="G810" t="s">
        <v>46</v>
      </c>
      <c r="H810" t="s">
        <v>57</v>
      </c>
      <c r="I810" t="s">
        <v>42</v>
      </c>
      <c r="J810" s="4">
        <v>30.31</v>
      </c>
      <c r="K810" s="4">
        <v>15.44</v>
      </c>
      <c r="L810">
        <v>0</v>
      </c>
      <c r="M810" s="4">
        <v>0</v>
      </c>
      <c r="N810" s="4">
        <v>467.99</v>
      </c>
      <c r="O810" s="4">
        <v>201.58</v>
      </c>
      <c r="P810" s="4">
        <v>8.3000000000000007</v>
      </c>
      <c r="Q810" s="4">
        <v>7.02</v>
      </c>
      <c r="R810" s="4">
        <v>9.8699999999999992</v>
      </c>
      <c r="S810" s="4">
        <v>0</v>
      </c>
      <c r="T810" s="4">
        <v>0</v>
      </c>
      <c r="U810" s="4">
        <v>226.77</v>
      </c>
      <c r="V810" s="4">
        <v>241.22</v>
      </c>
      <c r="W810" t="s">
        <v>21</v>
      </c>
      <c r="X810" t="s">
        <v>36</v>
      </c>
      <c r="Y810" s="4">
        <v>31</v>
      </c>
      <c r="Z810" s="4">
        <v>12</v>
      </c>
      <c r="AA810" t="s">
        <v>43</v>
      </c>
      <c r="AB810" t="s">
        <v>44</v>
      </c>
      <c r="AC810" s="7">
        <v>1</v>
      </c>
      <c r="AD810" t="s">
        <v>45</v>
      </c>
      <c r="AE810">
        <f t="shared" si="12"/>
        <v>1</v>
      </c>
    </row>
    <row r="811" spans="1:31" x14ac:dyDescent="0.35">
      <c r="A811">
        <v>100810</v>
      </c>
      <c r="B811" s="3">
        <v>46005</v>
      </c>
      <c r="C811">
        <v>1007</v>
      </c>
      <c r="D811" t="s">
        <v>59</v>
      </c>
      <c r="E811" t="s">
        <v>68</v>
      </c>
      <c r="F811" t="s">
        <v>71</v>
      </c>
      <c r="G811" t="s">
        <v>63</v>
      </c>
      <c r="H811" t="s">
        <v>34</v>
      </c>
      <c r="I811" t="s">
        <v>42</v>
      </c>
      <c r="J811" s="4">
        <v>10.26</v>
      </c>
      <c r="K811" s="4">
        <v>11.68</v>
      </c>
      <c r="L811">
        <v>0</v>
      </c>
      <c r="M811" s="4">
        <v>0</v>
      </c>
      <c r="N811" s="4">
        <v>119.84</v>
      </c>
      <c r="O811" s="4">
        <v>80.06</v>
      </c>
      <c r="P811" s="4">
        <v>10.26</v>
      </c>
      <c r="Q811" s="4">
        <v>1.8</v>
      </c>
      <c r="R811" s="4">
        <v>6.44</v>
      </c>
      <c r="S811" s="4">
        <v>0</v>
      </c>
      <c r="T811" s="4">
        <v>0</v>
      </c>
      <c r="U811" s="4">
        <v>98.56</v>
      </c>
      <c r="V811" s="4">
        <v>21.28</v>
      </c>
      <c r="W811" t="s">
        <v>21</v>
      </c>
      <c r="X811" t="s">
        <v>36</v>
      </c>
      <c r="Y811" s="4">
        <v>26</v>
      </c>
      <c r="Z811" s="4">
        <v>3</v>
      </c>
      <c r="AA811" t="s">
        <v>52</v>
      </c>
      <c r="AB811" t="s">
        <v>44</v>
      </c>
      <c r="AC811" s="7">
        <v>2</v>
      </c>
      <c r="AD811" t="s">
        <v>45</v>
      </c>
      <c r="AE811">
        <f t="shared" si="12"/>
        <v>1</v>
      </c>
    </row>
    <row r="812" spans="1:31" x14ac:dyDescent="0.35">
      <c r="A812">
        <v>100811</v>
      </c>
      <c r="B812" s="3">
        <v>45980</v>
      </c>
      <c r="C812">
        <v>1099</v>
      </c>
      <c r="D812" t="s">
        <v>30</v>
      </c>
      <c r="E812" t="s">
        <v>72</v>
      </c>
      <c r="F812" t="s">
        <v>71</v>
      </c>
      <c r="G812" t="s">
        <v>63</v>
      </c>
      <c r="H812" t="s">
        <v>34</v>
      </c>
      <c r="I812" t="s">
        <v>35</v>
      </c>
      <c r="J812" s="4">
        <v>27.62</v>
      </c>
      <c r="K812" s="4">
        <v>11.88</v>
      </c>
      <c r="L812">
        <v>0</v>
      </c>
      <c r="M812" s="4">
        <v>0</v>
      </c>
      <c r="N812" s="4">
        <v>328.13</v>
      </c>
      <c r="O812" s="4">
        <v>143.83000000000001</v>
      </c>
      <c r="P812" s="4">
        <v>12.52</v>
      </c>
      <c r="Q812" s="4">
        <v>2.2999999999999998</v>
      </c>
      <c r="R812" s="4">
        <v>7.6</v>
      </c>
      <c r="S812" s="4">
        <v>0</v>
      </c>
      <c r="T812" s="4">
        <v>0</v>
      </c>
      <c r="U812" s="4">
        <v>166.25</v>
      </c>
      <c r="V812" s="4">
        <v>161.88</v>
      </c>
      <c r="W812" t="s">
        <v>21</v>
      </c>
      <c r="X812" t="s">
        <v>36</v>
      </c>
      <c r="Y812" s="4">
        <v>6</v>
      </c>
      <c r="Z812" s="4">
        <v>1</v>
      </c>
      <c r="AA812" t="s">
        <v>37</v>
      </c>
      <c r="AB812" t="s">
        <v>38</v>
      </c>
      <c r="AC812" s="7">
        <v>0</v>
      </c>
      <c r="AD812" t="s">
        <v>39</v>
      </c>
      <c r="AE812">
        <f t="shared" si="12"/>
        <v>0</v>
      </c>
    </row>
    <row r="813" spans="1:31" x14ac:dyDescent="0.35">
      <c r="A813">
        <v>100812</v>
      </c>
      <c r="B813" s="3">
        <v>45951</v>
      </c>
      <c r="C813">
        <v>1063</v>
      </c>
      <c r="D813" t="s">
        <v>64</v>
      </c>
      <c r="E813" t="s">
        <v>75</v>
      </c>
      <c r="F813" t="s">
        <v>71</v>
      </c>
      <c r="G813" t="s">
        <v>63</v>
      </c>
      <c r="H813" t="s">
        <v>34</v>
      </c>
      <c r="I813" t="s">
        <v>35</v>
      </c>
      <c r="J813" s="4">
        <v>22.61</v>
      </c>
      <c r="K813" s="4">
        <v>12.8</v>
      </c>
      <c r="L813">
        <v>0</v>
      </c>
      <c r="M813" s="4">
        <v>0</v>
      </c>
      <c r="N813" s="4">
        <v>289.41000000000003</v>
      </c>
      <c r="O813" s="4">
        <v>162.91999999999999</v>
      </c>
      <c r="P813" s="4">
        <v>7.18</v>
      </c>
      <c r="Q813" s="4">
        <v>2.0299999999999998</v>
      </c>
      <c r="R813" s="4">
        <v>9.23</v>
      </c>
      <c r="S813" s="4">
        <v>0</v>
      </c>
      <c r="T813" s="4">
        <v>0</v>
      </c>
      <c r="U813" s="4">
        <v>181.36</v>
      </c>
      <c r="V813" s="4">
        <v>108.05</v>
      </c>
      <c r="W813" t="s">
        <v>21</v>
      </c>
      <c r="X813" t="s">
        <v>36</v>
      </c>
      <c r="Y813" s="4">
        <v>18</v>
      </c>
      <c r="Z813" s="4">
        <v>1</v>
      </c>
      <c r="AA813" t="s">
        <v>52</v>
      </c>
      <c r="AB813" t="s">
        <v>38</v>
      </c>
      <c r="AC813" s="7">
        <v>0</v>
      </c>
      <c r="AD813" t="s">
        <v>39</v>
      </c>
      <c r="AE813">
        <f t="shared" si="12"/>
        <v>0</v>
      </c>
    </row>
    <row r="814" spans="1:31" x14ac:dyDescent="0.35">
      <c r="A814">
        <v>100813</v>
      </c>
      <c r="B814" s="3">
        <v>46007</v>
      </c>
      <c r="C814">
        <v>1032</v>
      </c>
      <c r="D814" t="s">
        <v>59</v>
      </c>
      <c r="E814" t="s">
        <v>60</v>
      </c>
      <c r="F814" t="s">
        <v>49</v>
      </c>
      <c r="G814" t="s">
        <v>46</v>
      </c>
      <c r="H814" t="s">
        <v>34</v>
      </c>
      <c r="I814" t="s">
        <v>42</v>
      </c>
      <c r="J814" s="4">
        <v>29.47</v>
      </c>
      <c r="K814" s="4">
        <v>16.43</v>
      </c>
      <c r="L814">
        <v>15</v>
      </c>
      <c r="M814" s="4">
        <v>72.63</v>
      </c>
      <c r="N814" s="4">
        <v>411.56</v>
      </c>
      <c r="O814" s="4">
        <v>221.58</v>
      </c>
      <c r="P814" s="4">
        <v>2.4900000000000002</v>
      </c>
      <c r="Q814" s="4">
        <v>7.26</v>
      </c>
      <c r="R814" s="4">
        <v>8.9499999999999993</v>
      </c>
      <c r="S814" s="4">
        <v>0</v>
      </c>
      <c r="T814" s="4">
        <v>0</v>
      </c>
      <c r="U814" s="4">
        <v>240.28</v>
      </c>
      <c r="V814" s="4">
        <v>171.28</v>
      </c>
      <c r="W814" t="s">
        <v>21</v>
      </c>
      <c r="X814" t="s">
        <v>36</v>
      </c>
      <c r="Y814" s="4">
        <v>14</v>
      </c>
      <c r="Z814" s="4">
        <v>8</v>
      </c>
      <c r="AA814" t="s">
        <v>37</v>
      </c>
      <c r="AB814" t="s">
        <v>38</v>
      </c>
      <c r="AC814" s="7">
        <v>0</v>
      </c>
      <c r="AD814" t="s">
        <v>39</v>
      </c>
      <c r="AE814">
        <f t="shared" si="12"/>
        <v>0</v>
      </c>
    </row>
    <row r="815" spans="1:31" x14ac:dyDescent="0.35">
      <c r="A815">
        <v>100814</v>
      </c>
      <c r="B815" s="3">
        <v>46003</v>
      </c>
      <c r="C815">
        <v>1116</v>
      </c>
      <c r="D815" t="s">
        <v>30</v>
      </c>
      <c r="E815" t="s">
        <v>40</v>
      </c>
      <c r="F815" t="s">
        <v>32</v>
      </c>
      <c r="G815" t="s">
        <v>63</v>
      </c>
      <c r="H815" t="s">
        <v>34</v>
      </c>
      <c r="I815" t="s">
        <v>69</v>
      </c>
      <c r="J815" s="4">
        <v>12.88</v>
      </c>
      <c r="K815" s="4">
        <v>14.47</v>
      </c>
      <c r="L815">
        <v>0</v>
      </c>
      <c r="M815" s="4">
        <v>0</v>
      </c>
      <c r="N815" s="4">
        <v>186.37</v>
      </c>
      <c r="O815" s="4">
        <v>95.87</v>
      </c>
      <c r="P815" s="4">
        <v>11.78</v>
      </c>
      <c r="Q815" s="4">
        <v>0.75</v>
      </c>
      <c r="R815" s="4">
        <v>9.99</v>
      </c>
      <c r="S815" s="4">
        <v>0</v>
      </c>
      <c r="T815" s="4">
        <v>0</v>
      </c>
      <c r="U815" s="4">
        <v>118.39</v>
      </c>
      <c r="V815" s="4">
        <v>67.98</v>
      </c>
      <c r="W815" t="s">
        <v>21</v>
      </c>
      <c r="X815" t="s">
        <v>36</v>
      </c>
      <c r="Y815" s="4">
        <v>4</v>
      </c>
      <c r="Z815" s="4">
        <v>7</v>
      </c>
      <c r="AA815" t="s">
        <v>37</v>
      </c>
      <c r="AB815" t="s">
        <v>38</v>
      </c>
      <c r="AC815" s="7">
        <v>0</v>
      </c>
      <c r="AD815" t="s">
        <v>39</v>
      </c>
      <c r="AE815">
        <f t="shared" si="12"/>
        <v>0</v>
      </c>
    </row>
    <row r="816" spans="1:31" x14ac:dyDescent="0.35">
      <c r="A816">
        <v>100815</v>
      </c>
      <c r="B816" s="3">
        <v>45980</v>
      </c>
      <c r="C816">
        <v>1082</v>
      </c>
      <c r="D816" t="s">
        <v>64</v>
      </c>
      <c r="E816" t="s">
        <v>67</v>
      </c>
      <c r="F816" t="s">
        <v>61</v>
      </c>
      <c r="G816" t="s">
        <v>63</v>
      </c>
      <c r="H816" t="s">
        <v>34</v>
      </c>
      <c r="I816" t="s">
        <v>35</v>
      </c>
      <c r="J816" s="4">
        <v>6.13</v>
      </c>
      <c r="K816" s="4">
        <v>13.15</v>
      </c>
      <c r="L816">
        <v>0</v>
      </c>
      <c r="M816" s="4">
        <v>0</v>
      </c>
      <c r="N816" s="4">
        <v>80.61</v>
      </c>
      <c r="O816" s="4">
        <v>49.12</v>
      </c>
      <c r="P816" s="4">
        <v>4.59</v>
      </c>
      <c r="Q816" s="4">
        <v>0.56000000000000005</v>
      </c>
      <c r="R816" s="4">
        <v>8.4</v>
      </c>
      <c r="S816" s="4">
        <v>0</v>
      </c>
      <c r="T816" s="4">
        <v>0</v>
      </c>
      <c r="U816" s="4">
        <v>62.67</v>
      </c>
      <c r="V816" s="4">
        <v>17.940000000000001</v>
      </c>
      <c r="W816" t="s">
        <v>21</v>
      </c>
      <c r="X816" t="s">
        <v>36</v>
      </c>
      <c r="Y816" s="4">
        <v>4</v>
      </c>
      <c r="Z816" s="4">
        <v>6</v>
      </c>
      <c r="AA816" t="s">
        <v>37</v>
      </c>
      <c r="AB816" t="s">
        <v>38</v>
      </c>
      <c r="AC816" s="7">
        <v>0</v>
      </c>
      <c r="AD816" t="s">
        <v>39</v>
      </c>
      <c r="AE816">
        <f t="shared" si="12"/>
        <v>0</v>
      </c>
    </row>
    <row r="817" spans="1:31" x14ac:dyDescent="0.35">
      <c r="A817">
        <v>100816</v>
      </c>
      <c r="B817" s="3">
        <v>45983</v>
      </c>
      <c r="C817">
        <v>1142</v>
      </c>
      <c r="D817" t="s">
        <v>59</v>
      </c>
      <c r="E817" t="s">
        <v>70</v>
      </c>
      <c r="F817" t="s">
        <v>32</v>
      </c>
      <c r="G817" t="s">
        <v>63</v>
      </c>
      <c r="H817" t="s">
        <v>34</v>
      </c>
      <c r="I817" t="s">
        <v>69</v>
      </c>
      <c r="J817" s="4">
        <v>10.130000000000001</v>
      </c>
      <c r="K817" s="4">
        <v>12.96</v>
      </c>
      <c r="L817">
        <v>0</v>
      </c>
      <c r="M817" s="4">
        <v>0</v>
      </c>
      <c r="N817" s="4">
        <v>131.28</v>
      </c>
      <c r="O817" s="4">
        <v>64.930000000000007</v>
      </c>
      <c r="P817" s="4">
        <v>6.3</v>
      </c>
      <c r="Q817" s="4">
        <v>0.53</v>
      </c>
      <c r="R817" s="4">
        <v>9.73</v>
      </c>
      <c r="S817" s="4">
        <v>0</v>
      </c>
      <c r="T817" s="4">
        <v>0</v>
      </c>
      <c r="U817" s="4">
        <v>81.489999999999995</v>
      </c>
      <c r="V817" s="4">
        <v>49.79</v>
      </c>
      <c r="W817" t="s">
        <v>21</v>
      </c>
      <c r="X817" t="s">
        <v>36</v>
      </c>
      <c r="Y817" s="4">
        <v>13</v>
      </c>
      <c r="Z817" s="4">
        <v>4</v>
      </c>
      <c r="AA817" t="s">
        <v>37</v>
      </c>
      <c r="AB817" t="s">
        <v>38</v>
      </c>
      <c r="AC817" s="7">
        <v>0</v>
      </c>
      <c r="AD817" t="s">
        <v>39</v>
      </c>
      <c r="AE817">
        <f t="shared" si="12"/>
        <v>0</v>
      </c>
    </row>
    <row r="818" spans="1:31" x14ac:dyDescent="0.35">
      <c r="A818">
        <v>100817</v>
      </c>
      <c r="B818" s="3">
        <v>45963</v>
      </c>
      <c r="C818">
        <v>1123</v>
      </c>
      <c r="D818" t="s">
        <v>30</v>
      </c>
      <c r="E818" t="s">
        <v>31</v>
      </c>
      <c r="F818" t="s">
        <v>71</v>
      </c>
      <c r="G818" t="s">
        <v>33</v>
      </c>
      <c r="H818" t="s">
        <v>34</v>
      </c>
      <c r="I818" t="s">
        <v>42</v>
      </c>
      <c r="J818" s="4">
        <v>23.25</v>
      </c>
      <c r="K818" s="4">
        <v>19.84</v>
      </c>
      <c r="L818">
        <v>15</v>
      </c>
      <c r="M818" s="4">
        <v>69.19</v>
      </c>
      <c r="N818" s="4">
        <v>392.09</v>
      </c>
      <c r="O818" s="4">
        <v>150.41999999999999</v>
      </c>
      <c r="P818" s="4">
        <v>8.51</v>
      </c>
      <c r="Q818" s="4">
        <v>6.92</v>
      </c>
      <c r="R818" s="4">
        <v>10.55</v>
      </c>
      <c r="S818" s="4">
        <v>0</v>
      </c>
      <c r="T818" s="4">
        <v>0</v>
      </c>
      <c r="U818" s="4">
        <v>176.4</v>
      </c>
      <c r="V818" s="4">
        <v>215.69</v>
      </c>
      <c r="W818" t="s">
        <v>21</v>
      </c>
      <c r="X818" t="s">
        <v>36</v>
      </c>
      <c r="Y818" s="4">
        <v>16</v>
      </c>
      <c r="Z818" s="4">
        <v>7</v>
      </c>
      <c r="AA818" t="s">
        <v>52</v>
      </c>
      <c r="AB818" t="s">
        <v>38</v>
      </c>
      <c r="AC818" s="7">
        <v>0</v>
      </c>
      <c r="AD818" t="s">
        <v>39</v>
      </c>
      <c r="AE818">
        <f t="shared" si="12"/>
        <v>0</v>
      </c>
    </row>
    <row r="819" spans="1:31" x14ac:dyDescent="0.35">
      <c r="A819">
        <v>100818</v>
      </c>
      <c r="B819" s="3">
        <v>45943</v>
      </c>
      <c r="C819">
        <v>1044</v>
      </c>
      <c r="D819" t="s">
        <v>59</v>
      </c>
      <c r="E819" t="s">
        <v>70</v>
      </c>
      <c r="F819" t="s">
        <v>61</v>
      </c>
      <c r="G819" t="s">
        <v>50</v>
      </c>
      <c r="H819" t="s">
        <v>34</v>
      </c>
      <c r="I819" t="s">
        <v>35</v>
      </c>
      <c r="J819" s="4">
        <v>25.13</v>
      </c>
      <c r="K819" s="4">
        <v>16.36</v>
      </c>
      <c r="L819">
        <v>0</v>
      </c>
      <c r="M819" s="4">
        <v>0</v>
      </c>
      <c r="N819" s="4">
        <v>411.13</v>
      </c>
      <c r="O819" s="4">
        <v>184.5</v>
      </c>
      <c r="P819" s="4">
        <v>13.95</v>
      </c>
      <c r="Q819" s="4">
        <v>2.88</v>
      </c>
      <c r="R819" s="4">
        <v>3.58</v>
      </c>
      <c r="S819" s="4">
        <v>0</v>
      </c>
      <c r="T819" s="4">
        <v>0</v>
      </c>
      <c r="U819" s="4">
        <v>204.91</v>
      </c>
      <c r="V819" s="4">
        <v>206.22</v>
      </c>
      <c r="W819" t="s">
        <v>21</v>
      </c>
      <c r="X819" t="s">
        <v>36</v>
      </c>
      <c r="Y819" s="4">
        <v>0</v>
      </c>
      <c r="Z819" s="4">
        <v>28</v>
      </c>
      <c r="AA819" t="s">
        <v>37</v>
      </c>
      <c r="AB819" t="s">
        <v>44</v>
      </c>
      <c r="AC819" s="7">
        <v>1</v>
      </c>
      <c r="AD819" t="s">
        <v>45</v>
      </c>
      <c r="AE819">
        <f t="shared" si="12"/>
        <v>1</v>
      </c>
    </row>
    <row r="820" spans="1:31" x14ac:dyDescent="0.35">
      <c r="A820">
        <v>100819</v>
      </c>
      <c r="B820" s="3">
        <v>46022</v>
      </c>
      <c r="C820">
        <v>1024</v>
      </c>
      <c r="D820" t="s">
        <v>59</v>
      </c>
      <c r="E820" t="s">
        <v>70</v>
      </c>
      <c r="F820" t="s">
        <v>61</v>
      </c>
      <c r="G820" t="s">
        <v>63</v>
      </c>
      <c r="H820" t="s">
        <v>34</v>
      </c>
      <c r="I820" t="s">
        <v>54</v>
      </c>
      <c r="J820" s="4">
        <v>16.11</v>
      </c>
      <c r="K820" s="4">
        <v>12.1</v>
      </c>
      <c r="L820">
        <v>0</v>
      </c>
      <c r="M820" s="4">
        <v>0</v>
      </c>
      <c r="N820" s="4">
        <v>194.93</v>
      </c>
      <c r="O820" s="4">
        <v>110.87</v>
      </c>
      <c r="P820" s="4">
        <v>8.2200000000000006</v>
      </c>
      <c r="Q820" s="4">
        <v>2.34</v>
      </c>
      <c r="R820" s="4">
        <v>6.28</v>
      </c>
      <c r="S820" s="4">
        <v>81.36</v>
      </c>
      <c r="T820" s="4">
        <v>0</v>
      </c>
      <c r="U820" s="4">
        <v>209.07</v>
      </c>
      <c r="V820" s="4">
        <v>-14.14</v>
      </c>
      <c r="W820" t="s">
        <v>58</v>
      </c>
      <c r="X820" t="s">
        <v>66</v>
      </c>
      <c r="Y820" s="4">
        <v>1</v>
      </c>
      <c r="Z820" s="4">
        <v>4</v>
      </c>
      <c r="AA820" t="s">
        <v>37</v>
      </c>
      <c r="AB820" t="s">
        <v>38</v>
      </c>
      <c r="AC820" s="7">
        <v>4</v>
      </c>
      <c r="AD820" t="s">
        <v>45</v>
      </c>
      <c r="AE820">
        <f t="shared" si="12"/>
        <v>0</v>
      </c>
    </row>
    <row r="821" spans="1:31" x14ac:dyDescent="0.35">
      <c r="A821">
        <v>100820</v>
      </c>
      <c r="B821" s="3">
        <v>45982</v>
      </c>
      <c r="C821">
        <v>1013</v>
      </c>
      <c r="D821" t="s">
        <v>47</v>
      </c>
      <c r="E821" t="s">
        <v>48</v>
      </c>
      <c r="F821" t="s">
        <v>32</v>
      </c>
      <c r="G821" t="s">
        <v>63</v>
      </c>
      <c r="H821" t="s">
        <v>34</v>
      </c>
      <c r="I821" t="s">
        <v>35</v>
      </c>
      <c r="J821" s="4">
        <v>5.3</v>
      </c>
      <c r="K821" s="4">
        <v>14.55</v>
      </c>
      <c r="L821">
        <v>0</v>
      </c>
      <c r="M821" s="4">
        <v>0</v>
      </c>
      <c r="N821" s="4">
        <v>77.11</v>
      </c>
      <c r="O821" s="4">
        <v>36.85</v>
      </c>
      <c r="P821" s="4">
        <v>12.35</v>
      </c>
      <c r="Q821" s="4">
        <v>0.54</v>
      </c>
      <c r="R821" s="4">
        <v>4.7</v>
      </c>
      <c r="S821" s="4">
        <v>0</v>
      </c>
      <c r="T821" s="4">
        <v>0</v>
      </c>
      <c r="U821" s="4">
        <v>54.44</v>
      </c>
      <c r="V821" s="4">
        <v>22.67</v>
      </c>
      <c r="W821" t="s">
        <v>21</v>
      </c>
      <c r="X821" t="s">
        <v>36</v>
      </c>
      <c r="Y821" s="4">
        <v>9</v>
      </c>
      <c r="Z821" s="4">
        <v>15</v>
      </c>
      <c r="AA821" t="s">
        <v>37</v>
      </c>
      <c r="AB821" t="s">
        <v>38</v>
      </c>
      <c r="AC821" s="7">
        <v>0</v>
      </c>
      <c r="AD821" t="s">
        <v>39</v>
      </c>
      <c r="AE821">
        <f t="shared" si="12"/>
        <v>0</v>
      </c>
    </row>
    <row r="822" spans="1:31" x14ac:dyDescent="0.35">
      <c r="A822">
        <v>100821</v>
      </c>
      <c r="B822" s="3">
        <v>45996</v>
      </c>
      <c r="C822">
        <v>1136</v>
      </c>
      <c r="D822" t="s">
        <v>59</v>
      </c>
      <c r="E822" t="s">
        <v>73</v>
      </c>
      <c r="F822" t="s">
        <v>71</v>
      </c>
      <c r="G822" t="s">
        <v>46</v>
      </c>
      <c r="H822" t="s">
        <v>34</v>
      </c>
      <c r="I822" t="s">
        <v>35</v>
      </c>
      <c r="J822" s="4">
        <v>31.96</v>
      </c>
      <c r="K822" s="4">
        <v>15.89</v>
      </c>
      <c r="L822">
        <v>10</v>
      </c>
      <c r="M822" s="4">
        <v>50.78</v>
      </c>
      <c r="N822" s="4">
        <v>457.06</v>
      </c>
      <c r="O822" s="4">
        <v>244.63</v>
      </c>
      <c r="P822" s="4">
        <v>7.69</v>
      </c>
      <c r="Q822" s="4">
        <v>3.55</v>
      </c>
      <c r="R822" s="4">
        <v>10.52</v>
      </c>
      <c r="S822" s="4">
        <v>0</v>
      </c>
      <c r="T822" s="4">
        <v>0</v>
      </c>
      <c r="U822" s="4">
        <v>266.39</v>
      </c>
      <c r="V822" s="4">
        <v>190.67</v>
      </c>
      <c r="W822" t="s">
        <v>21</v>
      </c>
      <c r="X822" t="s">
        <v>36</v>
      </c>
      <c r="Y822" s="4">
        <v>0</v>
      </c>
      <c r="Z822" s="4">
        <v>14</v>
      </c>
      <c r="AA822" t="s">
        <v>37</v>
      </c>
      <c r="AB822" t="s">
        <v>38</v>
      </c>
      <c r="AC822" s="7">
        <v>0</v>
      </c>
      <c r="AD822" t="s">
        <v>39</v>
      </c>
      <c r="AE822">
        <f t="shared" si="12"/>
        <v>0</v>
      </c>
    </row>
    <row r="823" spans="1:31" x14ac:dyDescent="0.35">
      <c r="A823">
        <v>100822</v>
      </c>
      <c r="B823" s="3">
        <v>45963</v>
      </c>
      <c r="C823">
        <v>1087</v>
      </c>
      <c r="D823" t="s">
        <v>47</v>
      </c>
      <c r="E823" t="s">
        <v>74</v>
      </c>
      <c r="F823" t="s">
        <v>32</v>
      </c>
      <c r="G823" t="s">
        <v>46</v>
      </c>
      <c r="H823" t="s">
        <v>57</v>
      </c>
      <c r="I823" t="s">
        <v>42</v>
      </c>
      <c r="J823" s="4">
        <v>32.04</v>
      </c>
      <c r="K823" s="4">
        <v>15.59</v>
      </c>
      <c r="L823">
        <v>10</v>
      </c>
      <c r="M823" s="4">
        <v>49.95</v>
      </c>
      <c r="N823" s="4">
        <v>449.55</v>
      </c>
      <c r="O823" s="4">
        <v>240.84</v>
      </c>
      <c r="P823" s="4">
        <v>8.3699999999999992</v>
      </c>
      <c r="Q823" s="4">
        <v>7.49</v>
      </c>
      <c r="R823" s="4">
        <v>6.78</v>
      </c>
      <c r="S823" s="4">
        <v>0</v>
      </c>
      <c r="T823" s="4">
        <v>0</v>
      </c>
      <c r="U823" s="4">
        <v>263.48</v>
      </c>
      <c r="V823" s="4">
        <v>186.07</v>
      </c>
      <c r="W823" t="s">
        <v>21</v>
      </c>
      <c r="X823" t="s">
        <v>36</v>
      </c>
      <c r="Y823" s="4">
        <v>0</v>
      </c>
      <c r="Z823" s="4">
        <v>16</v>
      </c>
      <c r="AA823" t="s">
        <v>37</v>
      </c>
      <c r="AB823" t="s">
        <v>44</v>
      </c>
      <c r="AC823" s="7">
        <v>3</v>
      </c>
      <c r="AD823" t="s">
        <v>45</v>
      </c>
      <c r="AE823">
        <f t="shared" si="12"/>
        <v>1</v>
      </c>
    </row>
    <row r="824" spans="1:31" x14ac:dyDescent="0.35">
      <c r="A824">
        <v>100823</v>
      </c>
      <c r="B824" s="3">
        <v>45938</v>
      </c>
      <c r="C824">
        <v>1075</v>
      </c>
      <c r="D824" t="s">
        <v>47</v>
      </c>
      <c r="E824" t="s">
        <v>53</v>
      </c>
      <c r="F824" t="s">
        <v>41</v>
      </c>
      <c r="G824" t="s">
        <v>50</v>
      </c>
      <c r="H824" t="s">
        <v>34</v>
      </c>
      <c r="I824" t="s">
        <v>69</v>
      </c>
      <c r="J824" s="4">
        <v>30.44</v>
      </c>
      <c r="K824" s="4">
        <v>16.95</v>
      </c>
      <c r="L824">
        <v>5</v>
      </c>
      <c r="M824" s="4">
        <v>25.8</v>
      </c>
      <c r="N824" s="4">
        <v>490.16</v>
      </c>
      <c r="O824" s="4">
        <v>224.49</v>
      </c>
      <c r="P824" s="4">
        <v>6.91</v>
      </c>
      <c r="Q824" s="4">
        <v>2.06</v>
      </c>
      <c r="R824" s="4">
        <v>12.58</v>
      </c>
      <c r="S824" s="4">
        <v>0</v>
      </c>
      <c r="T824" s="4">
        <v>0</v>
      </c>
      <c r="U824" s="4">
        <v>246.04</v>
      </c>
      <c r="V824" s="4">
        <v>244.12</v>
      </c>
      <c r="W824" t="s">
        <v>21</v>
      </c>
      <c r="X824" t="s">
        <v>36</v>
      </c>
      <c r="Y824" s="4">
        <v>12</v>
      </c>
      <c r="Z824" s="4">
        <v>7</v>
      </c>
      <c r="AA824" t="s">
        <v>37</v>
      </c>
      <c r="AB824" t="s">
        <v>38</v>
      </c>
      <c r="AC824" s="7">
        <v>0</v>
      </c>
      <c r="AD824" t="s">
        <v>39</v>
      </c>
      <c r="AE824">
        <f t="shared" si="12"/>
        <v>0</v>
      </c>
    </row>
    <row r="825" spans="1:31" x14ac:dyDescent="0.35">
      <c r="A825">
        <v>100824</v>
      </c>
      <c r="B825" s="3">
        <v>45971</v>
      </c>
      <c r="C825">
        <v>1020</v>
      </c>
      <c r="D825" t="s">
        <v>30</v>
      </c>
      <c r="E825" t="s">
        <v>62</v>
      </c>
      <c r="F825" t="s">
        <v>32</v>
      </c>
      <c r="G825" t="s">
        <v>63</v>
      </c>
      <c r="H825" t="s">
        <v>34</v>
      </c>
      <c r="I825" t="s">
        <v>35</v>
      </c>
      <c r="J825" s="4">
        <v>19.760000000000002</v>
      </c>
      <c r="K825" s="4">
        <v>12.74</v>
      </c>
      <c r="L825">
        <v>20</v>
      </c>
      <c r="M825" s="4">
        <v>50.35</v>
      </c>
      <c r="N825" s="4">
        <v>201.39</v>
      </c>
      <c r="O825" s="4">
        <v>160.58000000000001</v>
      </c>
      <c r="P825" s="4">
        <v>10.79</v>
      </c>
      <c r="Q825" s="4">
        <v>1.76</v>
      </c>
      <c r="R825" s="4">
        <v>7.03</v>
      </c>
      <c r="S825" s="4">
        <v>0</v>
      </c>
      <c r="T825" s="4">
        <v>0</v>
      </c>
      <c r="U825" s="4">
        <v>180.16</v>
      </c>
      <c r="V825" s="4">
        <v>21.23</v>
      </c>
      <c r="W825" t="s">
        <v>21</v>
      </c>
      <c r="X825" t="s">
        <v>36</v>
      </c>
      <c r="Y825" s="4">
        <v>10</v>
      </c>
      <c r="Z825" s="4">
        <v>10</v>
      </c>
      <c r="AA825" t="s">
        <v>37</v>
      </c>
      <c r="AB825" t="s">
        <v>38</v>
      </c>
      <c r="AC825" s="7">
        <v>0</v>
      </c>
      <c r="AD825" t="s">
        <v>39</v>
      </c>
      <c r="AE825">
        <f t="shared" si="12"/>
        <v>0</v>
      </c>
    </row>
    <row r="826" spans="1:31" x14ac:dyDescent="0.35">
      <c r="A826">
        <v>100825</v>
      </c>
      <c r="B826" s="3">
        <v>45938</v>
      </c>
      <c r="C826">
        <v>1052</v>
      </c>
      <c r="D826" t="s">
        <v>59</v>
      </c>
      <c r="E826" t="s">
        <v>70</v>
      </c>
      <c r="F826" t="s">
        <v>32</v>
      </c>
      <c r="G826" t="s">
        <v>33</v>
      </c>
      <c r="H826" t="s">
        <v>34</v>
      </c>
      <c r="I826" t="s">
        <v>35</v>
      </c>
      <c r="J826" s="4">
        <v>21.82</v>
      </c>
      <c r="K826" s="4">
        <v>19.87</v>
      </c>
      <c r="L826">
        <v>5</v>
      </c>
      <c r="M826" s="4">
        <v>21.68</v>
      </c>
      <c r="N826" s="4">
        <v>411.88</v>
      </c>
      <c r="O826" s="4">
        <v>142.77000000000001</v>
      </c>
      <c r="P826" s="4">
        <v>8.48</v>
      </c>
      <c r="Q826" s="4">
        <v>3.03</v>
      </c>
      <c r="R826" s="4">
        <v>7.04</v>
      </c>
      <c r="S826" s="4">
        <v>412.29</v>
      </c>
      <c r="T826" s="4">
        <v>0</v>
      </c>
      <c r="U826" s="4">
        <v>573.61</v>
      </c>
      <c r="V826" s="4">
        <v>-161.72999999999999</v>
      </c>
      <c r="W826" t="s">
        <v>58</v>
      </c>
      <c r="X826" t="s">
        <v>55</v>
      </c>
      <c r="Y826" s="4">
        <v>0</v>
      </c>
      <c r="Z826" s="4">
        <v>5</v>
      </c>
      <c r="AA826" t="s">
        <v>37</v>
      </c>
      <c r="AB826" t="s">
        <v>44</v>
      </c>
      <c r="AC826" s="7">
        <v>1</v>
      </c>
      <c r="AD826" t="s">
        <v>45</v>
      </c>
      <c r="AE826">
        <f t="shared" si="12"/>
        <v>1</v>
      </c>
    </row>
    <row r="827" spans="1:31" x14ac:dyDescent="0.35">
      <c r="A827">
        <v>100826</v>
      </c>
      <c r="B827" s="3">
        <v>45961</v>
      </c>
      <c r="C827">
        <v>1119</v>
      </c>
      <c r="D827" t="s">
        <v>30</v>
      </c>
      <c r="E827" t="s">
        <v>72</v>
      </c>
      <c r="F827" t="s">
        <v>41</v>
      </c>
      <c r="G827" t="s">
        <v>46</v>
      </c>
      <c r="H827" t="s">
        <v>57</v>
      </c>
      <c r="I827" t="s">
        <v>35</v>
      </c>
      <c r="J827" s="4">
        <v>31.91</v>
      </c>
      <c r="K827" s="4">
        <v>14.84</v>
      </c>
      <c r="L827">
        <v>0</v>
      </c>
      <c r="M827" s="4">
        <v>0</v>
      </c>
      <c r="N827" s="4">
        <v>473.54</v>
      </c>
      <c r="O827" s="4">
        <v>253.73</v>
      </c>
      <c r="P827" s="4">
        <v>3.41</v>
      </c>
      <c r="Q827" s="4">
        <v>3.31</v>
      </c>
      <c r="R827" s="4">
        <v>7.13</v>
      </c>
      <c r="S827" s="4">
        <v>302.98</v>
      </c>
      <c r="T827" s="4">
        <v>4.13</v>
      </c>
      <c r="U827" s="4">
        <v>574.69000000000005</v>
      </c>
      <c r="V827" s="4">
        <v>-101.15</v>
      </c>
      <c r="W827" t="s">
        <v>58</v>
      </c>
      <c r="X827" t="s">
        <v>66</v>
      </c>
      <c r="Y827" s="4">
        <v>1</v>
      </c>
      <c r="Z827" s="4">
        <v>13</v>
      </c>
      <c r="AA827" t="s">
        <v>37</v>
      </c>
      <c r="AB827" t="s">
        <v>38</v>
      </c>
      <c r="AC827" s="7">
        <v>2</v>
      </c>
      <c r="AD827" t="s">
        <v>45</v>
      </c>
      <c r="AE827">
        <f t="shared" si="12"/>
        <v>0</v>
      </c>
    </row>
    <row r="828" spans="1:31" x14ac:dyDescent="0.35">
      <c r="A828">
        <v>100827</v>
      </c>
      <c r="B828" s="3">
        <v>45965</v>
      </c>
      <c r="C828">
        <v>1056</v>
      </c>
      <c r="D828" t="s">
        <v>47</v>
      </c>
      <c r="E828" t="s">
        <v>48</v>
      </c>
      <c r="F828" t="s">
        <v>32</v>
      </c>
      <c r="G828" t="s">
        <v>46</v>
      </c>
      <c r="H828" t="s">
        <v>51</v>
      </c>
      <c r="I828" t="s">
        <v>35</v>
      </c>
      <c r="J828" s="4">
        <v>29.46</v>
      </c>
      <c r="K828" s="4">
        <v>15.52</v>
      </c>
      <c r="L828">
        <v>5</v>
      </c>
      <c r="M828" s="4">
        <v>22.86</v>
      </c>
      <c r="N828" s="4">
        <v>434.36</v>
      </c>
      <c r="O828" s="4">
        <v>245.99</v>
      </c>
      <c r="P828" s="4">
        <v>7.65</v>
      </c>
      <c r="Q828" s="4">
        <v>3.2</v>
      </c>
      <c r="R828" s="4">
        <v>3.56</v>
      </c>
      <c r="S828" s="4">
        <v>244.59</v>
      </c>
      <c r="T828" s="4">
        <v>24.66</v>
      </c>
      <c r="U828" s="4">
        <v>529.65</v>
      </c>
      <c r="V828" s="4">
        <v>-95.29</v>
      </c>
      <c r="W828" t="s">
        <v>58</v>
      </c>
      <c r="X828" t="s">
        <v>55</v>
      </c>
      <c r="Y828" s="4">
        <v>13</v>
      </c>
      <c r="Z828" s="4">
        <v>18</v>
      </c>
      <c r="AA828" t="s">
        <v>37</v>
      </c>
      <c r="AB828" t="s">
        <v>44</v>
      </c>
      <c r="AC828" s="7">
        <v>2</v>
      </c>
      <c r="AD828" t="s">
        <v>45</v>
      </c>
      <c r="AE828">
        <f t="shared" si="12"/>
        <v>1</v>
      </c>
    </row>
    <row r="829" spans="1:31" x14ac:dyDescent="0.35">
      <c r="A829">
        <v>100828</v>
      </c>
      <c r="B829" s="3">
        <v>45932</v>
      </c>
      <c r="C829">
        <v>1128</v>
      </c>
      <c r="D829" t="s">
        <v>30</v>
      </c>
      <c r="E829" t="s">
        <v>72</v>
      </c>
      <c r="F829" t="s">
        <v>49</v>
      </c>
      <c r="G829" t="s">
        <v>46</v>
      </c>
      <c r="H829" t="s">
        <v>34</v>
      </c>
      <c r="I829" t="s">
        <v>35</v>
      </c>
      <c r="J829" s="4">
        <v>32.86</v>
      </c>
      <c r="K829" s="4">
        <v>15.29</v>
      </c>
      <c r="L829">
        <v>5</v>
      </c>
      <c r="M829" s="4">
        <v>25.12</v>
      </c>
      <c r="N829" s="4">
        <v>477.31</v>
      </c>
      <c r="O829" s="4">
        <v>240</v>
      </c>
      <c r="P829" s="4">
        <v>9.64</v>
      </c>
      <c r="Q829" s="4">
        <v>3.52</v>
      </c>
      <c r="R829" s="4">
        <v>8.16</v>
      </c>
      <c r="S829" s="4">
        <v>0</v>
      </c>
      <c r="T829" s="4">
        <v>0</v>
      </c>
      <c r="U829" s="4">
        <v>261.32</v>
      </c>
      <c r="V829" s="4">
        <v>215.99</v>
      </c>
      <c r="W829" t="s">
        <v>21</v>
      </c>
      <c r="X829" t="s">
        <v>36</v>
      </c>
      <c r="Y829" s="4">
        <v>3</v>
      </c>
      <c r="Z829" s="4">
        <v>7</v>
      </c>
      <c r="AA829" t="s">
        <v>37</v>
      </c>
      <c r="AB829" t="s">
        <v>38</v>
      </c>
      <c r="AC829" s="7">
        <v>0</v>
      </c>
      <c r="AD829" t="s">
        <v>39</v>
      </c>
      <c r="AE829">
        <f t="shared" si="12"/>
        <v>0</v>
      </c>
    </row>
    <row r="830" spans="1:31" x14ac:dyDescent="0.35">
      <c r="A830">
        <v>100829</v>
      </c>
      <c r="B830" s="3">
        <v>45944</v>
      </c>
      <c r="C830">
        <v>1134</v>
      </c>
      <c r="D830" t="s">
        <v>47</v>
      </c>
      <c r="E830" t="s">
        <v>56</v>
      </c>
      <c r="F830" t="s">
        <v>71</v>
      </c>
      <c r="G830" t="s">
        <v>46</v>
      </c>
      <c r="H830" t="s">
        <v>51</v>
      </c>
      <c r="I830" t="s">
        <v>35</v>
      </c>
      <c r="J830" s="4">
        <v>12.61</v>
      </c>
      <c r="K830" s="4">
        <v>15.6</v>
      </c>
      <c r="L830">
        <v>15</v>
      </c>
      <c r="M830" s="4">
        <v>29.51</v>
      </c>
      <c r="N830" s="4">
        <v>167.21</v>
      </c>
      <c r="O830" s="4">
        <v>91.6</v>
      </c>
      <c r="P830" s="4">
        <v>5.45</v>
      </c>
      <c r="Q830" s="4">
        <v>1.38</v>
      </c>
      <c r="R830" s="4">
        <v>0</v>
      </c>
      <c r="S830" s="4">
        <v>138.29</v>
      </c>
      <c r="T830" s="4">
        <v>11.3</v>
      </c>
      <c r="U830" s="4">
        <v>248.02</v>
      </c>
      <c r="V830" s="4">
        <v>-80.81</v>
      </c>
      <c r="W830" t="s">
        <v>58</v>
      </c>
      <c r="X830" t="s">
        <v>55</v>
      </c>
      <c r="Y830" s="4">
        <v>3</v>
      </c>
      <c r="Z830" s="4">
        <v>4</v>
      </c>
      <c r="AA830" t="s">
        <v>37</v>
      </c>
      <c r="AB830" t="s">
        <v>44</v>
      </c>
      <c r="AC830" s="7">
        <v>3</v>
      </c>
      <c r="AD830" t="s">
        <v>45</v>
      </c>
      <c r="AE830">
        <f t="shared" si="12"/>
        <v>1</v>
      </c>
    </row>
    <row r="831" spans="1:31" x14ac:dyDescent="0.35">
      <c r="A831">
        <v>100830</v>
      </c>
      <c r="B831" s="3">
        <v>45973</v>
      </c>
      <c r="C831">
        <v>1129</v>
      </c>
      <c r="D831" t="s">
        <v>30</v>
      </c>
      <c r="E831" t="s">
        <v>40</v>
      </c>
      <c r="F831" t="s">
        <v>71</v>
      </c>
      <c r="G831" t="s">
        <v>50</v>
      </c>
      <c r="H831" t="s">
        <v>34</v>
      </c>
      <c r="I831" t="s">
        <v>35</v>
      </c>
      <c r="J831" s="4">
        <v>20.39</v>
      </c>
      <c r="K831" s="4">
        <v>19.3</v>
      </c>
      <c r="L831">
        <v>0</v>
      </c>
      <c r="M831" s="4">
        <v>0</v>
      </c>
      <c r="N831" s="4">
        <v>393.53</v>
      </c>
      <c r="O831" s="4">
        <v>127.86</v>
      </c>
      <c r="P831" s="4">
        <v>11.46</v>
      </c>
      <c r="Q831" s="4">
        <v>2.75</v>
      </c>
      <c r="R831" s="4">
        <v>6.21</v>
      </c>
      <c r="S831" s="4">
        <v>0</v>
      </c>
      <c r="T831" s="4">
        <v>0</v>
      </c>
      <c r="U831" s="4">
        <v>148.28</v>
      </c>
      <c r="V831" s="4">
        <v>245.25</v>
      </c>
      <c r="W831" t="s">
        <v>21</v>
      </c>
      <c r="X831" t="s">
        <v>36</v>
      </c>
      <c r="Y831" s="4">
        <v>4</v>
      </c>
      <c r="Z831" s="4">
        <v>20</v>
      </c>
      <c r="AA831" t="s">
        <v>37</v>
      </c>
      <c r="AB831" t="s">
        <v>44</v>
      </c>
      <c r="AC831" s="7">
        <v>1</v>
      </c>
      <c r="AD831" t="s">
        <v>45</v>
      </c>
      <c r="AE831">
        <f t="shared" si="12"/>
        <v>1</v>
      </c>
    </row>
    <row r="832" spans="1:31" x14ac:dyDescent="0.35">
      <c r="A832">
        <v>100831</v>
      </c>
      <c r="B832" s="3">
        <v>45996</v>
      </c>
      <c r="C832">
        <v>1056</v>
      </c>
      <c r="D832" t="s">
        <v>64</v>
      </c>
      <c r="E832" t="s">
        <v>76</v>
      </c>
      <c r="F832" t="s">
        <v>49</v>
      </c>
      <c r="G832" t="s">
        <v>46</v>
      </c>
      <c r="H832" t="s">
        <v>34</v>
      </c>
      <c r="I832" t="s">
        <v>42</v>
      </c>
      <c r="J832" s="4">
        <v>27.08</v>
      </c>
      <c r="K832" s="4">
        <v>15.15</v>
      </c>
      <c r="L832">
        <v>20</v>
      </c>
      <c r="M832" s="4">
        <v>82.05</v>
      </c>
      <c r="N832" s="4">
        <v>328.21</v>
      </c>
      <c r="O832" s="4">
        <v>199.35</v>
      </c>
      <c r="P832" s="4">
        <v>3.14</v>
      </c>
      <c r="Q832" s="4">
        <v>6.15</v>
      </c>
      <c r="R832" s="4">
        <v>1.46</v>
      </c>
      <c r="S832" s="4">
        <v>259.45</v>
      </c>
      <c r="T832" s="4">
        <v>0</v>
      </c>
      <c r="U832" s="4">
        <v>469.55</v>
      </c>
      <c r="V832" s="4">
        <v>-141.34</v>
      </c>
      <c r="W832" t="s">
        <v>58</v>
      </c>
      <c r="X832" t="s">
        <v>66</v>
      </c>
      <c r="Y832" s="4">
        <v>5</v>
      </c>
      <c r="Z832" s="4">
        <v>10</v>
      </c>
      <c r="AA832" t="s">
        <v>37</v>
      </c>
      <c r="AB832" t="s">
        <v>38</v>
      </c>
      <c r="AC832" s="7">
        <v>1</v>
      </c>
      <c r="AD832" t="s">
        <v>45</v>
      </c>
      <c r="AE832">
        <f t="shared" si="12"/>
        <v>0</v>
      </c>
    </row>
    <row r="833" spans="1:31" x14ac:dyDescent="0.35">
      <c r="A833">
        <v>100832</v>
      </c>
      <c r="B833" s="3">
        <v>45962</v>
      </c>
      <c r="C833">
        <v>1026</v>
      </c>
      <c r="D833" t="s">
        <v>64</v>
      </c>
      <c r="E833" t="s">
        <v>67</v>
      </c>
      <c r="F833" t="s">
        <v>71</v>
      </c>
      <c r="G833" t="s">
        <v>50</v>
      </c>
      <c r="H833" t="s">
        <v>34</v>
      </c>
      <c r="I833" t="s">
        <v>35</v>
      </c>
      <c r="J833" s="4">
        <v>21.71</v>
      </c>
      <c r="K833" s="4">
        <v>19.28</v>
      </c>
      <c r="L833">
        <v>0</v>
      </c>
      <c r="M833" s="4">
        <v>0</v>
      </c>
      <c r="N833" s="4">
        <v>418.57</v>
      </c>
      <c r="O833" s="4">
        <v>132.78</v>
      </c>
      <c r="P833" s="4">
        <v>12.04</v>
      </c>
      <c r="Q833" s="4">
        <v>2.93</v>
      </c>
      <c r="R833" s="4">
        <v>7.72</v>
      </c>
      <c r="S833" s="4">
        <v>322.02</v>
      </c>
      <c r="T833" s="4">
        <v>0</v>
      </c>
      <c r="U833" s="4">
        <v>477.49</v>
      </c>
      <c r="V833" s="4">
        <v>-58.92</v>
      </c>
      <c r="W833" t="s">
        <v>58</v>
      </c>
      <c r="X833" t="s">
        <v>55</v>
      </c>
      <c r="Y833" s="4">
        <v>18</v>
      </c>
      <c r="Z833" s="4">
        <v>0</v>
      </c>
      <c r="AA833" t="s">
        <v>52</v>
      </c>
      <c r="AB833" t="s">
        <v>44</v>
      </c>
      <c r="AC833" s="7">
        <v>3</v>
      </c>
      <c r="AD833" t="s">
        <v>45</v>
      </c>
      <c r="AE833">
        <f t="shared" si="12"/>
        <v>1</v>
      </c>
    </row>
    <row r="834" spans="1:31" x14ac:dyDescent="0.35">
      <c r="A834">
        <v>100833</v>
      </c>
      <c r="B834" s="3">
        <v>45999</v>
      </c>
      <c r="C834">
        <v>1013</v>
      </c>
      <c r="D834" t="s">
        <v>64</v>
      </c>
      <c r="E834" t="s">
        <v>65</v>
      </c>
      <c r="F834" t="s">
        <v>49</v>
      </c>
      <c r="G834" t="s">
        <v>46</v>
      </c>
      <c r="H834" t="s">
        <v>34</v>
      </c>
      <c r="I834" t="s">
        <v>35</v>
      </c>
      <c r="J834" s="4">
        <v>24.76</v>
      </c>
      <c r="K834" s="4">
        <v>15.89</v>
      </c>
      <c r="L834">
        <v>10</v>
      </c>
      <c r="M834" s="4">
        <v>39.340000000000003</v>
      </c>
      <c r="N834" s="4">
        <v>354.1</v>
      </c>
      <c r="O834" s="4">
        <v>173.72</v>
      </c>
      <c r="P834" s="4">
        <v>7.52</v>
      </c>
      <c r="Q834" s="4">
        <v>2.75</v>
      </c>
      <c r="R834" s="4">
        <v>7.94</v>
      </c>
      <c r="S834" s="4">
        <v>179.8</v>
      </c>
      <c r="T834" s="4">
        <v>0</v>
      </c>
      <c r="U834" s="4">
        <v>371.73</v>
      </c>
      <c r="V834" s="4">
        <v>-17.63</v>
      </c>
      <c r="W834" t="s">
        <v>58</v>
      </c>
      <c r="X834" t="s">
        <v>66</v>
      </c>
      <c r="Y834" s="4">
        <v>0</v>
      </c>
      <c r="Z834" s="4">
        <v>1</v>
      </c>
      <c r="AA834" t="s">
        <v>37</v>
      </c>
      <c r="AB834" t="s">
        <v>38</v>
      </c>
      <c r="AC834" s="7">
        <v>3</v>
      </c>
      <c r="AD834" t="s">
        <v>45</v>
      </c>
      <c r="AE834">
        <f t="shared" si="12"/>
        <v>0</v>
      </c>
    </row>
    <row r="835" spans="1:31" x14ac:dyDescent="0.35">
      <c r="A835">
        <v>100834</v>
      </c>
      <c r="B835" s="3">
        <v>45995</v>
      </c>
      <c r="C835">
        <v>1083</v>
      </c>
      <c r="D835" t="s">
        <v>64</v>
      </c>
      <c r="E835" t="s">
        <v>76</v>
      </c>
      <c r="F835" t="s">
        <v>49</v>
      </c>
      <c r="G835" t="s">
        <v>50</v>
      </c>
      <c r="H835" t="s">
        <v>57</v>
      </c>
      <c r="I835" t="s">
        <v>35</v>
      </c>
      <c r="J835" s="4">
        <v>14.74</v>
      </c>
      <c r="K835" s="4">
        <v>18.239999999999998</v>
      </c>
      <c r="L835">
        <v>10</v>
      </c>
      <c r="M835" s="4">
        <v>26.89</v>
      </c>
      <c r="N835" s="4">
        <v>241.97</v>
      </c>
      <c r="O835" s="4">
        <v>111.67</v>
      </c>
      <c r="P835" s="4">
        <v>3.24</v>
      </c>
      <c r="Q835" s="4">
        <v>1.88</v>
      </c>
      <c r="R835" s="4">
        <v>3.29</v>
      </c>
      <c r="S835" s="4">
        <v>0</v>
      </c>
      <c r="T835" s="4">
        <v>0</v>
      </c>
      <c r="U835" s="4">
        <v>120.08</v>
      </c>
      <c r="V835" s="4">
        <v>121.89</v>
      </c>
      <c r="W835" t="s">
        <v>21</v>
      </c>
      <c r="X835" t="s">
        <v>36</v>
      </c>
      <c r="Y835" s="4">
        <v>14</v>
      </c>
      <c r="Z835" s="4">
        <v>9</v>
      </c>
      <c r="AA835" t="s">
        <v>37</v>
      </c>
      <c r="AB835" t="s">
        <v>38</v>
      </c>
      <c r="AC835" s="7">
        <v>0</v>
      </c>
      <c r="AD835" t="s">
        <v>39</v>
      </c>
      <c r="AE835">
        <f t="shared" ref="AE835:AE898" si="13">IF(AB835="Yes",1,0)</f>
        <v>0</v>
      </c>
    </row>
    <row r="836" spans="1:31" x14ac:dyDescent="0.35">
      <c r="A836">
        <v>100835</v>
      </c>
      <c r="B836" s="3">
        <v>45988</v>
      </c>
      <c r="C836">
        <v>1002</v>
      </c>
      <c r="D836" t="s">
        <v>30</v>
      </c>
      <c r="E836" t="s">
        <v>72</v>
      </c>
      <c r="F836" t="s">
        <v>71</v>
      </c>
      <c r="G836" t="s">
        <v>46</v>
      </c>
      <c r="H836" t="s">
        <v>57</v>
      </c>
      <c r="I836" t="s">
        <v>35</v>
      </c>
      <c r="J836" s="4">
        <v>17.18</v>
      </c>
      <c r="K836" s="4">
        <v>14.79</v>
      </c>
      <c r="L836">
        <v>0</v>
      </c>
      <c r="M836" s="4">
        <v>0</v>
      </c>
      <c r="N836" s="4">
        <v>254.09</v>
      </c>
      <c r="O836" s="4">
        <v>137.47999999999999</v>
      </c>
      <c r="P836" s="4">
        <v>12.46</v>
      </c>
      <c r="Q836" s="4">
        <v>1.78</v>
      </c>
      <c r="R836" s="4">
        <v>7.9</v>
      </c>
      <c r="S836" s="4">
        <v>0</v>
      </c>
      <c r="T836" s="4">
        <v>0</v>
      </c>
      <c r="U836" s="4">
        <v>159.62</v>
      </c>
      <c r="V836" s="4">
        <v>94.47</v>
      </c>
      <c r="W836" t="s">
        <v>21</v>
      </c>
      <c r="X836" t="s">
        <v>36</v>
      </c>
      <c r="Y836" s="4">
        <v>13</v>
      </c>
      <c r="Z836" s="4">
        <v>0</v>
      </c>
      <c r="AA836" t="s">
        <v>37</v>
      </c>
      <c r="AB836" t="s">
        <v>38</v>
      </c>
      <c r="AC836" s="7">
        <v>0</v>
      </c>
      <c r="AD836" t="s">
        <v>39</v>
      </c>
      <c r="AE836">
        <f t="shared" si="13"/>
        <v>0</v>
      </c>
    </row>
    <row r="837" spans="1:31" x14ac:dyDescent="0.35">
      <c r="A837">
        <v>100836</v>
      </c>
      <c r="B837" s="3">
        <v>46017</v>
      </c>
      <c r="C837">
        <v>1037</v>
      </c>
      <c r="D837" t="s">
        <v>59</v>
      </c>
      <c r="E837" t="s">
        <v>68</v>
      </c>
      <c r="F837" t="s">
        <v>71</v>
      </c>
      <c r="G837" t="s">
        <v>50</v>
      </c>
      <c r="H837" t="s">
        <v>34</v>
      </c>
      <c r="I837" t="s">
        <v>35</v>
      </c>
      <c r="J837" s="4">
        <v>40.85</v>
      </c>
      <c r="K837" s="4">
        <v>17.420000000000002</v>
      </c>
      <c r="L837">
        <v>15</v>
      </c>
      <c r="M837" s="4">
        <v>106.74</v>
      </c>
      <c r="N837" s="4">
        <v>604.87</v>
      </c>
      <c r="O837" s="4">
        <v>346.95</v>
      </c>
      <c r="P837" s="4">
        <v>13.2</v>
      </c>
      <c r="Q837" s="4">
        <v>4.9800000000000004</v>
      </c>
      <c r="R837" s="4">
        <v>8.1199999999999992</v>
      </c>
      <c r="S837" s="4">
        <v>0</v>
      </c>
      <c r="T837" s="4">
        <v>0</v>
      </c>
      <c r="U837" s="4">
        <v>373.25</v>
      </c>
      <c r="V837" s="4">
        <v>231.62</v>
      </c>
      <c r="W837" t="s">
        <v>21</v>
      </c>
      <c r="X837" t="s">
        <v>36</v>
      </c>
      <c r="Y837" s="4">
        <v>0</v>
      </c>
      <c r="Z837" s="4">
        <v>9</v>
      </c>
      <c r="AA837" t="s">
        <v>37</v>
      </c>
      <c r="AB837" t="s">
        <v>38</v>
      </c>
      <c r="AC837" s="7">
        <v>0</v>
      </c>
      <c r="AD837" t="s">
        <v>39</v>
      </c>
      <c r="AE837">
        <f t="shared" si="13"/>
        <v>0</v>
      </c>
    </row>
    <row r="838" spans="1:31" x14ac:dyDescent="0.35">
      <c r="A838">
        <v>100837</v>
      </c>
      <c r="B838" s="3">
        <v>45960</v>
      </c>
      <c r="C838">
        <v>1108</v>
      </c>
      <c r="D838" t="s">
        <v>59</v>
      </c>
      <c r="E838" t="s">
        <v>70</v>
      </c>
      <c r="F838" t="s">
        <v>61</v>
      </c>
      <c r="G838" t="s">
        <v>63</v>
      </c>
      <c r="H838" t="s">
        <v>34</v>
      </c>
      <c r="I838" t="s">
        <v>35</v>
      </c>
      <c r="J838" s="4">
        <v>19.72</v>
      </c>
      <c r="K838" s="4">
        <v>11.95</v>
      </c>
      <c r="L838">
        <v>5</v>
      </c>
      <c r="M838" s="4">
        <v>11.78</v>
      </c>
      <c r="N838" s="4">
        <v>223.87</v>
      </c>
      <c r="O838" s="4">
        <v>117.86</v>
      </c>
      <c r="P838" s="4">
        <v>1</v>
      </c>
      <c r="Q838" s="4">
        <v>1.65</v>
      </c>
      <c r="R838" s="4">
        <v>2.81</v>
      </c>
      <c r="S838" s="4">
        <v>0</v>
      </c>
      <c r="T838" s="4">
        <v>0</v>
      </c>
      <c r="U838" s="4">
        <v>123.32</v>
      </c>
      <c r="V838" s="4">
        <v>100.55</v>
      </c>
      <c r="W838" t="s">
        <v>21</v>
      </c>
      <c r="X838" t="s">
        <v>36</v>
      </c>
      <c r="Y838" s="4">
        <v>13</v>
      </c>
      <c r="Z838" s="4">
        <v>2</v>
      </c>
      <c r="AA838" t="s">
        <v>37</v>
      </c>
      <c r="AB838" t="s">
        <v>38</v>
      </c>
      <c r="AC838" s="7">
        <v>1</v>
      </c>
      <c r="AD838" t="s">
        <v>39</v>
      </c>
      <c r="AE838">
        <f t="shared" si="13"/>
        <v>0</v>
      </c>
    </row>
    <row r="839" spans="1:31" x14ac:dyDescent="0.35">
      <c r="A839">
        <v>100838</v>
      </c>
      <c r="B839" s="3">
        <v>45980</v>
      </c>
      <c r="C839">
        <v>1021</v>
      </c>
      <c r="D839" t="s">
        <v>30</v>
      </c>
      <c r="E839" t="s">
        <v>72</v>
      </c>
      <c r="F839" t="s">
        <v>41</v>
      </c>
      <c r="G839" t="s">
        <v>46</v>
      </c>
      <c r="H839" t="s">
        <v>34</v>
      </c>
      <c r="I839" t="s">
        <v>35</v>
      </c>
      <c r="J839" s="4">
        <v>35.770000000000003</v>
      </c>
      <c r="K839" s="4">
        <v>17.88</v>
      </c>
      <c r="L839">
        <v>5</v>
      </c>
      <c r="M839" s="4">
        <v>31.98</v>
      </c>
      <c r="N839" s="4">
        <v>607.59</v>
      </c>
      <c r="O839" s="4">
        <v>285.42</v>
      </c>
      <c r="P839" s="4">
        <v>7.05</v>
      </c>
      <c r="Q839" s="4">
        <v>4.4800000000000004</v>
      </c>
      <c r="R839" s="4">
        <v>0</v>
      </c>
      <c r="S839" s="4">
        <v>0</v>
      </c>
      <c r="T839" s="4">
        <v>0</v>
      </c>
      <c r="U839" s="4">
        <v>296.95</v>
      </c>
      <c r="V839" s="4">
        <v>310.64</v>
      </c>
      <c r="W839" t="s">
        <v>21</v>
      </c>
      <c r="X839" t="s">
        <v>36</v>
      </c>
      <c r="Y839" s="4">
        <v>28</v>
      </c>
      <c r="Z839" s="4">
        <v>6</v>
      </c>
      <c r="AA839" t="s">
        <v>52</v>
      </c>
      <c r="AB839" t="s">
        <v>44</v>
      </c>
      <c r="AC839" s="7">
        <v>1</v>
      </c>
      <c r="AD839" t="s">
        <v>45</v>
      </c>
      <c r="AE839">
        <f t="shared" si="13"/>
        <v>1</v>
      </c>
    </row>
    <row r="840" spans="1:31" x14ac:dyDescent="0.35">
      <c r="A840">
        <v>100839</v>
      </c>
      <c r="B840" s="3">
        <v>45948</v>
      </c>
      <c r="C840">
        <v>1111</v>
      </c>
      <c r="D840" t="s">
        <v>47</v>
      </c>
      <c r="E840" t="s">
        <v>74</v>
      </c>
      <c r="F840" t="s">
        <v>41</v>
      </c>
      <c r="G840" t="s">
        <v>46</v>
      </c>
      <c r="H840" t="s">
        <v>57</v>
      </c>
      <c r="I840" t="s">
        <v>35</v>
      </c>
      <c r="J840" s="4">
        <v>27.34</v>
      </c>
      <c r="K840" s="4">
        <v>15.29</v>
      </c>
      <c r="L840">
        <v>0</v>
      </c>
      <c r="M840" s="4">
        <v>0</v>
      </c>
      <c r="N840" s="4">
        <v>418.03</v>
      </c>
      <c r="O840" s="4">
        <v>210.25</v>
      </c>
      <c r="P840" s="4">
        <v>7.69</v>
      </c>
      <c r="Q840" s="4">
        <v>2.93</v>
      </c>
      <c r="R840" s="4">
        <v>5.34</v>
      </c>
      <c r="S840" s="4">
        <v>0</v>
      </c>
      <c r="T840" s="4">
        <v>0</v>
      </c>
      <c r="U840" s="4">
        <v>226.21</v>
      </c>
      <c r="V840" s="4">
        <v>191.82</v>
      </c>
      <c r="W840" t="s">
        <v>21</v>
      </c>
      <c r="X840" t="s">
        <v>36</v>
      </c>
      <c r="Y840" s="4">
        <v>7</v>
      </c>
      <c r="Z840" s="4">
        <v>11</v>
      </c>
      <c r="AA840" t="s">
        <v>37</v>
      </c>
      <c r="AB840" t="s">
        <v>38</v>
      </c>
      <c r="AC840" s="7">
        <v>0</v>
      </c>
      <c r="AD840" t="s">
        <v>39</v>
      </c>
      <c r="AE840">
        <f t="shared" si="13"/>
        <v>0</v>
      </c>
    </row>
    <row r="841" spans="1:31" x14ac:dyDescent="0.35">
      <c r="A841">
        <v>100840</v>
      </c>
      <c r="B841" s="3">
        <v>46014</v>
      </c>
      <c r="C841">
        <v>1019</v>
      </c>
      <c r="D841" t="s">
        <v>30</v>
      </c>
      <c r="E841" t="s">
        <v>72</v>
      </c>
      <c r="F841" t="s">
        <v>61</v>
      </c>
      <c r="G841" t="s">
        <v>46</v>
      </c>
      <c r="H841" t="s">
        <v>57</v>
      </c>
      <c r="I841" t="s">
        <v>35</v>
      </c>
      <c r="J841" s="4">
        <v>16.690000000000001</v>
      </c>
      <c r="K841" s="4">
        <v>15.7</v>
      </c>
      <c r="L841">
        <v>15</v>
      </c>
      <c r="M841" s="4">
        <v>39.299999999999997</v>
      </c>
      <c r="N841" s="4">
        <v>222.73</v>
      </c>
      <c r="O841" s="4">
        <v>145.06</v>
      </c>
      <c r="P841" s="4">
        <v>7.97</v>
      </c>
      <c r="Q841" s="4">
        <v>1.83</v>
      </c>
      <c r="R841" s="4">
        <v>0</v>
      </c>
      <c r="S841" s="4">
        <v>0</v>
      </c>
      <c r="T841" s="4">
        <v>0</v>
      </c>
      <c r="U841" s="4">
        <v>154.86000000000001</v>
      </c>
      <c r="V841" s="4">
        <v>67.87</v>
      </c>
      <c r="W841" t="s">
        <v>21</v>
      </c>
      <c r="X841" t="s">
        <v>36</v>
      </c>
      <c r="Y841" s="4">
        <v>6</v>
      </c>
      <c r="Z841" s="4">
        <v>8</v>
      </c>
      <c r="AA841" t="s">
        <v>37</v>
      </c>
      <c r="AB841" t="s">
        <v>38</v>
      </c>
      <c r="AC841" s="7">
        <v>0</v>
      </c>
      <c r="AD841" t="s">
        <v>39</v>
      </c>
      <c r="AE841">
        <f t="shared" si="13"/>
        <v>0</v>
      </c>
    </row>
    <row r="842" spans="1:31" x14ac:dyDescent="0.35">
      <c r="A842">
        <v>100841</v>
      </c>
      <c r="B842" s="3">
        <v>45991</v>
      </c>
      <c r="C842">
        <v>1087</v>
      </c>
      <c r="D842" t="s">
        <v>64</v>
      </c>
      <c r="E842" t="s">
        <v>65</v>
      </c>
      <c r="F842" t="s">
        <v>32</v>
      </c>
      <c r="G842" t="s">
        <v>50</v>
      </c>
      <c r="H842" t="s">
        <v>34</v>
      </c>
      <c r="I842" t="s">
        <v>42</v>
      </c>
      <c r="J842" s="4">
        <v>26.16</v>
      </c>
      <c r="K842" s="4">
        <v>19.45</v>
      </c>
      <c r="L842">
        <v>15</v>
      </c>
      <c r="M842" s="4">
        <v>76.319999999999993</v>
      </c>
      <c r="N842" s="4">
        <v>432.49</v>
      </c>
      <c r="O842" s="4">
        <v>195.61</v>
      </c>
      <c r="P842" s="4">
        <v>12.2</v>
      </c>
      <c r="Q842" s="4">
        <v>7.63</v>
      </c>
      <c r="R842" s="4">
        <v>5.3</v>
      </c>
      <c r="S842" s="4">
        <v>229.25</v>
      </c>
      <c r="T842" s="4">
        <v>0</v>
      </c>
      <c r="U842" s="4">
        <v>449.99</v>
      </c>
      <c r="V842" s="4">
        <v>-17.5</v>
      </c>
      <c r="W842" t="s">
        <v>58</v>
      </c>
      <c r="X842" t="s">
        <v>66</v>
      </c>
      <c r="Y842" s="4">
        <v>16</v>
      </c>
      <c r="Z842" s="4">
        <v>25</v>
      </c>
      <c r="AA842" t="s">
        <v>52</v>
      </c>
      <c r="AB842" t="s">
        <v>44</v>
      </c>
      <c r="AC842" s="7">
        <v>3</v>
      </c>
      <c r="AD842" t="s">
        <v>45</v>
      </c>
      <c r="AE842">
        <f t="shared" si="13"/>
        <v>1</v>
      </c>
    </row>
    <row r="843" spans="1:31" x14ac:dyDescent="0.35">
      <c r="A843">
        <v>100842</v>
      </c>
      <c r="B843" s="3">
        <v>45993</v>
      </c>
      <c r="C843">
        <v>1094</v>
      </c>
      <c r="D843" t="s">
        <v>30</v>
      </c>
      <c r="E843" t="s">
        <v>72</v>
      </c>
      <c r="F843" t="s">
        <v>61</v>
      </c>
      <c r="G843" t="s">
        <v>46</v>
      </c>
      <c r="H843" t="s">
        <v>34</v>
      </c>
      <c r="I843" t="s">
        <v>42</v>
      </c>
      <c r="J843" s="4">
        <v>24.15</v>
      </c>
      <c r="K843" s="4">
        <v>15.29</v>
      </c>
      <c r="L843">
        <v>0</v>
      </c>
      <c r="M843" s="4">
        <v>0</v>
      </c>
      <c r="N843" s="4">
        <v>369.25</v>
      </c>
      <c r="O843" s="4">
        <v>158.19999999999999</v>
      </c>
      <c r="P843" s="4">
        <v>7.22</v>
      </c>
      <c r="Q843" s="4">
        <v>5.54</v>
      </c>
      <c r="R843" s="4">
        <v>2.89</v>
      </c>
      <c r="S843" s="4">
        <v>0</v>
      </c>
      <c r="T843" s="4">
        <v>0</v>
      </c>
      <c r="U843" s="4">
        <v>173.85</v>
      </c>
      <c r="V843" s="4">
        <v>195.4</v>
      </c>
      <c r="W843" t="s">
        <v>21</v>
      </c>
      <c r="X843" t="s">
        <v>36</v>
      </c>
      <c r="Y843" s="4">
        <v>41</v>
      </c>
      <c r="Z843" s="4">
        <v>2</v>
      </c>
      <c r="AA843" t="s">
        <v>43</v>
      </c>
      <c r="AB843" t="s">
        <v>44</v>
      </c>
      <c r="AC843" s="7">
        <v>1</v>
      </c>
      <c r="AD843" t="s">
        <v>45</v>
      </c>
      <c r="AE843">
        <f t="shared" si="13"/>
        <v>1</v>
      </c>
    </row>
    <row r="844" spans="1:31" x14ac:dyDescent="0.35">
      <c r="A844">
        <v>100843</v>
      </c>
      <c r="B844" s="3">
        <v>45990</v>
      </c>
      <c r="C844">
        <v>1039</v>
      </c>
      <c r="D844" t="s">
        <v>59</v>
      </c>
      <c r="E844" t="s">
        <v>73</v>
      </c>
      <c r="F844" t="s">
        <v>71</v>
      </c>
      <c r="G844" t="s">
        <v>33</v>
      </c>
      <c r="H844" t="s">
        <v>34</v>
      </c>
      <c r="I844" t="s">
        <v>35</v>
      </c>
      <c r="J844" s="4">
        <v>36.25</v>
      </c>
      <c r="K844" s="4">
        <v>19.3</v>
      </c>
      <c r="L844">
        <v>10</v>
      </c>
      <c r="M844" s="4">
        <v>69.959999999999994</v>
      </c>
      <c r="N844" s="4">
        <v>629.66</v>
      </c>
      <c r="O844" s="4">
        <v>287.17</v>
      </c>
      <c r="P844" s="4">
        <v>5.72</v>
      </c>
      <c r="Q844" s="4">
        <v>4.9000000000000004</v>
      </c>
      <c r="R844" s="4">
        <v>0</v>
      </c>
      <c r="S844" s="4">
        <v>655.79</v>
      </c>
      <c r="T844" s="4">
        <v>0</v>
      </c>
      <c r="U844" s="4">
        <v>953.58</v>
      </c>
      <c r="V844" s="4">
        <v>-323.92</v>
      </c>
      <c r="W844" t="s">
        <v>58</v>
      </c>
      <c r="X844" t="s">
        <v>55</v>
      </c>
      <c r="Y844" s="4">
        <v>9</v>
      </c>
      <c r="Z844" s="4">
        <v>3</v>
      </c>
      <c r="AA844" t="s">
        <v>37</v>
      </c>
      <c r="AB844" t="s">
        <v>44</v>
      </c>
      <c r="AC844" s="7">
        <v>2</v>
      </c>
      <c r="AD844" t="s">
        <v>45</v>
      </c>
      <c r="AE844">
        <f t="shared" si="13"/>
        <v>1</v>
      </c>
    </row>
    <row r="845" spans="1:31" x14ac:dyDescent="0.35">
      <c r="A845">
        <v>100844</v>
      </c>
      <c r="B845" s="3">
        <v>45965</v>
      </c>
      <c r="C845">
        <v>1130</v>
      </c>
      <c r="D845" t="s">
        <v>47</v>
      </c>
      <c r="E845" t="s">
        <v>74</v>
      </c>
      <c r="F845" t="s">
        <v>41</v>
      </c>
      <c r="G845" t="s">
        <v>33</v>
      </c>
      <c r="H845" t="s">
        <v>34</v>
      </c>
      <c r="I845" t="s">
        <v>69</v>
      </c>
      <c r="J845" s="4">
        <v>33.380000000000003</v>
      </c>
      <c r="K845" s="4">
        <v>18.29</v>
      </c>
      <c r="L845">
        <v>0</v>
      </c>
      <c r="M845" s="4">
        <v>0</v>
      </c>
      <c r="N845" s="4">
        <v>610.52</v>
      </c>
      <c r="O845" s="4">
        <v>264.14</v>
      </c>
      <c r="P845" s="4">
        <v>2.42</v>
      </c>
      <c r="Q845" s="4">
        <v>2.44</v>
      </c>
      <c r="R845" s="4">
        <v>5.71</v>
      </c>
      <c r="S845" s="4">
        <v>0</v>
      </c>
      <c r="T845" s="4">
        <v>0</v>
      </c>
      <c r="U845" s="4">
        <v>274.70999999999998</v>
      </c>
      <c r="V845" s="4">
        <v>335.81</v>
      </c>
      <c r="W845" t="s">
        <v>21</v>
      </c>
      <c r="X845" t="s">
        <v>36</v>
      </c>
      <c r="Y845" s="4">
        <v>10</v>
      </c>
      <c r="Z845" s="4">
        <v>4</v>
      </c>
      <c r="AA845" t="s">
        <v>37</v>
      </c>
      <c r="AB845" t="s">
        <v>38</v>
      </c>
      <c r="AC845" s="7">
        <v>0</v>
      </c>
      <c r="AD845" t="s">
        <v>39</v>
      </c>
      <c r="AE845">
        <f t="shared" si="13"/>
        <v>0</v>
      </c>
    </row>
    <row r="846" spans="1:31" x14ac:dyDescent="0.35">
      <c r="A846">
        <v>100845</v>
      </c>
      <c r="B846" s="3">
        <v>46012</v>
      </c>
      <c r="C846">
        <v>1022</v>
      </c>
      <c r="D846" t="s">
        <v>64</v>
      </c>
      <c r="E846" t="s">
        <v>75</v>
      </c>
      <c r="F846" t="s">
        <v>61</v>
      </c>
      <c r="G846" t="s">
        <v>63</v>
      </c>
      <c r="H846" t="s">
        <v>34</v>
      </c>
      <c r="I846" t="s">
        <v>54</v>
      </c>
      <c r="J846" s="4">
        <v>17.940000000000001</v>
      </c>
      <c r="K846" s="4">
        <v>12.7</v>
      </c>
      <c r="L846">
        <v>15</v>
      </c>
      <c r="M846" s="4">
        <v>34.18</v>
      </c>
      <c r="N846" s="4">
        <v>193.66</v>
      </c>
      <c r="O846" s="4">
        <v>142.82</v>
      </c>
      <c r="P846" s="4">
        <v>5.39</v>
      </c>
      <c r="Q846" s="4">
        <v>2.73</v>
      </c>
      <c r="R846" s="4">
        <v>5.33</v>
      </c>
      <c r="S846" s="4">
        <v>0</v>
      </c>
      <c r="T846" s="4">
        <v>0</v>
      </c>
      <c r="U846" s="4">
        <v>156.27000000000001</v>
      </c>
      <c r="V846" s="4">
        <v>37.39</v>
      </c>
      <c r="W846" t="s">
        <v>21</v>
      </c>
      <c r="X846" t="s">
        <v>36</v>
      </c>
      <c r="Y846" s="4">
        <v>1</v>
      </c>
      <c r="Z846" s="4">
        <v>8</v>
      </c>
      <c r="AA846" t="s">
        <v>37</v>
      </c>
      <c r="AB846" t="s">
        <v>38</v>
      </c>
      <c r="AC846" s="7">
        <v>0</v>
      </c>
      <c r="AD846" t="s">
        <v>39</v>
      </c>
      <c r="AE846">
        <f t="shared" si="13"/>
        <v>0</v>
      </c>
    </row>
    <row r="847" spans="1:31" x14ac:dyDescent="0.35">
      <c r="A847">
        <v>100846</v>
      </c>
      <c r="B847" s="3">
        <v>45962</v>
      </c>
      <c r="C847">
        <v>1149</v>
      </c>
      <c r="D847" t="s">
        <v>64</v>
      </c>
      <c r="E847" t="s">
        <v>67</v>
      </c>
      <c r="F847" t="s">
        <v>32</v>
      </c>
      <c r="G847" t="s">
        <v>46</v>
      </c>
      <c r="H847" t="s">
        <v>57</v>
      </c>
      <c r="I847" t="s">
        <v>69</v>
      </c>
      <c r="J847" s="4">
        <v>33.409999999999997</v>
      </c>
      <c r="K847" s="4">
        <v>15.87</v>
      </c>
      <c r="L847">
        <v>15</v>
      </c>
      <c r="M847" s="4">
        <v>79.53</v>
      </c>
      <c r="N847" s="4">
        <v>450.69</v>
      </c>
      <c r="O847" s="4">
        <v>226.43</v>
      </c>
      <c r="P847" s="4">
        <v>11.98</v>
      </c>
      <c r="Q847" s="4">
        <v>2.12</v>
      </c>
      <c r="R847" s="4">
        <v>6.07</v>
      </c>
      <c r="S847" s="4">
        <v>229.9</v>
      </c>
      <c r="T847" s="4">
        <v>19.7</v>
      </c>
      <c r="U847" s="4">
        <v>496.2</v>
      </c>
      <c r="V847" s="4">
        <v>-45.51</v>
      </c>
      <c r="W847" t="s">
        <v>58</v>
      </c>
      <c r="X847" t="s">
        <v>55</v>
      </c>
      <c r="Y847" s="4">
        <v>1</v>
      </c>
      <c r="Z847" s="4">
        <v>29</v>
      </c>
      <c r="AA847" t="s">
        <v>37</v>
      </c>
      <c r="AB847" t="s">
        <v>44</v>
      </c>
      <c r="AC847" s="7">
        <v>1</v>
      </c>
      <c r="AD847" t="s">
        <v>45</v>
      </c>
      <c r="AE847">
        <f t="shared" si="13"/>
        <v>1</v>
      </c>
    </row>
    <row r="848" spans="1:31" x14ac:dyDescent="0.35">
      <c r="A848">
        <v>100847</v>
      </c>
      <c r="B848" s="3">
        <v>45980</v>
      </c>
      <c r="C848">
        <v>1002</v>
      </c>
      <c r="D848" t="s">
        <v>47</v>
      </c>
      <c r="E848" t="s">
        <v>53</v>
      </c>
      <c r="F848" t="s">
        <v>32</v>
      </c>
      <c r="G848" t="s">
        <v>63</v>
      </c>
      <c r="H848" t="s">
        <v>34</v>
      </c>
      <c r="I848" t="s">
        <v>35</v>
      </c>
      <c r="J848" s="4">
        <v>27.95</v>
      </c>
      <c r="K848" s="4">
        <v>14.05</v>
      </c>
      <c r="L848">
        <v>0</v>
      </c>
      <c r="M848" s="4">
        <v>0</v>
      </c>
      <c r="N848" s="4">
        <v>392.7</v>
      </c>
      <c r="O848" s="4">
        <v>165.11</v>
      </c>
      <c r="P848" s="4">
        <v>10.82</v>
      </c>
      <c r="Q848" s="4">
        <v>2.75</v>
      </c>
      <c r="R848" s="4">
        <v>11.37</v>
      </c>
      <c r="S848" s="4">
        <v>188.35</v>
      </c>
      <c r="T848" s="4">
        <v>0</v>
      </c>
      <c r="U848" s="4">
        <v>378.4</v>
      </c>
      <c r="V848" s="4">
        <v>14.3</v>
      </c>
      <c r="W848" t="s">
        <v>21</v>
      </c>
      <c r="X848" t="s">
        <v>55</v>
      </c>
      <c r="Y848" s="4">
        <v>8</v>
      </c>
      <c r="Z848" s="4">
        <v>7</v>
      </c>
      <c r="AA848" t="s">
        <v>37</v>
      </c>
      <c r="AB848" t="s">
        <v>44</v>
      </c>
      <c r="AC848" s="7">
        <v>2</v>
      </c>
      <c r="AD848" t="s">
        <v>45</v>
      </c>
      <c r="AE848">
        <f t="shared" si="13"/>
        <v>1</v>
      </c>
    </row>
    <row r="849" spans="1:31" x14ac:dyDescent="0.35">
      <c r="A849">
        <v>100848</v>
      </c>
      <c r="B849" s="3">
        <v>46014</v>
      </c>
      <c r="C849">
        <v>1103</v>
      </c>
      <c r="D849" t="s">
        <v>30</v>
      </c>
      <c r="E849" t="s">
        <v>40</v>
      </c>
      <c r="F849" t="s">
        <v>32</v>
      </c>
      <c r="G849" t="s">
        <v>46</v>
      </c>
      <c r="H849" t="s">
        <v>34</v>
      </c>
      <c r="I849" t="s">
        <v>35</v>
      </c>
      <c r="J849" s="4">
        <v>32.56</v>
      </c>
      <c r="K849" s="4">
        <v>15.09</v>
      </c>
      <c r="L849">
        <v>5</v>
      </c>
      <c r="M849" s="4">
        <v>24.57</v>
      </c>
      <c r="N849" s="4">
        <v>466.76</v>
      </c>
      <c r="O849" s="4">
        <v>211.2</v>
      </c>
      <c r="P849" s="4">
        <v>8.8000000000000007</v>
      </c>
      <c r="Q849" s="4">
        <v>3.44</v>
      </c>
      <c r="R849" s="4">
        <v>9.2200000000000006</v>
      </c>
      <c r="S849" s="4">
        <v>0</v>
      </c>
      <c r="T849" s="4">
        <v>0</v>
      </c>
      <c r="U849" s="4">
        <v>232.66</v>
      </c>
      <c r="V849" s="4">
        <v>234.1</v>
      </c>
      <c r="W849" t="s">
        <v>21</v>
      </c>
      <c r="X849" t="s">
        <v>36</v>
      </c>
      <c r="Y849" s="4">
        <v>4</v>
      </c>
      <c r="Z849" s="4">
        <v>17</v>
      </c>
      <c r="AA849" t="s">
        <v>37</v>
      </c>
      <c r="AB849" t="s">
        <v>44</v>
      </c>
      <c r="AC849" s="7">
        <v>3</v>
      </c>
      <c r="AD849" t="s">
        <v>45</v>
      </c>
      <c r="AE849">
        <f t="shared" si="13"/>
        <v>1</v>
      </c>
    </row>
    <row r="850" spans="1:31" x14ac:dyDescent="0.35">
      <c r="A850">
        <v>100849</v>
      </c>
      <c r="B850" s="3">
        <v>45992</v>
      </c>
      <c r="C850">
        <v>1018</v>
      </c>
      <c r="D850" t="s">
        <v>30</v>
      </c>
      <c r="E850" t="s">
        <v>72</v>
      </c>
      <c r="F850" t="s">
        <v>41</v>
      </c>
      <c r="G850" t="s">
        <v>63</v>
      </c>
      <c r="H850" t="s">
        <v>51</v>
      </c>
      <c r="I850" t="s">
        <v>35</v>
      </c>
      <c r="J850" s="4">
        <v>20.46</v>
      </c>
      <c r="K850" s="4">
        <v>12.4</v>
      </c>
      <c r="L850">
        <v>5</v>
      </c>
      <c r="M850" s="4">
        <v>12.68</v>
      </c>
      <c r="N850" s="4">
        <v>241.02</v>
      </c>
      <c r="O850" s="4">
        <v>148.65</v>
      </c>
      <c r="P850" s="4">
        <v>8.8000000000000007</v>
      </c>
      <c r="Q850" s="4">
        <v>1.78</v>
      </c>
      <c r="R850" s="4">
        <v>3.54</v>
      </c>
      <c r="S850" s="4">
        <v>0</v>
      </c>
      <c r="T850" s="4">
        <v>0</v>
      </c>
      <c r="U850" s="4">
        <v>162.77000000000001</v>
      </c>
      <c r="V850" s="4">
        <v>78.25</v>
      </c>
      <c r="W850" t="s">
        <v>21</v>
      </c>
      <c r="X850" t="s">
        <v>36</v>
      </c>
      <c r="Y850" s="4">
        <v>0</v>
      </c>
      <c r="Z850" s="4">
        <v>9</v>
      </c>
      <c r="AA850" t="s">
        <v>37</v>
      </c>
      <c r="AB850" t="s">
        <v>38</v>
      </c>
      <c r="AC850" s="7">
        <v>0</v>
      </c>
      <c r="AD850" t="s">
        <v>39</v>
      </c>
      <c r="AE850">
        <f t="shared" si="13"/>
        <v>0</v>
      </c>
    </row>
    <row r="851" spans="1:31" x14ac:dyDescent="0.35">
      <c r="A851">
        <v>100850</v>
      </c>
      <c r="B851" s="3">
        <v>45970</v>
      </c>
      <c r="C851">
        <v>1063</v>
      </c>
      <c r="D851" t="s">
        <v>30</v>
      </c>
      <c r="E851" t="s">
        <v>31</v>
      </c>
      <c r="F851" t="s">
        <v>49</v>
      </c>
      <c r="G851" t="s">
        <v>63</v>
      </c>
      <c r="H851" t="s">
        <v>34</v>
      </c>
      <c r="I851" t="s">
        <v>42</v>
      </c>
      <c r="J851" s="4">
        <v>14.4</v>
      </c>
      <c r="K851" s="4">
        <v>12.29</v>
      </c>
      <c r="L851">
        <v>5</v>
      </c>
      <c r="M851" s="4">
        <v>8.85</v>
      </c>
      <c r="N851" s="4">
        <v>168.13</v>
      </c>
      <c r="O851" s="4">
        <v>113.46</v>
      </c>
      <c r="P851" s="4">
        <v>3.57</v>
      </c>
      <c r="Q851" s="4">
        <v>2.65</v>
      </c>
      <c r="R851" s="4">
        <v>11.81</v>
      </c>
      <c r="S851" s="4">
        <v>0</v>
      </c>
      <c r="T851" s="4">
        <v>0</v>
      </c>
      <c r="U851" s="4">
        <v>131.49</v>
      </c>
      <c r="V851" s="4">
        <v>36.64</v>
      </c>
      <c r="W851" t="s">
        <v>21</v>
      </c>
      <c r="X851" t="s">
        <v>36</v>
      </c>
      <c r="Y851" s="4">
        <v>8</v>
      </c>
      <c r="Z851" s="4">
        <v>0</v>
      </c>
      <c r="AA851" t="s">
        <v>37</v>
      </c>
      <c r="AB851" t="s">
        <v>38</v>
      </c>
      <c r="AC851" s="7">
        <v>0</v>
      </c>
      <c r="AD851" t="s">
        <v>39</v>
      </c>
      <c r="AE851">
        <f t="shared" si="13"/>
        <v>0</v>
      </c>
    </row>
    <row r="852" spans="1:31" x14ac:dyDescent="0.35">
      <c r="A852">
        <v>100851</v>
      </c>
      <c r="B852" s="3">
        <v>45994</v>
      </c>
      <c r="C852">
        <v>1026</v>
      </c>
      <c r="D852" t="s">
        <v>64</v>
      </c>
      <c r="E852" t="s">
        <v>67</v>
      </c>
      <c r="F852" t="s">
        <v>32</v>
      </c>
      <c r="G852" t="s">
        <v>50</v>
      </c>
      <c r="H852" t="s">
        <v>34</v>
      </c>
      <c r="I852" t="s">
        <v>35</v>
      </c>
      <c r="J852" s="4">
        <v>19.05</v>
      </c>
      <c r="K852" s="4">
        <v>19.62</v>
      </c>
      <c r="L852">
        <v>10</v>
      </c>
      <c r="M852" s="4">
        <v>37.380000000000003</v>
      </c>
      <c r="N852" s="4">
        <v>336.38</v>
      </c>
      <c r="O852" s="4">
        <v>143.62</v>
      </c>
      <c r="P852" s="4">
        <v>6.14</v>
      </c>
      <c r="Q852" s="4">
        <v>2.62</v>
      </c>
      <c r="R852" s="4">
        <v>6.2</v>
      </c>
      <c r="S852" s="4">
        <v>0</v>
      </c>
      <c r="T852" s="4">
        <v>0</v>
      </c>
      <c r="U852" s="4">
        <v>158.58000000000001</v>
      </c>
      <c r="V852" s="4">
        <v>177.8</v>
      </c>
      <c r="W852" t="s">
        <v>21</v>
      </c>
      <c r="X852" t="s">
        <v>36</v>
      </c>
      <c r="Y852" s="4">
        <v>20</v>
      </c>
      <c r="Z852" s="4">
        <v>4</v>
      </c>
      <c r="AA852" t="s">
        <v>52</v>
      </c>
      <c r="AB852" t="s">
        <v>38</v>
      </c>
      <c r="AC852" s="7">
        <v>0</v>
      </c>
      <c r="AD852" t="s">
        <v>39</v>
      </c>
      <c r="AE852">
        <f t="shared" si="13"/>
        <v>0</v>
      </c>
    </row>
    <row r="853" spans="1:31" x14ac:dyDescent="0.35">
      <c r="A853">
        <v>100852</v>
      </c>
      <c r="B853" s="3">
        <v>46018</v>
      </c>
      <c r="C853">
        <v>1139</v>
      </c>
      <c r="D853" t="s">
        <v>47</v>
      </c>
      <c r="E853" t="s">
        <v>74</v>
      </c>
      <c r="F853" t="s">
        <v>71</v>
      </c>
      <c r="G853" t="s">
        <v>46</v>
      </c>
      <c r="H853" t="s">
        <v>34</v>
      </c>
      <c r="I853" t="s">
        <v>54</v>
      </c>
      <c r="J853" s="4">
        <v>37.83</v>
      </c>
      <c r="K853" s="4">
        <v>16.170000000000002</v>
      </c>
      <c r="L853">
        <v>5</v>
      </c>
      <c r="M853" s="4">
        <v>30.59</v>
      </c>
      <c r="N853" s="4">
        <v>581.12</v>
      </c>
      <c r="O853" s="4">
        <v>325.32</v>
      </c>
      <c r="P853" s="4">
        <v>8.85</v>
      </c>
      <c r="Q853" s="4">
        <v>7.34</v>
      </c>
      <c r="R853" s="4">
        <v>5.99</v>
      </c>
      <c r="S853" s="4">
        <v>0</v>
      </c>
      <c r="T853" s="4">
        <v>0</v>
      </c>
      <c r="U853" s="4">
        <v>347.5</v>
      </c>
      <c r="V853" s="4">
        <v>233.62</v>
      </c>
      <c r="W853" t="s">
        <v>21</v>
      </c>
      <c r="X853" t="s">
        <v>36</v>
      </c>
      <c r="Y853" s="4">
        <v>36</v>
      </c>
      <c r="Z853" s="4">
        <v>3</v>
      </c>
      <c r="AA853" t="s">
        <v>43</v>
      </c>
      <c r="AB853" t="s">
        <v>44</v>
      </c>
      <c r="AC853" s="7">
        <v>2</v>
      </c>
      <c r="AD853" t="s">
        <v>45</v>
      </c>
      <c r="AE853">
        <f t="shared" si="13"/>
        <v>1</v>
      </c>
    </row>
    <row r="854" spans="1:31" x14ac:dyDescent="0.35">
      <c r="A854">
        <v>100853</v>
      </c>
      <c r="B854" s="3">
        <v>46013</v>
      </c>
      <c r="C854">
        <v>1099</v>
      </c>
      <c r="D854" t="s">
        <v>47</v>
      </c>
      <c r="E854" t="s">
        <v>74</v>
      </c>
      <c r="F854" t="s">
        <v>41</v>
      </c>
      <c r="G854" t="s">
        <v>50</v>
      </c>
      <c r="H854" t="s">
        <v>34</v>
      </c>
      <c r="I854" t="s">
        <v>42</v>
      </c>
      <c r="J854" s="4">
        <v>31.68</v>
      </c>
      <c r="K854" s="4">
        <v>20.16</v>
      </c>
      <c r="L854">
        <v>0</v>
      </c>
      <c r="M854" s="4">
        <v>0</v>
      </c>
      <c r="N854" s="4">
        <v>638.66999999999996</v>
      </c>
      <c r="O854" s="4">
        <v>228.53</v>
      </c>
      <c r="P854" s="4">
        <v>7.85</v>
      </c>
      <c r="Q854" s="4">
        <v>9.58</v>
      </c>
      <c r="R854" s="4">
        <v>8.58</v>
      </c>
      <c r="S854" s="4">
        <v>0</v>
      </c>
      <c r="T854" s="4">
        <v>0</v>
      </c>
      <c r="U854" s="4">
        <v>254.54</v>
      </c>
      <c r="V854" s="4">
        <v>384.13</v>
      </c>
      <c r="W854" t="s">
        <v>21</v>
      </c>
      <c r="X854" t="s">
        <v>36</v>
      </c>
      <c r="Y854" s="4">
        <v>9</v>
      </c>
      <c r="Z854" s="4">
        <v>2</v>
      </c>
      <c r="AA854" t="s">
        <v>37</v>
      </c>
      <c r="AB854" t="s">
        <v>38</v>
      </c>
      <c r="AC854" s="7">
        <v>0</v>
      </c>
      <c r="AD854" t="s">
        <v>39</v>
      </c>
      <c r="AE854">
        <f t="shared" si="13"/>
        <v>0</v>
      </c>
    </row>
    <row r="855" spans="1:31" x14ac:dyDescent="0.35">
      <c r="A855">
        <v>100854</v>
      </c>
      <c r="B855" s="3">
        <v>45958</v>
      </c>
      <c r="C855">
        <v>1125</v>
      </c>
      <c r="D855" t="s">
        <v>64</v>
      </c>
      <c r="E855" t="s">
        <v>67</v>
      </c>
      <c r="F855" t="s">
        <v>41</v>
      </c>
      <c r="G855" t="s">
        <v>33</v>
      </c>
      <c r="H855" t="s">
        <v>51</v>
      </c>
      <c r="I855" t="s">
        <v>35</v>
      </c>
      <c r="J855" s="4">
        <v>27.21</v>
      </c>
      <c r="K855" s="4">
        <v>19.05</v>
      </c>
      <c r="L855">
        <v>0</v>
      </c>
      <c r="M855" s="4">
        <v>0</v>
      </c>
      <c r="N855" s="4">
        <v>518.35</v>
      </c>
      <c r="O855" s="4">
        <v>207.41</v>
      </c>
      <c r="P855" s="4">
        <v>7.33</v>
      </c>
      <c r="Q855" s="4">
        <v>3.63</v>
      </c>
      <c r="R855" s="4">
        <v>8.19</v>
      </c>
      <c r="S855" s="4">
        <v>0</v>
      </c>
      <c r="T855" s="4">
        <v>0</v>
      </c>
      <c r="U855" s="4">
        <v>226.56</v>
      </c>
      <c r="V855" s="4">
        <v>291.79000000000002</v>
      </c>
      <c r="W855" t="s">
        <v>21</v>
      </c>
      <c r="X855" t="s">
        <v>36</v>
      </c>
      <c r="Y855" s="4">
        <v>1</v>
      </c>
      <c r="Z855" s="4">
        <v>2</v>
      </c>
      <c r="AA855" t="s">
        <v>37</v>
      </c>
      <c r="AB855" t="s">
        <v>38</v>
      </c>
      <c r="AC855" s="7">
        <v>0</v>
      </c>
      <c r="AD855" t="s">
        <v>39</v>
      </c>
      <c r="AE855">
        <f t="shared" si="13"/>
        <v>0</v>
      </c>
    </row>
    <row r="856" spans="1:31" x14ac:dyDescent="0.35">
      <c r="A856">
        <v>100855</v>
      </c>
      <c r="B856" s="3">
        <v>45963</v>
      </c>
      <c r="C856">
        <v>1127</v>
      </c>
      <c r="D856" t="s">
        <v>59</v>
      </c>
      <c r="E856" t="s">
        <v>60</v>
      </c>
      <c r="F856" t="s">
        <v>41</v>
      </c>
      <c r="G856" t="s">
        <v>50</v>
      </c>
      <c r="H856" t="s">
        <v>34</v>
      </c>
      <c r="I856" t="s">
        <v>54</v>
      </c>
      <c r="J856" s="4">
        <v>31.3</v>
      </c>
      <c r="K856" s="4">
        <v>17.940000000000001</v>
      </c>
      <c r="L856">
        <v>0</v>
      </c>
      <c r="M856" s="4">
        <v>0</v>
      </c>
      <c r="N856" s="4">
        <v>561.52</v>
      </c>
      <c r="O856" s="4">
        <v>262.72000000000003</v>
      </c>
      <c r="P856" s="4">
        <v>8.75</v>
      </c>
      <c r="Q856" s="4">
        <v>6.74</v>
      </c>
      <c r="R856" s="4">
        <v>6.26</v>
      </c>
      <c r="S856" s="4">
        <v>0</v>
      </c>
      <c r="T856" s="4">
        <v>0</v>
      </c>
      <c r="U856" s="4">
        <v>284.47000000000003</v>
      </c>
      <c r="V856" s="4">
        <v>277.05</v>
      </c>
      <c r="W856" t="s">
        <v>21</v>
      </c>
      <c r="X856" t="s">
        <v>36</v>
      </c>
      <c r="Y856" s="4">
        <v>14</v>
      </c>
      <c r="Z856" s="4">
        <v>43</v>
      </c>
      <c r="AA856" t="s">
        <v>37</v>
      </c>
      <c r="AB856" t="s">
        <v>44</v>
      </c>
      <c r="AC856" s="7">
        <v>2</v>
      </c>
      <c r="AD856" t="s">
        <v>45</v>
      </c>
      <c r="AE856">
        <f t="shared" si="13"/>
        <v>1</v>
      </c>
    </row>
    <row r="857" spans="1:31" x14ac:dyDescent="0.35">
      <c r="A857">
        <v>100856</v>
      </c>
      <c r="B857" s="3">
        <v>45961</v>
      </c>
      <c r="C857">
        <v>1049</v>
      </c>
      <c r="D857" t="s">
        <v>64</v>
      </c>
      <c r="E857" t="s">
        <v>67</v>
      </c>
      <c r="F857" t="s">
        <v>61</v>
      </c>
      <c r="G857" t="s">
        <v>33</v>
      </c>
      <c r="H857" t="s">
        <v>34</v>
      </c>
      <c r="I857" t="s">
        <v>35</v>
      </c>
      <c r="J857" s="4">
        <v>10.23</v>
      </c>
      <c r="K857" s="4">
        <v>18.68</v>
      </c>
      <c r="L857">
        <v>15</v>
      </c>
      <c r="M857" s="4">
        <v>28.66</v>
      </c>
      <c r="N857" s="4">
        <v>162.44</v>
      </c>
      <c r="O857" s="4">
        <v>83.91</v>
      </c>
      <c r="P857" s="4">
        <v>3.55</v>
      </c>
      <c r="Q857" s="4">
        <v>1.34</v>
      </c>
      <c r="R857" s="4">
        <v>0.34</v>
      </c>
      <c r="S857" s="4">
        <v>0</v>
      </c>
      <c r="T857" s="4">
        <v>0</v>
      </c>
      <c r="U857" s="4">
        <v>89.14</v>
      </c>
      <c r="V857" s="4">
        <v>73.3</v>
      </c>
      <c r="W857" t="s">
        <v>21</v>
      </c>
      <c r="X857" t="s">
        <v>36</v>
      </c>
      <c r="Y857" s="4">
        <v>7</v>
      </c>
      <c r="Z857" s="4">
        <v>23</v>
      </c>
      <c r="AA857" t="s">
        <v>37</v>
      </c>
      <c r="AB857" t="s">
        <v>44</v>
      </c>
      <c r="AC857" s="7">
        <v>1</v>
      </c>
      <c r="AD857" t="s">
        <v>45</v>
      </c>
      <c r="AE857">
        <f t="shared" si="13"/>
        <v>1</v>
      </c>
    </row>
    <row r="858" spans="1:31" x14ac:dyDescent="0.35">
      <c r="A858">
        <v>100857</v>
      </c>
      <c r="B858" s="3">
        <v>45932</v>
      </c>
      <c r="C858">
        <v>1134</v>
      </c>
      <c r="D858" t="s">
        <v>47</v>
      </c>
      <c r="E858" t="s">
        <v>56</v>
      </c>
      <c r="F858" t="s">
        <v>49</v>
      </c>
      <c r="G858" t="s">
        <v>46</v>
      </c>
      <c r="H858" t="s">
        <v>34</v>
      </c>
      <c r="I858" t="s">
        <v>35</v>
      </c>
      <c r="J858" s="4">
        <v>40</v>
      </c>
      <c r="K858" s="4">
        <v>15.76</v>
      </c>
      <c r="L858">
        <v>15</v>
      </c>
      <c r="M858" s="4">
        <v>94.56</v>
      </c>
      <c r="N858" s="4">
        <v>535.84</v>
      </c>
      <c r="O858" s="4">
        <v>308.67</v>
      </c>
      <c r="P858" s="4">
        <v>8.81</v>
      </c>
      <c r="Q858" s="4">
        <v>4.41</v>
      </c>
      <c r="R858" s="4">
        <v>13.39</v>
      </c>
      <c r="S858" s="4">
        <v>0</v>
      </c>
      <c r="T858" s="4">
        <v>0</v>
      </c>
      <c r="U858" s="4">
        <v>335.28</v>
      </c>
      <c r="V858" s="4">
        <v>200.56</v>
      </c>
      <c r="W858" t="s">
        <v>21</v>
      </c>
      <c r="X858" t="s">
        <v>36</v>
      </c>
      <c r="Y858" s="4">
        <v>1</v>
      </c>
      <c r="Z858" s="4">
        <v>13</v>
      </c>
      <c r="AA858" t="s">
        <v>37</v>
      </c>
      <c r="AB858" t="s">
        <v>38</v>
      </c>
      <c r="AC858" s="7">
        <v>0</v>
      </c>
      <c r="AD858" t="s">
        <v>39</v>
      </c>
      <c r="AE858">
        <f t="shared" si="13"/>
        <v>0</v>
      </c>
    </row>
    <row r="859" spans="1:31" x14ac:dyDescent="0.35">
      <c r="A859">
        <v>100858</v>
      </c>
      <c r="B859" s="3">
        <v>45939</v>
      </c>
      <c r="C859">
        <v>1060</v>
      </c>
      <c r="D859" t="s">
        <v>47</v>
      </c>
      <c r="E859" t="s">
        <v>48</v>
      </c>
      <c r="F859" t="s">
        <v>32</v>
      </c>
      <c r="G859" t="s">
        <v>50</v>
      </c>
      <c r="H859" t="s">
        <v>34</v>
      </c>
      <c r="I859" t="s">
        <v>35</v>
      </c>
      <c r="J859" s="4">
        <v>29.72</v>
      </c>
      <c r="K859" s="4">
        <v>16.87</v>
      </c>
      <c r="L859">
        <v>0</v>
      </c>
      <c r="M859" s="4">
        <v>0</v>
      </c>
      <c r="N859" s="4">
        <v>501.38</v>
      </c>
      <c r="O859" s="4">
        <v>209.45</v>
      </c>
      <c r="P859" s="4">
        <v>13.49</v>
      </c>
      <c r="Q859" s="4">
        <v>3.51</v>
      </c>
      <c r="R859" s="4">
        <v>6.14</v>
      </c>
      <c r="S859" s="4">
        <v>0</v>
      </c>
      <c r="T859" s="4">
        <v>0</v>
      </c>
      <c r="U859" s="4">
        <v>232.59</v>
      </c>
      <c r="V859" s="4">
        <v>268.79000000000002</v>
      </c>
      <c r="W859" t="s">
        <v>21</v>
      </c>
      <c r="X859" t="s">
        <v>36</v>
      </c>
      <c r="Y859" s="4">
        <v>13</v>
      </c>
      <c r="Z859" s="4">
        <v>0</v>
      </c>
      <c r="AA859" t="s">
        <v>37</v>
      </c>
      <c r="AB859" t="s">
        <v>38</v>
      </c>
      <c r="AC859" s="7">
        <v>0</v>
      </c>
      <c r="AD859" t="s">
        <v>39</v>
      </c>
      <c r="AE859">
        <f t="shared" si="13"/>
        <v>0</v>
      </c>
    </row>
    <row r="860" spans="1:31" x14ac:dyDescent="0.35">
      <c r="A860">
        <v>100859</v>
      </c>
      <c r="B860" s="3">
        <v>45979</v>
      </c>
      <c r="C860">
        <v>1109</v>
      </c>
      <c r="D860" t="s">
        <v>59</v>
      </c>
      <c r="E860" t="s">
        <v>73</v>
      </c>
      <c r="F860" t="s">
        <v>41</v>
      </c>
      <c r="G860" t="s">
        <v>50</v>
      </c>
      <c r="H860" t="s">
        <v>34</v>
      </c>
      <c r="I860" t="s">
        <v>35</v>
      </c>
      <c r="J860" s="4">
        <v>9.56</v>
      </c>
      <c r="K860" s="4">
        <v>17.55</v>
      </c>
      <c r="L860">
        <v>0</v>
      </c>
      <c r="M860" s="4">
        <v>0</v>
      </c>
      <c r="N860" s="4">
        <v>167.78</v>
      </c>
      <c r="O860" s="4">
        <v>68.209999999999994</v>
      </c>
      <c r="P860" s="4">
        <v>9.1199999999999992</v>
      </c>
      <c r="Q860" s="4">
        <v>1.17</v>
      </c>
      <c r="R860" s="4">
        <v>0</v>
      </c>
      <c r="S860" s="4">
        <v>0</v>
      </c>
      <c r="T860" s="4">
        <v>0</v>
      </c>
      <c r="U860" s="4">
        <v>78.5</v>
      </c>
      <c r="V860" s="4">
        <v>89.28</v>
      </c>
      <c r="W860" t="s">
        <v>21</v>
      </c>
      <c r="X860" t="s">
        <v>36</v>
      </c>
      <c r="Y860" s="4">
        <v>5</v>
      </c>
      <c r="Z860" s="4">
        <v>1</v>
      </c>
      <c r="AA860" t="s">
        <v>37</v>
      </c>
      <c r="AB860" t="s">
        <v>38</v>
      </c>
      <c r="AC860" s="7">
        <v>1</v>
      </c>
      <c r="AD860" t="s">
        <v>39</v>
      </c>
      <c r="AE860">
        <f t="shared" si="13"/>
        <v>0</v>
      </c>
    </row>
    <row r="861" spans="1:31" x14ac:dyDescent="0.35">
      <c r="A861">
        <v>100860</v>
      </c>
      <c r="B861" s="3">
        <v>45946</v>
      </c>
      <c r="C861">
        <v>1028</v>
      </c>
      <c r="D861" t="s">
        <v>64</v>
      </c>
      <c r="E861" t="s">
        <v>76</v>
      </c>
      <c r="F861" t="s">
        <v>61</v>
      </c>
      <c r="G861" t="s">
        <v>33</v>
      </c>
      <c r="H861" t="s">
        <v>34</v>
      </c>
      <c r="I861" t="s">
        <v>35</v>
      </c>
      <c r="J861" s="4">
        <v>27.1</v>
      </c>
      <c r="K861" s="4">
        <v>18.57</v>
      </c>
      <c r="L861">
        <v>0</v>
      </c>
      <c r="M861" s="4">
        <v>0</v>
      </c>
      <c r="N861" s="4">
        <v>503.25</v>
      </c>
      <c r="O861" s="4">
        <v>161.69999999999999</v>
      </c>
      <c r="P861" s="4">
        <v>4.07</v>
      </c>
      <c r="Q861" s="4">
        <v>3.52</v>
      </c>
      <c r="R861" s="4">
        <v>0</v>
      </c>
      <c r="S861" s="4">
        <v>0</v>
      </c>
      <c r="T861" s="4">
        <v>0</v>
      </c>
      <c r="U861" s="4">
        <v>169.29</v>
      </c>
      <c r="V861" s="4">
        <v>333.96</v>
      </c>
      <c r="W861" t="s">
        <v>21</v>
      </c>
      <c r="X861" t="s">
        <v>36</v>
      </c>
      <c r="Y861" s="4">
        <v>13</v>
      </c>
      <c r="Z861" s="4">
        <v>45</v>
      </c>
      <c r="AA861" t="s">
        <v>37</v>
      </c>
      <c r="AB861" t="s">
        <v>44</v>
      </c>
      <c r="AC861" s="7">
        <v>2</v>
      </c>
      <c r="AD861" t="s">
        <v>45</v>
      </c>
      <c r="AE861">
        <f t="shared" si="13"/>
        <v>1</v>
      </c>
    </row>
    <row r="862" spans="1:31" x14ac:dyDescent="0.35">
      <c r="A862">
        <v>100861</v>
      </c>
      <c r="B862" s="3">
        <v>45954</v>
      </c>
      <c r="C862">
        <v>1140</v>
      </c>
      <c r="D862" t="s">
        <v>59</v>
      </c>
      <c r="E862" t="s">
        <v>60</v>
      </c>
      <c r="F862" t="s">
        <v>41</v>
      </c>
      <c r="G862" t="s">
        <v>63</v>
      </c>
      <c r="H862" t="s">
        <v>34</v>
      </c>
      <c r="I862" t="s">
        <v>42</v>
      </c>
      <c r="J862" s="4">
        <v>23.78</v>
      </c>
      <c r="K862" s="4">
        <v>12.59</v>
      </c>
      <c r="L862">
        <v>15</v>
      </c>
      <c r="M862" s="4">
        <v>44.91</v>
      </c>
      <c r="N862" s="4">
        <v>254.48</v>
      </c>
      <c r="O862" s="4">
        <v>148.94999999999999</v>
      </c>
      <c r="P862" s="4">
        <v>8.6199999999999992</v>
      </c>
      <c r="Q862" s="4">
        <v>4.49</v>
      </c>
      <c r="R862" s="4">
        <v>1.52</v>
      </c>
      <c r="S862" s="4">
        <v>0</v>
      </c>
      <c r="T862" s="4">
        <v>0</v>
      </c>
      <c r="U862" s="4">
        <v>163.58000000000001</v>
      </c>
      <c r="V862" s="4">
        <v>90.9</v>
      </c>
      <c r="W862" t="s">
        <v>21</v>
      </c>
      <c r="X862" t="s">
        <v>36</v>
      </c>
      <c r="Y862" s="4">
        <v>11</v>
      </c>
      <c r="Z862" s="4">
        <v>16</v>
      </c>
      <c r="AA862" t="s">
        <v>37</v>
      </c>
      <c r="AB862" t="s">
        <v>44</v>
      </c>
      <c r="AC862" s="7">
        <v>3</v>
      </c>
      <c r="AD862" t="s">
        <v>45</v>
      </c>
      <c r="AE862">
        <f t="shared" si="13"/>
        <v>1</v>
      </c>
    </row>
    <row r="863" spans="1:31" x14ac:dyDescent="0.35">
      <c r="A863">
        <v>100862</v>
      </c>
      <c r="B863" s="3">
        <v>45955</v>
      </c>
      <c r="C863">
        <v>1074</v>
      </c>
      <c r="D863" t="s">
        <v>64</v>
      </c>
      <c r="E863" t="s">
        <v>76</v>
      </c>
      <c r="F863" t="s">
        <v>49</v>
      </c>
      <c r="G863" t="s">
        <v>46</v>
      </c>
      <c r="H863" t="s">
        <v>34</v>
      </c>
      <c r="I863" t="s">
        <v>35</v>
      </c>
      <c r="J863" s="4">
        <v>29.93</v>
      </c>
      <c r="K863" s="4">
        <v>15.97</v>
      </c>
      <c r="L863">
        <v>5</v>
      </c>
      <c r="M863" s="4">
        <v>23.9</v>
      </c>
      <c r="N863" s="4">
        <v>454.08</v>
      </c>
      <c r="O863" s="4">
        <v>191.89</v>
      </c>
      <c r="P863" s="4">
        <v>1.7</v>
      </c>
      <c r="Q863" s="4">
        <v>3.35</v>
      </c>
      <c r="R863" s="4">
        <v>11.43</v>
      </c>
      <c r="S863" s="4">
        <v>0</v>
      </c>
      <c r="T863" s="4">
        <v>0</v>
      </c>
      <c r="U863" s="4">
        <v>208.37</v>
      </c>
      <c r="V863" s="4">
        <v>245.71</v>
      </c>
      <c r="W863" t="s">
        <v>21</v>
      </c>
      <c r="X863" t="s">
        <v>36</v>
      </c>
      <c r="Y863" s="4">
        <v>27</v>
      </c>
      <c r="Z863" s="4">
        <v>12</v>
      </c>
      <c r="AA863" t="s">
        <v>52</v>
      </c>
      <c r="AB863" t="s">
        <v>44</v>
      </c>
      <c r="AC863" s="7">
        <v>1</v>
      </c>
      <c r="AD863" t="s">
        <v>45</v>
      </c>
      <c r="AE863">
        <f t="shared" si="13"/>
        <v>1</v>
      </c>
    </row>
    <row r="864" spans="1:31" x14ac:dyDescent="0.35">
      <c r="A864">
        <v>100863</v>
      </c>
      <c r="B864" s="3">
        <v>45975</v>
      </c>
      <c r="C864">
        <v>1055</v>
      </c>
      <c r="D864" t="s">
        <v>59</v>
      </c>
      <c r="E864" t="s">
        <v>73</v>
      </c>
      <c r="F864" t="s">
        <v>61</v>
      </c>
      <c r="G864" t="s">
        <v>63</v>
      </c>
      <c r="H864" t="s">
        <v>34</v>
      </c>
      <c r="I864" t="s">
        <v>54</v>
      </c>
      <c r="J864" s="4">
        <v>11.86</v>
      </c>
      <c r="K864" s="4">
        <v>13.39</v>
      </c>
      <c r="L864">
        <v>5</v>
      </c>
      <c r="M864" s="4">
        <v>7.94</v>
      </c>
      <c r="N864" s="4">
        <v>150.87</v>
      </c>
      <c r="O864" s="4">
        <v>78.67</v>
      </c>
      <c r="P864" s="4">
        <v>11.02</v>
      </c>
      <c r="Q864" s="4">
        <v>1.91</v>
      </c>
      <c r="R864" s="4">
        <v>3.45</v>
      </c>
      <c r="S864" s="4">
        <v>0</v>
      </c>
      <c r="T864" s="4">
        <v>0</v>
      </c>
      <c r="U864" s="4">
        <v>95.05</v>
      </c>
      <c r="V864" s="4">
        <v>55.82</v>
      </c>
      <c r="W864" t="s">
        <v>21</v>
      </c>
      <c r="X864" t="s">
        <v>36</v>
      </c>
      <c r="Y864" s="4">
        <v>2</v>
      </c>
      <c r="Z864" s="4">
        <v>9</v>
      </c>
      <c r="AA864" t="s">
        <v>37</v>
      </c>
      <c r="AB864" t="s">
        <v>38</v>
      </c>
      <c r="AC864" s="7">
        <v>2</v>
      </c>
      <c r="AD864" t="s">
        <v>39</v>
      </c>
      <c r="AE864">
        <f t="shared" si="13"/>
        <v>0</v>
      </c>
    </row>
    <row r="865" spans="1:31" x14ac:dyDescent="0.35">
      <c r="A865">
        <v>100864</v>
      </c>
      <c r="B865" s="3">
        <v>45948</v>
      </c>
      <c r="C865">
        <v>1143</v>
      </c>
      <c r="D865" t="s">
        <v>47</v>
      </c>
      <c r="E865" t="s">
        <v>74</v>
      </c>
      <c r="F865" t="s">
        <v>41</v>
      </c>
      <c r="G865" t="s">
        <v>50</v>
      </c>
      <c r="H865" t="s">
        <v>57</v>
      </c>
      <c r="I865" t="s">
        <v>69</v>
      </c>
      <c r="J865" s="4">
        <v>28.62</v>
      </c>
      <c r="K865" s="4">
        <v>16.53</v>
      </c>
      <c r="L865">
        <v>5</v>
      </c>
      <c r="M865" s="4">
        <v>23.65</v>
      </c>
      <c r="N865" s="4">
        <v>449.44</v>
      </c>
      <c r="O865" s="4">
        <v>201.57</v>
      </c>
      <c r="P865" s="4">
        <v>8.0500000000000007</v>
      </c>
      <c r="Q865" s="4">
        <v>1.89</v>
      </c>
      <c r="R865" s="4">
        <v>5.24</v>
      </c>
      <c r="S865" s="4">
        <v>0</v>
      </c>
      <c r="T865" s="4">
        <v>0</v>
      </c>
      <c r="U865" s="4">
        <v>216.75</v>
      </c>
      <c r="V865" s="4">
        <v>232.69</v>
      </c>
      <c r="W865" t="s">
        <v>21</v>
      </c>
      <c r="X865" t="s">
        <v>36</v>
      </c>
      <c r="Y865" s="4">
        <v>0</v>
      </c>
      <c r="Z865" s="4">
        <v>17</v>
      </c>
      <c r="AA865" t="s">
        <v>37</v>
      </c>
      <c r="AB865" t="s">
        <v>44</v>
      </c>
      <c r="AC865" s="7">
        <v>2</v>
      </c>
      <c r="AD865" t="s">
        <v>45</v>
      </c>
      <c r="AE865">
        <f t="shared" si="13"/>
        <v>1</v>
      </c>
    </row>
    <row r="866" spans="1:31" x14ac:dyDescent="0.35">
      <c r="A866">
        <v>100865</v>
      </c>
      <c r="B866" s="3">
        <v>46015</v>
      </c>
      <c r="C866">
        <v>1047</v>
      </c>
      <c r="D866" t="s">
        <v>64</v>
      </c>
      <c r="E866" t="s">
        <v>76</v>
      </c>
      <c r="F866" t="s">
        <v>32</v>
      </c>
      <c r="G866" t="s">
        <v>46</v>
      </c>
      <c r="H866" t="s">
        <v>57</v>
      </c>
      <c r="I866" t="s">
        <v>69</v>
      </c>
      <c r="J866" s="4">
        <v>21.38</v>
      </c>
      <c r="K866" s="4">
        <v>17.12</v>
      </c>
      <c r="L866">
        <v>0</v>
      </c>
      <c r="M866" s="4">
        <v>0</v>
      </c>
      <c r="N866" s="4">
        <v>366.03</v>
      </c>
      <c r="O866" s="4">
        <v>160.34</v>
      </c>
      <c r="P866" s="4">
        <v>6.76</v>
      </c>
      <c r="Q866" s="4">
        <v>1.46</v>
      </c>
      <c r="R866" s="4">
        <v>5.09</v>
      </c>
      <c r="S866" s="4">
        <v>0</v>
      </c>
      <c r="T866" s="4">
        <v>0</v>
      </c>
      <c r="U866" s="4">
        <v>173.65</v>
      </c>
      <c r="V866" s="4">
        <v>192.38</v>
      </c>
      <c r="W866" t="s">
        <v>21</v>
      </c>
      <c r="X866" t="s">
        <v>36</v>
      </c>
      <c r="Y866" s="4">
        <v>4</v>
      </c>
      <c r="Z866" s="4">
        <v>0</v>
      </c>
      <c r="AA866" t="s">
        <v>37</v>
      </c>
      <c r="AB866" t="s">
        <v>38</v>
      </c>
      <c r="AC866" s="7">
        <v>0</v>
      </c>
      <c r="AD866" t="s">
        <v>39</v>
      </c>
      <c r="AE866">
        <f t="shared" si="13"/>
        <v>0</v>
      </c>
    </row>
    <row r="867" spans="1:31" x14ac:dyDescent="0.35">
      <c r="A867">
        <v>100866</v>
      </c>
      <c r="B867" s="3">
        <v>45996</v>
      </c>
      <c r="C867">
        <v>1015</v>
      </c>
      <c r="D867" t="s">
        <v>64</v>
      </c>
      <c r="E867" t="s">
        <v>76</v>
      </c>
      <c r="F867" t="s">
        <v>41</v>
      </c>
      <c r="G867" t="s">
        <v>63</v>
      </c>
      <c r="H867" t="s">
        <v>34</v>
      </c>
      <c r="I867" t="s">
        <v>35</v>
      </c>
      <c r="J867" s="4">
        <v>9.6199999999999992</v>
      </c>
      <c r="K867" s="4">
        <v>11.61</v>
      </c>
      <c r="L867">
        <v>0</v>
      </c>
      <c r="M867" s="4">
        <v>0</v>
      </c>
      <c r="N867" s="4">
        <v>111.69</v>
      </c>
      <c r="O867" s="4">
        <v>75.63</v>
      </c>
      <c r="P867" s="4">
        <v>10.7</v>
      </c>
      <c r="Q867" s="4">
        <v>0.78</v>
      </c>
      <c r="R867" s="4">
        <v>10.79</v>
      </c>
      <c r="S867" s="4">
        <v>0</v>
      </c>
      <c r="T867" s="4">
        <v>0</v>
      </c>
      <c r="U867" s="4">
        <v>97.9</v>
      </c>
      <c r="V867" s="4">
        <v>13.79</v>
      </c>
      <c r="W867" t="s">
        <v>21</v>
      </c>
      <c r="X867" t="s">
        <v>36</v>
      </c>
      <c r="Y867" s="4">
        <v>16</v>
      </c>
      <c r="Z867" s="4">
        <v>4</v>
      </c>
      <c r="AA867" t="s">
        <v>52</v>
      </c>
      <c r="AB867" t="s">
        <v>38</v>
      </c>
      <c r="AC867" s="7">
        <v>0</v>
      </c>
      <c r="AD867" t="s">
        <v>39</v>
      </c>
      <c r="AE867">
        <f t="shared" si="13"/>
        <v>0</v>
      </c>
    </row>
    <row r="868" spans="1:31" x14ac:dyDescent="0.35">
      <c r="A868">
        <v>100867</v>
      </c>
      <c r="B868" s="3">
        <v>45978</v>
      </c>
      <c r="C868">
        <v>1005</v>
      </c>
      <c r="D868" t="s">
        <v>64</v>
      </c>
      <c r="E868" t="s">
        <v>65</v>
      </c>
      <c r="F868" t="s">
        <v>61</v>
      </c>
      <c r="G868" t="s">
        <v>50</v>
      </c>
      <c r="H868" t="s">
        <v>57</v>
      </c>
      <c r="I868" t="s">
        <v>35</v>
      </c>
      <c r="J868" s="4">
        <v>41.64</v>
      </c>
      <c r="K868" s="4">
        <v>18.190000000000001</v>
      </c>
      <c r="L868">
        <v>0</v>
      </c>
      <c r="M868" s="4">
        <v>0</v>
      </c>
      <c r="N868" s="4">
        <v>757.43</v>
      </c>
      <c r="O868" s="4">
        <v>297.57</v>
      </c>
      <c r="P868" s="4">
        <v>8.83</v>
      </c>
      <c r="Q868" s="4">
        <v>5.3</v>
      </c>
      <c r="R868" s="4">
        <v>4.28</v>
      </c>
      <c r="S868" s="4">
        <v>0</v>
      </c>
      <c r="T868" s="4">
        <v>0</v>
      </c>
      <c r="U868" s="4">
        <v>315.98</v>
      </c>
      <c r="V868" s="4">
        <v>441.45</v>
      </c>
      <c r="W868" t="s">
        <v>21</v>
      </c>
      <c r="X868" t="s">
        <v>36</v>
      </c>
      <c r="Y868" s="4">
        <v>3</v>
      </c>
      <c r="Z868" s="4">
        <v>2</v>
      </c>
      <c r="AA868" t="s">
        <v>37</v>
      </c>
      <c r="AB868" t="s">
        <v>38</v>
      </c>
      <c r="AC868" s="7">
        <v>0</v>
      </c>
      <c r="AD868" t="s">
        <v>39</v>
      </c>
      <c r="AE868">
        <f t="shared" si="13"/>
        <v>0</v>
      </c>
    </row>
    <row r="869" spans="1:31" x14ac:dyDescent="0.35">
      <c r="A869">
        <v>100868</v>
      </c>
      <c r="B869" s="3">
        <v>46022</v>
      </c>
      <c r="C869">
        <v>1098</v>
      </c>
      <c r="D869" t="s">
        <v>47</v>
      </c>
      <c r="E869" t="s">
        <v>56</v>
      </c>
      <c r="F869" t="s">
        <v>71</v>
      </c>
      <c r="G869" t="s">
        <v>63</v>
      </c>
      <c r="H869" t="s">
        <v>34</v>
      </c>
      <c r="I869" t="s">
        <v>69</v>
      </c>
      <c r="J869" s="4">
        <v>27.76</v>
      </c>
      <c r="K869" s="4">
        <v>11.65</v>
      </c>
      <c r="L869">
        <v>0</v>
      </c>
      <c r="M869" s="4">
        <v>0</v>
      </c>
      <c r="N869" s="4">
        <v>323.39999999999998</v>
      </c>
      <c r="O869" s="4">
        <v>216.69</v>
      </c>
      <c r="P869" s="4">
        <v>7.55</v>
      </c>
      <c r="Q869" s="4">
        <v>1.29</v>
      </c>
      <c r="R869" s="4">
        <v>0.9</v>
      </c>
      <c r="S869" s="4">
        <v>0</v>
      </c>
      <c r="T869" s="4">
        <v>0</v>
      </c>
      <c r="U869" s="4">
        <v>226.43</v>
      </c>
      <c r="V869" s="4">
        <v>96.97</v>
      </c>
      <c r="W869" t="s">
        <v>21</v>
      </c>
      <c r="X869" t="s">
        <v>36</v>
      </c>
      <c r="Y869" s="4">
        <v>5</v>
      </c>
      <c r="Z869" s="4">
        <v>11</v>
      </c>
      <c r="AA869" t="s">
        <v>37</v>
      </c>
      <c r="AB869" t="s">
        <v>38</v>
      </c>
      <c r="AC869" s="7">
        <v>0</v>
      </c>
      <c r="AD869" t="s">
        <v>39</v>
      </c>
      <c r="AE869">
        <f t="shared" si="13"/>
        <v>0</v>
      </c>
    </row>
    <row r="870" spans="1:31" x14ac:dyDescent="0.35">
      <c r="A870">
        <v>100869</v>
      </c>
      <c r="B870" s="3">
        <v>46010</v>
      </c>
      <c r="C870">
        <v>1072</v>
      </c>
      <c r="D870" t="s">
        <v>30</v>
      </c>
      <c r="E870" t="s">
        <v>31</v>
      </c>
      <c r="F870" t="s">
        <v>61</v>
      </c>
      <c r="G870" t="s">
        <v>63</v>
      </c>
      <c r="H870" t="s">
        <v>34</v>
      </c>
      <c r="I870" t="s">
        <v>35</v>
      </c>
      <c r="J870" s="4">
        <v>11.4</v>
      </c>
      <c r="K870" s="4">
        <v>14.79</v>
      </c>
      <c r="L870">
        <v>5</v>
      </c>
      <c r="M870" s="4">
        <v>8.43</v>
      </c>
      <c r="N870" s="4">
        <v>160.18</v>
      </c>
      <c r="O870" s="4">
        <v>75.64</v>
      </c>
      <c r="P870" s="4">
        <v>4.78</v>
      </c>
      <c r="Q870" s="4">
        <v>1.18</v>
      </c>
      <c r="R870" s="4">
        <v>5.32</v>
      </c>
      <c r="S870" s="4">
        <v>0</v>
      </c>
      <c r="T870" s="4">
        <v>0</v>
      </c>
      <c r="U870" s="4">
        <v>86.92</v>
      </c>
      <c r="V870" s="4">
        <v>73.260000000000005</v>
      </c>
      <c r="W870" t="s">
        <v>21</v>
      </c>
      <c r="X870" t="s">
        <v>36</v>
      </c>
      <c r="Y870" s="4">
        <v>1</v>
      </c>
      <c r="Z870" s="4">
        <v>3</v>
      </c>
      <c r="AA870" t="s">
        <v>37</v>
      </c>
      <c r="AB870" t="s">
        <v>38</v>
      </c>
      <c r="AC870" s="7">
        <v>0</v>
      </c>
      <c r="AD870" t="s">
        <v>39</v>
      </c>
      <c r="AE870">
        <f t="shared" si="13"/>
        <v>0</v>
      </c>
    </row>
    <row r="871" spans="1:31" x14ac:dyDescent="0.35">
      <c r="A871">
        <v>100870</v>
      </c>
      <c r="B871" s="3">
        <v>46022</v>
      </c>
      <c r="C871">
        <v>1063</v>
      </c>
      <c r="D871" t="s">
        <v>30</v>
      </c>
      <c r="E871" t="s">
        <v>40</v>
      </c>
      <c r="F871" t="s">
        <v>32</v>
      </c>
      <c r="G871" t="s">
        <v>63</v>
      </c>
      <c r="H871" t="s">
        <v>34</v>
      </c>
      <c r="I871" t="s">
        <v>54</v>
      </c>
      <c r="J871" s="4">
        <v>16.3</v>
      </c>
      <c r="K871" s="4">
        <v>12.02</v>
      </c>
      <c r="L871">
        <v>15</v>
      </c>
      <c r="M871" s="4">
        <v>29.39</v>
      </c>
      <c r="N871" s="4">
        <v>166.54</v>
      </c>
      <c r="O871" s="4">
        <v>141.69999999999999</v>
      </c>
      <c r="P871" s="4">
        <v>8.64</v>
      </c>
      <c r="Q871" s="4">
        <v>2.35</v>
      </c>
      <c r="R871" s="4">
        <v>1.71</v>
      </c>
      <c r="S871" s="4">
        <v>139.91</v>
      </c>
      <c r="T871" s="4">
        <v>0</v>
      </c>
      <c r="U871" s="4">
        <v>294.31</v>
      </c>
      <c r="V871" s="4">
        <v>-127.77</v>
      </c>
      <c r="W871" t="s">
        <v>58</v>
      </c>
      <c r="X871" t="s">
        <v>55</v>
      </c>
      <c r="Y871" s="4">
        <v>0</v>
      </c>
      <c r="Z871" s="4">
        <v>1</v>
      </c>
      <c r="AA871" t="s">
        <v>37</v>
      </c>
      <c r="AB871" t="s">
        <v>44</v>
      </c>
      <c r="AC871" s="7">
        <v>1</v>
      </c>
      <c r="AD871" t="s">
        <v>45</v>
      </c>
      <c r="AE871">
        <f t="shared" si="13"/>
        <v>1</v>
      </c>
    </row>
    <row r="872" spans="1:31" x14ac:dyDescent="0.35">
      <c r="A872">
        <v>100871</v>
      </c>
      <c r="B872" s="3">
        <v>46017</v>
      </c>
      <c r="C872">
        <v>1020</v>
      </c>
      <c r="D872" t="s">
        <v>64</v>
      </c>
      <c r="E872" t="s">
        <v>75</v>
      </c>
      <c r="F872" t="s">
        <v>49</v>
      </c>
      <c r="G872" t="s">
        <v>46</v>
      </c>
      <c r="H872" t="s">
        <v>34</v>
      </c>
      <c r="I872" t="s">
        <v>42</v>
      </c>
      <c r="J872" s="4">
        <v>31.74</v>
      </c>
      <c r="K872" s="4">
        <v>15.9</v>
      </c>
      <c r="L872">
        <v>10</v>
      </c>
      <c r="M872" s="4">
        <v>50.47</v>
      </c>
      <c r="N872" s="4">
        <v>454.2</v>
      </c>
      <c r="O872" s="4">
        <v>197.95</v>
      </c>
      <c r="P872" s="4">
        <v>13.62</v>
      </c>
      <c r="Q872" s="4">
        <v>7.57</v>
      </c>
      <c r="R872" s="4">
        <v>4.45</v>
      </c>
      <c r="S872" s="4">
        <v>0</v>
      </c>
      <c r="T872" s="4">
        <v>0</v>
      </c>
      <c r="U872" s="4">
        <v>223.59</v>
      </c>
      <c r="V872" s="4">
        <v>230.61</v>
      </c>
      <c r="W872" t="s">
        <v>21</v>
      </c>
      <c r="X872" t="s">
        <v>36</v>
      </c>
      <c r="Y872" s="4">
        <v>0</v>
      </c>
      <c r="Z872" s="4">
        <v>4</v>
      </c>
      <c r="AA872" t="s">
        <v>37</v>
      </c>
      <c r="AB872" t="s">
        <v>38</v>
      </c>
      <c r="AC872" s="7">
        <v>0</v>
      </c>
      <c r="AD872" t="s">
        <v>39</v>
      </c>
      <c r="AE872">
        <f t="shared" si="13"/>
        <v>0</v>
      </c>
    </row>
    <row r="873" spans="1:31" x14ac:dyDescent="0.35">
      <c r="A873">
        <v>100872</v>
      </c>
      <c r="B873" s="3">
        <v>45964</v>
      </c>
      <c r="C873">
        <v>1022</v>
      </c>
      <c r="D873" t="s">
        <v>30</v>
      </c>
      <c r="E873" t="s">
        <v>40</v>
      </c>
      <c r="F873" t="s">
        <v>61</v>
      </c>
      <c r="G873" t="s">
        <v>50</v>
      </c>
      <c r="H873" t="s">
        <v>34</v>
      </c>
      <c r="I873" t="s">
        <v>35</v>
      </c>
      <c r="J873" s="4">
        <v>31.03</v>
      </c>
      <c r="K873" s="4">
        <v>17.84</v>
      </c>
      <c r="L873">
        <v>20</v>
      </c>
      <c r="M873" s="4">
        <v>110.72</v>
      </c>
      <c r="N873" s="4">
        <v>442.86</v>
      </c>
      <c r="O873" s="4">
        <v>243.19</v>
      </c>
      <c r="P873" s="4">
        <v>8.56</v>
      </c>
      <c r="Q873" s="4">
        <v>3.88</v>
      </c>
      <c r="R873" s="4">
        <v>11.47</v>
      </c>
      <c r="S873" s="4">
        <v>0</v>
      </c>
      <c r="T873" s="4">
        <v>0</v>
      </c>
      <c r="U873" s="4">
        <v>267.10000000000002</v>
      </c>
      <c r="V873" s="4">
        <v>175.76</v>
      </c>
      <c r="W873" t="s">
        <v>21</v>
      </c>
      <c r="X873" t="s">
        <v>36</v>
      </c>
      <c r="Y873" s="4">
        <v>1</v>
      </c>
      <c r="Z873" s="4">
        <v>0</v>
      </c>
      <c r="AA873" t="s">
        <v>37</v>
      </c>
      <c r="AB873" t="s">
        <v>38</v>
      </c>
      <c r="AC873" s="7">
        <v>0</v>
      </c>
      <c r="AD873" t="s">
        <v>39</v>
      </c>
      <c r="AE873">
        <f t="shared" si="13"/>
        <v>0</v>
      </c>
    </row>
    <row r="874" spans="1:31" x14ac:dyDescent="0.35">
      <c r="A874">
        <v>100873</v>
      </c>
      <c r="B874" s="3">
        <v>45962</v>
      </c>
      <c r="C874">
        <v>1105</v>
      </c>
      <c r="D874" t="s">
        <v>59</v>
      </c>
      <c r="E874" t="s">
        <v>70</v>
      </c>
      <c r="F874" t="s">
        <v>49</v>
      </c>
      <c r="G874" t="s">
        <v>63</v>
      </c>
      <c r="H874" t="s">
        <v>57</v>
      </c>
      <c r="I874" t="s">
        <v>54</v>
      </c>
      <c r="J874" s="4">
        <v>18.46</v>
      </c>
      <c r="K874" s="4">
        <v>13.17</v>
      </c>
      <c r="L874">
        <v>15</v>
      </c>
      <c r="M874" s="4">
        <v>36.47</v>
      </c>
      <c r="N874" s="4">
        <v>206.65</v>
      </c>
      <c r="O874" s="4">
        <v>159.87</v>
      </c>
      <c r="P874" s="4">
        <v>3.94</v>
      </c>
      <c r="Q874" s="4">
        <v>2.92</v>
      </c>
      <c r="R874" s="4">
        <v>5.23</v>
      </c>
      <c r="S874" s="4">
        <v>0</v>
      </c>
      <c r="T874" s="4">
        <v>0</v>
      </c>
      <c r="U874" s="4">
        <v>171.96</v>
      </c>
      <c r="V874" s="4">
        <v>34.69</v>
      </c>
      <c r="W874" t="s">
        <v>21</v>
      </c>
      <c r="X874" t="s">
        <v>36</v>
      </c>
      <c r="Y874" s="4">
        <v>5</v>
      </c>
      <c r="Z874" s="4">
        <v>29</v>
      </c>
      <c r="AA874" t="s">
        <v>37</v>
      </c>
      <c r="AB874" t="s">
        <v>44</v>
      </c>
      <c r="AC874" s="7">
        <v>2</v>
      </c>
      <c r="AD874" t="s">
        <v>45</v>
      </c>
      <c r="AE874">
        <f t="shared" si="13"/>
        <v>1</v>
      </c>
    </row>
    <row r="875" spans="1:31" x14ac:dyDescent="0.35">
      <c r="A875">
        <v>100874</v>
      </c>
      <c r="B875" s="3">
        <v>46002</v>
      </c>
      <c r="C875">
        <v>1134</v>
      </c>
      <c r="D875" t="s">
        <v>30</v>
      </c>
      <c r="E875" t="s">
        <v>31</v>
      </c>
      <c r="F875" t="s">
        <v>71</v>
      </c>
      <c r="G875" t="s">
        <v>63</v>
      </c>
      <c r="H875" t="s">
        <v>57</v>
      </c>
      <c r="I875" t="s">
        <v>35</v>
      </c>
      <c r="J875" s="4">
        <v>13.09</v>
      </c>
      <c r="K875" s="4">
        <v>13.16</v>
      </c>
      <c r="L875">
        <v>5</v>
      </c>
      <c r="M875" s="4">
        <v>8.61</v>
      </c>
      <c r="N875" s="4">
        <v>163.65</v>
      </c>
      <c r="O875" s="4">
        <v>81.14</v>
      </c>
      <c r="P875" s="4">
        <v>4</v>
      </c>
      <c r="Q875" s="4">
        <v>1.21</v>
      </c>
      <c r="R875" s="4">
        <v>7.17</v>
      </c>
      <c r="S875" s="4">
        <v>0</v>
      </c>
      <c r="T875" s="4">
        <v>0</v>
      </c>
      <c r="U875" s="4">
        <v>93.52</v>
      </c>
      <c r="V875" s="4">
        <v>70.13</v>
      </c>
      <c r="W875" t="s">
        <v>21</v>
      </c>
      <c r="X875" t="s">
        <v>36</v>
      </c>
      <c r="Y875" s="4">
        <v>38</v>
      </c>
      <c r="Z875" s="4">
        <v>0</v>
      </c>
      <c r="AA875" t="s">
        <v>43</v>
      </c>
      <c r="AB875" t="s">
        <v>44</v>
      </c>
      <c r="AC875" s="7">
        <v>3</v>
      </c>
      <c r="AD875" t="s">
        <v>45</v>
      </c>
      <c r="AE875">
        <f t="shared" si="13"/>
        <v>1</v>
      </c>
    </row>
    <row r="876" spans="1:31" x14ac:dyDescent="0.35">
      <c r="A876">
        <v>100875</v>
      </c>
      <c r="B876" s="3">
        <v>45946</v>
      </c>
      <c r="C876">
        <v>1108</v>
      </c>
      <c r="D876" t="s">
        <v>64</v>
      </c>
      <c r="E876" t="s">
        <v>75</v>
      </c>
      <c r="F876" t="s">
        <v>32</v>
      </c>
      <c r="G876" t="s">
        <v>63</v>
      </c>
      <c r="H876" t="s">
        <v>51</v>
      </c>
      <c r="I876" t="s">
        <v>69</v>
      </c>
      <c r="J876" s="4">
        <v>17.25</v>
      </c>
      <c r="K876" s="4">
        <v>12.77</v>
      </c>
      <c r="L876">
        <v>0</v>
      </c>
      <c r="M876" s="4">
        <v>0</v>
      </c>
      <c r="N876" s="4">
        <v>220.28</v>
      </c>
      <c r="O876" s="4">
        <v>124.59</v>
      </c>
      <c r="P876" s="4">
        <v>9.67</v>
      </c>
      <c r="Q876" s="4">
        <v>0.88</v>
      </c>
      <c r="R876" s="4">
        <v>6.74</v>
      </c>
      <c r="S876" s="4">
        <v>145.79</v>
      </c>
      <c r="T876" s="4">
        <v>0.32</v>
      </c>
      <c r="U876" s="4">
        <v>287.99</v>
      </c>
      <c r="V876" s="4">
        <v>-67.709999999999994</v>
      </c>
      <c r="W876" t="s">
        <v>58</v>
      </c>
      <c r="X876" t="s">
        <v>66</v>
      </c>
      <c r="Y876" s="4">
        <v>11</v>
      </c>
      <c r="Z876" s="4">
        <v>2</v>
      </c>
      <c r="AA876" t="s">
        <v>37</v>
      </c>
      <c r="AB876" t="s">
        <v>38</v>
      </c>
      <c r="AC876" s="7">
        <v>1</v>
      </c>
      <c r="AD876" t="s">
        <v>45</v>
      </c>
      <c r="AE876">
        <f t="shared" si="13"/>
        <v>0</v>
      </c>
    </row>
    <row r="877" spans="1:31" x14ac:dyDescent="0.35">
      <c r="A877">
        <v>100876</v>
      </c>
      <c r="B877" s="3">
        <v>45993</v>
      </c>
      <c r="C877">
        <v>1035</v>
      </c>
      <c r="D877" t="s">
        <v>64</v>
      </c>
      <c r="E877" t="s">
        <v>76</v>
      </c>
      <c r="F877" t="s">
        <v>61</v>
      </c>
      <c r="G877" t="s">
        <v>46</v>
      </c>
      <c r="H877" t="s">
        <v>34</v>
      </c>
      <c r="I877" t="s">
        <v>35</v>
      </c>
      <c r="J877" s="4">
        <v>26.46</v>
      </c>
      <c r="K877" s="4">
        <v>14.93</v>
      </c>
      <c r="L877">
        <v>0</v>
      </c>
      <c r="M877" s="4">
        <v>0</v>
      </c>
      <c r="N877" s="4">
        <v>395.05</v>
      </c>
      <c r="O877" s="4">
        <v>215.43</v>
      </c>
      <c r="P877" s="4">
        <v>8.4700000000000006</v>
      </c>
      <c r="Q877" s="4">
        <v>2.77</v>
      </c>
      <c r="R877" s="4">
        <v>6.78</v>
      </c>
      <c r="S877" s="4">
        <v>200.54</v>
      </c>
      <c r="T877" s="4">
        <v>0</v>
      </c>
      <c r="U877" s="4">
        <v>433.99</v>
      </c>
      <c r="V877" s="4">
        <v>-38.94</v>
      </c>
      <c r="W877" t="s">
        <v>58</v>
      </c>
      <c r="X877" t="s">
        <v>55</v>
      </c>
      <c r="Y877" s="4">
        <v>52</v>
      </c>
      <c r="Z877" s="4">
        <v>8</v>
      </c>
      <c r="AA877" t="s">
        <v>43</v>
      </c>
      <c r="AB877" t="s">
        <v>44</v>
      </c>
      <c r="AC877" s="7">
        <v>2</v>
      </c>
      <c r="AD877" t="s">
        <v>45</v>
      </c>
      <c r="AE877">
        <f t="shared" si="13"/>
        <v>1</v>
      </c>
    </row>
    <row r="878" spans="1:31" x14ac:dyDescent="0.35">
      <c r="A878">
        <v>100877</v>
      </c>
      <c r="B878" s="3">
        <v>45948</v>
      </c>
      <c r="C878">
        <v>1103</v>
      </c>
      <c r="D878" t="s">
        <v>47</v>
      </c>
      <c r="E878" t="s">
        <v>53</v>
      </c>
      <c r="F878" t="s">
        <v>41</v>
      </c>
      <c r="G878" t="s">
        <v>46</v>
      </c>
      <c r="H878" t="s">
        <v>34</v>
      </c>
      <c r="I878" t="s">
        <v>69</v>
      </c>
      <c r="J878" s="4">
        <v>30.07</v>
      </c>
      <c r="K878" s="4">
        <v>15.56</v>
      </c>
      <c r="L878">
        <v>0</v>
      </c>
      <c r="M878" s="4">
        <v>0</v>
      </c>
      <c r="N878" s="4">
        <v>467.89</v>
      </c>
      <c r="O878" s="4">
        <v>242.14</v>
      </c>
      <c r="P878" s="4">
        <v>5.73</v>
      </c>
      <c r="Q878" s="4">
        <v>1.87</v>
      </c>
      <c r="R878" s="4">
        <v>2.41</v>
      </c>
      <c r="S878" s="4">
        <v>0</v>
      </c>
      <c r="T878" s="4">
        <v>0</v>
      </c>
      <c r="U878" s="4">
        <v>252.15</v>
      </c>
      <c r="V878" s="4">
        <v>215.74</v>
      </c>
      <c r="W878" t="s">
        <v>21</v>
      </c>
      <c r="X878" t="s">
        <v>36</v>
      </c>
      <c r="Y878" s="4">
        <v>13</v>
      </c>
      <c r="Z878" s="4">
        <v>26</v>
      </c>
      <c r="AA878" t="s">
        <v>37</v>
      </c>
      <c r="AB878" t="s">
        <v>44</v>
      </c>
      <c r="AC878" s="7">
        <v>2</v>
      </c>
      <c r="AD878" t="s">
        <v>45</v>
      </c>
      <c r="AE878">
        <f t="shared" si="13"/>
        <v>1</v>
      </c>
    </row>
    <row r="879" spans="1:31" x14ac:dyDescent="0.35">
      <c r="A879">
        <v>100878</v>
      </c>
      <c r="B879" s="3">
        <v>45951</v>
      </c>
      <c r="C879">
        <v>1007</v>
      </c>
      <c r="D879" t="s">
        <v>59</v>
      </c>
      <c r="E879" t="s">
        <v>73</v>
      </c>
      <c r="F879" t="s">
        <v>32</v>
      </c>
      <c r="G879" t="s">
        <v>63</v>
      </c>
      <c r="H879" t="s">
        <v>57</v>
      </c>
      <c r="I879" t="s">
        <v>35</v>
      </c>
      <c r="J879" s="4">
        <v>19.170000000000002</v>
      </c>
      <c r="K879" s="4">
        <v>12.47</v>
      </c>
      <c r="L879">
        <v>15</v>
      </c>
      <c r="M879" s="4">
        <v>35.86</v>
      </c>
      <c r="N879" s="4">
        <v>203.19</v>
      </c>
      <c r="O879" s="4">
        <v>136.93</v>
      </c>
      <c r="P879" s="4">
        <v>4.0999999999999996</v>
      </c>
      <c r="Q879" s="4">
        <v>1.67</v>
      </c>
      <c r="R879" s="4">
        <v>5.36</v>
      </c>
      <c r="S879" s="4">
        <v>0</v>
      </c>
      <c r="T879" s="4">
        <v>0</v>
      </c>
      <c r="U879" s="4">
        <v>148.06</v>
      </c>
      <c r="V879" s="4">
        <v>55.13</v>
      </c>
      <c r="W879" t="s">
        <v>21</v>
      </c>
      <c r="X879" t="s">
        <v>36</v>
      </c>
      <c r="Y879" s="4">
        <v>14</v>
      </c>
      <c r="Z879" s="4">
        <v>7</v>
      </c>
      <c r="AA879" t="s">
        <v>37</v>
      </c>
      <c r="AB879" t="s">
        <v>38</v>
      </c>
      <c r="AC879" s="7">
        <v>0</v>
      </c>
      <c r="AD879" t="s">
        <v>39</v>
      </c>
      <c r="AE879">
        <f t="shared" si="13"/>
        <v>0</v>
      </c>
    </row>
    <row r="880" spans="1:31" x14ac:dyDescent="0.35">
      <c r="A880">
        <v>100879</v>
      </c>
      <c r="B880" s="3">
        <v>45950</v>
      </c>
      <c r="C880">
        <v>1011</v>
      </c>
      <c r="D880" t="s">
        <v>30</v>
      </c>
      <c r="E880" t="s">
        <v>62</v>
      </c>
      <c r="F880" t="s">
        <v>71</v>
      </c>
      <c r="G880" t="s">
        <v>33</v>
      </c>
      <c r="H880" t="s">
        <v>34</v>
      </c>
      <c r="I880" t="s">
        <v>35</v>
      </c>
      <c r="J880" s="4">
        <v>28.38</v>
      </c>
      <c r="K880" s="4">
        <v>20.07</v>
      </c>
      <c r="L880">
        <v>5</v>
      </c>
      <c r="M880" s="4">
        <v>28.48</v>
      </c>
      <c r="N880" s="4">
        <v>541.11</v>
      </c>
      <c r="O880" s="4">
        <v>244.34</v>
      </c>
      <c r="P880" s="4">
        <v>7.12</v>
      </c>
      <c r="Q880" s="4">
        <v>3.99</v>
      </c>
      <c r="R880" s="4">
        <v>13.48</v>
      </c>
      <c r="S880" s="4">
        <v>216.87</v>
      </c>
      <c r="T880" s="4">
        <v>0</v>
      </c>
      <c r="U880" s="4">
        <v>485.8</v>
      </c>
      <c r="V880" s="4">
        <v>55.31</v>
      </c>
      <c r="W880" t="s">
        <v>21</v>
      </c>
      <c r="X880" t="s">
        <v>55</v>
      </c>
      <c r="Y880" s="4">
        <v>2</v>
      </c>
      <c r="Z880" s="4">
        <v>8</v>
      </c>
      <c r="AA880" t="s">
        <v>37</v>
      </c>
      <c r="AB880" t="s">
        <v>44</v>
      </c>
      <c r="AC880" s="7">
        <v>3</v>
      </c>
      <c r="AD880" t="s">
        <v>45</v>
      </c>
      <c r="AE880">
        <f t="shared" si="13"/>
        <v>1</v>
      </c>
    </row>
    <row r="881" spans="1:31" x14ac:dyDescent="0.35">
      <c r="A881">
        <v>100880</v>
      </c>
      <c r="B881" s="3">
        <v>45999</v>
      </c>
      <c r="C881">
        <v>1034</v>
      </c>
      <c r="D881" t="s">
        <v>47</v>
      </c>
      <c r="E881" t="s">
        <v>48</v>
      </c>
      <c r="F881" t="s">
        <v>41</v>
      </c>
      <c r="G881" t="s">
        <v>63</v>
      </c>
      <c r="H881" t="s">
        <v>34</v>
      </c>
      <c r="I881" t="s">
        <v>35</v>
      </c>
      <c r="J881" s="4">
        <v>14.29</v>
      </c>
      <c r="K881" s="4">
        <v>11.72</v>
      </c>
      <c r="L881">
        <v>15</v>
      </c>
      <c r="M881" s="4">
        <v>25.12</v>
      </c>
      <c r="N881" s="4">
        <v>142.36000000000001</v>
      </c>
      <c r="O881" s="4">
        <v>117.59</v>
      </c>
      <c r="P881" s="4">
        <v>9.36</v>
      </c>
      <c r="Q881" s="4">
        <v>1.17</v>
      </c>
      <c r="R881" s="4">
        <v>1.0900000000000001</v>
      </c>
      <c r="S881" s="4">
        <v>0</v>
      </c>
      <c r="T881" s="4">
        <v>0</v>
      </c>
      <c r="U881" s="4">
        <v>129.21</v>
      </c>
      <c r="V881" s="4">
        <v>13.15</v>
      </c>
      <c r="W881" t="s">
        <v>21</v>
      </c>
      <c r="X881" t="s">
        <v>36</v>
      </c>
      <c r="Y881" s="4">
        <v>2</v>
      </c>
      <c r="Z881" s="4">
        <v>5</v>
      </c>
      <c r="AA881" t="s">
        <v>37</v>
      </c>
      <c r="AB881" t="s">
        <v>38</v>
      </c>
      <c r="AC881" s="7">
        <v>0</v>
      </c>
      <c r="AD881" t="s">
        <v>39</v>
      </c>
      <c r="AE881">
        <f t="shared" si="13"/>
        <v>0</v>
      </c>
    </row>
    <row r="882" spans="1:31" x14ac:dyDescent="0.35">
      <c r="A882">
        <v>100881</v>
      </c>
      <c r="B882" s="3">
        <v>46010</v>
      </c>
      <c r="C882">
        <v>1090</v>
      </c>
      <c r="D882" t="s">
        <v>59</v>
      </c>
      <c r="E882" t="s">
        <v>60</v>
      </c>
      <c r="F882" t="s">
        <v>61</v>
      </c>
      <c r="G882" t="s">
        <v>33</v>
      </c>
      <c r="H882" t="s">
        <v>34</v>
      </c>
      <c r="I882" t="s">
        <v>35</v>
      </c>
      <c r="J882" s="4">
        <v>19.45</v>
      </c>
      <c r="K882" s="4">
        <v>18.649999999999999</v>
      </c>
      <c r="L882">
        <v>0</v>
      </c>
      <c r="M882" s="4">
        <v>0</v>
      </c>
      <c r="N882" s="4">
        <v>362.74</v>
      </c>
      <c r="O882" s="4">
        <v>121.26</v>
      </c>
      <c r="P882" s="4">
        <v>5.27</v>
      </c>
      <c r="Q882" s="4">
        <v>2.54</v>
      </c>
      <c r="R882" s="4">
        <v>8.9600000000000009</v>
      </c>
      <c r="S882" s="4">
        <v>0</v>
      </c>
      <c r="T882" s="4">
        <v>0</v>
      </c>
      <c r="U882" s="4">
        <v>138.03</v>
      </c>
      <c r="V882" s="4">
        <v>224.71</v>
      </c>
      <c r="W882" t="s">
        <v>21</v>
      </c>
      <c r="X882" t="s">
        <v>36</v>
      </c>
      <c r="Y882" s="4">
        <v>1</v>
      </c>
      <c r="Z882" s="4">
        <v>6</v>
      </c>
      <c r="AA882" t="s">
        <v>37</v>
      </c>
      <c r="AB882" t="s">
        <v>38</v>
      </c>
      <c r="AC882" s="7">
        <v>0</v>
      </c>
      <c r="AD882" t="s">
        <v>39</v>
      </c>
      <c r="AE882">
        <f t="shared" si="13"/>
        <v>0</v>
      </c>
    </row>
    <row r="883" spans="1:31" x14ac:dyDescent="0.35">
      <c r="A883">
        <v>100882</v>
      </c>
      <c r="B883" s="3">
        <v>46019</v>
      </c>
      <c r="C883">
        <v>1013</v>
      </c>
      <c r="D883" t="s">
        <v>59</v>
      </c>
      <c r="E883" t="s">
        <v>70</v>
      </c>
      <c r="F883" t="s">
        <v>41</v>
      </c>
      <c r="G883" t="s">
        <v>50</v>
      </c>
      <c r="H883" t="s">
        <v>34</v>
      </c>
      <c r="I883" t="s">
        <v>69</v>
      </c>
      <c r="J883" s="4">
        <v>35.18</v>
      </c>
      <c r="K883" s="4">
        <v>17.02</v>
      </c>
      <c r="L883">
        <v>10</v>
      </c>
      <c r="M883" s="4">
        <v>59.88</v>
      </c>
      <c r="N883" s="4">
        <v>538.88</v>
      </c>
      <c r="O883" s="4">
        <v>256.61</v>
      </c>
      <c r="P883" s="4">
        <v>8.07</v>
      </c>
      <c r="Q883" s="4">
        <v>2.4</v>
      </c>
      <c r="R883" s="4">
        <v>10.7</v>
      </c>
      <c r="S883" s="4">
        <v>0</v>
      </c>
      <c r="T883" s="4">
        <v>0</v>
      </c>
      <c r="U883" s="4">
        <v>277.77999999999997</v>
      </c>
      <c r="V883" s="4">
        <v>261.10000000000002</v>
      </c>
      <c r="W883" t="s">
        <v>21</v>
      </c>
      <c r="X883" t="s">
        <v>36</v>
      </c>
      <c r="Y883" s="4">
        <v>3</v>
      </c>
      <c r="Z883" s="4">
        <v>2</v>
      </c>
      <c r="AA883" t="s">
        <v>37</v>
      </c>
      <c r="AB883" t="s">
        <v>38</v>
      </c>
      <c r="AC883" s="7">
        <v>1</v>
      </c>
      <c r="AD883" t="s">
        <v>39</v>
      </c>
      <c r="AE883">
        <f t="shared" si="13"/>
        <v>0</v>
      </c>
    </row>
    <row r="884" spans="1:31" x14ac:dyDescent="0.35">
      <c r="A884">
        <v>100883</v>
      </c>
      <c r="B884" s="3">
        <v>45982</v>
      </c>
      <c r="C884">
        <v>1087</v>
      </c>
      <c r="D884" t="s">
        <v>30</v>
      </c>
      <c r="E884" t="s">
        <v>40</v>
      </c>
      <c r="F884" t="s">
        <v>71</v>
      </c>
      <c r="G884" t="s">
        <v>63</v>
      </c>
      <c r="H884" t="s">
        <v>51</v>
      </c>
      <c r="I884" t="s">
        <v>35</v>
      </c>
      <c r="J884" s="4">
        <v>11.13</v>
      </c>
      <c r="K884" s="4">
        <v>14.17</v>
      </c>
      <c r="L884">
        <v>0</v>
      </c>
      <c r="M884" s="4">
        <v>0</v>
      </c>
      <c r="N884" s="4">
        <v>157.71</v>
      </c>
      <c r="O884" s="4">
        <v>85.62</v>
      </c>
      <c r="P884" s="4">
        <v>8.6999999999999993</v>
      </c>
      <c r="Q884" s="4">
        <v>1.1000000000000001</v>
      </c>
      <c r="R884" s="4">
        <v>7.91</v>
      </c>
      <c r="S884" s="4">
        <v>0</v>
      </c>
      <c r="T884" s="4">
        <v>0</v>
      </c>
      <c r="U884" s="4">
        <v>103.33</v>
      </c>
      <c r="V884" s="4">
        <v>54.38</v>
      </c>
      <c r="W884" t="s">
        <v>21</v>
      </c>
      <c r="X884" t="s">
        <v>36</v>
      </c>
      <c r="Y884" s="4">
        <v>17</v>
      </c>
      <c r="Z884" s="4">
        <v>1</v>
      </c>
      <c r="AA884" t="s">
        <v>52</v>
      </c>
      <c r="AB884" t="s">
        <v>38</v>
      </c>
      <c r="AC884" s="7">
        <v>0</v>
      </c>
      <c r="AD884" t="s">
        <v>39</v>
      </c>
      <c r="AE884">
        <f t="shared" si="13"/>
        <v>0</v>
      </c>
    </row>
    <row r="885" spans="1:31" x14ac:dyDescent="0.35">
      <c r="A885">
        <v>100884</v>
      </c>
      <c r="B885" s="3">
        <v>45958</v>
      </c>
      <c r="C885">
        <v>1126</v>
      </c>
      <c r="D885" t="s">
        <v>47</v>
      </c>
      <c r="E885" t="s">
        <v>74</v>
      </c>
      <c r="F885" t="s">
        <v>61</v>
      </c>
      <c r="G885" t="s">
        <v>50</v>
      </c>
      <c r="H885" t="s">
        <v>57</v>
      </c>
      <c r="I885" t="s">
        <v>35</v>
      </c>
      <c r="J885" s="4">
        <v>16.43</v>
      </c>
      <c r="K885" s="4">
        <v>17.670000000000002</v>
      </c>
      <c r="L885">
        <v>10</v>
      </c>
      <c r="M885" s="4">
        <v>29.03</v>
      </c>
      <c r="N885" s="4">
        <v>261.29000000000002</v>
      </c>
      <c r="O885" s="4">
        <v>139.33000000000001</v>
      </c>
      <c r="P885" s="4">
        <v>3.54</v>
      </c>
      <c r="Q885" s="4">
        <v>2.0299999999999998</v>
      </c>
      <c r="R885" s="4">
        <v>1.95</v>
      </c>
      <c r="S885" s="4">
        <v>0</v>
      </c>
      <c r="T885" s="4">
        <v>0</v>
      </c>
      <c r="U885" s="4">
        <v>146.85</v>
      </c>
      <c r="V885" s="4">
        <v>114.44</v>
      </c>
      <c r="W885" t="s">
        <v>21</v>
      </c>
      <c r="X885" t="s">
        <v>36</v>
      </c>
      <c r="Y885" s="4">
        <v>1</v>
      </c>
      <c r="Z885" s="4">
        <v>2</v>
      </c>
      <c r="AA885" t="s">
        <v>37</v>
      </c>
      <c r="AB885" t="s">
        <v>38</v>
      </c>
      <c r="AC885" s="7">
        <v>0</v>
      </c>
      <c r="AD885" t="s">
        <v>39</v>
      </c>
      <c r="AE885">
        <f t="shared" si="13"/>
        <v>0</v>
      </c>
    </row>
    <row r="886" spans="1:31" x14ac:dyDescent="0.35">
      <c r="A886">
        <v>100885</v>
      </c>
      <c r="B886" s="3">
        <v>46012</v>
      </c>
      <c r="C886">
        <v>1045</v>
      </c>
      <c r="D886" t="s">
        <v>59</v>
      </c>
      <c r="E886" t="s">
        <v>68</v>
      </c>
      <c r="F886" t="s">
        <v>49</v>
      </c>
      <c r="G886" t="s">
        <v>63</v>
      </c>
      <c r="H886" t="s">
        <v>34</v>
      </c>
      <c r="I886" t="s">
        <v>35</v>
      </c>
      <c r="J886" s="4">
        <v>19.3</v>
      </c>
      <c r="K886" s="4">
        <v>12.66</v>
      </c>
      <c r="L886">
        <v>15</v>
      </c>
      <c r="M886" s="4">
        <v>36.65</v>
      </c>
      <c r="N886" s="4">
        <v>207.69</v>
      </c>
      <c r="O886" s="4">
        <v>124.72</v>
      </c>
      <c r="P886" s="4">
        <v>6.65</v>
      </c>
      <c r="Q886" s="4">
        <v>1.71</v>
      </c>
      <c r="R886" s="4">
        <v>8.9600000000000009</v>
      </c>
      <c r="S886" s="4">
        <v>0</v>
      </c>
      <c r="T886" s="4">
        <v>0</v>
      </c>
      <c r="U886" s="4">
        <v>142.04</v>
      </c>
      <c r="V886" s="4">
        <v>65.650000000000006</v>
      </c>
      <c r="W886" t="s">
        <v>21</v>
      </c>
      <c r="X886" t="s">
        <v>36</v>
      </c>
      <c r="Y886" s="4">
        <v>11</v>
      </c>
      <c r="Z886" s="4">
        <v>0</v>
      </c>
      <c r="AA886" t="s">
        <v>37</v>
      </c>
      <c r="AB886" t="s">
        <v>38</v>
      </c>
      <c r="AC886" s="7">
        <v>0</v>
      </c>
      <c r="AD886" t="s">
        <v>39</v>
      </c>
      <c r="AE886">
        <f t="shared" si="13"/>
        <v>0</v>
      </c>
    </row>
    <row r="887" spans="1:31" x14ac:dyDescent="0.35">
      <c r="A887">
        <v>100886</v>
      </c>
      <c r="B887" s="3">
        <v>45989</v>
      </c>
      <c r="C887">
        <v>1108</v>
      </c>
      <c r="D887" t="s">
        <v>30</v>
      </c>
      <c r="E887" t="s">
        <v>40</v>
      </c>
      <c r="F887" t="s">
        <v>32</v>
      </c>
      <c r="G887" t="s">
        <v>46</v>
      </c>
      <c r="H887" t="s">
        <v>34</v>
      </c>
      <c r="I887" t="s">
        <v>35</v>
      </c>
      <c r="J887" s="4">
        <v>40.729999999999997</v>
      </c>
      <c r="K887" s="4">
        <v>15.94</v>
      </c>
      <c r="L887">
        <v>0</v>
      </c>
      <c r="M887" s="4">
        <v>0</v>
      </c>
      <c r="N887" s="4">
        <v>649.24</v>
      </c>
      <c r="O887" s="4">
        <v>293.02999999999997</v>
      </c>
      <c r="P887" s="4">
        <v>6.91</v>
      </c>
      <c r="Q887" s="4">
        <v>4.54</v>
      </c>
      <c r="R887" s="4">
        <v>11.35</v>
      </c>
      <c r="S887" s="4">
        <v>0</v>
      </c>
      <c r="T887" s="4">
        <v>0</v>
      </c>
      <c r="U887" s="4">
        <v>315.83</v>
      </c>
      <c r="V887" s="4">
        <v>333.41</v>
      </c>
      <c r="W887" t="s">
        <v>21</v>
      </c>
      <c r="X887" t="s">
        <v>36</v>
      </c>
      <c r="Y887" s="4">
        <v>26</v>
      </c>
      <c r="Z887" s="4">
        <v>8</v>
      </c>
      <c r="AA887" t="s">
        <v>52</v>
      </c>
      <c r="AB887" t="s">
        <v>44</v>
      </c>
      <c r="AC887" s="7">
        <v>1</v>
      </c>
      <c r="AD887" t="s">
        <v>45</v>
      </c>
      <c r="AE887">
        <f t="shared" si="13"/>
        <v>1</v>
      </c>
    </row>
    <row r="888" spans="1:31" x14ac:dyDescent="0.35">
      <c r="A888">
        <v>100887</v>
      </c>
      <c r="B888" s="3">
        <v>46012</v>
      </c>
      <c r="C888">
        <v>1063</v>
      </c>
      <c r="D888" t="s">
        <v>47</v>
      </c>
      <c r="E888" t="s">
        <v>53</v>
      </c>
      <c r="F888" t="s">
        <v>61</v>
      </c>
      <c r="G888" t="s">
        <v>33</v>
      </c>
      <c r="H888" t="s">
        <v>57</v>
      </c>
      <c r="I888" t="s">
        <v>35</v>
      </c>
      <c r="J888" s="4">
        <v>21.67</v>
      </c>
      <c r="K888" s="4">
        <v>19.68</v>
      </c>
      <c r="L888">
        <v>0</v>
      </c>
      <c r="M888" s="4">
        <v>0</v>
      </c>
      <c r="N888" s="4">
        <v>426.47</v>
      </c>
      <c r="O888" s="4">
        <v>159.35</v>
      </c>
      <c r="P888" s="4">
        <v>11.79</v>
      </c>
      <c r="Q888" s="4">
        <v>2.99</v>
      </c>
      <c r="R888" s="4">
        <v>10.66</v>
      </c>
      <c r="S888" s="4">
        <v>0</v>
      </c>
      <c r="T888" s="4">
        <v>0</v>
      </c>
      <c r="U888" s="4">
        <v>184.79</v>
      </c>
      <c r="V888" s="4">
        <v>241.68</v>
      </c>
      <c r="W888" t="s">
        <v>21</v>
      </c>
      <c r="X888" t="s">
        <v>36</v>
      </c>
      <c r="Y888" s="4">
        <v>13</v>
      </c>
      <c r="Z888" s="4">
        <v>4</v>
      </c>
      <c r="AA888" t="s">
        <v>37</v>
      </c>
      <c r="AB888" t="s">
        <v>38</v>
      </c>
      <c r="AC888" s="7">
        <v>0</v>
      </c>
      <c r="AD888" t="s">
        <v>39</v>
      </c>
      <c r="AE888">
        <f t="shared" si="13"/>
        <v>0</v>
      </c>
    </row>
    <row r="889" spans="1:31" x14ac:dyDescent="0.35">
      <c r="A889">
        <v>100888</v>
      </c>
      <c r="B889" s="3">
        <v>45944</v>
      </c>
      <c r="C889">
        <v>1090</v>
      </c>
      <c r="D889" t="s">
        <v>47</v>
      </c>
      <c r="E889" t="s">
        <v>74</v>
      </c>
      <c r="F889" t="s">
        <v>41</v>
      </c>
      <c r="G889" t="s">
        <v>63</v>
      </c>
      <c r="H889" t="s">
        <v>34</v>
      </c>
      <c r="I889" t="s">
        <v>69</v>
      </c>
      <c r="J889" s="4">
        <v>35.82</v>
      </c>
      <c r="K889" s="4">
        <v>12.1</v>
      </c>
      <c r="L889">
        <v>0</v>
      </c>
      <c r="M889" s="4">
        <v>0</v>
      </c>
      <c r="N889" s="4">
        <v>433.42</v>
      </c>
      <c r="O889" s="4">
        <v>265.56</v>
      </c>
      <c r="P889" s="4">
        <v>3.34</v>
      </c>
      <c r="Q889" s="4">
        <v>1.73</v>
      </c>
      <c r="R889" s="4">
        <v>13.87</v>
      </c>
      <c r="S889" s="4">
        <v>0</v>
      </c>
      <c r="T889" s="4">
        <v>0</v>
      </c>
      <c r="U889" s="4">
        <v>284.5</v>
      </c>
      <c r="V889" s="4">
        <v>148.91999999999999</v>
      </c>
      <c r="W889" t="s">
        <v>21</v>
      </c>
      <c r="X889" t="s">
        <v>36</v>
      </c>
      <c r="Y889" s="4">
        <v>11</v>
      </c>
      <c r="Z889" s="4">
        <v>18</v>
      </c>
      <c r="AA889" t="s">
        <v>37</v>
      </c>
      <c r="AB889" t="s">
        <v>44</v>
      </c>
      <c r="AC889" s="7">
        <v>1</v>
      </c>
      <c r="AD889" t="s">
        <v>45</v>
      </c>
      <c r="AE889">
        <f t="shared" si="13"/>
        <v>1</v>
      </c>
    </row>
    <row r="890" spans="1:31" x14ac:dyDescent="0.35">
      <c r="A890">
        <v>100889</v>
      </c>
      <c r="B890" s="3">
        <v>45981</v>
      </c>
      <c r="C890">
        <v>1147</v>
      </c>
      <c r="D890" t="s">
        <v>30</v>
      </c>
      <c r="E890" t="s">
        <v>72</v>
      </c>
      <c r="F890" t="s">
        <v>49</v>
      </c>
      <c r="G890" t="s">
        <v>33</v>
      </c>
      <c r="H890" t="s">
        <v>34</v>
      </c>
      <c r="I890" t="s">
        <v>42</v>
      </c>
      <c r="J890" s="4">
        <v>32.18</v>
      </c>
      <c r="K890" s="4">
        <v>19.649999999999999</v>
      </c>
      <c r="L890">
        <v>10</v>
      </c>
      <c r="M890" s="4">
        <v>63.23</v>
      </c>
      <c r="N890" s="4">
        <v>569.11</v>
      </c>
      <c r="O890" s="4">
        <v>249.67</v>
      </c>
      <c r="P890" s="4">
        <v>8.8000000000000007</v>
      </c>
      <c r="Q890" s="4">
        <v>9.49</v>
      </c>
      <c r="R890" s="4">
        <v>7.34</v>
      </c>
      <c r="S890" s="4">
        <v>262.36</v>
      </c>
      <c r="T890" s="4">
        <v>0</v>
      </c>
      <c r="U890" s="4">
        <v>537.66</v>
      </c>
      <c r="V890" s="4">
        <v>31.45</v>
      </c>
      <c r="W890" t="s">
        <v>21</v>
      </c>
      <c r="X890" t="s">
        <v>55</v>
      </c>
      <c r="Y890" s="4">
        <v>17</v>
      </c>
      <c r="Z890" s="4">
        <v>2</v>
      </c>
      <c r="AA890" t="s">
        <v>52</v>
      </c>
      <c r="AB890" t="s">
        <v>44</v>
      </c>
      <c r="AC890" s="7">
        <v>1</v>
      </c>
      <c r="AD890" t="s">
        <v>45</v>
      </c>
      <c r="AE890">
        <f t="shared" si="13"/>
        <v>1</v>
      </c>
    </row>
    <row r="891" spans="1:31" x14ac:dyDescent="0.35">
      <c r="A891">
        <v>100890</v>
      </c>
      <c r="B891" s="3">
        <v>45958</v>
      </c>
      <c r="C891">
        <v>1132</v>
      </c>
      <c r="D891" t="s">
        <v>59</v>
      </c>
      <c r="E891" t="s">
        <v>60</v>
      </c>
      <c r="F891" t="s">
        <v>32</v>
      </c>
      <c r="G891" t="s">
        <v>33</v>
      </c>
      <c r="H891" t="s">
        <v>51</v>
      </c>
      <c r="I891" t="s">
        <v>35</v>
      </c>
      <c r="J891" s="4">
        <v>24.27</v>
      </c>
      <c r="K891" s="4">
        <v>19.100000000000001</v>
      </c>
      <c r="L891">
        <v>10</v>
      </c>
      <c r="M891" s="4">
        <v>46.36</v>
      </c>
      <c r="N891" s="4">
        <v>417.2</v>
      </c>
      <c r="O891" s="4">
        <v>177.14</v>
      </c>
      <c r="P891" s="4">
        <v>8.68</v>
      </c>
      <c r="Q891" s="4">
        <v>3.24</v>
      </c>
      <c r="R891" s="4">
        <v>8.67</v>
      </c>
      <c r="S891" s="4">
        <v>0</v>
      </c>
      <c r="T891" s="4">
        <v>0</v>
      </c>
      <c r="U891" s="4">
        <v>197.73</v>
      </c>
      <c r="V891" s="4">
        <v>219.47</v>
      </c>
      <c r="W891" t="s">
        <v>21</v>
      </c>
      <c r="X891" t="s">
        <v>36</v>
      </c>
      <c r="Y891" s="4">
        <v>11</v>
      </c>
      <c r="Z891" s="4">
        <v>0</v>
      </c>
      <c r="AA891" t="s">
        <v>37</v>
      </c>
      <c r="AB891" t="s">
        <v>38</v>
      </c>
      <c r="AC891" s="7">
        <v>0</v>
      </c>
      <c r="AD891" t="s">
        <v>39</v>
      </c>
      <c r="AE891">
        <f t="shared" si="13"/>
        <v>0</v>
      </c>
    </row>
    <row r="892" spans="1:31" x14ac:dyDescent="0.35">
      <c r="A892">
        <v>100891</v>
      </c>
      <c r="B892" s="3">
        <v>45966</v>
      </c>
      <c r="C892">
        <v>1142</v>
      </c>
      <c r="D892" t="s">
        <v>59</v>
      </c>
      <c r="E892" t="s">
        <v>60</v>
      </c>
      <c r="F892" t="s">
        <v>71</v>
      </c>
      <c r="G892" t="s">
        <v>46</v>
      </c>
      <c r="H892" t="s">
        <v>34</v>
      </c>
      <c r="I892" t="s">
        <v>35</v>
      </c>
      <c r="J892" s="4">
        <v>24.26</v>
      </c>
      <c r="K892" s="4">
        <v>14.76</v>
      </c>
      <c r="L892">
        <v>10</v>
      </c>
      <c r="M892" s="4">
        <v>35.81</v>
      </c>
      <c r="N892" s="4">
        <v>322.27</v>
      </c>
      <c r="O892" s="4">
        <v>172.17</v>
      </c>
      <c r="P892" s="4">
        <v>7.65</v>
      </c>
      <c r="Q892" s="4">
        <v>2.5099999999999998</v>
      </c>
      <c r="R892" s="4">
        <v>6.73</v>
      </c>
      <c r="S892" s="4">
        <v>0</v>
      </c>
      <c r="T892" s="4">
        <v>0</v>
      </c>
      <c r="U892" s="4">
        <v>189.06</v>
      </c>
      <c r="V892" s="4">
        <v>133.21</v>
      </c>
      <c r="W892" t="s">
        <v>21</v>
      </c>
      <c r="X892" t="s">
        <v>36</v>
      </c>
      <c r="Y892" s="4">
        <v>19</v>
      </c>
      <c r="Z892" s="4">
        <v>4</v>
      </c>
      <c r="AA892" t="s">
        <v>52</v>
      </c>
      <c r="AB892" t="s">
        <v>38</v>
      </c>
      <c r="AC892" s="7">
        <v>0</v>
      </c>
      <c r="AD892" t="s">
        <v>39</v>
      </c>
      <c r="AE892">
        <f t="shared" si="13"/>
        <v>0</v>
      </c>
    </row>
    <row r="893" spans="1:31" x14ac:dyDescent="0.35">
      <c r="A893">
        <v>100892</v>
      </c>
      <c r="B893" s="3">
        <v>45986</v>
      </c>
      <c r="C893">
        <v>1051</v>
      </c>
      <c r="D893" t="s">
        <v>47</v>
      </c>
      <c r="E893" t="s">
        <v>53</v>
      </c>
      <c r="F893" t="s">
        <v>32</v>
      </c>
      <c r="G893" t="s">
        <v>63</v>
      </c>
      <c r="H893" t="s">
        <v>57</v>
      </c>
      <c r="I893" t="s">
        <v>54</v>
      </c>
      <c r="J893" s="4">
        <v>11.02</v>
      </c>
      <c r="K893" s="4">
        <v>10.98</v>
      </c>
      <c r="L893">
        <v>5</v>
      </c>
      <c r="M893" s="4">
        <v>6.05</v>
      </c>
      <c r="N893" s="4">
        <v>114.95</v>
      </c>
      <c r="O893" s="4">
        <v>89.53</v>
      </c>
      <c r="P893" s="4">
        <v>5.22</v>
      </c>
      <c r="Q893" s="4">
        <v>1.45</v>
      </c>
      <c r="R893" s="4">
        <v>6.9</v>
      </c>
      <c r="S893" s="4">
        <v>84.76</v>
      </c>
      <c r="T893" s="4">
        <v>14.01</v>
      </c>
      <c r="U893" s="4">
        <v>201.87</v>
      </c>
      <c r="V893" s="4">
        <v>-86.92</v>
      </c>
      <c r="W893" t="s">
        <v>58</v>
      </c>
      <c r="X893" t="s">
        <v>66</v>
      </c>
      <c r="Y893" s="4">
        <v>5</v>
      </c>
      <c r="Z893" s="4">
        <v>18</v>
      </c>
      <c r="AA893" t="s">
        <v>37</v>
      </c>
      <c r="AB893" t="s">
        <v>44</v>
      </c>
      <c r="AC893" s="7">
        <v>3</v>
      </c>
      <c r="AD893" t="s">
        <v>45</v>
      </c>
      <c r="AE893">
        <f t="shared" si="13"/>
        <v>1</v>
      </c>
    </row>
    <row r="894" spans="1:31" x14ac:dyDescent="0.35">
      <c r="A894">
        <v>100893</v>
      </c>
      <c r="B894" s="3">
        <v>45960</v>
      </c>
      <c r="C894">
        <v>1122</v>
      </c>
      <c r="D894" t="s">
        <v>30</v>
      </c>
      <c r="E894" t="s">
        <v>31</v>
      </c>
      <c r="F894" t="s">
        <v>61</v>
      </c>
      <c r="G894" t="s">
        <v>33</v>
      </c>
      <c r="H894" t="s">
        <v>51</v>
      </c>
      <c r="I894" t="s">
        <v>42</v>
      </c>
      <c r="J894" s="4">
        <v>23.24</v>
      </c>
      <c r="K894" s="4">
        <v>20.69</v>
      </c>
      <c r="L894">
        <v>15</v>
      </c>
      <c r="M894" s="4">
        <v>72.13</v>
      </c>
      <c r="N894" s="4">
        <v>408.71</v>
      </c>
      <c r="O894" s="4">
        <v>180.97</v>
      </c>
      <c r="P894" s="4">
        <v>10.54</v>
      </c>
      <c r="Q894" s="4">
        <v>7.21</v>
      </c>
      <c r="R894" s="4">
        <v>10.39</v>
      </c>
      <c r="S894" s="4">
        <v>0</v>
      </c>
      <c r="T894" s="4">
        <v>0</v>
      </c>
      <c r="U894" s="4">
        <v>209.11</v>
      </c>
      <c r="V894" s="4">
        <v>199.6</v>
      </c>
      <c r="W894" t="s">
        <v>21</v>
      </c>
      <c r="X894" t="s">
        <v>36</v>
      </c>
      <c r="Y894" s="4">
        <v>5</v>
      </c>
      <c r="Z894" s="4">
        <v>9</v>
      </c>
      <c r="AA894" t="s">
        <v>37</v>
      </c>
      <c r="AB894" t="s">
        <v>38</v>
      </c>
      <c r="AC894" s="7">
        <v>0</v>
      </c>
      <c r="AD894" t="s">
        <v>39</v>
      </c>
      <c r="AE894">
        <f t="shared" si="13"/>
        <v>0</v>
      </c>
    </row>
    <row r="895" spans="1:31" x14ac:dyDescent="0.35">
      <c r="A895">
        <v>100894</v>
      </c>
      <c r="B895" s="3">
        <v>45995</v>
      </c>
      <c r="C895">
        <v>1011</v>
      </c>
      <c r="D895" t="s">
        <v>47</v>
      </c>
      <c r="E895" t="s">
        <v>56</v>
      </c>
      <c r="F895" t="s">
        <v>49</v>
      </c>
      <c r="G895" t="s">
        <v>63</v>
      </c>
      <c r="H895" t="s">
        <v>34</v>
      </c>
      <c r="I895" t="s">
        <v>35</v>
      </c>
      <c r="J895" s="4">
        <v>20.83</v>
      </c>
      <c r="K895" s="4">
        <v>13.28</v>
      </c>
      <c r="L895">
        <v>15</v>
      </c>
      <c r="M895" s="4">
        <v>41.49</v>
      </c>
      <c r="N895" s="4">
        <v>235.13</v>
      </c>
      <c r="O895" s="4">
        <v>169.54</v>
      </c>
      <c r="P895" s="4">
        <v>2.0499999999999998</v>
      </c>
      <c r="Q895" s="4">
        <v>1.94</v>
      </c>
      <c r="R895" s="4">
        <v>0</v>
      </c>
      <c r="S895" s="4">
        <v>0</v>
      </c>
      <c r="T895" s="4">
        <v>0</v>
      </c>
      <c r="U895" s="4">
        <v>173.53</v>
      </c>
      <c r="V895" s="4">
        <v>61.6</v>
      </c>
      <c r="W895" t="s">
        <v>21</v>
      </c>
      <c r="X895" t="s">
        <v>36</v>
      </c>
      <c r="Y895" s="4">
        <v>2</v>
      </c>
      <c r="Z895" s="4">
        <v>6</v>
      </c>
      <c r="AA895" t="s">
        <v>37</v>
      </c>
      <c r="AB895" t="s">
        <v>38</v>
      </c>
      <c r="AC895" s="7">
        <v>0</v>
      </c>
      <c r="AD895" t="s">
        <v>39</v>
      </c>
      <c r="AE895">
        <f t="shared" si="13"/>
        <v>0</v>
      </c>
    </row>
    <row r="896" spans="1:31" x14ac:dyDescent="0.35">
      <c r="A896">
        <v>100895</v>
      </c>
      <c r="B896" s="3">
        <v>46003</v>
      </c>
      <c r="C896">
        <v>1147</v>
      </c>
      <c r="D896" t="s">
        <v>47</v>
      </c>
      <c r="E896" t="s">
        <v>74</v>
      </c>
      <c r="F896" t="s">
        <v>71</v>
      </c>
      <c r="G896" t="s">
        <v>46</v>
      </c>
      <c r="H896" t="s">
        <v>57</v>
      </c>
      <c r="I896" t="s">
        <v>35</v>
      </c>
      <c r="J896" s="4">
        <v>39.99</v>
      </c>
      <c r="K896" s="4">
        <v>15.46</v>
      </c>
      <c r="L896">
        <v>5</v>
      </c>
      <c r="M896" s="4">
        <v>30.91</v>
      </c>
      <c r="N896" s="4">
        <v>587.34</v>
      </c>
      <c r="O896" s="4">
        <v>364.97</v>
      </c>
      <c r="P896" s="4">
        <v>10.85</v>
      </c>
      <c r="Q896" s="4">
        <v>4.33</v>
      </c>
      <c r="R896" s="4">
        <v>1.94</v>
      </c>
      <c r="S896" s="4">
        <v>0</v>
      </c>
      <c r="T896" s="4">
        <v>0</v>
      </c>
      <c r="U896" s="4">
        <v>382.09</v>
      </c>
      <c r="V896" s="4">
        <v>205.25</v>
      </c>
      <c r="W896" t="s">
        <v>21</v>
      </c>
      <c r="X896" t="s">
        <v>36</v>
      </c>
      <c r="Y896" s="4">
        <v>58</v>
      </c>
      <c r="Z896" s="4">
        <v>2</v>
      </c>
      <c r="AA896" t="s">
        <v>43</v>
      </c>
      <c r="AB896" t="s">
        <v>44</v>
      </c>
      <c r="AC896" s="7">
        <v>2</v>
      </c>
      <c r="AD896" t="s">
        <v>45</v>
      </c>
      <c r="AE896">
        <f t="shared" si="13"/>
        <v>1</v>
      </c>
    </row>
    <row r="897" spans="1:31" x14ac:dyDescent="0.35">
      <c r="A897">
        <v>100896</v>
      </c>
      <c r="B897" s="3">
        <v>46014</v>
      </c>
      <c r="C897">
        <v>1018</v>
      </c>
      <c r="D897" t="s">
        <v>47</v>
      </c>
      <c r="E897" t="s">
        <v>56</v>
      </c>
      <c r="F897" t="s">
        <v>61</v>
      </c>
      <c r="G897" t="s">
        <v>46</v>
      </c>
      <c r="H897" t="s">
        <v>34</v>
      </c>
      <c r="I897" t="s">
        <v>42</v>
      </c>
      <c r="J897" s="4">
        <v>28.08</v>
      </c>
      <c r="K897" s="4">
        <v>14.52</v>
      </c>
      <c r="L897">
        <v>0</v>
      </c>
      <c r="M897" s="4">
        <v>0</v>
      </c>
      <c r="N897" s="4">
        <v>407.72</v>
      </c>
      <c r="O897" s="4">
        <v>229.57</v>
      </c>
      <c r="P897" s="4">
        <v>8.85</v>
      </c>
      <c r="Q897" s="4">
        <v>6.12</v>
      </c>
      <c r="R897" s="4">
        <v>1.71</v>
      </c>
      <c r="S897" s="4">
        <v>0</v>
      </c>
      <c r="T897" s="4">
        <v>0</v>
      </c>
      <c r="U897" s="4">
        <v>246.25</v>
      </c>
      <c r="V897" s="4">
        <v>161.47</v>
      </c>
      <c r="W897" t="s">
        <v>21</v>
      </c>
      <c r="X897" t="s">
        <v>36</v>
      </c>
      <c r="Y897" s="4">
        <v>7</v>
      </c>
      <c r="Z897" s="4">
        <v>10</v>
      </c>
      <c r="AA897" t="s">
        <v>37</v>
      </c>
      <c r="AB897" t="s">
        <v>38</v>
      </c>
      <c r="AC897" s="7">
        <v>0</v>
      </c>
      <c r="AD897" t="s">
        <v>39</v>
      </c>
      <c r="AE897">
        <f t="shared" si="13"/>
        <v>0</v>
      </c>
    </row>
    <row r="898" spans="1:31" x14ac:dyDescent="0.35">
      <c r="A898">
        <v>100897</v>
      </c>
      <c r="B898" s="3">
        <v>45972</v>
      </c>
      <c r="C898">
        <v>1018</v>
      </c>
      <c r="D898" t="s">
        <v>64</v>
      </c>
      <c r="E898" t="s">
        <v>65</v>
      </c>
      <c r="F898" t="s">
        <v>41</v>
      </c>
      <c r="G898" t="s">
        <v>63</v>
      </c>
      <c r="H898" t="s">
        <v>34</v>
      </c>
      <c r="I898" t="s">
        <v>35</v>
      </c>
      <c r="J898" s="4">
        <v>18.899999999999999</v>
      </c>
      <c r="K898" s="4">
        <v>12.6</v>
      </c>
      <c r="L898">
        <v>10</v>
      </c>
      <c r="M898" s="4">
        <v>23.81</v>
      </c>
      <c r="N898" s="4">
        <v>214.33</v>
      </c>
      <c r="O898" s="4">
        <v>128.11000000000001</v>
      </c>
      <c r="P898" s="4">
        <v>7.48</v>
      </c>
      <c r="Q898" s="4">
        <v>1.67</v>
      </c>
      <c r="R898" s="4">
        <v>2.6</v>
      </c>
      <c r="S898" s="4">
        <v>0</v>
      </c>
      <c r="T898" s="4">
        <v>0</v>
      </c>
      <c r="U898" s="4">
        <v>139.86000000000001</v>
      </c>
      <c r="V898" s="4">
        <v>74.47</v>
      </c>
      <c r="W898" t="s">
        <v>21</v>
      </c>
      <c r="X898" t="s">
        <v>36</v>
      </c>
      <c r="Y898" s="4">
        <v>2</v>
      </c>
      <c r="Z898" s="4">
        <v>0</v>
      </c>
      <c r="AA898" t="s">
        <v>37</v>
      </c>
      <c r="AB898" t="s">
        <v>38</v>
      </c>
      <c r="AC898" s="7">
        <v>0</v>
      </c>
      <c r="AD898" t="s">
        <v>39</v>
      </c>
      <c r="AE898">
        <f t="shared" si="13"/>
        <v>0</v>
      </c>
    </row>
    <row r="899" spans="1:31" x14ac:dyDescent="0.35">
      <c r="A899">
        <v>100898</v>
      </c>
      <c r="B899" s="3">
        <v>45965</v>
      </c>
      <c r="C899">
        <v>1136</v>
      </c>
      <c r="D899" t="s">
        <v>47</v>
      </c>
      <c r="E899" t="s">
        <v>53</v>
      </c>
      <c r="F899" t="s">
        <v>41</v>
      </c>
      <c r="G899" t="s">
        <v>46</v>
      </c>
      <c r="H899" t="s">
        <v>34</v>
      </c>
      <c r="I899" t="s">
        <v>54</v>
      </c>
      <c r="J899" s="4">
        <v>31.67</v>
      </c>
      <c r="K899" s="4">
        <v>16.350000000000001</v>
      </c>
      <c r="L899">
        <v>15</v>
      </c>
      <c r="M899" s="4">
        <v>77.67</v>
      </c>
      <c r="N899" s="4">
        <v>440.13</v>
      </c>
      <c r="O899" s="4">
        <v>212.42</v>
      </c>
      <c r="P899" s="4">
        <v>11.82</v>
      </c>
      <c r="Q899" s="4">
        <v>6.21</v>
      </c>
      <c r="R899" s="4">
        <v>6.4</v>
      </c>
      <c r="S899" s="4">
        <v>447.53</v>
      </c>
      <c r="T899" s="4">
        <v>0</v>
      </c>
      <c r="U899" s="4">
        <v>684.38</v>
      </c>
      <c r="V899" s="4">
        <v>-244.25</v>
      </c>
      <c r="W899" t="s">
        <v>58</v>
      </c>
      <c r="X899" t="s">
        <v>66</v>
      </c>
      <c r="Y899" s="4">
        <v>30</v>
      </c>
      <c r="Z899" s="4">
        <v>12</v>
      </c>
      <c r="AA899" t="s">
        <v>52</v>
      </c>
      <c r="AB899" t="s">
        <v>44</v>
      </c>
      <c r="AC899" s="7">
        <v>1</v>
      </c>
      <c r="AD899" t="s">
        <v>45</v>
      </c>
      <c r="AE899">
        <f t="shared" ref="AE899:AE962" si="14">IF(AB899="Yes",1,0)</f>
        <v>1</v>
      </c>
    </row>
    <row r="900" spans="1:31" x14ac:dyDescent="0.35">
      <c r="A900">
        <v>100899</v>
      </c>
      <c r="B900" s="3">
        <v>46003</v>
      </c>
      <c r="C900">
        <v>1117</v>
      </c>
      <c r="D900" t="s">
        <v>64</v>
      </c>
      <c r="E900" t="s">
        <v>65</v>
      </c>
      <c r="F900" t="s">
        <v>41</v>
      </c>
      <c r="G900" t="s">
        <v>63</v>
      </c>
      <c r="H900" t="s">
        <v>51</v>
      </c>
      <c r="I900" t="s">
        <v>54</v>
      </c>
      <c r="J900" s="4">
        <v>11.6</v>
      </c>
      <c r="K900" s="4">
        <v>11.66</v>
      </c>
      <c r="L900">
        <v>0</v>
      </c>
      <c r="M900" s="4">
        <v>0</v>
      </c>
      <c r="N900" s="4">
        <v>135.26</v>
      </c>
      <c r="O900" s="4">
        <v>92.18</v>
      </c>
      <c r="P900" s="4">
        <v>4.93</v>
      </c>
      <c r="Q900" s="4">
        <v>1.62</v>
      </c>
      <c r="R900" s="4">
        <v>1.94</v>
      </c>
      <c r="S900" s="4">
        <v>0</v>
      </c>
      <c r="T900" s="4">
        <v>0</v>
      </c>
      <c r="U900" s="4">
        <v>100.67</v>
      </c>
      <c r="V900" s="4">
        <v>34.590000000000003</v>
      </c>
      <c r="W900" t="s">
        <v>21</v>
      </c>
      <c r="X900" t="s">
        <v>36</v>
      </c>
      <c r="Y900" s="4">
        <v>12</v>
      </c>
      <c r="Z900" s="4">
        <v>10</v>
      </c>
      <c r="AA900" t="s">
        <v>37</v>
      </c>
      <c r="AB900" t="s">
        <v>38</v>
      </c>
      <c r="AC900" s="7">
        <v>0</v>
      </c>
      <c r="AD900" t="s">
        <v>39</v>
      </c>
      <c r="AE900">
        <f t="shared" si="14"/>
        <v>0</v>
      </c>
    </row>
    <row r="901" spans="1:31" x14ac:dyDescent="0.35">
      <c r="A901">
        <v>100900</v>
      </c>
      <c r="B901" s="3">
        <v>46002</v>
      </c>
      <c r="C901">
        <v>1082</v>
      </c>
      <c r="D901" t="s">
        <v>64</v>
      </c>
      <c r="E901" t="s">
        <v>65</v>
      </c>
      <c r="F901" t="s">
        <v>41</v>
      </c>
      <c r="G901" t="s">
        <v>33</v>
      </c>
      <c r="H901" t="s">
        <v>34</v>
      </c>
      <c r="I901" t="s">
        <v>35</v>
      </c>
      <c r="J901" s="4">
        <v>39.22</v>
      </c>
      <c r="K901" s="4">
        <v>19.329999999999998</v>
      </c>
      <c r="L901">
        <v>5</v>
      </c>
      <c r="M901" s="4">
        <v>37.909999999999997</v>
      </c>
      <c r="N901" s="4">
        <v>720.21</v>
      </c>
      <c r="O901" s="4">
        <v>229.99</v>
      </c>
      <c r="P901" s="4">
        <v>9.0299999999999994</v>
      </c>
      <c r="Q901" s="4">
        <v>5.31</v>
      </c>
      <c r="R901" s="4">
        <v>6.35</v>
      </c>
      <c r="S901" s="4">
        <v>0</v>
      </c>
      <c r="T901" s="4">
        <v>0</v>
      </c>
      <c r="U901" s="4">
        <v>250.68</v>
      </c>
      <c r="V901" s="4">
        <v>469.53</v>
      </c>
      <c r="W901" t="s">
        <v>21</v>
      </c>
      <c r="X901" t="s">
        <v>36</v>
      </c>
      <c r="Y901" s="4">
        <v>12</v>
      </c>
      <c r="Z901" s="4">
        <v>36</v>
      </c>
      <c r="AA901" t="s">
        <v>37</v>
      </c>
      <c r="AB901" t="s">
        <v>44</v>
      </c>
      <c r="AC901" s="7">
        <v>1</v>
      </c>
      <c r="AD901" t="s">
        <v>45</v>
      </c>
      <c r="AE901">
        <f t="shared" si="14"/>
        <v>1</v>
      </c>
    </row>
    <row r="902" spans="1:31" x14ac:dyDescent="0.35">
      <c r="A902">
        <v>100901</v>
      </c>
      <c r="B902" s="3">
        <v>45933</v>
      </c>
      <c r="C902">
        <v>1028</v>
      </c>
      <c r="D902" t="s">
        <v>47</v>
      </c>
      <c r="E902" t="s">
        <v>56</v>
      </c>
      <c r="F902" t="s">
        <v>32</v>
      </c>
      <c r="G902" t="s">
        <v>63</v>
      </c>
      <c r="H902" t="s">
        <v>34</v>
      </c>
      <c r="I902" t="s">
        <v>54</v>
      </c>
      <c r="J902" s="4">
        <v>15.35</v>
      </c>
      <c r="K902" s="4">
        <v>11.75</v>
      </c>
      <c r="L902">
        <v>15</v>
      </c>
      <c r="M902" s="4">
        <v>27.05</v>
      </c>
      <c r="N902" s="4">
        <v>153.31</v>
      </c>
      <c r="O902" s="4">
        <v>102.23</v>
      </c>
      <c r="P902" s="4">
        <v>2.3199999999999998</v>
      </c>
      <c r="Q902" s="4">
        <v>2.16</v>
      </c>
      <c r="R902" s="4">
        <v>0.11</v>
      </c>
      <c r="S902" s="4">
        <v>0</v>
      </c>
      <c r="T902" s="4">
        <v>0</v>
      </c>
      <c r="U902" s="4">
        <v>106.82</v>
      </c>
      <c r="V902" s="4">
        <v>46.49</v>
      </c>
      <c r="W902" t="s">
        <v>21</v>
      </c>
      <c r="X902" t="s">
        <v>36</v>
      </c>
      <c r="Y902" s="4">
        <v>2</v>
      </c>
      <c r="Z902" s="4">
        <v>4</v>
      </c>
      <c r="AA902" t="s">
        <v>37</v>
      </c>
      <c r="AB902" t="s">
        <v>38</v>
      </c>
      <c r="AC902" s="7">
        <v>0</v>
      </c>
      <c r="AD902" t="s">
        <v>39</v>
      </c>
      <c r="AE902">
        <f t="shared" si="14"/>
        <v>0</v>
      </c>
    </row>
    <row r="903" spans="1:31" x14ac:dyDescent="0.35">
      <c r="A903">
        <v>100902</v>
      </c>
      <c r="B903" s="3">
        <v>45955</v>
      </c>
      <c r="C903">
        <v>1129</v>
      </c>
      <c r="D903" t="s">
        <v>59</v>
      </c>
      <c r="E903" t="s">
        <v>60</v>
      </c>
      <c r="F903" t="s">
        <v>32</v>
      </c>
      <c r="G903" t="s">
        <v>50</v>
      </c>
      <c r="H903" t="s">
        <v>57</v>
      </c>
      <c r="I903" t="s">
        <v>35</v>
      </c>
      <c r="J903" s="4">
        <v>27.12</v>
      </c>
      <c r="K903" s="4">
        <v>18.03</v>
      </c>
      <c r="L903">
        <v>15</v>
      </c>
      <c r="M903" s="4">
        <v>73.349999999999994</v>
      </c>
      <c r="N903" s="4">
        <v>415.62</v>
      </c>
      <c r="O903" s="4">
        <v>201.24</v>
      </c>
      <c r="P903" s="4">
        <v>8.86</v>
      </c>
      <c r="Q903" s="4">
        <v>3.42</v>
      </c>
      <c r="R903" s="4">
        <v>6.82</v>
      </c>
      <c r="S903" s="4">
        <v>0</v>
      </c>
      <c r="T903" s="4">
        <v>0</v>
      </c>
      <c r="U903" s="4">
        <v>220.34</v>
      </c>
      <c r="V903" s="4">
        <v>195.28</v>
      </c>
      <c r="W903" t="s">
        <v>21</v>
      </c>
      <c r="X903" t="s">
        <v>36</v>
      </c>
      <c r="Y903" s="4">
        <v>9</v>
      </c>
      <c r="Z903" s="4">
        <v>15</v>
      </c>
      <c r="AA903" t="s">
        <v>37</v>
      </c>
      <c r="AB903" t="s">
        <v>38</v>
      </c>
      <c r="AC903" s="7">
        <v>0</v>
      </c>
      <c r="AD903" t="s">
        <v>39</v>
      </c>
      <c r="AE903">
        <f t="shared" si="14"/>
        <v>0</v>
      </c>
    </row>
    <row r="904" spans="1:31" x14ac:dyDescent="0.35">
      <c r="A904">
        <v>100903</v>
      </c>
      <c r="B904" s="3">
        <v>45950</v>
      </c>
      <c r="C904">
        <v>1120</v>
      </c>
      <c r="D904" t="s">
        <v>47</v>
      </c>
      <c r="E904" t="s">
        <v>74</v>
      </c>
      <c r="F904" t="s">
        <v>61</v>
      </c>
      <c r="G904" t="s">
        <v>33</v>
      </c>
      <c r="H904" t="s">
        <v>34</v>
      </c>
      <c r="I904" t="s">
        <v>35</v>
      </c>
      <c r="J904" s="4">
        <v>24.33</v>
      </c>
      <c r="K904" s="4">
        <v>19.04</v>
      </c>
      <c r="L904">
        <v>5</v>
      </c>
      <c r="M904" s="4">
        <v>23.16</v>
      </c>
      <c r="N904" s="4">
        <v>440.08</v>
      </c>
      <c r="O904" s="4">
        <v>190.37</v>
      </c>
      <c r="P904" s="4">
        <v>7.59</v>
      </c>
      <c r="Q904" s="4">
        <v>3.24</v>
      </c>
      <c r="R904" s="4">
        <v>3.8</v>
      </c>
      <c r="S904" s="4">
        <v>0</v>
      </c>
      <c r="T904" s="4">
        <v>0</v>
      </c>
      <c r="U904" s="4">
        <v>205</v>
      </c>
      <c r="V904" s="4">
        <v>235.08</v>
      </c>
      <c r="W904" t="s">
        <v>21</v>
      </c>
      <c r="X904" t="s">
        <v>36</v>
      </c>
      <c r="Y904" s="4">
        <v>0</v>
      </c>
      <c r="Z904" s="4">
        <v>3</v>
      </c>
      <c r="AA904" t="s">
        <v>37</v>
      </c>
      <c r="AB904" t="s">
        <v>38</v>
      </c>
      <c r="AC904" s="7">
        <v>0</v>
      </c>
      <c r="AD904" t="s">
        <v>39</v>
      </c>
      <c r="AE904">
        <f t="shared" si="14"/>
        <v>0</v>
      </c>
    </row>
    <row r="905" spans="1:31" x14ac:dyDescent="0.35">
      <c r="A905">
        <v>100904</v>
      </c>
      <c r="B905" s="3">
        <v>45967</v>
      </c>
      <c r="C905">
        <v>1004</v>
      </c>
      <c r="D905" t="s">
        <v>64</v>
      </c>
      <c r="E905" t="s">
        <v>65</v>
      </c>
      <c r="F905" t="s">
        <v>41</v>
      </c>
      <c r="G905" t="s">
        <v>50</v>
      </c>
      <c r="H905" t="s">
        <v>57</v>
      </c>
      <c r="I905" t="s">
        <v>69</v>
      </c>
      <c r="J905" s="4">
        <v>37.97</v>
      </c>
      <c r="K905" s="4">
        <v>17.68</v>
      </c>
      <c r="L905">
        <v>5</v>
      </c>
      <c r="M905" s="4">
        <v>33.57</v>
      </c>
      <c r="N905" s="4">
        <v>637.74</v>
      </c>
      <c r="O905" s="4">
        <v>243.4</v>
      </c>
      <c r="P905" s="4">
        <v>7.39</v>
      </c>
      <c r="Q905" s="4">
        <v>2.69</v>
      </c>
      <c r="R905" s="4">
        <v>5.85</v>
      </c>
      <c r="S905" s="4">
        <v>0</v>
      </c>
      <c r="T905" s="4">
        <v>0</v>
      </c>
      <c r="U905" s="4">
        <v>259.33</v>
      </c>
      <c r="V905" s="4">
        <v>378.41</v>
      </c>
      <c r="W905" t="s">
        <v>21</v>
      </c>
      <c r="X905" t="s">
        <v>36</v>
      </c>
      <c r="Y905" s="4">
        <v>3</v>
      </c>
      <c r="Z905" s="4">
        <v>19</v>
      </c>
      <c r="AA905" t="s">
        <v>37</v>
      </c>
      <c r="AB905" t="s">
        <v>44</v>
      </c>
      <c r="AC905" s="7">
        <v>2</v>
      </c>
      <c r="AD905" t="s">
        <v>45</v>
      </c>
      <c r="AE905">
        <f t="shared" si="14"/>
        <v>1</v>
      </c>
    </row>
    <row r="906" spans="1:31" x14ac:dyDescent="0.35">
      <c r="A906">
        <v>100905</v>
      </c>
      <c r="B906" s="3">
        <v>45982</v>
      </c>
      <c r="C906">
        <v>1001</v>
      </c>
      <c r="D906" t="s">
        <v>47</v>
      </c>
      <c r="E906" t="s">
        <v>74</v>
      </c>
      <c r="F906" t="s">
        <v>61</v>
      </c>
      <c r="G906" t="s">
        <v>50</v>
      </c>
      <c r="H906" t="s">
        <v>34</v>
      </c>
      <c r="I906" t="s">
        <v>35</v>
      </c>
      <c r="J906" s="4">
        <v>32.6</v>
      </c>
      <c r="K906" s="4">
        <v>18.23</v>
      </c>
      <c r="L906">
        <v>5</v>
      </c>
      <c r="M906" s="4">
        <v>29.72</v>
      </c>
      <c r="N906" s="4">
        <v>564.58000000000004</v>
      </c>
      <c r="O906" s="4">
        <v>239.78</v>
      </c>
      <c r="P906" s="4">
        <v>7.56</v>
      </c>
      <c r="Q906" s="4">
        <v>4.16</v>
      </c>
      <c r="R906" s="4">
        <v>8.7100000000000009</v>
      </c>
      <c r="S906" s="4">
        <v>503.48</v>
      </c>
      <c r="T906" s="4">
        <v>0</v>
      </c>
      <c r="U906" s="4">
        <v>763.69</v>
      </c>
      <c r="V906" s="4">
        <v>-199.11</v>
      </c>
      <c r="W906" t="s">
        <v>58</v>
      </c>
      <c r="X906" t="s">
        <v>55</v>
      </c>
      <c r="Y906" s="4">
        <v>19</v>
      </c>
      <c r="Z906" s="4">
        <v>12</v>
      </c>
      <c r="AA906" t="s">
        <v>52</v>
      </c>
      <c r="AB906" t="s">
        <v>44</v>
      </c>
      <c r="AC906" s="7">
        <v>1</v>
      </c>
      <c r="AD906" t="s">
        <v>45</v>
      </c>
      <c r="AE906">
        <f t="shared" si="14"/>
        <v>1</v>
      </c>
    </row>
    <row r="907" spans="1:31" x14ac:dyDescent="0.35">
      <c r="A907">
        <v>100906</v>
      </c>
      <c r="B907" s="3">
        <v>46013</v>
      </c>
      <c r="C907">
        <v>1049</v>
      </c>
      <c r="D907" t="s">
        <v>64</v>
      </c>
      <c r="E907" t="s">
        <v>67</v>
      </c>
      <c r="F907" t="s">
        <v>41</v>
      </c>
      <c r="G907" t="s">
        <v>63</v>
      </c>
      <c r="H907" t="s">
        <v>51</v>
      </c>
      <c r="I907" t="s">
        <v>35</v>
      </c>
      <c r="J907" s="4">
        <v>39.950000000000003</v>
      </c>
      <c r="K907" s="4">
        <v>12.28</v>
      </c>
      <c r="L907">
        <v>10</v>
      </c>
      <c r="M907" s="4">
        <v>49.06</v>
      </c>
      <c r="N907" s="4">
        <v>441.53</v>
      </c>
      <c r="O907" s="4">
        <v>254.59</v>
      </c>
      <c r="P907" s="4">
        <v>4.9800000000000004</v>
      </c>
      <c r="Q907" s="4">
        <v>3.43</v>
      </c>
      <c r="R907" s="4">
        <v>0</v>
      </c>
      <c r="S907" s="4">
        <v>0</v>
      </c>
      <c r="T907" s="4">
        <v>0</v>
      </c>
      <c r="U907" s="4">
        <v>263</v>
      </c>
      <c r="V907" s="4">
        <v>178.53</v>
      </c>
      <c r="W907" t="s">
        <v>21</v>
      </c>
      <c r="X907" t="s">
        <v>36</v>
      </c>
      <c r="Y907" s="4">
        <v>59</v>
      </c>
      <c r="Z907" s="4">
        <v>7</v>
      </c>
      <c r="AA907" t="s">
        <v>43</v>
      </c>
      <c r="AB907" t="s">
        <v>44</v>
      </c>
      <c r="AC907" s="7">
        <v>2</v>
      </c>
      <c r="AD907" t="s">
        <v>45</v>
      </c>
      <c r="AE907">
        <f t="shared" si="14"/>
        <v>1</v>
      </c>
    </row>
    <row r="908" spans="1:31" x14ac:dyDescent="0.35">
      <c r="A908">
        <v>100907</v>
      </c>
      <c r="B908" s="3">
        <v>45950</v>
      </c>
      <c r="C908">
        <v>1113</v>
      </c>
      <c r="D908" t="s">
        <v>59</v>
      </c>
      <c r="E908" t="s">
        <v>60</v>
      </c>
      <c r="F908" t="s">
        <v>41</v>
      </c>
      <c r="G908" t="s">
        <v>50</v>
      </c>
      <c r="H908" t="s">
        <v>34</v>
      </c>
      <c r="I908" t="s">
        <v>35</v>
      </c>
      <c r="J908" s="4">
        <v>38.47</v>
      </c>
      <c r="K908" s="4">
        <v>17.829999999999998</v>
      </c>
      <c r="L908">
        <v>5</v>
      </c>
      <c r="M908" s="4">
        <v>34.299999999999997</v>
      </c>
      <c r="N908" s="4">
        <v>651.62</v>
      </c>
      <c r="O908" s="4">
        <v>298.01</v>
      </c>
      <c r="P908" s="4">
        <v>8.0399999999999991</v>
      </c>
      <c r="Q908" s="4">
        <v>4.8</v>
      </c>
      <c r="R908" s="4">
        <v>2.02</v>
      </c>
      <c r="S908" s="4">
        <v>519.44000000000005</v>
      </c>
      <c r="T908" s="4">
        <v>0</v>
      </c>
      <c r="U908" s="4">
        <v>832.31</v>
      </c>
      <c r="V908" s="4">
        <v>-180.69</v>
      </c>
      <c r="W908" t="s">
        <v>58</v>
      </c>
      <c r="X908" t="s">
        <v>55</v>
      </c>
      <c r="Y908" s="4">
        <v>16</v>
      </c>
      <c r="Z908" s="4">
        <v>11</v>
      </c>
      <c r="AA908" t="s">
        <v>52</v>
      </c>
      <c r="AB908" t="s">
        <v>44</v>
      </c>
      <c r="AC908" s="7">
        <v>1</v>
      </c>
      <c r="AD908" t="s">
        <v>45</v>
      </c>
      <c r="AE908">
        <f t="shared" si="14"/>
        <v>1</v>
      </c>
    </row>
    <row r="909" spans="1:31" x14ac:dyDescent="0.35">
      <c r="A909">
        <v>100908</v>
      </c>
      <c r="B909" s="3">
        <v>46000</v>
      </c>
      <c r="C909">
        <v>1133</v>
      </c>
      <c r="D909" t="s">
        <v>30</v>
      </c>
      <c r="E909" t="s">
        <v>72</v>
      </c>
      <c r="F909" t="s">
        <v>49</v>
      </c>
      <c r="G909" t="s">
        <v>63</v>
      </c>
      <c r="H909" t="s">
        <v>57</v>
      </c>
      <c r="I909" t="s">
        <v>69</v>
      </c>
      <c r="J909" s="4">
        <v>5.13</v>
      </c>
      <c r="K909" s="4">
        <v>12.33</v>
      </c>
      <c r="L909">
        <v>10</v>
      </c>
      <c r="M909" s="4">
        <v>6.32</v>
      </c>
      <c r="N909" s="4">
        <v>56.93</v>
      </c>
      <c r="O909" s="4">
        <v>26.84</v>
      </c>
      <c r="P909" s="4">
        <v>8.51</v>
      </c>
      <c r="Q909" s="4">
        <v>0.25</v>
      </c>
      <c r="R909" s="4">
        <v>0.86</v>
      </c>
      <c r="S909" s="4">
        <v>0</v>
      </c>
      <c r="T909" s="4">
        <v>0</v>
      </c>
      <c r="U909" s="4">
        <v>36.46</v>
      </c>
      <c r="V909" s="4">
        <v>20.47</v>
      </c>
      <c r="W909" t="s">
        <v>21</v>
      </c>
      <c r="X909" t="s">
        <v>36</v>
      </c>
      <c r="Y909" s="4">
        <v>32</v>
      </c>
      <c r="Z909" s="4">
        <v>2</v>
      </c>
      <c r="AA909" t="s">
        <v>43</v>
      </c>
      <c r="AB909" t="s">
        <v>44</v>
      </c>
      <c r="AC909" s="7">
        <v>1</v>
      </c>
      <c r="AD909" t="s">
        <v>45</v>
      </c>
      <c r="AE909">
        <f t="shared" si="14"/>
        <v>1</v>
      </c>
    </row>
    <row r="910" spans="1:31" x14ac:dyDescent="0.35">
      <c r="A910">
        <v>100909</v>
      </c>
      <c r="B910" s="3">
        <v>45970</v>
      </c>
      <c r="C910">
        <v>1095</v>
      </c>
      <c r="D910" t="s">
        <v>59</v>
      </c>
      <c r="E910" t="s">
        <v>73</v>
      </c>
      <c r="F910" t="s">
        <v>49</v>
      </c>
      <c r="G910" t="s">
        <v>63</v>
      </c>
      <c r="H910" t="s">
        <v>34</v>
      </c>
      <c r="I910" t="s">
        <v>35</v>
      </c>
      <c r="J910" s="4">
        <v>23.18</v>
      </c>
      <c r="K910" s="4">
        <v>12.13</v>
      </c>
      <c r="L910">
        <v>15</v>
      </c>
      <c r="M910" s="4">
        <v>42.18</v>
      </c>
      <c r="N910" s="4">
        <v>238.99</v>
      </c>
      <c r="O910" s="4">
        <v>175.18</v>
      </c>
      <c r="P910" s="4">
        <v>13.87</v>
      </c>
      <c r="Q910" s="4">
        <v>1.97</v>
      </c>
      <c r="R910" s="4">
        <v>6.95</v>
      </c>
      <c r="S910" s="4">
        <v>0</v>
      </c>
      <c r="T910" s="4">
        <v>0</v>
      </c>
      <c r="U910" s="4">
        <v>197.97</v>
      </c>
      <c r="V910" s="4">
        <v>41.02</v>
      </c>
      <c r="W910" t="s">
        <v>21</v>
      </c>
      <c r="X910" t="s">
        <v>36</v>
      </c>
      <c r="Y910" s="4">
        <v>10</v>
      </c>
      <c r="Z910" s="4">
        <v>0</v>
      </c>
      <c r="AA910" t="s">
        <v>37</v>
      </c>
      <c r="AB910" t="s">
        <v>38</v>
      </c>
      <c r="AC910" s="7">
        <v>1</v>
      </c>
      <c r="AD910" t="s">
        <v>39</v>
      </c>
      <c r="AE910">
        <f t="shared" si="14"/>
        <v>0</v>
      </c>
    </row>
    <row r="911" spans="1:31" x14ac:dyDescent="0.35">
      <c r="A911">
        <v>100910</v>
      </c>
      <c r="B911" s="3">
        <v>45938</v>
      </c>
      <c r="C911">
        <v>1048</v>
      </c>
      <c r="D911" t="s">
        <v>64</v>
      </c>
      <c r="E911" t="s">
        <v>65</v>
      </c>
      <c r="F911" t="s">
        <v>32</v>
      </c>
      <c r="G911" t="s">
        <v>33</v>
      </c>
      <c r="H911" t="s">
        <v>51</v>
      </c>
      <c r="I911" t="s">
        <v>54</v>
      </c>
      <c r="J911" s="4">
        <v>32.71</v>
      </c>
      <c r="K911" s="4">
        <v>21.99</v>
      </c>
      <c r="L911">
        <v>10</v>
      </c>
      <c r="M911" s="4">
        <v>71.930000000000007</v>
      </c>
      <c r="N911" s="4">
        <v>647.36</v>
      </c>
      <c r="O911" s="4">
        <v>240.31</v>
      </c>
      <c r="P911" s="4">
        <v>4.12</v>
      </c>
      <c r="Q911" s="4">
        <v>8.6300000000000008</v>
      </c>
      <c r="R911" s="4">
        <v>6.03</v>
      </c>
      <c r="S911" s="4">
        <v>0</v>
      </c>
      <c r="T911" s="4">
        <v>0</v>
      </c>
      <c r="U911" s="4">
        <v>259.08999999999997</v>
      </c>
      <c r="V911" s="4">
        <v>388.27</v>
      </c>
      <c r="W911" t="s">
        <v>21</v>
      </c>
      <c r="X911" t="s">
        <v>36</v>
      </c>
      <c r="Y911" s="4">
        <v>6</v>
      </c>
      <c r="Z911" s="4">
        <v>14</v>
      </c>
      <c r="AA911" t="s">
        <v>37</v>
      </c>
      <c r="AB911" t="s">
        <v>38</v>
      </c>
      <c r="AC911" s="7">
        <v>0</v>
      </c>
      <c r="AD911" t="s">
        <v>39</v>
      </c>
      <c r="AE911">
        <f t="shared" si="14"/>
        <v>0</v>
      </c>
    </row>
    <row r="912" spans="1:31" x14ac:dyDescent="0.35">
      <c r="A912">
        <v>100911</v>
      </c>
      <c r="B912" s="3">
        <v>46001</v>
      </c>
      <c r="C912">
        <v>1015</v>
      </c>
      <c r="D912" t="s">
        <v>59</v>
      </c>
      <c r="E912" t="s">
        <v>68</v>
      </c>
      <c r="F912" t="s">
        <v>41</v>
      </c>
      <c r="G912" t="s">
        <v>46</v>
      </c>
      <c r="H912" t="s">
        <v>57</v>
      </c>
      <c r="I912" t="s">
        <v>69</v>
      </c>
      <c r="J912" s="4">
        <v>31.99</v>
      </c>
      <c r="K912" s="4">
        <v>16.91</v>
      </c>
      <c r="L912">
        <v>15</v>
      </c>
      <c r="M912" s="4">
        <v>81.14</v>
      </c>
      <c r="N912" s="4">
        <v>459.81</v>
      </c>
      <c r="O912" s="4">
        <v>238.02</v>
      </c>
      <c r="P912" s="4">
        <v>8.8000000000000007</v>
      </c>
      <c r="Q912" s="4">
        <v>2.16</v>
      </c>
      <c r="R912" s="4">
        <v>7.05</v>
      </c>
      <c r="S912" s="4">
        <v>0</v>
      </c>
      <c r="T912" s="4">
        <v>0</v>
      </c>
      <c r="U912" s="4">
        <v>256.02999999999997</v>
      </c>
      <c r="V912" s="4">
        <v>203.78</v>
      </c>
      <c r="W912" t="s">
        <v>21</v>
      </c>
      <c r="X912" t="s">
        <v>36</v>
      </c>
      <c r="Y912" s="4">
        <v>14</v>
      </c>
      <c r="Z912" s="4">
        <v>1</v>
      </c>
      <c r="AA912" t="s">
        <v>37</v>
      </c>
      <c r="AB912" t="s">
        <v>38</v>
      </c>
      <c r="AC912" s="7">
        <v>0</v>
      </c>
      <c r="AD912" t="s">
        <v>39</v>
      </c>
      <c r="AE912">
        <f t="shared" si="14"/>
        <v>0</v>
      </c>
    </row>
    <row r="913" spans="1:31" x14ac:dyDescent="0.35">
      <c r="A913">
        <v>100912</v>
      </c>
      <c r="B913" s="3">
        <v>46004</v>
      </c>
      <c r="C913">
        <v>1133</v>
      </c>
      <c r="D913" t="s">
        <v>64</v>
      </c>
      <c r="E913" t="s">
        <v>75</v>
      </c>
      <c r="F913" t="s">
        <v>49</v>
      </c>
      <c r="G913" t="s">
        <v>63</v>
      </c>
      <c r="H913" t="s">
        <v>34</v>
      </c>
      <c r="I913" t="s">
        <v>35</v>
      </c>
      <c r="J913" s="4">
        <v>10.7</v>
      </c>
      <c r="K913" s="4">
        <v>12.11</v>
      </c>
      <c r="L913">
        <v>0</v>
      </c>
      <c r="M913" s="4">
        <v>0</v>
      </c>
      <c r="N913" s="4">
        <v>129.58000000000001</v>
      </c>
      <c r="O913" s="4">
        <v>78.44</v>
      </c>
      <c r="P913" s="4">
        <v>9.6300000000000008</v>
      </c>
      <c r="Q913" s="4">
        <v>0.91</v>
      </c>
      <c r="R913" s="4">
        <v>6.72</v>
      </c>
      <c r="S913" s="4">
        <v>0</v>
      </c>
      <c r="T913" s="4">
        <v>0</v>
      </c>
      <c r="U913" s="4">
        <v>95.7</v>
      </c>
      <c r="V913" s="4">
        <v>33.880000000000003</v>
      </c>
      <c r="W913" t="s">
        <v>21</v>
      </c>
      <c r="X913" t="s">
        <v>36</v>
      </c>
      <c r="Y913" s="4">
        <v>3</v>
      </c>
      <c r="Z913" s="4">
        <v>9</v>
      </c>
      <c r="AA913" t="s">
        <v>37</v>
      </c>
      <c r="AB913" t="s">
        <v>38</v>
      </c>
      <c r="AC913" s="7">
        <v>0</v>
      </c>
      <c r="AD913" t="s">
        <v>39</v>
      </c>
      <c r="AE913">
        <f t="shared" si="14"/>
        <v>0</v>
      </c>
    </row>
    <row r="914" spans="1:31" x14ac:dyDescent="0.35">
      <c r="A914">
        <v>100913</v>
      </c>
      <c r="B914" s="3">
        <v>46022</v>
      </c>
      <c r="C914">
        <v>1136</v>
      </c>
      <c r="D914" t="s">
        <v>59</v>
      </c>
      <c r="E914" t="s">
        <v>73</v>
      </c>
      <c r="F914" t="s">
        <v>61</v>
      </c>
      <c r="G914" t="s">
        <v>50</v>
      </c>
      <c r="H914" t="s">
        <v>51</v>
      </c>
      <c r="I914" t="s">
        <v>35</v>
      </c>
      <c r="J914" s="4">
        <v>36.840000000000003</v>
      </c>
      <c r="K914" s="4">
        <v>16.649999999999999</v>
      </c>
      <c r="L914">
        <v>0</v>
      </c>
      <c r="M914" s="4">
        <v>0</v>
      </c>
      <c r="N914" s="4">
        <v>613.39</v>
      </c>
      <c r="O914" s="4">
        <v>212.53</v>
      </c>
      <c r="P914" s="4">
        <v>13.71</v>
      </c>
      <c r="Q914" s="4">
        <v>4.29</v>
      </c>
      <c r="R914" s="4">
        <v>11.08</v>
      </c>
      <c r="S914" s="4">
        <v>591.39</v>
      </c>
      <c r="T914" s="4">
        <v>15.14</v>
      </c>
      <c r="U914" s="4">
        <v>848.14</v>
      </c>
      <c r="V914" s="4">
        <v>-234.75</v>
      </c>
      <c r="W914" t="s">
        <v>58</v>
      </c>
      <c r="X914" t="s">
        <v>66</v>
      </c>
      <c r="Y914" s="4">
        <v>21</v>
      </c>
      <c r="Z914" s="4">
        <v>5</v>
      </c>
      <c r="AA914" t="s">
        <v>52</v>
      </c>
      <c r="AB914" t="s">
        <v>44</v>
      </c>
      <c r="AC914" s="7">
        <v>3</v>
      </c>
      <c r="AD914" t="s">
        <v>45</v>
      </c>
      <c r="AE914">
        <f t="shared" si="14"/>
        <v>1</v>
      </c>
    </row>
    <row r="915" spans="1:31" x14ac:dyDescent="0.35">
      <c r="A915">
        <v>100914</v>
      </c>
      <c r="B915" s="3">
        <v>45939</v>
      </c>
      <c r="C915">
        <v>1025</v>
      </c>
      <c r="D915" t="s">
        <v>59</v>
      </c>
      <c r="E915" t="s">
        <v>73</v>
      </c>
      <c r="F915" t="s">
        <v>61</v>
      </c>
      <c r="G915" t="s">
        <v>33</v>
      </c>
      <c r="H915" t="s">
        <v>34</v>
      </c>
      <c r="I915" t="s">
        <v>54</v>
      </c>
      <c r="J915" s="4">
        <v>32.97</v>
      </c>
      <c r="K915" s="4">
        <v>19.52</v>
      </c>
      <c r="L915">
        <v>0</v>
      </c>
      <c r="M915" s="4">
        <v>0</v>
      </c>
      <c r="N915" s="4">
        <v>643.57000000000005</v>
      </c>
      <c r="O915" s="4">
        <v>259.86</v>
      </c>
      <c r="P915" s="4">
        <v>12.77</v>
      </c>
      <c r="Q915" s="4">
        <v>7.72</v>
      </c>
      <c r="R915" s="4">
        <v>5.93</v>
      </c>
      <c r="S915" s="4">
        <v>0</v>
      </c>
      <c r="T915" s="4">
        <v>0</v>
      </c>
      <c r="U915" s="4">
        <v>286.27999999999997</v>
      </c>
      <c r="V915" s="4">
        <v>357.29</v>
      </c>
      <c r="W915" t="s">
        <v>21</v>
      </c>
      <c r="X915" t="s">
        <v>36</v>
      </c>
      <c r="Y915" s="4">
        <v>20</v>
      </c>
      <c r="Z915" s="4">
        <v>9</v>
      </c>
      <c r="AA915" t="s">
        <v>52</v>
      </c>
      <c r="AB915" t="s">
        <v>38</v>
      </c>
      <c r="AC915" s="7">
        <v>0</v>
      </c>
      <c r="AD915" t="s">
        <v>39</v>
      </c>
      <c r="AE915">
        <f t="shared" si="14"/>
        <v>0</v>
      </c>
    </row>
    <row r="916" spans="1:31" x14ac:dyDescent="0.35">
      <c r="A916">
        <v>100915</v>
      </c>
      <c r="B916" s="3">
        <v>46003</v>
      </c>
      <c r="C916">
        <v>1002</v>
      </c>
      <c r="D916" t="s">
        <v>30</v>
      </c>
      <c r="E916" t="s">
        <v>72</v>
      </c>
      <c r="F916" t="s">
        <v>41</v>
      </c>
      <c r="G916" t="s">
        <v>63</v>
      </c>
      <c r="H916" t="s">
        <v>34</v>
      </c>
      <c r="I916" t="s">
        <v>35</v>
      </c>
      <c r="J916" s="4">
        <v>24.25</v>
      </c>
      <c r="K916" s="4">
        <v>11.74</v>
      </c>
      <c r="L916">
        <v>10</v>
      </c>
      <c r="M916" s="4">
        <v>28.47</v>
      </c>
      <c r="N916" s="4">
        <v>256.23</v>
      </c>
      <c r="O916" s="4">
        <v>199.34</v>
      </c>
      <c r="P916" s="4">
        <v>9.85</v>
      </c>
      <c r="Q916" s="4">
        <v>1.99</v>
      </c>
      <c r="R916" s="4">
        <v>2.59</v>
      </c>
      <c r="S916" s="4">
        <v>0</v>
      </c>
      <c r="T916" s="4">
        <v>0</v>
      </c>
      <c r="U916" s="4">
        <v>213.77</v>
      </c>
      <c r="V916" s="4">
        <v>42.46</v>
      </c>
      <c r="W916" t="s">
        <v>21</v>
      </c>
      <c r="X916" t="s">
        <v>36</v>
      </c>
      <c r="Y916" s="4">
        <v>4</v>
      </c>
      <c r="Z916" s="4">
        <v>8</v>
      </c>
      <c r="AA916" t="s">
        <v>37</v>
      </c>
      <c r="AB916" t="s">
        <v>38</v>
      </c>
      <c r="AC916" s="7">
        <v>0</v>
      </c>
      <c r="AD916" t="s">
        <v>39</v>
      </c>
      <c r="AE916">
        <f t="shared" si="14"/>
        <v>0</v>
      </c>
    </row>
    <row r="917" spans="1:31" x14ac:dyDescent="0.35">
      <c r="A917">
        <v>100916</v>
      </c>
      <c r="B917" s="3">
        <v>45958</v>
      </c>
      <c r="C917">
        <v>1103</v>
      </c>
      <c r="D917" t="s">
        <v>59</v>
      </c>
      <c r="E917" t="s">
        <v>70</v>
      </c>
      <c r="F917" t="s">
        <v>41</v>
      </c>
      <c r="G917" t="s">
        <v>33</v>
      </c>
      <c r="H917" t="s">
        <v>57</v>
      </c>
      <c r="I917" t="s">
        <v>35</v>
      </c>
      <c r="J917" s="4">
        <v>27.04</v>
      </c>
      <c r="K917" s="4">
        <v>18.8</v>
      </c>
      <c r="L917">
        <v>0</v>
      </c>
      <c r="M917" s="4">
        <v>0</v>
      </c>
      <c r="N917" s="4">
        <v>508.35</v>
      </c>
      <c r="O917" s="4">
        <v>209.28</v>
      </c>
      <c r="P917" s="4">
        <v>8.5299999999999994</v>
      </c>
      <c r="Q917" s="4">
        <v>3.56</v>
      </c>
      <c r="R917" s="4">
        <v>9.6199999999999992</v>
      </c>
      <c r="S917" s="4">
        <v>0</v>
      </c>
      <c r="T917" s="4">
        <v>0</v>
      </c>
      <c r="U917" s="4">
        <v>230.99</v>
      </c>
      <c r="V917" s="4">
        <v>277.36</v>
      </c>
      <c r="W917" t="s">
        <v>21</v>
      </c>
      <c r="X917" t="s">
        <v>36</v>
      </c>
      <c r="Y917" s="4">
        <v>9</v>
      </c>
      <c r="Z917" s="4">
        <v>7</v>
      </c>
      <c r="AA917" t="s">
        <v>37</v>
      </c>
      <c r="AB917" t="s">
        <v>38</v>
      </c>
      <c r="AC917" s="7">
        <v>0</v>
      </c>
      <c r="AD917" t="s">
        <v>39</v>
      </c>
      <c r="AE917">
        <f t="shared" si="14"/>
        <v>0</v>
      </c>
    </row>
    <row r="918" spans="1:31" x14ac:dyDescent="0.35">
      <c r="A918">
        <v>100917</v>
      </c>
      <c r="B918" s="3">
        <v>46008</v>
      </c>
      <c r="C918">
        <v>1053</v>
      </c>
      <c r="D918" t="s">
        <v>47</v>
      </c>
      <c r="E918" t="s">
        <v>53</v>
      </c>
      <c r="F918" t="s">
        <v>71</v>
      </c>
      <c r="G918" t="s">
        <v>46</v>
      </c>
      <c r="H918" t="s">
        <v>34</v>
      </c>
      <c r="I918" t="s">
        <v>35</v>
      </c>
      <c r="J918" s="4">
        <v>22.15</v>
      </c>
      <c r="K918" s="4">
        <v>15.53</v>
      </c>
      <c r="L918">
        <v>5</v>
      </c>
      <c r="M918" s="4">
        <v>17.2</v>
      </c>
      <c r="N918" s="4">
        <v>326.79000000000002</v>
      </c>
      <c r="O918" s="4">
        <v>159.52000000000001</v>
      </c>
      <c r="P918" s="4">
        <v>11.71</v>
      </c>
      <c r="Q918" s="4">
        <v>2.41</v>
      </c>
      <c r="R918" s="4">
        <v>5.93</v>
      </c>
      <c r="S918" s="4">
        <v>0</v>
      </c>
      <c r="T918" s="4">
        <v>0</v>
      </c>
      <c r="U918" s="4">
        <v>179.57</v>
      </c>
      <c r="V918" s="4">
        <v>147.22</v>
      </c>
      <c r="W918" t="s">
        <v>21</v>
      </c>
      <c r="X918" t="s">
        <v>36</v>
      </c>
      <c r="Y918" s="4">
        <v>25</v>
      </c>
      <c r="Z918" s="4">
        <v>4</v>
      </c>
      <c r="AA918" t="s">
        <v>52</v>
      </c>
      <c r="AB918" t="s">
        <v>44</v>
      </c>
      <c r="AC918" s="7">
        <v>2</v>
      </c>
      <c r="AD918" t="s">
        <v>45</v>
      </c>
      <c r="AE918">
        <f t="shared" si="14"/>
        <v>1</v>
      </c>
    </row>
    <row r="919" spans="1:31" x14ac:dyDescent="0.35">
      <c r="A919">
        <v>100918</v>
      </c>
      <c r="B919" s="3">
        <v>46000</v>
      </c>
      <c r="C919">
        <v>1048</v>
      </c>
      <c r="D919" t="s">
        <v>59</v>
      </c>
      <c r="E919" t="s">
        <v>73</v>
      </c>
      <c r="F919" t="s">
        <v>41</v>
      </c>
      <c r="G919" t="s">
        <v>63</v>
      </c>
      <c r="H919" t="s">
        <v>34</v>
      </c>
      <c r="I919" t="s">
        <v>42</v>
      </c>
      <c r="J919" s="4">
        <v>24.59</v>
      </c>
      <c r="K919" s="4">
        <v>12.76</v>
      </c>
      <c r="L919">
        <v>0</v>
      </c>
      <c r="M919" s="4">
        <v>0</v>
      </c>
      <c r="N919" s="4">
        <v>313.77</v>
      </c>
      <c r="O919" s="4">
        <v>171.28</v>
      </c>
      <c r="P919" s="4">
        <v>8.2899999999999991</v>
      </c>
      <c r="Q919" s="4">
        <v>4.71</v>
      </c>
      <c r="R919" s="4">
        <v>1.05</v>
      </c>
      <c r="S919" s="4">
        <v>0</v>
      </c>
      <c r="T919" s="4">
        <v>0</v>
      </c>
      <c r="U919" s="4">
        <v>185.33</v>
      </c>
      <c r="V919" s="4">
        <v>128.44</v>
      </c>
      <c r="W919" t="s">
        <v>21</v>
      </c>
      <c r="X919" t="s">
        <v>36</v>
      </c>
      <c r="Y919" s="4">
        <v>1</v>
      </c>
      <c r="Z919" s="4">
        <v>5</v>
      </c>
      <c r="AA919" t="s">
        <v>37</v>
      </c>
      <c r="AB919" t="s">
        <v>38</v>
      </c>
      <c r="AC919" s="7">
        <v>0</v>
      </c>
      <c r="AD919" t="s">
        <v>39</v>
      </c>
      <c r="AE919">
        <f t="shared" si="14"/>
        <v>0</v>
      </c>
    </row>
    <row r="920" spans="1:31" x14ac:dyDescent="0.35">
      <c r="A920">
        <v>100919</v>
      </c>
      <c r="B920" s="3">
        <v>45970</v>
      </c>
      <c r="C920">
        <v>1084</v>
      </c>
      <c r="D920" t="s">
        <v>30</v>
      </c>
      <c r="E920" t="s">
        <v>31</v>
      </c>
      <c r="F920" t="s">
        <v>41</v>
      </c>
      <c r="G920" t="s">
        <v>33</v>
      </c>
      <c r="H920" t="s">
        <v>34</v>
      </c>
      <c r="I920" t="s">
        <v>69</v>
      </c>
      <c r="J920" s="4">
        <v>15.82</v>
      </c>
      <c r="K920" s="4">
        <v>20.23</v>
      </c>
      <c r="L920">
        <v>0</v>
      </c>
      <c r="M920" s="4">
        <v>0</v>
      </c>
      <c r="N920" s="4">
        <v>320.04000000000002</v>
      </c>
      <c r="O920" s="4">
        <v>117.4</v>
      </c>
      <c r="P920" s="4">
        <v>8.91</v>
      </c>
      <c r="Q920" s="4">
        <v>1.28</v>
      </c>
      <c r="R920" s="4">
        <v>7.76</v>
      </c>
      <c r="S920" s="4">
        <v>0</v>
      </c>
      <c r="T920" s="4">
        <v>0</v>
      </c>
      <c r="U920" s="4">
        <v>135.35</v>
      </c>
      <c r="V920" s="4">
        <v>184.69</v>
      </c>
      <c r="W920" t="s">
        <v>21</v>
      </c>
      <c r="X920" t="s">
        <v>36</v>
      </c>
      <c r="Y920" s="4">
        <v>7</v>
      </c>
      <c r="Z920" s="4">
        <v>6</v>
      </c>
      <c r="AA920" t="s">
        <v>37</v>
      </c>
      <c r="AB920" t="s">
        <v>38</v>
      </c>
      <c r="AC920" s="7">
        <v>0</v>
      </c>
      <c r="AD920" t="s">
        <v>39</v>
      </c>
      <c r="AE920">
        <f t="shared" si="14"/>
        <v>0</v>
      </c>
    </row>
    <row r="921" spans="1:31" x14ac:dyDescent="0.35">
      <c r="A921">
        <v>100920</v>
      </c>
      <c r="B921" s="3">
        <v>45955</v>
      </c>
      <c r="C921">
        <v>1028</v>
      </c>
      <c r="D921" t="s">
        <v>64</v>
      </c>
      <c r="E921" t="s">
        <v>75</v>
      </c>
      <c r="F921" t="s">
        <v>32</v>
      </c>
      <c r="G921" t="s">
        <v>63</v>
      </c>
      <c r="H921" t="s">
        <v>34</v>
      </c>
      <c r="I921" t="s">
        <v>54</v>
      </c>
      <c r="J921" s="4">
        <v>21.62</v>
      </c>
      <c r="K921" s="4">
        <v>13.54</v>
      </c>
      <c r="L921">
        <v>0</v>
      </c>
      <c r="M921" s="4">
        <v>0</v>
      </c>
      <c r="N921" s="4">
        <v>292.73</v>
      </c>
      <c r="O921" s="4">
        <v>158.01</v>
      </c>
      <c r="P921" s="4">
        <v>4.25</v>
      </c>
      <c r="Q921" s="4">
        <v>3.51</v>
      </c>
      <c r="R921" s="4">
        <v>4.78</v>
      </c>
      <c r="S921" s="4">
        <v>0</v>
      </c>
      <c r="T921" s="4">
        <v>0</v>
      </c>
      <c r="U921" s="4">
        <v>170.55</v>
      </c>
      <c r="V921" s="4">
        <v>122.18</v>
      </c>
      <c r="W921" t="s">
        <v>21</v>
      </c>
      <c r="X921" t="s">
        <v>36</v>
      </c>
      <c r="Y921" s="4">
        <v>11</v>
      </c>
      <c r="Z921" s="4">
        <v>54</v>
      </c>
      <c r="AA921" t="s">
        <v>37</v>
      </c>
      <c r="AB921" t="s">
        <v>44</v>
      </c>
      <c r="AC921" s="7">
        <v>1</v>
      </c>
      <c r="AD921" t="s">
        <v>45</v>
      </c>
      <c r="AE921">
        <f t="shared" si="14"/>
        <v>1</v>
      </c>
    </row>
    <row r="922" spans="1:31" x14ac:dyDescent="0.35">
      <c r="A922">
        <v>100921</v>
      </c>
      <c r="B922" s="3">
        <v>46016</v>
      </c>
      <c r="C922">
        <v>1028</v>
      </c>
      <c r="D922" t="s">
        <v>64</v>
      </c>
      <c r="E922" t="s">
        <v>75</v>
      </c>
      <c r="F922" t="s">
        <v>41</v>
      </c>
      <c r="G922" t="s">
        <v>33</v>
      </c>
      <c r="H922" t="s">
        <v>34</v>
      </c>
      <c r="I922" t="s">
        <v>35</v>
      </c>
      <c r="J922" s="4">
        <v>28.24</v>
      </c>
      <c r="K922" s="4">
        <v>18.82</v>
      </c>
      <c r="L922">
        <v>0</v>
      </c>
      <c r="M922" s="4">
        <v>0</v>
      </c>
      <c r="N922" s="4">
        <v>531.48</v>
      </c>
      <c r="O922" s="4">
        <v>240.37</v>
      </c>
      <c r="P922" s="4">
        <v>11.31</v>
      </c>
      <c r="Q922" s="4">
        <v>3.72</v>
      </c>
      <c r="R922" s="4">
        <v>0.7</v>
      </c>
      <c r="S922" s="4">
        <v>0</v>
      </c>
      <c r="T922" s="4">
        <v>0</v>
      </c>
      <c r="U922" s="4">
        <v>256.10000000000002</v>
      </c>
      <c r="V922" s="4">
        <v>275.38</v>
      </c>
      <c r="W922" t="s">
        <v>21</v>
      </c>
      <c r="X922" t="s">
        <v>36</v>
      </c>
      <c r="Y922" s="4">
        <v>2</v>
      </c>
      <c r="Z922" s="4">
        <v>0</v>
      </c>
      <c r="AA922" t="s">
        <v>37</v>
      </c>
      <c r="AB922" t="s">
        <v>38</v>
      </c>
      <c r="AC922" s="7">
        <v>0</v>
      </c>
      <c r="AD922" t="s">
        <v>39</v>
      </c>
      <c r="AE922">
        <f t="shared" si="14"/>
        <v>0</v>
      </c>
    </row>
    <row r="923" spans="1:31" x14ac:dyDescent="0.35">
      <c r="A923">
        <v>100922</v>
      </c>
      <c r="B923" s="3">
        <v>45978</v>
      </c>
      <c r="C923">
        <v>1050</v>
      </c>
      <c r="D923" t="s">
        <v>64</v>
      </c>
      <c r="E923" t="s">
        <v>76</v>
      </c>
      <c r="F923" t="s">
        <v>32</v>
      </c>
      <c r="G923" t="s">
        <v>63</v>
      </c>
      <c r="H923" t="s">
        <v>34</v>
      </c>
      <c r="I923" t="s">
        <v>35</v>
      </c>
      <c r="J923" s="4">
        <v>18.25</v>
      </c>
      <c r="K923" s="4">
        <v>12.05</v>
      </c>
      <c r="L923">
        <v>5</v>
      </c>
      <c r="M923" s="4">
        <v>11</v>
      </c>
      <c r="N923" s="4">
        <v>208.91</v>
      </c>
      <c r="O923" s="4">
        <v>138.97</v>
      </c>
      <c r="P923" s="4">
        <v>8.99</v>
      </c>
      <c r="Q923" s="4">
        <v>1.54</v>
      </c>
      <c r="R923" s="4">
        <v>4.09</v>
      </c>
      <c r="S923" s="4">
        <v>0</v>
      </c>
      <c r="T923" s="4">
        <v>0</v>
      </c>
      <c r="U923" s="4">
        <v>153.59</v>
      </c>
      <c r="V923" s="4">
        <v>55.32</v>
      </c>
      <c r="W923" t="s">
        <v>21</v>
      </c>
      <c r="X923" t="s">
        <v>36</v>
      </c>
      <c r="Y923" s="4">
        <v>4</v>
      </c>
      <c r="Z923" s="4">
        <v>28</v>
      </c>
      <c r="AA923" t="s">
        <v>37</v>
      </c>
      <c r="AB923" t="s">
        <v>44</v>
      </c>
      <c r="AC923" s="7">
        <v>1</v>
      </c>
      <c r="AD923" t="s">
        <v>45</v>
      </c>
      <c r="AE923">
        <f t="shared" si="14"/>
        <v>1</v>
      </c>
    </row>
    <row r="924" spans="1:31" x14ac:dyDescent="0.35">
      <c r="A924">
        <v>100923</v>
      </c>
      <c r="B924" s="3">
        <v>46016</v>
      </c>
      <c r="C924">
        <v>1097</v>
      </c>
      <c r="D924" t="s">
        <v>59</v>
      </c>
      <c r="E924" t="s">
        <v>68</v>
      </c>
      <c r="F924" t="s">
        <v>49</v>
      </c>
      <c r="G924" t="s">
        <v>63</v>
      </c>
      <c r="H924" t="s">
        <v>57</v>
      </c>
      <c r="I924" t="s">
        <v>35</v>
      </c>
      <c r="J924" s="4">
        <v>24.87</v>
      </c>
      <c r="K924" s="4">
        <v>13.46</v>
      </c>
      <c r="L924">
        <v>0</v>
      </c>
      <c r="M924" s="4">
        <v>0</v>
      </c>
      <c r="N924" s="4">
        <v>334.75</v>
      </c>
      <c r="O924" s="4">
        <v>196.19</v>
      </c>
      <c r="P924" s="4">
        <v>11.55</v>
      </c>
      <c r="Q924" s="4">
        <v>2.34</v>
      </c>
      <c r="R924" s="4">
        <v>8.18</v>
      </c>
      <c r="S924" s="4">
        <v>0</v>
      </c>
      <c r="T924" s="4">
        <v>0</v>
      </c>
      <c r="U924" s="4">
        <v>218.26</v>
      </c>
      <c r="V924" s="4">
        <v>116.49</v>
      </c>
      <c r="W924" t="s">
        <v>21</v>
      </c>
      <c r="X924" t="s">
        <v>36</v>
      </c>
      <c r="Y924" s="4">
        <v>1</v>
      </c>
      <c r="Z924" s="4">
        <v>9</v>
      </c>
      <c r="AA924" t="s">
        <v>37</v>
      </c>
      <c r="AB924" t="s">
        <v>38</v>
      </c>
      <c r="AC924" s="7">
        <v>0</v>
      </c>
      <c r="AD924" t="s">
        <v>39</v>
      </c>
      <c r="AE924">
        <f t="shared" si="14"/>
        <v>0</v>
      </c>
    </row>
    <row r="925" spans="1:31" x14ac:dyDescent="0.35">
      <c r="A925">
        <v>100924</v>
      </c>
      <c r="B925" s="3">
        <v>45998</v>
      </c>
      <c r="C925">
        <v>1137</v>
      </c>
      <c r="D925" t="s">
        <v>30</v>
      </c>
      <c r="E925" t="s">
        <v>31</v>
      </c>
      <c r="F925" t="s">
        <v>49</v>
      </c>
      <c r="G925" t="s">
        <v>50</v>
      </c>
      <c r="H925" t="s">
        <v>34</v>
      </c>
      <c r="I925" t="s">
        <v>35</v>
      </c>
      <c r="J925" s="4">
        <v>27.44</v>
      </c>
      <c r="K925" s="4">
        <v>18.03</v>
      </c>
      <c r="L925">
        <v>0</v>
      </c>
      <c r="M925" s="4">
        <v>0</v>
      </c>
      <c r="N925" s="4">
        <v>494.74</v>
      </c>
      <c r="O925" s="4">
        <v>212.29</v>
      </c>
      <c r="P925" s="4">
        <v>7.46</v>
      </c>
      <c r="Q925" s="4">
        <v>3.46</v>
      </c>
      <c r="R925" s="4">
        <v>4.3899999999999997</v>
      </c>
      <c r="S925" s="4">
        <v>0</v>
      </c>
      <c r="T925" s="4">
        <v>0</v>
      </c>
      <c r="U925" s="4">
        <v>227.6</v>
      </c>
      <c r="V925" s="4">
        <v>267.14</v>
      </c>
      <c r="W925" t="s">
        <v>21</v>
      </c>
      <c r="X925" t="s">
        <v>36</v>
      </c>
      <c r="Y925" s="4">
        <v>5</v>
      </c>
      <c r="Z925" s="4">
        <v>5</v>
      </c>
      <c r="AA925" t="s">
        <v>37</v>
      </c>
      <c r="AB925" t="s">
        <v>38</v>
      </c>
      <c r="AC925" s="7">
        <v>0</v>
      </c>
      <c r="AD925" t="s">
        <v>39</v>
      </c>
      <c r="AE925">
        <f t="shared" si="14"/>
        <v>0</v>
      </c>
    </row>
    <row r="926" spans="1:31" x14ac:dyDescent="0.35">
      <c r="A926">
        <v>100925</v>
      </c>
      <c r="B926" s="3">
        <v>45948</v>
      </c>
      <c r="C926">
        <v>1072</v>
      </c>
      <c r="D926" t="s">
        <v>30</v>
      </c>
      <c r="E926" t="s">
        <v>40</v>
      </c>
      <c r="F926" t="s">
        <v>71</v>
      </c>
      <c r="G926" t="s">
        <v>63</v>
      </c>
      <c r="H926" t="s">
        <v>34</v>
      </c>
      <c r="I926" t="s">
        <v>69</v>
      </c>
      <c r="J926" s="4">
        <v>21.97</v>
      </c>
      <c r="K926" s="4">
        <v>13.14</v>
      </c>
      <c r="L926">
        <v>5</v>
      </c>
      <c r="M926" s="4">
        <v>14.43</v>
      </c>
      <c r="N926" s="4">
        <v>274.26</v>
      </c>
      <c r="O926" s="4">
        <v>134.41999999999999</v>
      </c>
      <c r="P926" s="4">
        <v>10.199999999999999</v>
      </c>
      <c r="Q926" s="4">
        <v>1.1499999999999999</v>
      </c>
      <c r="R926" s="4">
        <v>3.23</v>
      </c>
      <c r="S926" s="4">
        <v>0</v>
      </c>
      <c r="T926" s="4">
        <v>0</v>
      </c>
      <c r="U926" s="4">
        <v>149</v>
      </c>
      <c r="V926" s="4">
        <v>125.26</v>
      </c>
      <c r="W926" t="s">
        <v>21</v>
      </c>
      <c r="X926" t="s">
        <v>36</v>
      </c>
      <c r="Y926" s="4">
        <v>0</v>
      </c>
      <c r="Z926" s="4">
        <v>8</v>
      </c>
      <c r="AA926" t="s">
        <v>37</v>
      </c>
      <c r="AB926" t="s">
        <v>38</v>
      </c>
      <c r="AC926" s="7">
        <v>0</v>
      </c>
      <c r="AD926" t="s">
        <v>39</v>
      </c>
      <c r="AE926">
        <f t="shared" si="14"/>
        <v>0</v>
      </c>
    </row>
    <row r="927" spans="1:31" x14ac:dyDescent="0.35">
      <c r="A927">
        <v>100926</v>
      </c>
      <c r="B927" s="3">
        <v>45948</v>
      </c>
      <c r="C927">
        <v>1073</v>
      </c>
      <c r="D927" t="s">
        <v>64</v>
      </c>
      <c r="E927" t="s">
        <v>75</v>
      </c>
      <c r="F927" t="s">
        <v>61</v>
      </c>
      <c r="G927" t="s">
        <v>63</v>
      </c>
      <c r="H927" t="s">
        <v>34</v>
      </c>
      <c r="I927" t="s">
        <v>35</v>
      </c>
      <c r="J927" s="4">
        <v>14.9</v>
      </c>
      <c r="K927" s="4">
        <v>12.46</v>
      </c>
      <c r="L927">
        <v>5</v>
      </c>
      <c r="M927" s="4">
        <v>9.2799999999999994</v>
      </c>
      <c r="N927" s="4">
        <v>176.37</v>
      </c>
      <c r="O927" s="4">
        <v>114.26</v>
      </c>
      <c r="P927" s="4">
        <v>3.94</v>
      </c>
      <c r="Q927" s="4">
        <v>1.3</v>
      </c>
      <c r="R927" s="4">
        <v>7.06</v>
      </c>
      <c r="S927" s="4">
        <v>0</v>
      </c>
      <c r="T927" s="4">
        <v>0</v>
      </c>
      <c r="U927" s="4">
        <v>126.56</v>
      </c>
      <c r="V927" s="4">
        <v>49.81</v>
      </c>
      <c r="W927" t="s">
        <v>21</v>
      </c>
      <c r="X927" t="s">
        <v>36</v>
      </c>
      <c r="Y927" s="4">
        <v>7</v>
      </c>
      <c r="Z927" s="4">
        <v>6</v>
      </c>
      <c r="AA927" t="s">
        <v>37</v>
      </c>
      <c r="AB927" t="s">
        <v>38</v>
      </c>
      <c r="AC927" s="7">
        <v>0</v>
      </c>
      <c r="AD927" t="s">
        <v>39</v>
      </c>
      <c r="AE927">
        <f t="shared" si="14"/>
        <v>0</v>
      </c>
    </row>
    <row r="928" spans="1:31" x14ac:dyDescent="0.35">
      <c r="A928">
        <v>100927</v>
      </c>
      <c r="B928" s="3">
        <v>46014</v>
      </c>
      <c r="C928">
        <v>1109</v>
      </c>
      <c r="D928" t="s">
        <v>59</v>
      </c>
      <c r="E928" t="s">
        <v>70</v>
      </c>
      <c r="F928" t="s">
        <v>32</v>
      </c>
      <c r="G928" t="s">
        <v>46</v>
      </c>
      <c r="H928" t="s">
        <v>57</v>
      </c>
      <c r="I928" t="s">
        <v>54</v>
      </c>
      <c r="J928" s="4">
        <v>7.66</v>
      </c>
      <c r="K928" s="4">
        <v>14.46</v>
      </c>
      <c r="L928">
        <v>20</v>
      </c>
      <c r="M928" s="4">
        <v>22.15</v>
      </c>
      <c r="N928" s="4">
        <v>88.61</v>
      </c>
      <c r="O928" s="4">
        <v>45.63</v>
      </c>
      <c r="P928" s="4">
        <v>6.96</v>
      </c>
      <c r="Q928" s="4">
        <v>1.33</v>
      </c>
      <c r="R928" s="4">
        <v>7.68</v>
      </c>
      <c r="S928" s="4">
        <v>0</v>
      </c>
      <c r="T928" s="4">
        <v>0</v>
      </c>
      <c r="U928" s="4">
        <v>61.6</v>
      </c>
      <c r="V928" s="4">
        <v>27.01</v>
      </c>
      <c r="W928" t="s">
        <v>21</v>
      </c>
      <c r="X928" t="s">
        <v>36</v>
      </c>
      <c r="Y928" s="4">
        <v>3</v>
      </c>
      <c r="Z928" s="4">
        <v>17</v>
      </c>
      <c r="AA928" t="s">
        <v>37</v>
      </c>
      <c r="AB928" t="s">
        <v>44</v>
      </c>
      <c r="AC928" s="7">
        <v>4</v>
      </c>
      <c r="AD928" t="s">
        <v>45</v>
      </c>
      <c r="AE928">
        <f t="shared" si="14"/>
        <v>1</v>
      </c>
    </row>
    <row r="929" spans="1:31" x14ac:dyDescent="0.35">
      <c r="A929">
        <v>100928</v>
      </c>
      <c r="B929" s="3">
        <v>45957</v>
      </c>
      <c r="C929">
        <v>1097</v>
      </c>
      <c r="D929" t="s">
        <v>47</v>
      </c>
      <c r="E929" t="s">
        <v>56</v>
      </c>
      <c r="F929" t="s">
        <v>71</v>
      </c>
      <c r="G929" t="s">
        <v>50</v>
      </c>
      <c r="H929" t="s">
        <v>34</v>
      </c>
      <c r="I929" t="s">
        <v>42</v>
      </c>
      <c r="J929" s="4">
        <v>20.69</v>
      </c>
      <c r="K929" s="4">
        <v>17.64</v>
      </c>
      <c r="L929">
        <v>15</v>
      </c>
      <c r="M929" s="4">
        <v>54.75</v>
      </c>
      <c r="N929" s="4">
        <v>310.22000000000003</v>
      </c>
      <c r="O929" s="4">
        <v>156.1</v>
      </c>
      <c r="P929" s="4">
        <v>8.5399999999999991</v>
      </c>
      <c r="Q929" s="4">
        <v>5.47</v>
      </c>
      <c r="R929" s="4">
        <v>10.25</v>
      </c>
      <c r="S929" s="4">
        <v>0</v>
      </c>
      <c r="T929" s="4">
        <v>0</v>
      </c>
      <c r="U929" s="4">
        <v>180.36</v>
      </c>
      <c r="V929" s="4">
        <v>129.86000000000001</v>
      </c>
      <c r="W929" t="s">
        <v>21</v>
      </c>
      <c r="X929" t="s">
        <v>36</v>
      </c>
      <c r="Y929" s="4">
        <v>8</v>
      </c>
      <c r="Z929" s="4">
        <v>4</v>
      </c>
      <c r="AA929" t="s">
        <v>37</v>
      </c>
      <c r="AB929" t="s">
        <v>38</v>
      </c>
      <c r="AC929" s="7">
        <v>0</v>
      </c>
      <c r="AD929" t="s">
        <v>39</v>
      </c>
      <c r="AE929">
        <f t="shared" si="14"/>
        <v>0</v>
      </c>
    </row>
    <row r="930" spans="1:31" x14ac:dyDescent="0.35">
      <c r="A930">
        <v>100929</v>
      </c>
      <c r="B930" s="3">
        <v>45997</v>
      </c>
      <c r="C930">
        <v>1087</v>
      </c>
      <c r="D930" t="s">
        <v>47</v>
      </c>
      <c r="E930" t="s">
        <v>74</v>
      </c>
      <c r="F930" t="s">
        <v>41</v>
      </c>
      <c r="G930" t="s">
        <v>46</v>
      </c>
      <c r="H930" t="s">
        <v>34</v>
      </c>
      <c r="I930" t="s">
        <v>69</v>
      </c>
      <c r="J930" s="4">
        <v>24.14</v>
      </c>
      <c r="K930" s="4">
        <v>14.79</v>
      </c>
      <c r="L930">
        <v>5</v>
      </c>
      <c r="M930" s="4">
        <v>17.850000000000001</v>
      </c>
      <c r="N930" s="4">
        <v>339.18</v>
      </c>
      <c r="O930" s="4">
        <v>198.5</v>
      </c>
      <c r="P930" s="4">
        <v>11.83</v>
      </c>
      <c r="Q930" s="4">
        <v>1.43</v>
      </c>
      <c r="R930" s="4">
        <v>11.52</v>
      </c>
      <c r="S930" s="4">
        <v>0</v>
      </c>
      <c r="T930" s="4">
        <v>0</v>
      </c>
      <c r="U930" s="4">
        <v>223.28</v>
      </c>
      <c r="V930" s="4">
        <v>115.9</v>
      </c>
      <c r="W930" t="s">
        <v>21</v>
      </c>
      <c r="X930" t="s">
        <v>36</v>
      </c>
      <c r="Y930" s="4">
        <v>4</v>
      </c>
      <c r="Z930" s="4">
        <v>25</v>
      </c>
      <c r="AA930" t="s">
        <v>37</v>
      </c>
      <c r="AB930" t="s">
        <v>44</v>
      </c>
      <c r="AC930" s="7">
        <v>2</v>
      </c>
      <c r="AD930" t="s">
        <v>45</v>
      </c>
      <c r="AE930">
        <f t="shared" si="14"/>
        <v>1</v>
      </c>
    </row>
    <row r="931" spans="1:31" x14ac:dyDescent="0.35">
      <c r="A931">
        <v>100930</v>
      </c>
      <c r="B931" s="3">
        <v>45956</v>
      </c>
      <c r="C931">
        <v>1065</v>
      </c>
      <c r="D931" t="s">
        <v>47</v>
      </c>
      <c r="E931" t="s">
        <v>74</v>
      </c>
      <c r="F931" t="s">
        <v>49</v>
      </c>
      <c r="G931" t="s">
        <v>50</v>
      </c>
      <c r="H931" t="s">
        <v>57</v>
      </c>
      <c r="I931" t="s">
        <v>35</v>
      </c>
      <c r="J931" s="4">
        <v>24.98</v>
      </c>
      <c r="K931" s="4">
        <v>18.84</v>
      </c>
      <c r="L931">
        <v>20</v>
      </c>
      <c r="M931" s="4">
        <v>94.12</v>
      </c>
      <c r="N931" s="4">
        <v>376.5</v>
      </c>
      <c r="O931" s="4">
        <v>160.35</v>
      </c>
      <c r="P931" s="4">
        <v>2.08</v>
      </c>
      <c r="Q931" s="4">
        <v>3.29</v>
      </c>
      <c r="R931" s="4">
        <v>2.57</v>
      </c>
      <c r="S931" s="4">
        <v>0</v>
      </c>
      <c r="T931" s="4">
        <v>0</v>
      </c>
      <c r="U931" s="4">
        <v>168.29</v>
      </c>
      <c r="V931" s="4">
        <v>208.21</v>
      </c>
      <c r="W931" t="s">
        <v>21</v>
      </c>
      <c r="X931" t="s">
        <v>36</v>
      </c>
      <c r="Y931" s="4">
        <v>14</v>
      </c>
      <c r="Z931" s="4">
        <v>17</v>
      </c>
      <c r="AA931" t="s">
        <v>37</v>
      </c>
      <c r="AB931" t="s">
        <v>44</v>
      </c>
      <c r="AC931" s="7">
        <v>2</v>
      </c>
      <c r="AD931" t="s">
        <v>45</v>
      </c>
      <c r="AE931">
        <f t="shared" si="14"/>
        <v>1</v>
      </c>
    </row>
    <row r="932" spans="1:31" x14ac:dyDescent="0.35">
      <c r="A932">
        <v>100931</v>
      </c>
      <c r="B932" s="3">
        <v>46019</v>
      </c>
      <c r="C932">
        <v>1059</v>
      </c>
      <c r="D932" t="s">
        <v>59</v>
      </c>
      <c r="E932" t="s">
        <v>70</v>
      </c>
      <c r="F932" t="s">
        <v>61</v>
      </c>
      <c r="G932" t="s">
        <v>46</v>
      </c>
      <c r="H932" t="s">
        <v>34</v>
      </c>
      <c r="I932" t="s">
        <v>35</v>
      </c>
      <c r="J932" s="4">
        <v>15.3</v>
      </c>
      <c r="K932" s="4">
        <v>16.170000000000002</v>
      </c>
      <c r="L932">
        <v>0</v>
      </c>
      <c r="M932" s="4">
        <v>0</v>
      </c>
      <c r="N932" s="4">
        <v>247.4</v>
      </c>
      <c r="O932" s="4">
        <v>105.2</v>
      </c>
      <c r="P932" s="4">
        <v>8.06</v>
      </c>
      <c r="Q932" s="4">
        <v>1.73</v>
      </c>
      <c r="R932" s="4">
        <v>6.3</v>
      </c>
      <c r="S932" s="4">
        <v>0</v>
      </c>
      <c r="T932" s="4">
        <v>0</v>
      </c>
      <c r="U932" s="4">
        <v>121.29</v>
      </c>
      <c r="V932" s="4">
        <v>126.11</v>
      </c>
      <c r="W932" t="s">
        <v>21</v>
      </c>
      <c r="X932" t="s">
        <v>36</v>
      </c>
      <c r="Y932" s="4">
        <v>16</v>
      </c>
      <c r="Z932" s="4">
        <v>4</v>
      </c>
      <c r="AA932" t="s">
        <v>52</v>
      </c>
      <c r="AB932" t="s">
        <v>38</v>
      </c>
      <c r="AC932" s="7">
        <v>0</v>
      </c>
      <c r="AD932" t="s">
        <v>39</v>
      </c>
      <c r="AE932">
        <f t="shared" si="14"/>
        <v>0</v>
      </c>
    </row>
    <row r="933" spans="1:31" x14ac:dyDescent="0.35">
      <c r="A933">
        <v>100932</v>
      </c>
      <c r="B933" s="3">
        <v>45939</v>
      </c>
      <c r="C933">
        <v>1044</v>
      </c>
      <c r="D933" t="s">
        <v>64</v>
      </c>
      <c r="E933" t="s">
        <v>65</v>
      </c>
      <c r="F933" t="s">
        <v>71</v>
      </c>
      <c r="G933" t="s">
        <v>46</v>
      </c>
      <c r="H933" t="s">
        <v>34</v>
      </c>
      <c r="I933" t="s">
        <v>35</v>
      </c>
      <c r="J933" s="4">
        <v>25.42</v>
      </c>
      <c r="K933" s="4">
        <v>15.89</v>
      </c>
      <c r="L933">
        <v>15</v>
      </c>
      <c r="M933" s="4">
        <v>60.59</v>
      </c>
      <c r="N933" s="4">
        <v>343.33</v>
      </c>
      <c r="O933" s="4">
        <v>175.67</v>
      </c>
      <c r="P933" s="4">
        <v>11.5</v>
      </c>
      <c r="Q933" s="4">
        <v>2.83</v>
      </c>
      <c r="R933" s="4">
        <v>6.06</v>
      </c>
      <c r="S933" s="4">
        <v>0</v>
      </c>
      <c r="T933" s="4">
        <v>0</v>
      </c>
      <c r="U933" s="4">
        <v>196.06</v>
      </c>
      <c r="V933" s="4">
        <v>147.27000000000001</v>
      </c>
      <c r="W933" t="s">
        <v>21</v>
      </c>
      <c r="X933" t="s">
        <v>36</v>
      </c>
      <c r="Y933" s="4">
        <v>19</v>
      </c>
      <c r="Z933" s="4">
        <v>7</v>
      </c>
      <c r="AA933" t="s">
        <v>52</v>
      </c>
      <c r="AB933" t="s">
        <v>38</v>
      </c>
      <c r="AC933" s="7">
        <v>0</v>
      </c>
      <c r="AD933" t="s">
        <v>39</v>
      </c>
      <c r="AE933">
        <f t="shared" si="14"/>
        <v>0</v>
      </c>
    </row>
    <row r="934" spans="1:31" x14ac:dyDescent="0.35">
      <c r="A934">
        <v>100933</v>
      </c>
      <c r="B934" s="3">
        <v>46007</v>
      </c>
      <c r="C934">
        <v>1010</v>
      </c>
      <c r="D934" t="s">
        <v>59</v>
      </c>
      <c r="E934" t="s">
        <v>68</v>
      </c>
      <c r="F934" t="s">
        <v>49</v>
      </c>
      <c r="G934" t="s">
        <v>50</v>
      </c>
      <c r="H934" t="s">
        <v>57</v>
      </c>
      <c r="I934" t="s">
        <v>35</v>
      </c>
      <c r="J934" s="4">
        <v>33.35</v>
      </c>
      <c r="K934" s="4">
        <v>18.22</v>
      </c>
      <c r="L934">
        <v>0</v>
      </c>
      <c r="M934" s="4">
        <v>0</v>
      </c>
      <c r="N934" s="4">
        <v>607.64</v>
      </c>
      <c r="O934" s="4">
        <v>212.52</v>
      </c>
      <c r="P934" s="4">
        <v>4.99</v>
      </c>
      <c r="Q934" s="4">
        <v>4.25</v>
      </c>
      <c r="R934" s="4">
        <v>7.2</v>
      </c>
      <c r="S934" s="4">
        <v>0</v>
      </c>
      <c r="T934" s="4">
        <v>0</v>
      </c>
      <c r="U934" s="4">
        <v>228.96</v>
      </c>
      <c r="V934" s="4">
        <v>378.68</v>
      </c>
      <c r="W934" t="s">
        <v>21</v>
      </c>
      <c r="X934" t="s">
        <v>36</v>
      </c>
      <c r="Y934" s="4">
        <v>2</v>
      </c>
      <c r="Z934" s="4">
        <v>15</v>
      </c>
      <c r="AA934" t="s">
        <v>37</v>
      </c>
      <c r="AB934" t="s">
        <v>38</v>
      </c>
      <c r="AC934" s="7">
        <v>0</v>
      </c>
      <c r="AD934" t="s">
        <v>39</v>
      </c>
      <c r="AE934">
        <f t="shared" si="14"/>
        <v>0</v>
      </c>
    </row>
    <row r="935" spans="1:31" x14ac:dyDescent="0.35">
      <c r="A935">
        <v>100934</v>
      </c>
      <c r="B935" s="3">
        <v>45937</v>
      </c>
      <c r="C935">
        <v>1130</v>
      </c>
      <c r="D935" t="s">
        <v>59</v>
      </c>
      <c r="E935" t="s">
        <v>70</v>
      </c>
      <c r="F935" t="s">
        <v>41</v>
      </c>
      <c r="G935" t="s">
        <v>33</v>
      </c>
      <c r="H935" t="s">
        <v>34</v>
      </c>
      <c r="I935" t="s">
        <v>42</v>
      </c>
      <c r="J935" s="4">
        <v>14.93</v>
      </c>
      <c r="K935" s="4">
        <v>18.37</v>
      </c>
      <c r="L935">
        <v>5</v>
      </c>
      <c r="M935" s="4">
        <v>13.71</v>
      </c>
      <c r="N935" s="4">
        <v>260.55</v>
      </c>
      <c r="O935" s="4">
        <v>96.14</v>
      </c>
      <c r="P935" s="4">
        <v>9.75</v>
      </c>
      <c r="Q935" s="4">
        <v>4.1100000000000003</v>
      </c>
      <c r="R935" s="4">
        <v>1.83</v>
      </c>
      <c r="S935" s="4">
        <v>0</v>
      </c>
      <c r="T935" s="4">
        <v>0</v>
      </c>
      <c r="U935" s="4">
        <v>111.83</v>
      </c>
      <c r="V935" s="4">
        <v>148.72</v>
      </c>
      <c r="W935" t="s">
        <v>21</v>
      </c>
      <c r="X935" t="s">
        <v>36</v>
      </c>
      <c r="Y935" s="4">
        <v>6</v>
      </c>
      <c r="Z935" s="4">
        <v>4</v>
      </c>
      <c r="AA935" t="s">
        <v>37</v>
      </c>
      <c r="AB935" t="s">
        <v>38</v>
      </c>
      <c r="AC935" s="7">
        <v>0</v>
      </c>
      <c r="AD935" t="s">
        <v>39</v>
      </c>
      <c r="AE935">
        <f t="shared" si="14"/>
        <v>0</v>
      </c>
    </row>
    <row r="936" spans="1:31" x14ac:dyDescent="0.35">
      <c r="A936">
        <v>100935</v>
      </c>
      <c r="B936" s="3">
        <v>45967</v>
      </c>
      <c r="C936">
        <v>1121</v>
      </c>
      <c r="D936" t="s">
        <v>59</v>
      </c>
      <c r="E936" t="s">
        <v>68</v>
      </c>
      <c r="F936" t="s">
        <v>32</v>
      </c>
      <c r="G936" t="s">
        <v>50</v>
      </c>
      <c r="H936" t="s">
        <v>34</v>
      </c>
      <c r="I936" t="s">
        <v>35</v>
      </c>
      <c r="J936" s="4">
        <v>39.32</v>
      </c>
      <c r="K936" s="4">
        <v>17.989999999999998</v>
      </c>
      <c r="L936">
        <v>0</v>
      </c>
      <c r="M936" s="4">
        <v>0</v>
      </c>
      <c r="N936" s="4">
        <v>707.37</v>
      </c>
      <c r="O936" s="4">
        <v>282.70999999999998</v>
      </c>
      <c r="P936" s="4">
        <v>5.24</v>
      </c>
      <c r="Q936" s="4">
        <v>4.95</v>
      </c>
      <c r="R936" s="4">
        <v>3.12</v>
      </c>
      <c r="S936" s="4">
        <v>0</v>
      </c>
      <c r="T936" s="4">
        <v>0</v>
      </c>
      <c r="U936" s="4">
        <v>296.02</v>
      </c>
      <c r="V936" s="4">
        <v>411.35</v>
      </c>
      <c r="W936" t="s">
        <v>21</v>
      </c>
      <c r="X936" t="s">
        <v>36</v>
      </c>
      <c r="Y936" s="4">
        <v>5</v>
      </c>
      <c r="Z936" s="4">
        <v>8</v>
      </c>
      <c r="AA936" t="s">
        <v>37</v>
      </c>
      <c r="AB936" t="s">
        <v>38</v>
      </c>
      <c r="AC936" s="7">
        <v>0</v>
      </c>
      <c r="AD936" t="s">
        <v>39</v>
      </c>
      <c r="AE936">
        <f t="shared" si="14"/>
        <v>0</v>
      </c>
    </row>
    <row r="937" spans="1:31" x14ac:dyDescent="0.35">
      <c r="A937">
        <v>100936</v>
      </c>
      <c r="B937" s="3">
        <v>45936</v>
      </c>
      <c r="C937">
        <v>1002</v>
      </c>
      <c r="D937" t="s">
        <v>47</v>
      </c>
      <c r="E937" t="s">
        <v>48</v>
      </c>
      <c r="F937" t="s">
        <v>49</v>
      </c>
      <c r="G937" t="s">
        <v>63</v>
      </c>
      <c r="H937" t="s">
        <v>34</v>
      </c>
      <c r="I937" t="s">
        <v>35</v>
      </c>
      <c r="J937" s="4">
        <v>22.81</v>
      </c>
      <c r="K937" s="4">
        <v>12.89</v>
      </c>
      <c r="L937">
        <v>20</v>
      </c>
      <c r="M937" s="4">
        <v>58.8</v>
      </c>
      <c r="N937" s="4">
        <v>235.22</v>
      </c>
      <c r="O937" s="4">
        <v>168.72</v>
      </c>
      <c r="P937" s="4">
        <v>8.2799999999999994</v>
      </c>
      <c r="Q937" s="4">
        <v>2.06</v>
      </c>
      <c r="R937" s="4">
        <v>7.84</v>
      </c>
      <c r="S937" s="4">
        <v>0</v>
      </c>
      <c r="T937" s="4">
        <v>0</v>
      </c>
      <c r="U937" s="4">
        <v>186.9</v>
      </c>
      <c r="V937" s="4">
        <v>48.32</v>
      </c>
      <c r="W937" t="s">
        <v>21</v>
      </c>
      <c r="X937" t="s">
        <v>36</v>
      </c>
      <c r="Y937" s="4">
        <v>3</v>
      </c>
      <c r="Z937" s="4">
        <v>1</v>
      </c>
      <c r="AA937" t="s">
        <v>37</v>
      </c>
      <c r="AB937" t="s">
        <v>38</v>
      </c>
      <c r="AC937" s="7">
        <v>0</v>
      </c>
      <c r="AD937" t="s">
        <v>39</v>
      </c>
      <c r="AE937">
        <f t="shared" si="14"/>
        <v>0</v>
      </c>
    </row>
    <row r="938" spans="1:31" x14ac:dyDescent="0.35">
      <c r="A938">
        <v>100937</v>
      </c>
      <c r="B938" s="3">
        <v>45966</v>
      </c>
      <c r="C938">
        <v>1049</v>
      </c>
      <c r="D938" t="s">
        <v>47</v>
      </c>
      <c r="E938" t="s">
        <v>53</v>
      </c>
      <c r="F938" t="s">
        <v>41</v>
      </c>
      <c r="G938" t="s">
        <v>50</v>
      </c>
      <c r="H938" t="s">
        <v>57</v>
      </c>
      <c r="I938" t="s">
        <v>69</v>
      </c>
      <c r="J938" s="4">
        <v>34.020000000000003</v>
      </c>
      <c r="K938" s="4">
        <v>18.38</v>
      </c>
      <c r="L938">
        <v>15</v>
      </c>
      <c r="M938" s="4">
        <v>93.79</v>
      </c>
      <c r="N938" s="4">
        <v>531.5</v>
      </c>
      <c r="O938" s="4">
        <v>268.37</v>
      </c>
      <c r="P938" s="4">
        <v>10.63</v>
      </c>
      <c r="Q938" s="4">
        <v>2.5</v>
      </c>
      <c r="R938" s="4">
        <v>2.92</v>
      </c>
      <c r="S938" s="4">
        <v>0</v>
      </c>
      <c r="T938" s="4">
        <v>0</v>
      </c>
      <c r="U938" s="4">
        <v>284.42</v>
      </c>
      <c r="V938" s="4">
        <v>247.08</v>
      </c>
      <c r="W938" t="s">
        <v>21</v>
      </c>
      <c r="X938" t="s">
        <v>36</v>
      </c>
      <c r="Y938" s="4">
        <v>1</v>
      </c>
      <c r="Z938" s="4">
        <v>28</v>
      </c>
      <c r="AA938" t="s">
        <v>37</v>
      </c>
      <c r="AB938" t="s">
        <v>44</v>
      </c>
      <c r="AC938" s="7">
        <v>1</v>
      </c>
      <c r="AD938" t="s">
        <v>45</v>
      </c>
      <c r="AE938">
        <f t="shared" si="14"/>
        <v>1</v>
      </c>
    </row>
    <row r="939" spans="1:31" x14ac:dyDescent="0.35">
      <c r="A939">
        <v>100938</v>
      </c>
      <c r="B939" s="3">
        <v>46000</v>
      </c>
      <c r="C939">
        <v>1141</v>
      </c>
      <c r="D939" t="s">
        <v>30</v>
      </c>
      <c r="E939" t="s">
        <v>72</v>
      </c>
      <c r="F939" t="s">
        <v>49</v>
      </c>
      <c r="G939" t="s">
        <v>33</v>
      </c>
      <c r="H939" t="s">
        <v>34</v>
      </c>
      <c r="I939" t="s">
        <v>42</v>
      </c>
      <c r="J939" s="4">
        <v>19.84</v>
      </c>
      <c r="K939" s="4">
        <v>19.329999999999998</v>
      </c>
      <c r="L939">
        <v>15</v>
      </c>
      <c r="M939" s="4">
        <v>57.53</v>
      </c>
      <c r="N939" s="4">
        <v>325.98</v>
      </c>
      <c r="O939" s="4">
        <v>135.55000000000001</v>
      </c>
      <c r="P939" s="4">
        <v>8.35</v>
      </c>
      <c r="Q939" s="4">
        <v>5.75</v>
      </c>
      <c r="R939" s="4">
        <v>9.77</v>
      </c>
      <c r="S939" s="4">
        <v>222.8</v>
      </c>
      <c r="T939" s="4">
        <v>0</v>
      </c>
      <c r="U939" s="4">
        <v>382.22</v>
      </c>
      <c r="V939" s="4">
        <v>-56.24</v>
      </c>
      <c r="W939" t="s">
        <v>58</v>
      </c>
      <c r="X939" t="s">
        <v>66</v>
      </c>
      <c r="Y939" s="4">
        <v>40</v>
      </c>
      <c r="Z939" s="4">
        <v>16</v>
      </c>
      <c r="AA939" t="s">
        <v>43</v>
      </c>
      <c r="AB939" t="s">
        <v>44</v>
      </c>
      <c r="AC939" s="7">
        <v>3</v>
      </c>
      <c r="AD939" t="s">
        <v>45</v>
      </c>
      <c r="AE939">
        <f t="shared" si="14"/>
        <v>1</v>
      </c>
    </row>
    <row r="940" spans="1:31" x14ac:dyDescent="0.35">
      <c r="A940">
        <v>100939</v>
      </c>
      <c r="B940" s="3">
        <v>45995</v>
      </c>
      <c r="C940">
        <v>1042</v>
      </c>
      <c r="D940" t="s">
        <v>30</v>
      </c>
      <c r="E940" t="s">
        <v>31</v>
      </c>
      <c r="F940" t="s">
        <v>41</v>
      </c>
      <c r="G940" t="s">
        <v>63</v>
      </c>
      <c r="H940" t="s">
        <v>34</v>
      </c>
      <c r="I940" t="s">
        <v>69</v>
      </c>
      <c r="J940" s="4">
        <v>26.39</v>
      </c>
      <c r="K940" s="4">
        <v>12.17</v>
      </c>
      <c r="L940">
        <v>0</v>
      </c>
      <c r="M940" s="4">
        <v>0</v>
      </c>
      <c r="N940" s="4">
        <v>321.17</v>
      </c>
      <c r="O940" s="4">
        <v>217.36</v>
      </c>
      <c r="P940" s="4">
        <v>12.28</v>
      </c>
      <c r="Q940" s="4">
        <v>1.28</v>
      </c>
      <c r="R940" s="4">
        <v>0</v>
      </c>
      <c r="S940" s="4">
        <v>0</v>
      </c>
      <c r="T940" s="4">
        <v>0</v>
      </c>
      <c r="U940" s="4">
        <v>230.92</v>
      </c>
      <c r="V940" s="4">
        <v>90.25</v>
      </c>
      <c r="W940" t="s">
        <v>21</v>
      </c>
      <c r="X940" t="s">
        <v>36</v>
      </c>
      <c r="Y940" s="4">
        <v>6</v>
      </c>
      <c r="Z940" s="4">
        <v>35</v>
      </c>
      <c r="AA940" t="s">
        <v>37</v>
      </c>
      <c r="AB940" t="s">
        <v>44</v>
      </c>
      <c r="AC940" s="7">
        <v>1</v>
      </c>
      <c r="AD940" t="s">
        <v>45</v>
      </c>
      <c r="AE940">
        <f t="shared" si="14"/>
        <v>1</v>
      </c>
    </row>
    <row r="941" spans="1:31" x14ac:dyDescent="0.35">
      <c r="A941">
        <v>100940</v>
      </c>
      <c r="B941" s="3">
        <v>46017</v>
      </c>
      <c r="C941">
        <v>1005</v>
      </c>
      <c r="D941" t="s">
        <v>47</v>
      </c>
      <c r="E941" t="s">
        <v>56</v>
      </c>
      <c r="F941" t="s">
        <v>49</v>
      </c>
      <c r="G941" t="s">
        <v>33</v>
      </c>
      <c r="H941" t="s">
        <v>57</v>
      </c>
      <c r="I941" t="s">
        <v>54</v>
      </c>
      <c r="J941" s="4">
        <v>24.3</v>
      </c>
      <c r="K941" s="4">
        <v>20.36</v>
      </c>
      <c r="L941">
        <v>0</v>
      </c>
      <c r="M941" s="4">
        <v>0</v>
      </c>
      <c r="N941" s="4">
        <v>494.75</v>
      </c>
      <c r="O941" s="4">
        <v>181.48</v>
      </c>
      <c r="P941" s="4">
        <v>6.16</v>
      </c>
      <c r="Q941" s="4">
        <v>5.94</v>
      </c>
      <c r="R941" s="4">
        <v>5.83</v>
      </c>
      <c r="S941" s="4">
        <v>0</v>
      </c>
      <c r="T941" s="4">
        <v>0</v>
      </c>
      <c r="U941" s="4">
        <v>199.41</v>
      </c>
      <c r="V941" s="4">
        <v>295.33999999999997</v>
      </c>
      <c r="W941" t="s">
        <v>21</v>
      </c>
      <c r="X941" t="s">
        <v>36</v>
      </c>
      <c r="Y941" s="4">
        <v>3</v>
      </c>
      <c r="Z941" s="4">
        <v>27</v>
      </c>
      <c r="AA941" t="s">
        <v>37</v>
      </c>
      <c r="AB941" t="s">
        <v>44</v>
      </c>
      <c r="AC941" s="7">
        <v>2</v>
      </c>
      <c r="AD941" t="s">
        <v>45</v>
      </c>
      <c r="AE941">
        <f t="shared" si="14"/>
        <v>1</v>
      </c>
    </row>
    <row r="942" spans="1:31" x14ac:dyDescent="0.35">
      <c r="A942">
        <v>100941</v>
      </c>
      <c r="B942" s="3">
        <v>45951</v>
      </c>
      <c r="C942">
        <v>1044</v>
      </c>
      <c r="D942" t="s">
        <v>47</v>
      </c>
      <c r="E942" t="s">
        <v>48</v>
      </c>
      <c r="F942" t="s">
        <v>61</v>
      </c>
      <c r="G942" t="s">
        <v>33</v>
      </c>
      <c r="H942" t="s">
        <v>34</v>
      </c>
      <c r="I942" t="s">
        <v>35</v>
      </c>
      <c r="J942" s="4">
        <v>29.09</v>
      </c>
      <c r="K942" s="4">
        <v>18.07</v>
      </c>
      <c r="L942">
        <v>0</v>
      </c>
      <c r="M942" s="4">
        <v>0</v>
      </c>
      <c r="N942" s="4">
        <v>525.66</v>
      </c>
      <c r="O942" s="4">
        <v>188.4</v>
      </c>
      <c r="P942" s="4">
        <v>9.86</v>
      </c>
      <c r="Q942" s="4">
        <v>3.68</v>
      </c>
      <c r="R942" s="4">
        <v>13.16</v>
      </c>
      <c r="S942" s="4">
        <v>0</v>
      </c>
      <c r="T942" s="4">
        <v>0</v>
      </c>
      <c r="U942" s="4">
        <v>215.1</v>
      </c>
      <c r="V942" s="4">
        <v>310.56</v>
      </c>
      <c r="W942" t="s">
        <v>21</v>
      </c>
      <c r="X942" t="s">
        <v>36</v>
      </c>
      <c r="Y942" s="4">
        <v>0</v>
      </c>
      <c r="Z942" s="4">
        <v>16</v>
      </c>
      <c r="AA942" t="s">
        <v>37</v>
      </c>
      <c r="AB942" t="s">
        <v>44</v>
      </c>
      <c r="AC942" s="7">
        <v>2</v>
      </c>
      <c r="AD942" t="s">
        <v>45</v>
      </c>
      <c r="AE942">
        <f t="shared" si="14"/>
        <v>1</v>
      </c>
    </row>
    <row r="943" spans="1:31" x14ac:dyDescent="0.35">
      <c r="A943">
        <v>100942</v>
      </c>
      <c r="B943" s="3">
        <v>45976</v>
      </c>
      <c r="C943">
        <v>1010</v>
      </c>
      <c r="D943" t="s">
        <v>30</v>
      </c>
      <c r="E943" t="s">
        <v>40</v>
      </c>
      <c r="F943" t="s">
        <v>71</v>
      </c>
      <c r="G943" t="s">
        <v>50</v>
      </c>
      <c r="H943" t="s">
        <v>34</v>
      </c>
      <c r="I943" t="s">
        <v>35</v>
      </c>
      <c r="J943" s="4">
        <v>40.950000000000003</v>
      </c>
      <c r="K943" s="4">
        <v>18.22</v>
      </c>
      <c r="L943">
        <v>15</v>
      </c>
      <c r="M943" s="4">
        <v>111.92</v>
      </c>
      <c r="N943" s="4">
        <v>634.19000000000005</v>
      </c>
      <c r="O943" s="4">
        <v>309.41000000000003</v>
      </c>
      <c r="P943" s="4">
        <v>8.91</v>
      </c>
      <c r="Q943" s="4">
        <v>5.22</v>
      </c>
      <c r="R943" s="4">
        <v>4.13</v>
      </c>
      <c r="S943" s="4">
        <v>0</v>
      </c>
      <c r="T943" s="4">
        <v>0</v>
      </c>
      <c r="U943" s="4">
        <v>327.67</v>
      </c>
      <c r="V943" s="4">
        <v>306.52</v>
      </c>
      <c r="W943" t="s">
        <v>21</v>
      </c>
      <c r="X943" t="s">
        <v>36</v>
      </c>
      <c r="Y943" s="4">
        <v>28</v>
      </c>
      <c r="Z943" s="4">
        <v>0</v>
      </c>
      <c r="AA943" t="s">
        <v>52</v>
      </c>
      <c r="AB943" t="s">
        <v>44</v>
      </c>
      <c r="AC943" s="7">
        <v>2</v>
      </c>
      <c r="AD943" t="s">
        <v>45</v>
      </c>
      <c r="AE943">
        <f t="shared" si="14"/>
        <v>1</v>
      </c>
    </row>
    <row r="944" spans="1:31" x14ac:dyDescent="0.35">
      <c r="A944">
        <v>100943</v>
      </c>
      <c r="B944" s="3">
        <v>45943</v>
      </c>
      <c r="C944">
        <v>1007</v>
      </c>
      <c r="D944" t="s">
        <v>59</v>
      </c>
      <c r="E944" t="s">
        <v>70</v>
      </c>
      <c r="F944" t="s">
        <v>41</v>
      </c>
      <c r="G944" t="s">
        <v>33</v>
      </c>
      <c r="H944" t="s">
        <v>34</v>
      </c>
      <c r="I944" t="s">
        <v>35</v>
      </c>
      <c r="J944" s="4">
        <v>24.41</v>
      </c>
      <c r="K944" s="4">
        <v>19.48</v>
      </c>
      <c r="L944">
        <v>10</v>
      </c>
      <c r="M944" s="4">
        <v>47.55</v>
      </c>
      <c r="N944" s="4">
        <v>427.96</v>
      </c>
      <c r="O944" s="4">
        <v>190.84</v>
      </c>
      <c r="P944" s="4">
        <v>7.73</v>
      </c>
      <c r="Q944" s="4">
        <v>3.33</v>
      </c>
      <c r="R944" s="4">
        <v>10.039999999999999</v>
      </c>
      <c r="S944" s="4">
        <v>403.91</v>
      </c>
      <c r="T944" s="4">
        <v>0</v>
      </c>
      <c r="U944" s="4">
        <v>615.85</v>
      </c>
      <c r="V944" s="4">
        <v>-187.89</v>
      </c>
      <c r="W944" t="s">
        <v>58</v>
      </c>
      <c r="X944" t="s">
        <v>55</v>
      </c>
      <c r="Y944" s="4">
        <v>3</v>
      </c>
      <c r="Z944" s="4">
        <v>4</v>
      </c>
      <c r="AA944" t="s">
        <v>37</v>
      </c>
      <c r="AB944" t="s">
        <v>44</v>
      </c>
      <c r="AC944" s="7">
        <v>2</v>
      </c>
      <c r="AD944" t="s">
        <v>45</v>
      </c>
      <c r="AE944">
        <f t="shared" si="14"/>
        <v>1</v>
      </c>
    </row>
    <row r="945" spans="1:31" x14ac:dyDescent="0.35">
      <c r="A945">
        <v>100944</v>
      </c>
      <c r="B945" s="3">
        <v>45948</v>
      </c>
      <c r="C945">
        <v>1055</v>
      </c>
      <c r="D945" t="s">
        <v>30</v>
      </c>
      <c r="E945" t="s">
        <v>72</v>
      </c>
      <c r="F945" t="s">
        <v>49</v>
      </c>
      <c r="G945" t="s">
        <v>46</v>
      </c>
      <c r="H945" t="s">
        <v>57</v>
      </c>
      <c r="I945" t="s">
        <v>35</v>
      </c>
      <c r="J945" s="4">
        <v>23.06</v>
      </c>
      <c r="K945" s="4">
        <v>17.62</v>
      </c>
      <c r="L945">
        <v>0</v>
      </c>
      <c r="M945" s="4">
        <v>0</v>
      </c>
      <c r="N945" s="4">
        <v>406.32</v>
      </c>
      <c r="O945" s="4">
        <v>184.92</v>
      </c>
      <c r="P945" s="4">
        <v>10.54</v>
      </c>
      <c r="Q945" s="4">
        <v>2.84</v>
      </c>
      <c r="R945" s="4">
        <v>2.04</v>
      </c>
      <c r="S945" s="4">
        <v>0</v>
      </c>
      <c r="T945" s="4">
        <v>0</v>
      </c>
      <c r="U945" s="4">
        <v>200.34</v>
      </c>
      <c r="V945" s="4">
        <v>205.98</v>
      </c>
      <c r="W945" t="s">
        <v>21</v>
      </c>
      <c r="X945" t="s">
        <v>36</v>
      </c>
      <c r="Y945" s="4">
        <v>8</v>
      </c>
      <c r="Z945" s="4">
        <v>0</v>
      </c>
      <c r="AA945" t="s">
        <v>37</v>
      </c>
      <c r="AB945" t="s">
        <v>38</v>
      </c>
      <c r="AC945" s="7">
        <v>0</v>
      </c>
      <c r="AD945" t="s">
        <v>39</v>
      </c>
      <c r="AE945">
        <f t="shared" si="14"/>
        <v>0</v>
      </c>
    </row>
    <row r="946" spans="1:31" x14ac:dyDescent="0.35">
      <c r="A946">
        <v>100945</v>
      </c>
      <c r="B946" s="3">
        <v>45943</v>
      </c>
      <c r="C946">
        <v>1122</v>
      </c>
      <c r="D946" t="s">
        <v>59</v>
      </c>
      <c r="E946" t="s">
        <v>73</v>
      </c>
      <c r="F946" t="s">
        <v>49</v>
      </c>
      <c r="G946" t="s">
        <v>33</v>
      </c>
      <c r="H946" t="s">
        <v>34</v>
      </c>
      <c r="I946" t="s">
        <v>69</v>
      </c>
      <c r="J946" s="4">
        <v>33.479999999999997</v>
      </c>
      <c r="K946" s="4">
        <v>19.760000000000002</v>
      </c>
      <c r="L946">
        <v>15</v>
      </c>
      <c r="M946" s="4">
        <v>99.23</v>
      </c>
      <c r="N946" s="4">
        <v>562.33000000000004</v>
      </c>
      <c r="O946" s="4">
        <v>199.09</v>
      </c>
      <c r="P946" s="4">
        <v>5.18</v>
      </c>
      <c r="Q946" s="4">
        <v>2.65</v>
      </c>
      <c r="R946" s="4">
        <v>8.93</v>
      </c>
      <c r="S946" s="4">
        <v>0</v>
      </c>
      <c r="T946" s="4">
        <v>0</v>
      </c>
      <c r="U946" s="4">
        <v>215.85</v>
      </c>
      <c r="V946" s="4">
        <v>346.48</v>
      </c>
      <c r="W946" t="s">
        <v>21</v>
      </c>
      <c r="X946" t="s">
        <v>36</v>
      </c>
      <c r="Y946" s="4">
        <v>30</v>
      </c>
      <c r="Z946" s="4">
        <v>1</v>
      </c>
      <c r="AA946" t="s">
        <v>52</v>
      </c>
      <c r="AB946" t="s">
        <v>44</v>
      </c>
      <c r="AC946" s="7">
        <v>2</v>
      </c>
      <c r="AD946" t="s">
        <v>45</v>
      </c>
      <c r="AE946">
        <f t="shared" si="14"/>
        <v>1</v>
      </c>
    </row>
    <row r="947" spans="1:31" x14ac:dyDescent="0.35">
      <c r="A947">
        <v>100946</v>
      </c>
      <c r="B947" s="3">
        <v>45935</v>
      </c>
      <c r="C947">
        <v>1143</v>
      </c>
      <c r="D947" t="s">
        <v>30</v>
      </c>
      <c r="E947" t="s">
        <v>62</v>
      </c>
      <c r="F947" t="s">
        <v>61</v>
      </c>
      <c r="G947" t="s">
        <v>33</v>
      </c>
      <c r="H947" t="s">
        <v>34</v>
      </c>
      <c r="I947" t="s">
        <v>35</v>
      </c>
      <c r="J947" s="4">
        <v>37.880000000000003</v>
      </c>
      <c r="K947" s="4">
        <v>19.12</v>
      </c>
      <c r="L947">
        <v>5</v>
      </c>
      <c r="M947" s="4">
        <v>36.21</v>
      </c>
      <c r="N947" s="4">
        <v>688.06</v>
      </c>
      <c r="O947" s="4">
        <v>284.24</v>
      </c>
      <c r="P947" s="4">
        <v>7.22</v>
      </c>
      <c r="Q947" s="4">
        <v>5.07</v>
      </c>
      <c r="R947" s="4">
        <v>11.64</v>
      </c>
      <c r="S947" s="4">
        <v>0</v>
      </c>
      <c r="T947" s="4">
        <v>0</v>
      </c>
      <c r="U947" s="4">
        <v>308.17</v>
      </c>
      <c r="V947" s="4">
        <v>379.89</v>
      </c>
      <c r="W947" t="s">
        <v>21</v>
      </c>
      <c r="X947" t="s">
        <v>36</v>
      </c>
      <c r="Y947" s="4">
        <v>28</v>
      </c>
      <c r="Z947" s="4">
        <v>12</v>
      </c>
      <c r="AA947" t="s">
        <v>52</v>
      </c>
      <c r="AB947" t="s">
        <v>44</v>
      </c>
      <c r="AC947" s="7">
        <v>1</v>
      </c>
      <c r="AD947" t="s">
        <v>45</v>
      </c>
      <c r="AE947">
        <f t="shared" si="14"/>
        <v>1</v>
      </c>
    </row>
    <row r="948" spans="1:31" x14ac:dyDescent="0.35">
      <c r="A948">
        <v>100947</v>
      </c>
      <c r="B948" s="3">
        <v>46004</v>
      </c>
      <c r="C948">
        <v>1124</v>
      </c>
      <c r="D948" t="s">
        <v>59</v>
      </c>
      <c r="E948" t="s">
        <v>60</v>
      </c>
      <c r="F948" t="s">
        <v>49</v>
      </c>
      <c r="G948" t="s">
        <v>63</v>
      </c>
      <c r="H948" t="s">
        <v>51</v>
      </c>
      <c r="I948" t="s">
        <v>35</v>
      </c>
      <c r="J948" s="4">
        <v>4.24</v>
      </c>
      <c r="K948" s="4">
        <v>12.12</v>
      </c>
      <c r="L948">
        <v>20</v>
      </c>
      <c r="M948" s="4">
        <v>10.28</v>
      </c>
      <c r="N948" s="4">
        <v>41.11</v>
      </c>
      <c r="O948" s="4">
        <v>25.63</v>
      </c>
      <c r="P948" s="4">
        <v>7.47</v>
      </c>
      <c r="Q948" s="4">
        <v>0.36</v>
      </c>
      <c r="R948" s="4">
        <v>13.43</v>
      </c>
      <c r="S948" s="4">
        <v>0</v>
      </c>
      <c r="T948" s="4">
        <v>0</v>
      </c>
      <c r="U948" s="4">
        <v>46.89</v>
      </c>
      <c r="V948" s="4">
        <v>-5.78</v>
      </c>
      <c r="W948" t="s">
        <v>58</v>
      </c>
      <c r="X948" t="s">
        <v>36</v>
      </c>
      <c r="Y948" s="4">
        <v>3</v>
      </c>
      <c r="Z948" s="4">
        <v>14</v>
      </c>
      <c r="AA948" t="s">
        <v>37</v>
      </c>
      <c r="AB948" t="s">
        <v>38</v>
      </c>
      <c r="AC948" s="7">
        <v>0</v>
      </c>
      <c r="AD948" t="s">
        <v>39</v>
      </c>
      <c r="AE948">
        <f t="shared" si="14"/>
        <v>0</v>
      </c>
    </row>
    <row r="949" spans="1:31" x14ac:dyDescent="0.35">
      <c r="A949">
        <v>100948</v>
      </c>
      <c r="B949" s="3">
        <v>45998</v>
      </c>
      <c r="C949">
        <v>1104</v>
      </c>
      <c r="D949" t="s">
        <v>64</v>
      </c>
      <c r="E949" t="s">
        <v>75</v>
      </c>
      <c r="F949" t="s">
        <v>49</v>
      </c>
      <c r="G949" t="s">
        <v>63</v>
      </c>
      <c r="H949" t="s">
        <v>51</v>
      </c>
      <c r="I949" t="s">
        <v>35</v>
      </c>
      <c r="J949" s="4">
        <v>19.7</v>
      </c>
      <c r="K949" s="4">
        <v>11.92</v>
      </c>
      <c r="L949">
        <v>10</v>
      </c>
      <c r="M949" s="4">
        <v>23.48</v>
      </c>
      <c r="N949" s="4">
        <v>211.34</v>
      </c>
      <c r="O949" s="4">
        <v>174.85</v>
      </c>
      <c r="P949" s="4">
        <v>12.6</v>
      </c>
      <c r="Q949" s="4">
        <v>1.64</v>
      </c>
      <c r="R949" s="4">
        <v>3</v>
      </c>
      <c r="S949" s="4">
        <v>0</v>
      </c>
      <c r="T949" s="4">
        <v>0</v>
      </c>
      <c r="U949" s="4">
        <v>192.09</v>
      </c>
      <c r="V949" s="4">
        <v>19.25</v>
      </c>
      <c r="W949" t="s">
        <v>21</v>
      </c>
      <c r="X949" t="s">
        <v>36</v>
      </c>
      <c r="Y949" s="4">
        <v>20</v>
      </c>
      <c r="Z949" s="4">
        <v>0</v>
      </c>
      <c r="AA949" t="s">
        <v>52</v>
      </c>
      <c r="AB949" t="s">
        <v>38</v>
      </c>
      <c r="AC949" s="7">
        <v>0</v>
      </c>
      <c r="AD949" t="s">
        <v>39</v>
      </c>
      <c r="AE949">
        <f t="shared" si="14"/>
        <v>0</v>
      </c>
    </row>
    <row r="950" spans="1:31" x14ac:dyDescent="0.35">
      <c r="A950">
        <v>100949</v>
      </c>
      <c r="B950" s="3">
        <v>46004</v>
      </c>
      <c r="C950">
        <v>1053</v>
      </c>
      <c r="D950" t="s">
        <v>59</v>
      </c>
      <c r="E950" t="s">
        <v>68</v>
      </c>
      <c r="F950" t="s">
        <v>71</v>
      </c>
      <c r="G950" t="s">
        <v>46</v>
      </c>
      <c r="H950" t="s">
        <v>51</v>
      </c>
      <c r="I950" t="s">
        <v>35</v>
      </c>
      <c r="J950" s="4">
        <v>17.739999999999998</v>
      </c>
      <c r="K950" s="4">
        <v>15.47</v>
      </c>
      <c r="L950">
        <v>0</v>
      </c>
      <c r="M950" s="4">
        <v>0</v>
      </c>
      <c r="N950" s="4">
        <v>274.44</v>
      </c>
      <c r="O950" s="4">
        <v>105.21</v>
      </c>
      <c r="P950" s="4">
        <v>9.77</v>
      </c>
      <c r="Q950" s="4">
        <v>1.92</v>
      </c>
      <c r="R950" s="4">
        <v>3.84</v>
      </c>
      <c r="S950" s="4">
        <v>0</v>
      </c>
      <c r="T950" s="4">
        <v>0</v>
      </c>
      <c r="U950" s="4">
        <v>120.74</v>
      </c>
      <c r="V950" s="4">
        <v>153.69999999999999</v>
      </c>
      <c r="W950" t="s">
        <v>21</v>
      </c>
      <c r="X950" t="s">
        <v>36</v>
      </c>
      <c r="Y950" s="4">
        <v>1</v>
      </c>
      <c r="Z950" s="4">
        <v>7</v>
      </c>
      <c r="AA950" t="s">
        <v>37</v>
      </c>
      <c r="AB950" t="s">
        <v>38</v>
      </c>
      <c r="AC950" s="7">
        <v>0</v>
      </c>
      <c r="AD950" t="s">
        <v>39</v>
      </c>
      <c r="AE950">
        <f t="shared" si="14"/>
        <v>0</v>
      </c>
    </row>
    <row r="951" spans="1:31" x14ac:dyDescent="0.35">
      <c r="A951">
        <v>100950</v>
      </c>
      <c r="B951" s="3">
        <v>45984</v>
      </c>
      <c r="C951">
        <v>1132</v>
      </c>
      <c r="D951" t="s">
        <v>30</v>
      </c>
      <c r="E951" t="s">
        <v>62</v>
      </c>
      <c r="F951" t="s">
        <v>61</v>
      </c>
      <c r="G951" t="s">
        <v>63</v>
      </c>
      <c r="H951" t="s">
        <v>34</v>
      </c>
      <c r="I951" t="s">
        <v>42</v>
      </c>
      <c r="J951" s="4">
        <v>16.84</v>
      </c>
      <c r="K951" s="4">
        <v>12.58</v>
      </c>
      <c r="L951">
        <v>5</v>
      </c>
      <c r="M951" s="4">
        <v>10.59</v>
      </c>
      <c r="N951" s="4">
        <v>201.26</v>
      </c>
      <c r="O951" s="4">
        <v>115.09</v>
      </c>
      <c r="P951" s="4">
        <v>5.35</v>
      </c>
      <c r="Q951" s="4">
        <v>3.18</v>
      </c>
      <c r="R951" s="4">
        <v>0.78</v>
      </c>
      <c r="S951" s="4">
        <v>0</v>
      </c>
      <c r="T951" s="4">
        <v>0</v>
      </c>
      <c r="U951" s="4">
        <v>124.4</v>
      </c>
      <c r="V951" s="4">
        <v>76.86</v>
      </c>
      <c r="W951" t="s">
        <v>21</v>
      </c>
      <c r="X951" t="s">
        <v>36</v>
      </c>
      <c r="Y951" s="4">
        <v>9</v>
      </c>
      <c r="Z951" s="4">
        <v>6</v>
      </c>
      <c r="AA951" t="s">
        <v>37</v>
      </c>
      <c r="AB951" t="s">
        <v>38</v>
      </c>
      <c r="AC951" s="7">
        <v>0</v>
      </c>
      <c r="AD951" t="s">
        <v>39</v>
      </c>
      <c r="AE951">
        <f t="shared" si="14"/>
        <v>0</v>
      </c>
    </row>
    <row r="952" spans="1:31" x14ac:dyDescent="0.35">
      <c r="A952">
        <v>100951</v>
      </c>
      <c r="B952" s="3">
        <v>46017</v>
      </c>
      <c r="C952">
        <v>1054</v>
      </c>
      <c r="D952" t="s">
        <v>59</v>
      </c>
      <c r="E952" t="s">
        <v>70</v>
      </c>
      <c r="F952" t="s">
        <v>41</v>
      </c>
      <c r="G952" t="s">
        <v>50</v>
      </c>
      <c r="H952" t="s">
        <v>34</v>
      </c>
      <c r="I952" t="s">
        <v>42</v>
      </c>
      <c r="J952" s="4">
        <v>14.8</v>
      </c>
      <c r="K952" s="4">
        <v>17.72</v>
      </c>
      <c r="L952">
        <v>0</v>
      </c>
      <c r="M952" s="4">
        <v>0</v>
      </c>
      <c r="N952" s="4">
        <v>262.26</v>
      </c>
      <c r="O952" s="4">
        <v>119.5</v>
      </c>
      <c r="P952" s="4">
        <v>3.12</v>
      </c>
      <c r="Q952" s="4">
        <v>3.93</v>
      </c>
      <c r="R952" s="4">
        <v>2.82</v>
      </c>
      <c r="S952" s="4">
        <v>0</v>
      </c>
      <c r="T952" s="4">
        <v>0</v>
      </c>
      <c r="U952" s="4">
        <v>129.37</v>
      </c>
      <c r="V952" s="4">
        <v>132.88999999999999</v>
      </c>
      <c r="W952" t="s">
        <v>21</v>
      </c>
      <c r="X952" t="s">
        <v>36</v>
      </c>
      <c r="Y952" s="4">
        <v>9</v>
      </c>
      <c r="Z952" s="4">
        <v>39</v>
      </c>
      <c r="AA952" t="s">
        <v>37</v>
      </c>
      <c r="AB952" t="s">
        <v>44</v>
      </c>
      <c r="AC952" s="7">
        <v>1</v>
      </c>
      <c r="AD952" t="s">
        <v>45</v>
      </c>
      <c r="AE952">
        <f t="shared" si="14"/>
        <v>1</v>
      </c>
    </row>
    <row r="953" spans="1:31" x14ac:dyDescent="0.35">
      <c r="A953">
        <v>100952</v>
      </c>
      <c r="B953" s="3">
        <v>46014</v>
      </c>
      <c r="C953">
        <v>1006</v>
      </c>
      <c r="D953" t="s">
        <v>30</v>
      </c>
      <c r="E953" t="s">
        <v>62</v>
      </c>
      <c r="F953" t="s">
        <v>61</v>
      </c>
      <c r="G953" t="s">
        <v>63</v>
      </c>
      <c r="H953" t="s">
        <v>57</v>
      </c>
      <c r="I953" t="s">
        <v>35</v>
      </c>
      <c r="J953" s="4">
        <v>17.510000000000002</v>
      </c>
      <c r="K953" s="4">
        <v>12.38</v>
      </c>
      <c r="L953">
        <v>15</v>
      </c>
      <c r="M953" s="4">
        <v>32.520000000000003</v>
      </c>
      <c r="N953" s="4">
        <v>184.25</v>
      </c>
      <c r="O953" s="4">
        <v>116.72</v>
      </c>
      <c r="P953" s="4">
        <v>3.31</v>
      </c>
      <c r="Q953" s="4">
        <v>1.52</v>
      </c>
      <c r="R953" s="4">
        <v>0</v>
      </c>
      <c r="S953" s="4">
        <v>0</v>
      </c>
      <c r="T953" s="4">
        <v>0</v>
      </c>
      <c r="U953" s="4">
        <v>121.55</v>
      </c>
      <c r="V953" s="4">
        <v>62.7</v>
      </c>
      <c r="W953" t="s">
        <v>21</v>
      </c>
      <c r="X953" t="s">
        <v>36</v>
      </c>
      <c r="Y953" s="4">
        <v>21</v>
      </c>
      <c r="Z953" s="4">
        <v>7</v>
      </c>
      <c r="AA953" t="s">
        <v>52</v>
      </c>
      <c r="AB953" t="s">
        <v>44</v>
      </c>
      <c r="AC953" s="7">
        <v>1</v>
      </c>
      <c r="AD953" t="s">
        <v>45</v>
      </c>
      <c r="AE953">
        <f t="shared" si="14"/>
        <v>1</v>
      </c>
    </row>
    <row r="954" spans="1:31" x14ac:dyDescent="0.35">
      <c r="A954">
        <v>100953</v>
      </c>
      <c r="B954" s="3">
        <v>46019</v>
      </c>
      <c r="C954">
        <v>1057</v>
      </c>
      <c r="D954" t="s">
        <v>59</v>
      </c>
      <c r="E954" t="s">
        <v>60</v>
      </c>
      <c r="F954" t="s">
        <v>41</v>
      </c>
      <c r="G954" t="s">
        <v>33</v>
      </c>
      <c r="H954" t="s">
        <v>34</v>
      </c>
      <c r="I954" t="s">
        <v>42</v>
      </c>
      <c r="J954" s="4">
        <v>46.09</v>
      </c>
      <c r="K954" s="4">
        <v>19.8</v>
      </c>
      <c r="L954">
        <v>0</v>
      </c>
      <c r="M954" s="4">
        <v>0</v>
      </c>
      <c r="N954" s="4">
        <v>912.58</v>
      </c>
      <c r="O954" s="4">
        <v>273.02</v>
      </c>
      <c r="P954" s="4">
        <v>6.01</v>
      </c>
      <c r="Q954" s="4">
        <v>13.69</v>
      </c>
      <c r="R954" s="4">
        <v>2.29</v>
      </c>
      <c r="S954" s="4">
        <v>0</v>
      </c>
      <c r="T954" s="4">
        <v>0</v>
      </c>
      <c r="U954" s="4">
        <v>295.01</v>
      </c>
      <c r="V954" s="4">
        <v>617.57000000000005</v>
      </c>
      <c r="W954" t="s">
        <v>21</v>
      </c>
      <c r="X954" t="s">
        <v>36</v>
      </c>
      <c r="Y954" s="4">
        <v>7</v>
      </c>
      <c r="Z954" s="4">
        <v>7</v>
      </c>
      <c r="AA954" t="s">
        <v>37</v>
      </c>
      <c r="AB954" t="s">
        <v>38</v>
      </c>
      <c r="AC954" s="7">
        <v>1</v>
      </c>
      <c r="AD954" t="s">
        <v>39</v>
      </c>
      <c r="AE954">
        <f t="shared" si="14"/>
        <v>0</v>
      </c>
    </row>
    <row r="955" spans="1:31" x14ac:dyDescent="0.35">
      <c r="A955">
        <v>100954</v>
      </c>
      <c r="B955" s="3">
        <v>45933</v>
      </c>
      <c r="C955">
        <v>1089</v>
      </c>
      <c r="D955" t="s">
        <v>59</v>
      </c>
      <c r="E955" t="s">
        <v>60</v>
      </c>
      <c r="F955" t="s">
        <v>49</v>
      </c>
      <c r="G955" t="s">
        <v>46</v>
      </c>
      <c r="H955" t="s">
        <v>57</v>
      </c>
      <c r="I955" t="s">
        <v>35</v>
      </c>
      <c r="J955" s="4">
        <v>31.31</v>
      </c>
      <c r="K955" s="4">
        <v>14.47</v>
      </c>
      <c r="L955">
        <v>20</v>
      </c>
      <c r="M955" s="4">
        <v>90.61</v>
      </c>
      <c r="N955" s="4">
        <v>362.45</v>
      </c>
      <c r="O955" s="4">
        <v>240.74</v>
      </c>
      <c r="P955" s="4">
        <v>9.68</v>
      </c>
      <c r="Q955" s="4">
        <v>3.17</v>
      </c>
      <c r="R955" s="4">
        <v>6.69</v>
      </c>
      <c r="S955" s="4">
        <v>409.87</v>
      </c>
      <c r="T955" s="4">
        <v>9.6</v>
      </c>
      <c r="U955" s="4">
        <v>679.75</v>
      </c>
      <c r="V955" s="4">
        <v>-317.3</v>
      </c>
      <c r="W955" t="s">
        <v>58</v>
      </c>
      <c r="X955" t="s">
        <v>55</v>
      </c>
      <c r="Y955" s="4">
        <v>22</v>
      </c>
      <c r="Z955" s="4">
        <v>20</v>
      </c>
      <c r="AA955" t="s">
        <v>52</v>
      </c>
      <c r="AB955" t="s">
        <v>44</v>
      </c>
      <c r="AC955" s="7">
        <v>1</v>
      </c>
      <c r="AD955" t="s">
        <v>45</v>
      </c>
      <c r="AE955">
        <f t="shared" si="14"/>
        <v>1</v>
      </c>
    </row>
    <row r="956" spans="1:31" x14ac:dyDescent="0.35">
      <c r="A956">
        <v>100955</v>
      </c>
      <c r="B956" s="3">
        <v>45957</v>
      </c>
      <c r="C956">
        <v>1103</v>
      </c>
      <c r="D956" t="s">
        <v>47</v>
      </c>
      <c r="E956" t="s">
        <v>74</v>
      </c>
      <c r="F956" t="s">
        <v>49</v>
      </c>
      <c r="G956" t="s">
        <v>33</v>
      </c>
      <c r="H956" t="s">
        <v>34</v>
      </c>
      <c r="I956" t="s">
        <v>35</v>
      </c>
      <c r="J956" s="4">
        <v>37.64</v>
      </c>
      <c r="K956" s="4">
        <v>19.579999999999998</v>
      </c>
      <c r="L956">
        <v>10</v>
      </c>
      <c r="M956" s="4">
        <v>73.7</v>
      </c>
      <c r="N956" s="4">
        <v>663.29</v>
      </c>
      <c r="O956" s="4">
        <v>191.29</v>
      </c>
      <c r="P956" s="4">
        <v>10.42</v>
      </c>
      <c r="Q956" s="4">
        <v>5.16</v>
      </c>
      <c r="R956" s="4">
        <v>11.01</v>
      </c>
      <c r="S956" s="4">
        <v>0</v>
      </c>
      <c r="T956" s="4">
        <v>0</v>
      </c>
      <c r="U956" s="4">
        <v>217.88</v>
      </c>
      <c r="V956" s="4">
        <v>445.41</v>
      </c>
      <c r="W956" t="s">
        <v>21</v>
      </c>
      <c r="X956" t="s">
        <v>36</v>
      </c>
      <c r="Y956" s="4">
        <v>1</v>
      </c>
      <c r="Z956" s="4">
        <v>8</v>
      </c>
      <c r="AA956" t="s">
        <v>37</v>
      </c>
      <c r="AB956" t="s">
        <v>38</v>
      </c>
      <c r="AC956" s="7">
        <v>0</v>
      </c>
      <c r="AD956" t="s">
        <v>39</v>
      </c>
      <c r="AE956">
        <f t="shared" si="14"/>
        <v>0</v>
      </c>
    </row>
    <row r="957" spans="1:31" x14ac:dyDescent="0.35">
      <c r="A957">
        <v>100956</v>
      </c>
      <c r="B957" s="3">
        <v>45991</v>
      </c>
      <c r="C957">
        <v>1018</v>
      </c>
      <c r="D957" t="s">
        <v>59</v>
      </c>
      <c r="E957" t="s">
        <v>60</v>
      </c>
      <c r="F957" t="s">
        <v>61</v>
      </c>
      <c r="G957" t="s">
        <v>50</v>
      </c>
      <c r="H957" t="s">
        <v>57</v>
      </c>
      <c r="I957" t="s">
        <v>42</v>
      </c>
      <c r="J957" s="4">
        <v>26.39</v>
      </c>
      <c r="K957" s="4">
        <v>18.149999999999999</v>
      </c>
      <c r="L957">
        <v>10</v>
      </c>
      <c r="M957" s="4">
        <v>47.9</v>
      </c>
      <c r="N957" s="4">
        <v>431.08</v>
      </c>
      <c r="O957" s="4">
        <v>220.05</v>
      </c>
      <c r="P957" s="4">
        <v>7.73</v>
      </c>
      <c r="Q957" s="4">
        <v>7.18</v>
      </c>
      <c r="R957" s="4">
        <v>3.14</v>
      </c>
      <c r="S957" s="4">
        <v>0</v>
      </c>
      <c r="T957" s="4">
        <v>0</v>
      </c>
      <c r="U957" s="4">
        <v>238.1</v>
      </c>
      <c r="V957" s="4">
        <v>192.98</v>
      </c>
      <c r="W957" t="s">
        <v>21</v>
      </c>
      <c r="X957" t="s">
        <v>36</v>
      </c>
      <c r="Y957" s="4">
        <v>10</v>
      </c>
      <c r="Z957" s="4">
        <v>1</v>
      </c>
      <c r="AA957" t="s">
        <v>37</v>
      </c>
      <c r="AB957" t="s">
        <v>38</v>
      </c>
      <c r="AC957" s="7">
        <v>0</v>
      </c>
      <c r="AD957" t="s">
        <v>39</v>
      </c>
      <c r="AE957">
        <f t="shared" si="14"/>
        <v>0</v>
      </c>
    </row>
    <row r="958" spans="1:31" x14ac:dyDescent="0.35">
      <c r="A958">
        <v>100957</v>
      </c>
      <c r="B958" s="3">
        <v>45999</v>
      </c>
      <c r="C958">
        <v>1095</v>
      </c>
      <c r="D958" t="s">
        <v>64</v>
      </c>
      <c r="E958" t="s">
        <v>76</v>
      </c>
      <c r="F958" t="s">
        <v>32</v>
      </c>
      <c r="G958" t="s">
        <v>50</v>
      </c>
      <c r="H958" t="s">
        <v>51</v>
      </c>
      <c r="I958" t="s">
        <v>35</v>
      </c>
      <c r="J958" s="4">
        <v>24.36</v>
      </c>
      <c r="K958" s="4">
        <v>17.3</v>
      </c>
      <c r="L958">
        <v>15</v>
      </c>
      <c r="M958" s="4">
        <v>63.21</v>
      </c>
      <c r="N958" s="4">
        <v>358.22</v>
      </c>
      <c r="O958" s="4">
        <v>161.30000000000001</v>
      </c>
      <c r="P958" s="4">
        <v>1</v>
      </c>
      <c r="Q958" s="4">
        <v>2.95</v>
      </c>
      <c r="R958" s="4">
        <v>7.56</v>
      </c>
      <c r="S958" s="4">
        <v>0</v>
      </c>
      <c r="T958" s="4">
        <v>0</v>
      </c>
      <c r="U958" s="4">
        <v>172.81</v>
      </c>
      <c r="V958" s="4">
        <v>185.41</v>
      </c>
      <c r="W958" t="s">
        <v>21</v>
      </c>
      <c r="X958" t="s">
        <v>36</v>
      </c>
      <c r="Y958" s="4">
        <v>24</v>
      </c>
      <c r="Z958" s="4">
        <v>26</v>
      </c>
      <c r="AA958" t="s">
        <v>52</v>
      </c>
      <c r="AB958" t="s">
        <v>44</v>
      </c>
      <c r="AC958" s="7">
        <v>1</v>
      </c>
      <c r="AD958" t="s">
        <v>45</v>
      </c>
      <c r="AE958">
        <f t="shared" si="14"/>
        <v>1</v>
      </c>
    </row>
    <row r="959" spans="1:31" x14ac:dyDescent="0.35">
      <c r="A959">
        <v>100958</v>
      </c>
      <c r="B959" s="3">
        <v>45982</v>
      </c>
      <c r="C959">
        <v>1128</v>
      </c>
      <c r="D959" t="s">
        <v>47</v>
      </c>
      <c r="E959" t="s">
        <v>48</v>
      </c>
      <c r="F959" t="s">
        <v>71</v>
      </c>
      <c r="G959" t="s">
        <v>46</v>
      </c>
      <c r="H959" t="s">
        <v>34</v>
      </c>
      <c r="I959" t="s">
        <v>54</v>
      </c>
      <c r="J959" s="4">
        <v>12.87</v>
      </c>
      <c r="K959" s="4">
        <v>15.67</v>
      </c>
      <c r="L959">
        <v>0</v>
      </c>
      <c r="M959" s="4">
        <v>0</v>
      </c>
      <c r="N959" s="4">
        <v>201.67</v>
      </c>
      <c r="O959" s="4">
        <v>91.3</v>
      </c>
      <c r="P959" s="4">
        <v>8.6300000000000008</v>
      </c>
      <c r="Q959" s="4">
        <v>2.42</v>
      </c>
      <c r="R959" s="4">
        <v>1.7</v>
      </c>
      <c r="S959" s="4">
        <v>0</v>
      </c>
      <c r="T959" s="4">
        <v>0</v>
      </c>
      <c r="U959" s="4">
        <v>104.05</v>
      </c>
      <c r="V959" s="4">
        <v>97.62</v>
      </c>
      <c r="W959" t="s">
        <v>21</v>
      </c>
      <c r="X959" t="s">
        <v>36</v>
      </c>
      <c r="Y959" s="4">
        <v>12</v>
      </c>
      <c r="Z959" s="4">
        <v>11</v>
      </c>
      <c r="AA959" t="s">
        <v>37</v>
      </c>
      <c r="AB959" t="s">
        <v>38</v>
      </c>
      <c r="AC959" s="7">
        <v>1</v>
      </c>
      <c r="AD959" t="s">
        <v>39</v>
      </c>
      <c r="AE959">
        <f t="shared" si="14"/>
        <v>0</v>
      </c>
    </row>
    <row r="960" spans="1:31" x14ac:dyDescent="0.35">
      <c r="A960">
        <v>100959</v>
      </c>
      <c r="B960" s="3">
        <v>45990</v>
      </c>
      <c r="C960">
        <v>1066</v>
      </c>
      <c r="D960" t="s">
        <v>59</v>
      </c>
      <c r="E960" t="s">
        <v>60</v>
      </c>
      <c r="F960" t="s">
        <v>41</v>
      </c>
      <c r="G960" t="s">
        <v>63</v>
      </c>
      <c r="H960" t="s">
        <v>34</v>
      </c>
      <c r="I960" t="s">
        <v>42</v>
      </c>
      <c r="J960" s="4">
        <v>9.14</v>
      </c>
      <c r="K960" s="4">
        <v>11.76</v>
      </c>
      <c r="L960">
        <v>5</v>
      </c>
      <c r="M960" s="4">
        <v>5.37</v>
      </c>
      <c r="N960" s="4">
        <v>102.12</v>
      </c>
      <c r="O960" s="4">
        <v>71.709999999999994</v>
      </c>
      <c r="P960" s="4">
        <v>11.52</v>
      </c>
      <c r="Q960" s="4">
        <v>1.61</v>
      </c>
      <c r="R960" s="4">
        <v>9.73</v>
      </c>
      <c r="S960" s="4">
        <v>71.33</v>
      </c>
      <c r="T960" s="4">
        <v>0</v>
      </c>
      <c r="U960" s="4">
        <v>165.9</v>
      </c>
      <c r="V960" s="4">
        <v>-63.78</v>
      </c>
      <c r="W960" t="s">
        <v>58</v>
      </c>
      <c r="X960" t="s">
        <v>66</v>
      </c>
      <c r="Y960" s="4">
        <v>14</v>
      </c>
      <c r="Z960" s="4">
        <v>8</v>
      </c>
      <c r="AA960" t="s">
        <v>37</v>
      </c>
      <c r="AB960" t="s">
        <v>38</v>
      </c>
      <c r="AC960" s="7">
        <v>3</v>
      </c>
      <c r="AD960" t="s">
        <v>45</v>
      </c>
      <c r="AE960">
        <f t="shared" si="14"/>
        <v>0</v>
      </c>
    </row>
    <row r="961" spans="1:31" x14ac:dyDescent="0.35">
      <c r="A961">
        <v>100960</v>
      </c>
      <c r="B961" s="3">
        <v>45951</v>
      </c>
      <c r="C961">
        <v>1147</v>
      </c>
      <c r="D961" t="s">
        <v>59</v>
      </c>
      <c r="E961" t="s">
        <v>68</v>
      </c>
      <c r="F961" t="s">
        <v>61</v>
      </c>
      <c r="G961" t="s">
        <v>63</v>
      </c>
      <c r="H961" t="s">
        <v>34</v>
      </c>
      <c r="I961" t="s">
        <v>35</v>
      </c>
      <c r="J961" s="4">
        <v>16.55</v>
      </c>
      <c r="K961" s="4">
        <v>11.4</v>
      </c>
      <c r="L961">
        <v>0</v>
      </c>
      <c r="M961" s="4">
        <v>0</v>
      </c>
      <c r="N961" s="4">
        <v>188.67</v>
      </c>
      <c r="O961" s="4">
        <v>118.01</v>
      </c>
      <c r="P961" s="4">
        <v>4.88</v>
      </c>
      <c r="Q961" s="4">
        <v>1.32</v>
      </c>
      <c r="R961" s="4">
        <v>4.66</v>
      </c>
      <c r="S961" s="4">
        <v>0</v>
      </c>
      <c r="T961" s="4">
        <v>0</v>
      </c>
      <c r="U961" s="4">
        <v>128.87</v>
      </c>
      <c r="V961" s="4">
        <v>59.8</v>
      </c>
      <c r="W961" t="s">
        <v>21</v>
      </c>
      <c r="X961" t="s">
        <v>36</v>
      </c>
      <c r="Y961" s="4">
        <v>13</v>
      </c>
      <c r="Z961" s="4">
        <v>9</v>
      </c>
      <c r="AA961" t="s">
        <v>37</v>
      </c>
      <c r="AB961" t="s">
        <v>38</v>
      </c>
      <c r="AC961" s="7">
        <v>0</v>
      </c>
      <c r="AD961" t="s">
        <v>39</v>
      </c>
      <c r="AE961">
        <f t="shared" si="14"/>
        <v>0</v>
      </c>
    </row>
    <row r="962" spans="1:31" x14ac:dyDescent="0.35">
      <c r="A962">
        <v>100961</v>
      </c>
      <c r="B962" s="3">
        <v>45969</v>
      </c>
      <c r="C962">
        <v>1001</v>
      </c>
      <c r="D962" t="s">
        <v>59</v>
      </c>
      <c r="E962" t="s">
        <v>68</v>
      </c>
      <c r="F962" t="s">
        <v>41</v>
      </c>
      <c r="G962" t="s">
        <v>46</v>
      </c>
      <c r="H962" t="s">
        <v>34</v>
      </c>
      <c r="I962" t="s">
        <v>35</v>
      </c>
      <c r="J962" s="4">
        <v>22.25</v>
      </c>
      <c r="K962" s="4">
        <v>14.81</v>
      </c>
      <c r="L962">
        <v>0</v>
      </c>
      <c r="M962" s="4">
        <v>0</v>
      </c>
      <c r="N962" s="4">
        <v>329.52</v>
      </c>
      <c r="O962" s="4">
        <v>145.79</v>
      </c>
      <c r="P962" s="4">
        <v>7.82</v>
      </c>
      <c r="Q962" s="4">
        <v>2.31</v>
      </c>
      <c r="R962" s="4">
        <v>12.79</v>
      </c>
      <c r="S962" s="4">
        <v>0</v>
      </c>
      <c r="T962" s="4">
        <v>0</v>
      </c>
      <c r="U962" s="4">
        <v>168.71</v>
      </c>
      <c r="V962" s="4">
        <v>160.81</v>
      </c>
      <c r="W962" t="s">
        <v>21</v>
      </c>
      <c r="X962" t="s">
        <v>36</v>
      </c>
      <c r="Y962" s="4">
        <v>7</v>
      </c>
      <c r="Z962" s="4">
        <v>3</v>
      </c>
      <c r="AA962" t="s">
        <v>37</v>
      </c>
      <c r="AB962" t="s">
        <v>38</v>
      </c>
      <c r="AC962" s="7">
        <v>0</v>
      </c>
      <c r="AD962" t="s">
        <v>39</v>
      </c>
      <c r="AE962">
        <f t="shared" si="14"/>
        <v>0</v>
      </c>
    </row>
    <row r="963" spans="1:31" x14ac:dyDescent="0.35">
      <c r="A963">
        <v>100962</v>
      </c>
      <c r="B963" s="3">
        <v>46020</v>
      </c>
      <c r="C963">
        <v>1036</v>
      </c>
      <c r="D963" t="s">
        <v>59</v>
      </c>
      <c r="E963" t="s">
        <v>60</v>
      </c>
      <c r="F963" t="s">
        <v>49</v>
      </c>
      <c r="G963" t="s">
        <v>33</v>
      </c>
      <c r="H963" t="s">
        <v>34</v>
      </c>
      <c r="I963" t="s">
        <v>35</v>
      </c>
      <c r="J963" s="4">
        <v>31.14</v>
      </c>
      <c r="K963" s="4">
        <v>20.350000000000001</v>
      </c>
      <c r="L963">
        <v>10</v>
      </c>
      <c r="M963" s="4">
        <v>63.37</v>
      </c>
      <c r="N963" s="4">
        <v>570.33000000000004</v>
      </c>
      <c r="O963" s="4">
        <v>213.48</v>
      </c>
      <c r="P963" s="4">
        <v>10.36</v>
      </c>
      <c r="Q963" s="4">
        <v>4.4400000000000004</v>
      </c>
      <c r="R963" s="4">
        <v>5.88</v>
      </c>
      <c r="S963" s="4">
        <v>0</v>
      </c>
      <c r="T963" s="4">
        <v>0</v>
      </c>
      <c r="U963" s="4">
        <v>234.16</v>
      </c>
      <c r="V963" s="4">
        <v>336.17</v>
      </c>
      <c r="W963" t="s">
        <v>21</v>
      </c>
      <c r="X963" t="s">
        <v>36</v>
      </c>
      <c r="Y963" s="4">
        <v>14</v>
      </c>
      <c r="Z963" s="4">
        <v>14</v>
      </c>
      <c r="AA963" t="s">
        <v>37</v>
      </c>
      <c r="AB963" t="s">
        <v>38</v>
      </c>
      <c r="AC963" s="7">
        <v>0</v>
      </c>
      <c r="AD963" t="s">
        <v>39</v>
      </c>
      <c r="AE963">
        <f t="shared" ref="AE963:AE1026" si="15">IF(AB963="Yes",1,0)</f>
        <v>0</v>
      </c>
    </row>
    <row r="964" spans="1:31" x14ac:dyDescent="0.35">
      <c r="A964">
        <v>100963</v>
      </c>
      <c r="B964" s="3">
        <v>45982</v>
      </c>
      <c r="C964">
        <v>1082</v>
      </c>
      <c r="D964" t="s">
        <v>47</v>
      </c>
      <c r="E964" t="s">
        <v>53</v>
      </c>
      <c r="F964" t="s">
        <v>32</v>
      </c>
      <c r="G964" t="s">
        <v>46</v>
      </c>
      <c r="H964" t="s">
        <v>34</v>
      </c>
      <c r="I964" t="s">
        <v>35</v>
      </c>
      <c r="J964" s="4">
        <v>27.02</v>
      </c>
      <c r="K964" s="4">
        <v>15.28</v>
      </c>
      <c r="L964">
        <v>0</v>
      </c>
      <c r="M964" s="4">
        <v>0</v>
      </c>
      <c r="N964" s="4">
        <v>412.87</v>
      </c>
      <c r="O964" s="4">
        <v>247.27</v>
      </c>
      <c r="P964" s="4">
        <v>8.11</v>
      </c>
      <c r="Q964" s="4">
        <v>2.89</v>
      </c>
      <c r="R964" s="4">
        <v>0</v>
      </c>
      <c r="S964" s="4">
        <v>0</v>
      </c>
      <c r="T964" s="4">
        <v>0</v>
      </c>
      <c r="U964" s="4">
        <v>258.27</v>
      </c>
      <c r="V964" s="4">
        <v>154.6</v>
      </c>
      <c r="W964" t="s">
        <v>21</v>
      </c>
      <c r="X964" t="s">
        <v>36</v>
      </c>
      <c r="Y964" s="4">
        <v>8</v>
      </c>
      <c r="Z964" s="4">
        <v>10</v>
      </c>
      <c r="AA964" t="s">
        <v>37</v>
      </c>
      <c r="AB964" t="s">
        <v>38</v>
      </c>
      <c r="AC964" s="7">
        <v>0</v>
      </c>
      <c r="AD964" t="s">
        <v>39</v>
      </c>
      <c r="AE964">
        <f t="shared" si="15"/>
        <v>0</v>
      </c>
    </row>
    <row r="965" spans="1:31" x14ac:dyDescent="0.35">
      <c r="A965">
        <v>100964</v>
      </c>
      <c r="B965" s="3">
        <v>45970</v>
      </c>
      <c r="C965">
        <v>1036</v>
      </c>
      <c r="D965" t="s">
        <v>47</v>
      </c>
      <c r="E965" t="s">
        <v>56</v>
      </c>
      <c r="F965" t="s">
        <v>49</v>
      </c>
      <c r="G965" t="s">
        <v>33</v>
      </c>
      <c r="H965" t="s">
        <v>34</v>
      </c>
      <c r="I965" t="s">
        <v>54</v>
      </c>
      <c r="J965" s="4">
        <v>36.9</v>
      </c>
      <c r="K965" s="4">
        <v>18.53</v>
      </c>
      <c r="L965">
        <v>0</v>
      </c>
      <c r="M965" s="4">
        <v>0</v>
      </c>
      <c r="N965" s="4">
        <v>683.76</v>
      </c>
      <c r="O965" s="4">
        <v>245.15</v>
      </c>
      <c r="P965" s="4">
        <v>5.37</v>
      </c>
      <c r="Q965" s="4">
        <v>8.2100000000000009</v>
      </c>
      <c r="R965" s="4">
        <v>8.44</v>
      </c>
      <c r="S965" s="4">
        <v>0</v>
      </c>
      <c r="T965" s="4">
        <v>0</v>
      </c>
      <c r="U965" s="4">
        <v>267.17</v>
      </c>
      <c r="V965" s="4">
        <v>416.59</v>
      </c>
      <c r="W965" t="s">
        <v>21</v>
      </c>
      <c r="X965" t="s">
        <v>36</v>
      </c>
      <c r="Y965" s="4">
        <v>13</v>
      </c>
      <c r="Z965" s="4">
        <v>13</v>
      </c>
      <c r="AA965" t="s">
        <v>37</v>
      </c>
      <c r="AB965" t="s">
        <v>38</v>
      </c>
      <c r="AC965" s="7">
        <v>0</v>
      </c>
      <c r="AD965" t="s">
        <v>39</v>
      </c>
      <c r="AE965">
        <f t="shared" si="15"/>
        <v>0</v>
      </c>
    </row>
    <row r="966" spans="1:31" x14ac:dyDescent="0.35">
      <c r="A966">
        <v>100965</v>
      </c>
      <c r="B966" s="3">
        <v>45997</v>
      </c>
      <c r="C966">
        <v>1019</v>
      </c>
      <c r="D966" t="s">
        <v>64</v>
      </c>
      <c r="E966" t="s">
        <v>65</v>
      </c>
      <c r="F966" t="s">
        <v>61</v>
      </c>
      <c r="G966" t="s">
        <v>63</v>
      </c>
      <c r="H966" t="s">
        <v>34</v>
      </c>
      <c r="I966" t="s">
        <v>69</v>
      </c>
      <c r="J966" s="4">
        <v>27.71</v>
      </c>
      <c r="K966" s="4">
        <v>13.4</v>
      </c>
      <c r="L966">
        <v>0</v>
      </c>
      <c r="M966" s="4">
        <v>0</v>
      </c>
      <c r="N966" s="4">
        <v>371.31</v>
      </c>
      <c r="O966" s="4">
        <v>207.72</v>
      </c>
      <c r="P966" s="4">
        <v>8.8699999999999992</v>
      </c>
      <c r="Q966" s="4">
        <v>1.49</v>
      </c>
      <c r="R966" s="4">
        <v>0.27</v>
      </c>
      <c r="S966" s="4">
        <v>0</v>
      </c>
      <c r="T966" s="4">
        <v>0</v>
      </c>
      <c r="U966" s="4">
        <v>218.35</v>
      </c>
      <c r="V966" s="4">
        <v>152.96</v>
      </c>
      <c r="W966" t="s">
        <v>21</v>
      </c>
      <c r="X966" t="s">
        <v>36</v>
      </c>
      <c r="Y966" s="4">
        <v>5</v>
      </c>
      <c r="Z966" s="4">
        <v>0</v>
      </c>
      <c r="AA966" t="s">
        <v>37</v>
      </c>
      <c r="AB966" t="s">
        <v>38</v>
      </c>
      <c r="AC966" s="7">
        <v>0</v>
      </c>
      <c r="AD966" t="s">
        <v>39</v>
      </c>
      <c r="AE966">
        <f t="shared" si="15"/>
        <v>0</v>
      </c>
    </row>
    <row r="967" spans="1:31" x14ac:dyDescent="0.35">
      <c r="A967">
        <v>100966</v>
      </c>
      <c r="B967" s="3">
        <v>45966</v>
      </c>
      <c r="C967">
        <v>1005</v>
      </c>
      <c r="D967" t="s">
        <v>59</v>
      </c>
      <c r="E967" t="s">
        <v>73</v>
      </c>
      <c r="F967" t="s">
        <v>61</v>
      </c>
      <c r="G967" t="s">
        <v>46</v>
      </c>
      <c r="H967" t="s">
        <v>57</v>
      </c>
      <c r="I967" t="s">
        <v>35</v>
      </c>
      <c r="J967" s="4">
        <v>31.32</v>
      </c>
      <c r="K967" s="4">
        <v>16.32</v>
      </c>
      <c r="L967">
        <v>15</v>
      </c>
      <c r="M967" s="4">
        <v>76.67</v>
      </c>
      <c r="N967" s="4">
        <v>434.47</v>
      </c>
      <c r="O967" s="4">
        <v>218.31</v>
      </c>
      <c r="P967" s="4">
        <v>10.99</v>
      </c>
      <c r="Q967" s="4">
        <v>3.58</v>
      </c>
      <c r="R967" s="4">
        <v>5.38</v>
      </c>
      <c r="S967" s="4">
        <v>0</v>
      </c>
      <c r="T967" s="4">
        <v>0</v>
      </c>
      <c r="U967" s="4">
        <v>238.26</v>
      </c>
      <c r="V967" s="4">
        <v>196.21</v>
      </c>
      <c r="W967" t="s">
        <v>21</v>
      </c>
      <c r="X967" t="s">
        <v>36</v>
      </c>
      <c r="Y967" s="4">
        <v>13</v>
      </c>
      <c r="Z967" s="4">
        <v>23</v>
      </c>
      <c r="AA967" t="s">
        <v>37</v>
      </c>
      <c r="AB967" t="s">
        <v>44</v>
      </c>
      <c r="AC967" s="7">
        <v>2</v>
      </c>
      <c r="AD967" t="s">
        <v>45</v>
      </c>
      <c r="AE967">
        <f t="shared" si="15"/>
        <v>1</v>
      </c>
    </row>
    <row r="968" spans="1:31" x14ac:dyDescent="0.35">
      <c r="A968">
        <v>100967</v>
      </c>
      <c r="B968" s="3">
        <v>45954</v>
      </c>
      <c r="C968">
        <v>1069</v>
      </c>
      <c r="D968" t="s">
        <v>59</v>
      </c>
      <c r="E968" t="s">
        <v>73</v>
      </c>
      <c r="F968" t="s">
        <v>49</v>
      </c>
      <c r="G968" t="s">
        <v>63</v>
      </c>
      <c r="H968" t="s">
        <v>34</v>
      </c>
      <c r="I968" t="s">
        <v>35</v>
      </c>
      <c r="J968" s="4">
        <v>23.28</v>
      </c>
      <c r="K968" s="4">
        <v>12.54</v>
      </c>
      <c r="L968">
        <v>0</v>
      </c>
      <c r="M968" s="4">
        <v>0</v>
      </c>
      <c r="N968" s="4">
        <v>291.93</v>
      </c>
      <c r="O968" s="4">
        <v>181.57</v>
      </c>
      <c r="P968" s="4">
        <v>9.3800000000000008</v>
      </c>
      <c r="Q968" s="4">
        <v>2.04</v>
      </c>
      <c r="R968" s="4">
        <v>7.37</v>
      </c>
      <c r="S968" s="4">
        <v>0</v>
      </c>
      <c r="T968" s="4">
        <v>0</v>
      </c>
      <c r="U968" s="4">
        <v>200.36</v>
      </c>
      <c r="V968" s="4">
        <v>91.57</v>
      </c>
      <c r="W968" t="s">
        <v>21</v>
      </c>
      <c r="X968" t="s">
        <v>36</v>
      </c>
      <c r="Y968" s="4">
        <v>1</v>
      </c>
      <c r="Z968" s="4">
        <v>5</v>
      </c>
      <c r="AA968" t="s">
        <v>37</v>
      </c>
      <c r="AB968" t="s">
        <v>38</v>
      </c>
      <c r="AC968" s="7">
        <v>0</v>
      </c>
      <c r="AD968" t="s">
        <v>39</v>
      </c>
      <c r="AE968">
        <f t="shared" si="15"/>
        <v>0</v>
      </c>
    </row>
    <row r="969" spans="1:31" x14ac:dyDescent="0.35">
      <c r="A969">
        <v>100968</v>
      </c>
      <c r="B969" s="3">
        <v>46014</v>
      </c>
      <c r="C969">
        <v>1136</v>
      </c>
      <c r="D969" t="s">
        <v>47</v>
      </c>
      <c r="E969" t="s">
        <v>74</v>
      </c>
      <c r="F969" t="s">
        <v>61</v>
      </c>
      <c r="G969" t="s">
        <v>63</v>
      </c>
      <c r="H969" t="s">
        <v>34</v>
      </c>
      <c r="I969" t="s">
        <v>42</v>
      </c>
      <c r="J969" s="4">
        <v>20.04</v>
      </c>
      <c r="K969" s="4">
        <v>12.16</v>
      </c>
      <c r="L969">
        <v>10</v>
      </c>
      <c r="M969" s="4">
        <v>24.37</v>
      </c>
      <c r="N969" s="4">
        <v>219.32</v>
      </c>
      <c r="O969" s="4">
        <v>148.72</v>
      </c>
      <c r="P969" s="4">
        <v>6.86</v>
      </c>
      <c r="Q969" s="4">
        <v>3.66</v>
      </c>
      <c r="R969" s="4">
        <v>11.89</v>
      </c>
      <c r="S969" s="4">
        <v>0</v>
      </c>
      <c r="T969" s="4">
        <v>0</v>
      </c>
      <c r="U969" s="4">
        <v>171.13</v>
      </c>
      <c r="V969" s="4">
        <v>48.19</v>
      </c>
      <c r="W969" t="s">
        <v>21</v>
      </c>
      <c r="X969" t="s">
        <v>36</v>
      </c>
      <c r="Y969" s="4">
        <v>32</v>
      </c>
      <c r="Z969" s="4">
        <v>15</v>
      </c>
      <c r="AA969" t="s">
        <v>43</v>
      </c>
      <c r="AB969" t="s">
        <v>44</v>
      </c>
      <c r="AC969" s="7">
        <v>2</v>
      </c>
      <c r="AD969" t="s">
        <v>45</v>
      </c>
      <c r="AE969">
        <f t="shared" si="15"/>
        <v>1</v>
      </c>
    </row>
    <row r="970" spans="1:31" x14ac:dyDescent="0.35">
      <c r="A970">
        <v>100969</v>
      </c>
      <c r="B970" s="3">
        <v>46014</v>
      </c>
      <c r="C970">
        <v>1123</v>
      </c>
      <c r="D970" t="s">
        <v>47</v>
      </c>
      <c r="E970" t="s">
        <v>74</v>
      </c>
      <c r="F970" t="s">
        <v>71</v>
      </c>
      <c r="G970" t="s">
        <v>46</v>
      </c>
      <c r="H970" t="s">
        <v>34</v>
      </c>
      <c r="I970" t="s">
        <v>42</v>
      </c>
      <c r="J970" s="4">
        <v>34.590000000000003</v>
      </c>
      <c r="K970" s="4">
        <v>16.54</v>
      </c>
      <c r="L970">
        <v>10</v>
      </c>
      <c r="M970" s="4">
        <v>57.21</v>
      </c>
      <c r="N970" s="4">
        <v>514.91</v>
      </c>
      <c r="O970" s="4">
        <v>229.26</v>
      </c>
      <c r="P970" s="4">
        <v>12.65</v>
      </c>
      <c r="Q970" s="4">
        <v>8.58</v>
      </c>
      <c r="R970" s="4">
        <v>8.6</v>
      </c>
      <c r="S970" s="4">
        <v>479.93</v>
      </c>
      <c r="T970" s="4">
        <v>0</v>
      </c>
      <c r="U970" s="4">
        <v>739.02</v>
      </c>
      <c r="V970" s="4">
        <v>-224.11</v>
      </c>
      <c r="W970" t="s">
        <v>58</v>
      </c>
      <c r="X970" t="s">
        <v>55</v>
      </c>
      <c r="Y970" s="4">
        <v>25</v>
      </c>
      <c r="Z970" s="4">
        <v>0</v>
      </c>
      <c r="AA970" t="s">
        <v>52</v>
      </c>
      <c r="AB970" t="s">
        <v>44</v>
      </c>
      <c r="AC970" s="7">
        <v>2</v>
      </c>
      <c r="AD970" t="s">
        <v>45</v>
      </c>
      <c r="AE970">
        <f t="shared" si="15"/>
        <v>1</v>
      </c>
    </row>
    <row r="971" spans="1:31" x14ac:dyDescent="0.35">
      <c r="A971">
        <v>100970</v>
      </c>
      <c r="B971" s="3">
        <v>45943</v>
      </c>
      <c r="C971">
        <v>1072</v>
      </c>
      <c r="D971" t="s">
        <v>47</v>
      </c>
      <c r="E971" t="s">
        <v>48</v>
      </c>
      <c r="F971" t="s">
        <v>71</v>
      </c>
      <c r="G971" t="s">
        <v>46</v>
      </c>
      <c r="H971" t="s">
        <v>34</v>
      </c>
      <c r="I971" t="s">
        <v>42</v>
      </c>
      <c r="J971" s="4">
        <v>35.340000000000003</v>
      </c>
      <c r="K971" s="4">
        <v>15.43</v>
      </c>
      <c r="L971">
        <v>0</v>
      </c>
      <c r="M971" s="4">
        <v>0</v>
      </c>
      <c r="N971" s="4">
        <v>545.29999999999995</v>
      </c>
      <c r="O971" s="4">
        <v>245.26</v>
      </c>
      <c r="P971" s="4">
        <v>5.38</v>
      </c>
      <c r="Q971" s="4">
        <v>8.18</v>
      </c>
      <c r="R971" s="4">
        <v>5.5</v>
      </c>
      <c r="S971" s="4">
        <v>0</v>
      </c>
      <c r="T971" s="4">
        <v>0</v>
      </c>
      <c r="U971" s="4">
        <v>264.32</v>
      </c>
      <c r="V971" s="4">
        <v>280.98</v>
      </c>
      <c r="W971" t="s">
        <v>21</v>
      </c>
      <c r="X971" t="s">
        <v>36</v>
      </c>
      <c r="Y971" s="4">
        <v>25</v>
      </c>
      <c r="Z971" s="4">
        <v>6</v>
      </c>
      <c r="AA971" t="s">
        <v>52</v>
      </c>
      <c r="AB971" t="s">
        <v>44</v>
      </c>
      <c r="AC971" s="7">
        <v>4</v>
      </c>
      <c r="AD971" t="s">
        <v>45</v>
      </c>
      <c r="AE971">
        <f t="shared" si="15"/>
        <v>1</v>
      </c>
    </row>
    <row r="972" spans="1:31" x14ac:dyDescent="0.35">
      <c r="A972">
        <v>100971</v>
      </c>
      <c r="B972" s="3">
        <v>45939</v>
      </c>
      <c r="C972">
        <v>1121</v>
      </c>
      <c r="D972" t="s">
        <v>30</v>
      </c>
      <c r="E972" t="s">
        <v>72</v>
      </c>
      <c r="F972" t="s">
        <v>61</v>
      </c>
      <c r="G972" t="s">
        <v>50</v>
      </c>
      <c r="H972" t="s">
        <v>34</v>
      </c>
      <c r="I972" t="s">
        <v>35</v>
      </c>
      <c r="J972" s="4">
        <v>36.130000000000003</v>
      </c>
      <c r="K972" s="4">
        <v>18.5</v>
      </c>
      <c r="L972">
        <v>5</v>
      </c>
      <c r="M972" s="4">
        <v>33.42</v>
      </c>
      <c r="N972" s="4">
        <v>634.99</v>
      </c>
      <c r="O972" s="4">
        <v>283.61</v>
      </c>
      <c r="P972" s="4">
        <v>6.98</v>
      </c>
      <c r="Q972" s="4">
        <v>4.68</v>
      </c>
      <c r="R972" s="4">
        <v>6.96</v>
      </c>
      <c r="S972" s="4">
        <v>0</v>
      </c>
      <c r="T972" s="4">
        <v>0</v>
      </c>
      <c r="U972" s="4">
        <v>302.23</v>
      </c>
      <c r="V972" s="4">
        <v>332.76</v>
      </c>
      <c r="W972" t="s">
        <v>21</v>
      </c>
      <c r="X972" t="s">
        <v>36</v>
      </c>
      <c r="Y972" s="4">
        <v>50</v>
      </c>
      <c r="Z972" s="4">
        <v>2</v>
      </c>
      <c r="AA972" t="s">
        <v>43</v>
      </c>
      <c r="AB972" t="s">
        <v>44</v>
      </c>
      <c r="AC972" s="7">
        <v>4</v>
      </c>
      <c r="AD972" t="s">
        <v>45</v>
      </c>
      <c r="AE972">
        <f t="shared" si="15"/>
        <v>1</v>
      </c>
    </row>
    <row r="973" spans="1:31" x14ac:dyDescent="0.35">
      <c r="A973">
        <v>100972</v>
      </c>
      <c r="B973" s="3">
        <v>45974</v>
      </c>
      <c r="C973">
        <v>1139</v>
      </c>
      <c r="D973" t="s">
        <v>59</v>
      </c>
      <c r="E973" t="s">
        <v>68</v>
      </c>
      <c r="F973" t="s">
        <v>49</v>
      </c>
      <c r="G973" t="s">
        <v>46</v>
      </c>
      <c r="H973" t="s">
        <v>34</v>
      </c>
      <c r="I973" t="s">
        <v>35</v>
      </c>
      <c r="J973" s="4">
        <v>31.37</v>
      </c>
      <c r="K973" s="4">
        <v>14.21</v>
      </c>
      <c r="L973">
        <v>0</v>
      </c>
      <c r="M973" s="4">
        <v>0</v>
      </c>
      <c r="N973" s="4">
        <v>445.77</v>
      </c>
      <c r="O973" s="4">
        <v>201.31</v>
      </c>
      <c r="P973" s="4">
        <v>13.49</v>
      </c>
      <c r="Q973" s="4">
        <v>3.12</v>
      </c>
      <c r="R973" s="4">
        <v>5.3</v>
      </c>
      <c r="S973" s="4">
        <v>189.22</v>
      </c>
      <c r="T973" s="4">
        <v>0</v>
      </c>
      <c r="U973" s="4">
        <v>412.44</v>
      </c>
      <c r="V973" s="4">
        <v>33.33</v>
      </c>
      <c r="W973" t="s">
        <v>21</v>
      </c>
      <c r="X973" t="s">
        <v>55</v>
      </c>
      <c r="Y973" s="4">
        <v>2</v>
      </c>
      <c r="Z973" s="4">
        <v>1</v>
      </c>
      <c r="AA973" t="s">
        <v>37</v>
      </c>
      <c r="AB973" t="s">
        <v>44</v>
      </c>
      <c r="AC973" s="7">
        <v>1</v>
      </c>
      <c r="AD973" t="s">
        <v>45</v>
      </c>
      <c r="AE973">
        <f t="shared" si="15"/>
        <v>1</v>
      </c>
    </row>
    <row r="974" spans="1:31" x14ac:dyDescent="0.35">
      <c r="A974">
        <v>100973</v>
      </c>
      <c r="B974" s="3">
        <v>46011</v>
      </c>
      <c r="C974">
        <v>1100</v>
      </c>
      <c r="D974" t="s">
        <v>64</v>
      </c>
      <c r="E974" t="s">
        <v>76</v>
      </c>
      <c r="F974" t="s">
        <v>61</v>
      </c>
      <c r="G974" t="s">
        <v>50</v>
      </c>
      <c r="H974" t="s">
        <v>34</v>
      </c>
      <c r="I974" t="s">
        <v>69</v>
      </c>
      <c r="J974" s="4">
        <v>40.85</v>
      </c>
      <c r="K974" s="4">
        <v>17.77</v>
      </c>
      <c r="L974">
        <v>5</v>
      </c>
      <c r="M974" s="4">
        <v>36.299999999999997</v>
      </c>
      <c r="N974" s="4">
        <v>689.6</v>
      </c>
      <c r="O974" s="4">
        <v>329.17</v>
      </c>
      <c r="P974" s="4">
        <v>13.34</v>
      </c>
      <c r="Q974" s="4">
        <v>2.9</v>
      </c>
      <c r="R974" s="4">
        <v>4.8600000000000003</v>
      </c>
      <c r="S974" s="4">
        <v>0</v>
      </c>
      <c r="T974" s="4">
        <v>0</v>
      </c>
      <c r="U974" s="4">
        <v>350.27</v>
      </c>
      <c r="V974" s="4">
        <v>339.33</v>
      </c>
      <c r="W974" t="s">
        <v>21</v>
      </c>
      <c r="X974" t="s">
        <v>36</v>
      </c>
      <c r="Y974" s="4">
        <v>6</v>
      </c>
      <c r="Z974" s="4">
        <v>1</v>
      </c>
      <c r="AA974" t="s">
        <v>37</v>
      </c>
      <c r="AB974" t="s">
        <v>38</v>
      </c>
      <c r="AC974" s="7">
        <v>0</v>
      </c>
      <c r="AD974" t="s">
        <v>39</v>
      </c>
      <c r="AE974">
        <f t="shared" si="15"/>
        <v>0</v>
      </c>
    </row>
    <row r="975" spans="1:31" x14ac:dyDescent="0.35">
      <c r="A975">
        <v>100974</v>
      </c>
      <c r="B975" s="3">
        <v>46006</v>
      </c>
      <c r="C975">
        <v>1104</v>
      </c>
      <c r="D975" t="s">
        <v>30</v>
      </c>
      <c r="E975" t="s">
        <v>62</v>
      </c>
      <c r="F975" t="s">
        <v>49</v>
      </c>
      <c r="G975" t="s">
        <v>46</v>
      </c>
      <c r="H975" t="s">
        <v>34</v>
      </c>
      <c r="I975" t="s">
        <v>42</v>
      </c>
      <c r="J975" s="4">
        <v>29.37</v>
      </c>
      <c r="K975" s="4">
        <v>15.64</v>
      </c>
      <c r="L975">
        <v>5</v>
      </c>
      <c r="M975" s="4">
        <v>22.97</v>
      </c>
      <c r="N975" s="4">
        <v>436.38</v>
      </c>
      <c r="O975" s="4">
        <v>240.65</v>
      </c>
      <c r="P975" s="4">
        <v>11.08</v>
      </c>
      <c r="Q975" s="4">
        <v>6.89</v>
      </c>
      <c r="R975" s="4">
        <v>13.76</v>
      </c>
      <c r="S975" s="4">
        <v>0</v>
      </c>
      <c r="T975" s="4">
        <v>0</v>
      </c>
      <c r="U975" s="4">
        <v>272.38</v>
      </c>
      <c r="V975" s="4">
        <v>164</v>
      </c>
      <c r="W975" t="s">
        <v>21</v>
      </c>
      <c r="X975" t="s">
        <v>36</v>
      </c>
      <c r="Y975" s="4">
        <v>11</v>
      </c>
      <c r="Z975" s="4">
        <v>9</v>
      </c>
      <c r="AA975" t="s">
        <v>37</v>
      </c>
      <c r="AB975" t="s">
        <v>38</v>
      </c>
      <c r="AC975" s="7">
        <v>0</v>
      </c>
      <c r="AD975" t="s">
        <v>39</v>
      </c>
      <c r="AE975">
        <f t="shared" si="15"/>
        <v>0</v>
      </c>
    </row>
    <row r="976" spans="1:31" x14ac:dyDescent="0.35">
      <c r="A976">
        <v>100975</v>
      </c>
      <c r="B976" s="3">
        <v>45987</v>
      </c>
      <c r="C976">
        <v>1143</v>
      </c>
      <c r="D976" t="s">
        <v>59</v>
      </c>
      <c r="E976" t="s">
        <v>60</v>
      </c>
      <c r="F976" t="s">
        <v>32</v>
      </c>
      <c r="G976" t="s">
        <v>33</v>
      </c>
      <c r="H976" t="s">
        <v>34</v>
      </c>
      <c r="I976" t="s">
        <v>42</v>
      </c>
      <c r="J976" s="4">
        <v>30.69</v>
      </c>
      <c r="K976" s="4">
        <v>18.420000000000002</v>
      </c>
      <c r="L976">
        <v>0</v>
      </c>
      <c r="M976" s="4">
        <v>0</v>
      </c>
      <c r="N976" s="4">
        <v>565.30999999999995</v>
      </c>
      <c r="O976" s="4">
        <v>201.92</v>
      </c>
      <c r="P976" s="4">
        <v>10.95</v>
      </c>
      <c r="Q976" s="4">
        <v>8.48</v>
      </c>
      <c r="R976" s="4">
        <v>5.56</v>
      </c>
      <c r="S976" s="4">
        <v>459.33</v>
      </c>
      <c r="T976" s="4">
        <v>0</v>
      </c>
      <c r="U976" s="4">
        <v>686.24</v>
      </c>
      <c r="V976" s="4">
        <v>-120.93</v>
      </c>
      <c r="W976" t="s">
        <v>58</v>
      </c>
      <c r="X976" t="s">
        <v>66</v>
      </c>
      <c r="Y976" s="4">
        <v>6</v>
      </c>
      <c r="Z976" s="4">
        <v>7</v>
      </c>
      <c r="AA976" t="s">
        <v>37</v>
      </c>
      <c r="AB976" t="s">
        <v>38</v>
      </c>
      <c r="AC976" s="7">
        <v>2</v>
      </c>
      <c r="AD976" t="s">
        <v>45</v>
      </c>
      <c r="AE976">
        <f t="shared" si="15"/>
        <v>0</v>
      </c>
    </row>
    <row r="977" spans="1:31" x14ac:dyDescent="0.35">
      <c r="A977">
        <v>100976</v>
      </c>
      <c r="B977" s="3">
        <v>45973</v>
      </c>
      <c r="C977">
        <v>1039</v>
      </c>
      <c r="D977" t="s">
        <v>30</v>
      </c>
      <c r="E977" t="s">
        <v>72</v>
      </c>
      <c r="F977" t="s">
        <v>71</v>
      </c>
      <c r="G977" t="s">
        <v>63</v>
      </c>
      <c r="H977" t="s">
        <v>34</v>
      </c>
      <c r="I977" t="s">
        <v>54</v>
      </c>
      <c r="J977" s="4">
        <v>10.16</v>
      </c>
      <c r="K977" s="4">
        <v>12.12</v>
      </c>
      <c r="L977">
        <v>5</v>
      </c>
      <c r="M977" s="4">
        <v>6.16</v>
      </c>
      <c r="N977" s="4">
        <v>116.98</v>
      </c>
      <c r="O977" s="4">
        <v>75.680000000000007</v>
      </c>
      <c r="P977" s="4">
        <v>4.46</v>
      </c>
      <c r="Q977" s="4">
        <v>1.48</v>
      </c>
      <c r="R977" s="4">
        <v>8.6199999999999992</v>
      </c>
      <c r="S977" s="4">
        <v>0</v>
      </c>
      <c r="T977" s="4">
        <v>0</v>
      </c>
      <c r="U977" s="4">
        <v>90.24</v>
      </c>
      <c r="V977" s="4">
        <v>26.74</v>
      </c>
      <c r="W977" t="s">
        <v>21</v>
      </c>
      <c r="X977" t="s">
        <v>36</v>
      </c>
      <c r="Y977" s="4">
        <v>11</v>
      </c>
      <c r="Z977" s="4">
        <v>1</v>
      </c>
      <c r="AA977" t="s">
        <v>37</v>
      </c>
      <c r="AB977" t="s">
        <v>38</v>
      </c>
      <c r="AC977" s="7">
        <v>0</v>
      </c>
      <c r="AD977" t="s">
        <v>39</v>
      </c>
      <c r="AE977">
        <f t="shared" si="15"/>
        <v>0</v>
      </c>
    </row>
    <row r="978" spans="1:31" x14ac:dyDescent="0.35">
      <c r="A978">
        <v>100977</v>
      </c>
      <c r="B978" s="3">
        <v>45945</v>
      </c>
      <c r="C978">
        <v>1023</v>
      </c>
      <c r="D978" t="s">
        <v>59</v>
      </c>
      <c r="E978" t="s">
        <v>68</v>
      </c>
      <c r="F978" t="s">
        <v>71</v>
      </c>
      <c r="G978" t="s">
        <v>50</v>
      </c>
      <c r="H978" t="s">
        <v>34</v>
      </c>
      <c r="I978" t="s">
        <v>35</v>
      </c>
      <c r="J978" s="4">
        <v>29.72</v>
      </c>
      <c r="K978" s="4">
        <v>18.22</v>
      </c>
      <c r="L978">
        <v>0</v>
      </c>
      <c r="M978" s="4">
        <v>0</v>
      </c>
      <c r="N978" s="4">
        <v>541.5</v>
      </c>
      <c r="O978" s="4">
        <v>192.22</v>
      </c>
      <c r="P978" s="4">
        <v>4.9800000000000004</v>
      </c>
      <c r="Q978" s="4">
        <v>3.79</v>
      </c>
      <c r="R978" s="4">
        <v>3.12</v>
      </c>
      <c r="S978" s="4">
        <v>0</v>
      </c>
      <c r="T978" s="4">
        <v>0</v>
      </c>
      <c r="U978" s="4">
        <v>204.11</v>
      </c>
      <c r="V978" s="4">
        <v>337.39</v>
      </c>
      <c r="W978" t="s">
        <v>21</v>
      </c>
      <c r="X978" t="s">
        <v>36</v>
      </c>
      <c r="Y978" s="4">
        <v>8</v>
      </c>
      <c r="Z978" s="4">
        <v>0</v>
      </c>
      <c r="AA978" t="s">
        <v>37</v>
      </c>
      <c r="AB978" t="s">
        <v>38</v>
      </c>
      <c r="AC978" s="7">
        <v>0</v>
      </c>
      <c r="AD978" t="s">
        <v>39</v>
      </c>
      <c r="AE978">
        <f t="shared" si="15"/>
        <v>0</v>
      </c>
    </row>
    <row r="979" spans="1:31" x14ac:dyDescent="0.35">
      <c r="A979">
        <v>100978</v>
      </c>
      <c r="B979" s="3">
        <v>45953</v>
      </c>
      <c r="C979">
        <v>1109</v>
      </c>
      <c r="D979" t="s">
        <v>59</v>
      </c>
      <c r="E979" t="s">
        <v>60</v>
      </c>
      <c r="F979" t="s">
        <v>61</v>
      </c>
      <c r="G979" t="s">
        <v>33</v>
      </c>
      <c r="H979" t="s">
        <v>34</v>
      </c>
      <c r="I979" t="s">
        <v>35</v>
      </c>
      <c r="J979" s="4">
        <v>35.97</v>
      </c>
      <c r="K979" s="4">
        <v>18.09</v>
      </c>
      <c r="L979">
        <v>10</v>
      </c>
      <c r="M979" s="4">
        <v>65.069999999999993</v>
      </c>
      <c r="N979" s="4">
        <v>585.63</v>
      </c>
      <c r="O979" s="4">
        <v>217.07</v>
      </c>
      <c r="P979" s="4">
        <v>8.33</v>
      </c>
      <c r="Q979" s="4">
        <v>4.55</v>
      </c>
      <c r="R979" s="4">
        <v>9.32</v>
      </c>
      <c r="S979" s="4">
        <v>0</v>
      </c>
      <c r="T979" s="4">
        <v>0</v>
      </c>
      <c r="U979" s="4">
        <v>239.27</v>
      </c>
      <c r="V979" s="4">
        <v>346.36</v>
      </c>
      <c r="W979" t="s">
        <v>21</v>
      </c>
      <c r="X979" t="s">
        <v>36</v>
      </c>
      <c r="Y979" s="4">
        <v>7</v>
      </c>
      <c r="Z979" s="4">
        <v>7</v>
      </c>
      <c r="AA979" t="s">
        <v>37</v>
      </c>
      <c r="AB979" t="s">
        <v>38</v>
      </c>
      <c r="AC979" s="7">
        <v>0</v>
      </c>
      <c r="AD979" t="s">
        <v>39</v>
      </c>
      <c r="AE979">
        <f t="shared" si="15"/>
        <v>0</v>
      </c>
    </row>
    <row r="980" spans="1:31" x14ac:dyDescent="0.35">
      <c r="A980">
        <v>100979</v>
      </c>
      <c r="B980" s="3">
        <v>45967</v>
      </c>
      <c r="C980">
        <v>1100</v>
      </c>
      <c r="D980" t="s">
        <v>30</v>
      </c>
      <c r="E980" t="s">
        <v>40</v>
      </c>
      <c r="F980" t="s">
        <v>71</v>
      </c>
      <c r="G980" t="s">
        <v>46</v>
      </c>
      <c r="H980" t="s">
        <v>57</v>
      </c>
      <c r="I980" t="s">
        <v>69</v>
      </c>
      <c r="J980" s="4">
        <v>28.3</v>
      </c>
      <c r="K980" s="4">
        <v>15.77</v>
      </c>
      <c r="L980">
        <v>0</v>
      </c>
      <c r="M980" s="4">
        <v>0</v>
      </c>
      <c r="N980" s="4">
        <v>446.29</v>
      </c>
      <c r="O980" s="4">
        <v>204.94</v>
      </c>
      <c r="P980" s="4">
        <v>12.61</v>
      </c>
      <c r="Q980" s="4">
        <v>1.79</v>
      </c>
      <c r="R980" s="4">
        <v>3.76</v>
      </c>
      <c r="S980" s="4">
        <v>0</v>
      </c>
      <c r="T980" s="4">
        <v>0</v>
      </c>
      <c r="U980" s="4">
        <v>223.1</v>
      </c>
      <c r="V980" s="4">
        <v>223.19</v>
      </c>
      <c r="W980" t="s">
        <v>21</v>
      </c>
      <c r="X980" t="s">
        <v>36</v>
      </c>
      <c r="Y980" s="4">
        <v>6</v>
      </c>
      <c r="Z980" s="4">
        <v>17</v>
      </c>
      <c r="AA980" t="s">
        <v>37</v>
      </c>
      <c r="AB980" t="s">
        <v>44</v>
      </c>
      <c r="AC980" s="7">
        <v>2</v>
      </c>
      <c r="AD980" t="s">
        <v>45</v>
      </c>
      <c r="AE980">
        <f t="shared" si="15"/>
        <v>1</v>
      </c>
    </row>
    <row r="981" spans="1:31" x14ac:dyDescent="0.35">
      <c r="A981">
        <v>100980</v>
      </c>
      <c r="B981" s="3">
        <v>46012</v>
      </c>
      <c r="C981">
        <v>1024</v>
      </c>
      <c r="D981" t="s">
        <v>59</v>
      </c>
      <c r="E981" t="s">
        <v>60</v>
      </c>
      <c r="F981" t="s">
        <v>61</v>
      </c>
      <c r="G981" t="s">
        <v>33</v>
      </c>
      <c r="H981" t="s">
        <v>34</v>
      </c>
      <c r="I981" t="s">
        <v>35</v>
      </c>
      <c r="J981" s="4">
        <v>37.6</v>
      </c>
      <c r="K981" s="4">
        <v>19.28</v>
      </c>
      <c r="L981">
        <v>10</v>
      </c>
      <c r="M981" s="4">
        <v>72.489999999999995</v>
      </c>
      <c r="N981" s="4">
        <v>652.44000000000005</v>
      </c>
      <c r="O981" s="4">
        <v>302.70999999999998</v>
      </c>
      <c r="P981" s="4">
        <v>5.01</v>
      </c>
      <c r="Q981" s="4">
        <v>5.07</v>
      </c>
      <c r="R981" s="4">
        <v>14.83</v>
      </c>
      <c r="S981" s="4">
        <v>0</v>
      </c>
      <c r="T981" s="4">
        <v>0</v>
      </c>
      <c r="U981" s="4">
        <v>327.62</v>
      </c>
      <c r="V981" s="4">
        <v>324.82</v>
      </c>
      <c r="W981" t="s">
        <v>21</v>
      </c>
      <c r="X981" t="s">
        <v>36</v>
      </c>
      <c r="Y981" s="4">
        <v>10</v>
      </c>
      <c r="Z981" s="4">
        <v>25</v>
      </c>
      <c r="AA981" t="s">
        <v>37</v>
      </c>
      <c r="AB981" t="s">
        <v>44</v>
      </c>
      <c r="AC981" s="7">
        <v>1</v>
      </c>
      <c r="AD981" t="s">
        <v>45</v>
      </c>
      <c r="AE981">
        <f t="shared" si="15"/>
        <v>1</v>
      </c>
    </row>
    <row r="982" spans="1:31" x14ac:dyDescent="0.35">
      <c r="A982">
        <v>100981</v>
      </c>
      <c r="B982" s="3">
        <v>46002</v>
      </c>
      <c r="C982">
        <v>1006</v>
      </c>
      <c r="D982" t="s">
        <v>47</v>
      </c>
      <c r="E982" t="s">
        <v>74</v>
      </c>
      <c r="F982" t="s">
        <v>71</v>
      </c>
      <c r="G982" t="s">
        <v>33</v>
      </c>
      <c r="H982" t="s">
        <v>57</v>
      </c>
      <c r="I982" t="s">
        <v>35</v>
      </c>
      <c r="J982" s="4">
        <v>33.82</v>
      </c>
      <c r="K982" s="4">
        <v>18.899999999999999</v>
      </c>
      <c r="L982">
        <v>0</v>
      </c>
      <c r="M982" s="4">
        <v>0</v>
      </c>
      <c r="N982" s="4">
        <v>639.20000000000005</v>
      </c>
      <c r="O982" s="4">
        <v>216.28</v>
      </c>
      <c r="P982" s="4">
        <v>11.18</v>
      </c>
      <c r="Q982" s="4">
        <v>4.47</v>
      </c>
      <c r="R982" s="4">
        <v>2.97</v>
      </c>
      <c r="S982" s="4">
        <v>561.98</v>
      </c>
      <c r="T982" s="4">
        <v>5.26</v>
      </c>
      <c r="U982" s="4">
        <v>802.14</v>
      </c>
      <c r="V982" s="4">
        <v>-162.94</v>
      </c>
      <c r="W982" t="s">
        <v>58</v>
      </c>
      <c r="X982" t="s">
        <v>66</v>
      </c>
      <c r="Y982" s="4">
        <v>4</v>
      </c>
      <c r="Z982" s="4">
        <v>6</v>
      </c>
      <c r="AA982" t="s">
        <v>37</v>
      </c>
      <c r="AB982" t="s">
        <v>38</v>
      </c>
      <c r="AC982" s="7">
        <v>1</v>
      </c>
      <c r="AD982" t="s">
        <v>45</v>
      </c>
      <c r="AE982">
        <f t="shared" si="15"/>
        <v>0</v>
      </c>
    </row>
    <row r="983" spans="1:31" x14ac:dyDescent="0.35">
      <c r="A983">
        <v>100982</v>
      </c>
      <c r="B983" s="3">
        <v>46004</v>
      </c>
      <c r="C983">
        <v>1086</v>
      </c>
      <c r="D983" t="s">
        <v>30</v>
      </c>
      <c r="E983" t="s">
        <v>40</v>
      </c>
      <c r="F983" t="s">
        <v>41</v>
      </c>
      <c r="G983" t="s">
        <v>63</v>
      </c>
      <c r="H983" t="s">
        <v>34</v>
      </c>
      <c r="I983" t="s">
        <v>69</v>
      </c>
      <c r="J983" s="4">
        <v>11.65</v>
      </c>
      <c r="K983" s="4">
        <v>12.23</v>
      </c>
      <c r="L983">
        <v>10</v>
      </c>
      <c r="M983" s="4">
        <v>14.25</v>
      </c>
      <c r="N983" s="4">
        <v>128.22999999999999</v>
      </c>
      <c r="O983" s="4">
        <v>80.55</v>
      </c>
      <c r="P983" s="4">
        <v>11.5</v>
      </c>
      <c r="Q983" s="4">
        <v>0.56999999999999995</v>
      </c>
      <c r="R983" s="4">
        <v>6.25</v>
      </c>
      <c r="S983" s="4">
        <v>0</v>
      </c>
      <c r="T983" s="4">
        <v>0</v>
      </c>
      <c r="U983" s="4">
        <v>98.87</v>
      </c>
      <c r="V983" s="4">
        <v>29.36</v>
      </c>
      <c r="W983" t="s">
        <v>21</v>
      </c>
      <c r="X983" t="s">
        <v>36</v>
      </c>
      <c r="Y983" s="4">
        <v>6</v>
      </c>
      <c r="Z983" s="4">
        <v>1</v>
      </c>
      <c r="AA983" t="s">
        <v>37</v>
      </c>
      <c r="AB983" t="s">
        <v>38</v>
      </c>
      <c r="AC983" s="7">
        <v>0</v>
      </c>
      <c r="AD983" t="s">
        <v>39</v>
      </c>
      <c r="AE983">
        <f t="shared" si="15"/>
        <v>0</v>
      </c>
    </row>
    <row r="984" spans="1:31" x14ac:dyDescent="0.35">
      <c r="A984">
        <v>100983</v>
      </c>
      <c r="B984" s="3">
        <v>46007</v>
      </c>
      <c r="C984">
        <v>1141</v>
      </c>
      <c r="D984" t="s">
        <v>59</v>
      </c>
      <c r="E984" t="s">
        <v>60</v>
      </c>
      <c r="F984" t="s">
        <v>61</v>
      </c>
      <c r="G984" t="s">
        <v>46</v>
      </c>
      <c r="H984" t="s">
        <v>34</v>
      </c>
      <c r="I984" t="s">
        <v>69</v>
      </c>
      <c r="J984" s="4">
        <v>23.83</v>
      </c>
      <c r="K984" s="4">
        <v>15.5</v>
      </c>
      <c r="L984">
        <v>0</v>
      </c>
      <c r="M984" s="4">
        <v>0</v>
      </c>
      <c r="N984" s="4">
        <v>369.36</v>
      </c>
      <c r="O984" s="4">
        <v>134.44</v>
      </c>
      <c r="P984" s="4">
        <v>5.13</v>
      </c>
      <c r="Q984" s="4">
        <v>1.48</v>
      </c>
      <c r="R984" s="4">
        <v>4.04</v>
      </c>
      <c r="S984" s="4">
        <v>0</v>
      </c>
      <c r="T984" s="4">
        <v>0</v>
      </c>
      <c r="U984" s="4">
        <v>145.09</v>
      </c>
      <c r="V984" s="4">
        <v>224.27</v>
      </c>
      <c r="W984" t="s">
        <v>21</v>
      </c>
      <c r="X984" t="s">
        <v>36</v>
      </c>
      <c r="Y984" s="4">
        <v>28</v>
      </c>
      <c r="Z984" s="4">
        <v>0</v>
      </c>
      <c r="AA984" t="s">
        <v>52</v>
      </c>
      <c r="AB984" t="s">
        <v>44</v>
      </c>
      <c r="AC984" s="7">
        <v>1</v>
      </c>
      <c r="AD984" t="s">
        <v>45</v>
      </c>
      <c r="AE984">
        <f t="shared" si="15"/>
        <v>1</v>
      </c>
    </row>
    <row r="985" spans="1:31" x14ac:dyDescent="0.35">
      <c r="A985">
        <v>100984</v>
      </c>
      <c r="B985" s="3">
        <v>46006</v>
      </c>
      <c r="C985">
        <v>1004</v>
      </c>
      <c r="D985" t="s">
        <v>47</v>
      </c>
      <c r="E985" t="s">
        <v>53</v>
      </c>
      <c r="F985" t="s">
        <v>61</v>
      </c>
      <c r="G985" t="s">
        <v>50</v>
      </c>
      <c r="H985" t="s">
        <v>34</v>
      </c>
      <c r="I985" t="s">
        <v>35</v>
      </c>
      <c r="J985" s="4">
        <v>34.46</v>
      </c>
      <c r="K985" s="4">
        <v>17.53</v>
      </c>
      <c r="L985">
        <v>15</v>
      </c>
      <c r="M985" s="4">
        <v>90.61</v>
      </c>
      <c r="N985" s="4">
        <v>513.47</v>
      </c>
      <c r="O985" s="4">
        <v>215.71</v>
      </c>
      <c r="P985" s="4">
        <v>15.31</v>
      </c>
      <c r="Q985" s="4">
        <v>4.2300000000000004</v>
      </c>
      <c r="R985" s="4">
        <v>9.26</v>
      </c>
      <c r="S985" s="4">
        <v>0</v>
      </c>
      <c r="T985" s="4">
        <v>0</v>
      </c>
      <c r="U985" s="4">
        <v>244.51</v>
      </c>
      <c r="V985" s="4">
        <v>268.95999999999998</v>
      </c>
      <c r="W985" t="s">
        <v>21</v>
      </c>
      <c r="X985" t="s">
        <v>36</v>
      </c>
      <c r="Y985" s="4">
        <v>35</v>
      </c>
      <c r="Z985" s="4">
        <v>7</v>
      </c>
      <c r="AA985" t="s">
        <v>43</v>
      </c>
      <c r="AB985" t="s">
        <v>44</v>
      </c>
      <c r="AC985" s="7">
        <v>2</v>
      </c>
      <c r="AD985" t="s">
        <v>45</v>
      </c>
      <c r="AE985">
        <f t="shared" si="15"/>
        <v>1</v>
      </c>
    </row>
    <row r="986" spans="1:31" x14ac:dyDescent="0.35">
      <c r="A986">
        <v>100985</v>
      </c>
      <c r="B986" s="3">
        <v>46005</v>
      </c>
      <c r="C986">
        <v>1082</v>
      </c>
      <c r="D986" t="s">
        <v>47</v>
      </c>
      <c r="E986" t="s">
        <v>53</v>
      </c>
      <c r="F986" t="s">
        <v>41</v>
      </c>
      <c r="G986" t="s">
        <v>46</v>
      </c>
      <c r="H986" t="s">
        <v>57</v>
      </c>
      <c r="I986" t="s">
        <v>35</v>
      </c>
      <c r="J986" s="4">
        <v>32.909999999999997</v>
      </c>
      <c r="K986" s="4">
        <v>17.21</v>
      </c>
      <c r="L986">
        <v>0</v>
      </c>
      <c r="M986" s="4">
        <v>0</v>
      </c>
      <c r="N986" s="4">
        <v>566.38</v>
      </c>
      <c r="O986" s="4">
        <v>203.29</v>
      </c>
      <c r="P986" s="4">
        <v>6.26</v>
      </c>
      <c r="Q986" s="4">
        <v>3.96</v>
      </c>
      <c r="R986" s="4">
        <v>4.3099999999999996</v>
      </c>
      <c r="S986" s="4">
        <v>0</v>
      </c>
      <c r="T986" s="4">
        <v>0</v>
      </c>
      <c r="U986" s="4">
        <v>217.82</v>
      </c>
      <c r="V986" s="4">
        <v>348.56</v>
      </c>
      <c r="W986" t="s">
        <v>21</v>
      </c>
      <c r="X986" t="s">
        <v>36</v>
      </c>
      <c r="Y986" s="4">
        <v>4</v>
      </c>
      <c r="Z986" s="4">
        <v>3</v>
      </c>
      <c r="AA986" t="s">
        <v>37</v>
      </c>
      <c r="AB986" t="s">
        <v>38</v>
      </c>
      <c r="AC986" s="7">
        <v>0</v>
      </c>
      <c r="AD986" t="s">
        <v>39</v>
      </c>
      <c r="AE986">
        <f t="shared" si="15"/>
        <v>0</v>
      </c>
    </row>
    <row r="987" spans="1:31" x14ac:dyDescent="0.35">
      <c r="A987">
        <v>100986</v>
      </c>
      <c r="B987" s="3">
        <v>45945</v>
      </c>
      <c r="C987">
        <v>1039</v>
      </c>
      <c r="D987" t="s">
        <v>47</v>
      </c>
      <c r="E987" t="s">
        <v>74</v>
      </c>
      <c r="F987" t="s">
        <v>41</v>
      </c>
      <c r="G987" t="s">
        <v>33</v>
      </c>
      <c r="H987" t="s">
        <v>34</v>
      </c>
      <c r="I987" t="s">
        <v>35</v>
      </c>
      <c r="J987" s="4">
        <v>42.49</v>
      </c>
      <c r="K987" s="4">
        <v>18.95</v>
      </c>
      <c r="L987">
        <v>0</v>
      </c>
      <c r="M987" s="4">
        <v>0</v>
      </c>
      <c r="N987" s="4">
        <v>805.19</v>
      </c>
      <c r="O987" s="4">
        <v>324.8</v>
      </c>
      <c r="P987" s="4">
        <v>8.57</v>
      </c>
      <c r="Q987" s="4">
        <v>5.64</v>
      </c>
      <c r="R987" s="4">
        <v>2.87</v>
      </c>
      <c r="S987" s="4">
        <v>0</v>
      </c>
      <c r="T987" s="4">
        <v>0</v>
      </c>
      <c r="U987" s="4">
        <v>341.88</v>
      </c>
      <c r="V987" s="4">
        <v>463.31</v>
      </c>
      <c r="W987" t="s">
        <v>21</v>
      </c>
      <c r="X987" t="s">
        <v>36</v>
      </c>
      <c r="Y987" s="4">
        <v>9</v>
      </c>
      <c r="Z987" s="4">
        <v>9</v>
      </c>
      <c r="AA987" t="s">
        <v>37</v>
      </c>
      <c r="AB987" t="s">
        <v>38</v>
      </c>
      <c r="AC987" s="7">
        <v>0</v>
      </c>
      <c r="AD987" t="s">
        <v>39</v>
      </c>
      <c r="AE987">
        <f t="shared" si="15"/>
        <v>0</v>
      </c>
    </row>
    <row r="988" spans="1:31" x14ac:dyDescent="0.35">
      <c r="A988">
        <v>100987</v>
      </c>
      <c r="B988" s="3">
        <v>45955</v>
      </c>
      <c r="C988">
        <v>1015</v>
      </c>
      <c r="D988" t="s">
        <v>59</v>
      </c>
      <c r="E988" t="s">
        <v>73</v>
      </c>
      <c r="F988" t="s">
        <v>49</v>
      </c>
      <c r="G988" t="s">
        <v>50</v>
      </c>
      <c r="H988" t="s">
        <v>34</v>
      </c>
      <c r="I988" t="s">
        <v>35</v>
      </c>
      <c r="J988" s="4">
        <v>24.56</v>
      </c>
      <c r="K988" s="4">
        <v>17.62</v>
      </c>
      <c r="L988">
        <v>15</v>
      </c>
      <c r="M988" s="4">
        <v>64.91</v>
      </c>
      <c r="N988" s="4">
        <v>367.84</v>
      </c>
      <c r="O988" s="4">
        <v>159.13</v>
      </c>
      <c r="P988" s="4">
        <v>10.41</v>
      </c>
      <c r="Q988" s="4">
        <v>3.03</v>
      </c>
      <c r="R988" s="4">
        <v>5.79</v>
      </c>
      <c r="S988" s="4">
        <v>0</v>
      </c>
      <c r="T988" s="4">
        <v>0</v>
      </c>
      <c r="U988" s="4">
        <v>178.36</v>
      </c>
      <c r="V988" s="4">
        <v>189.48</v>
      </c>
      <c r="W988" t="s">
        <v>21</v>
      </c>
      <c r="X988" t="s">
        <v>36</v>
      </c>
      <c r="Y988" s="4">
        <v>13</v>
      </c>
      <c r="Z988" s="4">
        <v>12</v>
      </c>
      <c r="AA988" t="s">
        <v>37</v>
      </c>
      <c r="AB988" t="s">
        <v>38</v>
      </c>
      <c r="AC988" s="7">
        <v>0</v>
      </c>
      <c r="AD988" t="s">
        <v>39</v>
      </c>
      <c r="AE988">
        <f t="shared" si="15"/>
        <v>0</v>
      </c>
    </row>
    <row r="989" spans="1:31" x14ac:dyDescent="0.35">
      <c r="A989">
        <v>100988</v>
      </c>
      <c r="B989" s="3">
        <v>45972</v>
      </c>
      <c r="C989">
        <v>1121</v>
      </c>
      <c r="D989" t="s">
        <v>30</v>
      </c>
      <c r="E989" t="s">
        <v>31</v>
      </c>
      <c r="F989" t="s">
        <v>49</v>
      </c>
      <c r="G989" t="s">
        <v>50</v>
      </c>
      <c r="H989" t="s">
        <v>57</v>
      </c>
      <c r="I989" t="s">
        <v>54</v>
      </c>
      <c r="J989" s="4">
        <v>31.51</v>
      </c>
      <c r="K989" s="4">
        <v>17.12</v>
      </c>
      <c r="L989">
        <v>0</v>
      </c>
      <c r="M989" s="4">
        <v>0</v>
      </c>
      <c r="N989" s="4">
        <v>539.45000000000005</v>
      </c>
      <c r="O989" s="4">
        <v>216.96</v>
      </c>
      <c r="P989" s="4">
        <v>5.05</v>
      </c>
      <c r="Q989" s="4">
        <v>6.47</v>
      </c>
      <c r="R989" s="4">
        <v>7.07</v>
      </c>
      <c r="S989" s="4">
        <v>0</v>
      </c>
      <c r="T989" s="4">
        <v>0</v>
      </c>
      <c r="U989" s="4">
        <v>235.55</v>
      </c>
      <c r="V989" s="4">
        <v>303.89999999999998</v>
      </c>
      <c r="W989" t="s">
        <v>21</v>
      </c>
      <c r="X989" t="s">
        <v>36</v>
      </c>
      <c r="Y989" s="4">
        <v>5</v>
      </c>
      <c r="Z989" s="4">
        <v>7</v>
      </c>
      <c r="AA989" t="s">
        <v>37</v>
      </c>
      <c r="AB989" t="s">
        <v>38</v>
      </c>
      <c r="AC989" s="7">
        <v>0</v>
      </c>
      <c r="AD989" t="s">
        <v>39</v>
      </c>
      <c r="AE989">
        <f t="shared" si="15"/>
        <v>0</v>
      </c>
    </row>
    <row r="990" spans="1:31" x14ac:dyDescent="0.35">
      <c r="A990">
        <v>100989</v>
      </c>
      <c r="B990" s="3">
        <v>46002</v>
      </c>
      <c r="C990">
        <v>1028</v>
      </c>
      <c r="D990" t="s">
        <v>64</v>
      </c>
      <c r="E990" t="s">
        <v>67</v>
      </c>
      <c r="F990" t="s">
        <v>32</v>
      </c>
      <c r="G990" t="s">
        <v>50</v>
      </c>
      <c r="H990" t="s">
        <v>57</v>
      </c>
      <c r="I990" t="s">
        <v>35</v>
      </c>
      <c r="J990" s="4">
        <v>26.36</v>
      </c>
      <c r="K990" s="4">
        <v>17.399999999999999</v>
      </c>
      <c r="L990">
        <v>0</v>
      </c>
      <c r="M990" s="4">
        <v>0</v>
      </c>
      <c r="N990" s="4">
        <v>458.66</v>
      </c>
      <c r="O990" s="4">
        <v>223.16</v>
      </c>
      <c r="P990" s="4">
        <v>1</v>
      </c>
      <c r="Q990" s="4">
        <v>3.21</v>
      </c>
      <c r="R990" s="4">
        <v>5.99</v>
      </c>
      <c r="S990" s="4">
        <v>330.33</v>
      </c>
      <c r="T990" s="4">
        <v>13.82</v>
      </c>
      <c r="U990" s="4">
        <v>577.51</v>
      </c>
      <c r="V990" s="4">
        <v>-118.85</v>
      </c>
      <c r="W990" t="s">
        <v>58</v>
      </c>
      <c r="X990" t="s">
        <v>55</v>
      </c>
      <c r="Y990" s="4">
        <v>2</v>
      </c>
      <c r="Z990" s="4">
        <v>11</v>
      </c>
      <c r="AA990" t="s">
        <v>37</v>
      </c>
      <c r="AB990" t="s">
        <v>44</v>
      </c>
      <c r="AC990" s="7">
        <v>1</v>
      </c>
      <c r="AD990" t="s">
        <v>45</v>
      </c>
      <c r="AE990">
        <f t="shared" si="15"/>
        <v>1</v>
      </c>
    </row>
    <row r="991" spans="1:31" x14ac:dyDescent="0.35">
      <c r="A991">
        <v>100990</v>
      </c>
      <c r="B991" s="3">
        <v>45955</v>
      </c>
      <c r="C991">
        <v>1026</v>
      </c>
      <c r="D991" t="s">
        <v>30</v>
      </c>
      <c r="E991" t="s">
        <v>31</v>
      </c>
      <c r="F991" t="s">
        <v>71</v>
      </c>
      <c r="G991" t="s">
        <v>50</v>
      </c>
      <c r="H991" t="s">
        <v>34</v>
      </c>
      <c r="I991" t="s">
        <v>35</v>
      </c>
      <c r="J991" s="4">
        <v>31.89</v>
      </c>
      <c r="K991" s="4">
        <v>17.52</v>
      </c>
      <c r="L991">
        <v>0</v>
      </c>
      <c r="M991" s="4">
        <v>0</v>
      </c>
      <c r="N991" s="4">
        <v>558.71</v>
      </c>
      <c r="O991" s="4">
        <v>214.34</v>
      </c>
      <c r="P991" s="4">
        <v>5.99</v>
      </c>
      <c r="Q991" s="4">
        <v>3.91</v>
      </c>
      <c r="R991" s="4">
        <v>1.36</v>
      </c>
      <c r="S991" s="4">
        <v>0</v>
      </c>
      <c r="T991" s="4">
        <v>0</v>
      </c>
      <c r="U991" s="4">
        <v>225.6</v>
      </c>
      <c r="V991" s="4">
        <v>333.11</v>
      </c>
      <c r="W991" t="s">
        <v>21</v>
      </c>
      <c r="X991" t="s">
        <v>36</v>
      </c>
      <c r="Y991" s="4">
        <v>15</v>
      </c>
      <c r="Z991" s="4">
        <v>2</v>
      </c>
      <c r="AA991" t="s">
        <v>37</v>
      </c>
      <c r="AB991" t="s">
        <v>38</v>
      </c>
      <c r="AC991" s="7">
        <v>0</v>
      </c>
      <c r="AD991" t="s">
        <v>39</v>
      </c>
      <c r="AE991">
        <f t="shared" si="15"/>
        <v>0</v>
      </c>
    </row>
    <row r="992" spans="1:31" x14ac:dyDescent="0.35">
      <c r="A992">
        <v>100991</v>
      </c>
      <c r="B992" s="3">
        <v>45993</v>
      </c>
      <c r="C992">
        <v>1076</v>
      </c>
      <c r="D992" t="s">
        <v>30</v>
      </c>
      <c r="E992" t="s">
        <v>31</v>
      </c>
      <c r="F992" t="s">
        <v>49</v>
      </c>
      <c r="G992" t="s">
        <v>50</v>
      </c>
      <c r="H992" t="s">
        <v>34</v>
      </c>
      <c r="I992" t="s">
        <v>35</v>
      </c>
      <c r="J992" s="4">
        <v>15.84</v>
      </c>
      <c r="K992" s="4">
        <v>17.48</v>
      </c>
      <c r="L992">
        <v>20</v>
      </c>
      <c r="M992" s="4">
        <v>55.38</v>
      </c>
      <c r="N992" s="4">
        <v>221.5</v>
      </c>
      <c r="O992" s="4">
        <v>119.16</v>
      </c>
      <c r="P992" s="4">
        <v>8.98</v>
      </c>
      <c r="Q992" s="4">
        <v>1.94</v>
      </c>
      <c r="R992" s="4">
        <v>1.01</v>
      </c>
      <c r="S992" s="4">
        <v>0</v>
      </c>
      <c r="T992" s="4">
        <v>0</v>
      </c>
      <c r="U992" s="4">
        <v>131.09</v>
      </c>
      <c r="V992" s="4">
        <v>90.41</v>
      </c>
      <c r="W992" t="s">
        <v>21</v>
      </c>
      <c r="X992" t="s">
        <v>36</v>
      </c>
      <c r="Y992" s="4">
        <v>1</v>
      </c>
      <c r="Z992" s="4">
        <v>2</v>
      </c>
      <c r="AA992" t="s">
        <v>37</v>
      </c>
      <c r="AB992" t="s">
        <v>38</v>
      </c>
      <c r="AC992" s="7">
        <v>0</v>
      </c>
      <c r="AD992" t="s">
        <v>39</v>
      </c>
      <c r="AE992">
        <f t="shared" si="15"/>
        <v>0</v>
      </c>
    </row>
    <row r="993" spans="1:31" x14ac:dyDescent="0.35">
      <c r="A993">
        <v>100992</v>
      </c>
      <c r="B993" s="3">
        <v>45999</v>
      </c>
      <c r="C993">
        <v>1105</v>
      </c>
      <c r="D993" t="s">
        <v>30</v>
      </c>
      <c r="E993" t="s">
        <v>40</v>
      </c>
      <c r="F993" t="s">
        <v>41</v>
      </c>
      <c r="G993" t="s">
        <v>46</v>
      </c>
      <c r="H993" t="s">
        <v>57</v>
      </c>
      <c r="I993" t="s">
        <v>54</v>
      </c>
      <c r="J993" s="4">
        <v>27.83</v>
      </c>
      <c r="K993" s="4">
        <v>15.71</v>
      </c>
      <c r="L993">
        <v>0</v>
      </c>
      <c r="M993" s="4">
        <v>0</v>
      </c>
      <c r="N993" s="4">
        <v>437.21</v>
      </c>
      <c r="O993" s="4">
        <v>204.22</v>
      </c>
      <c r="P993" s="4">
        <v>6.28</v>
      </c>
      <c r="Q993" s="4">
        <v>5.25</v>
      </c>
      <c r="R993" s="4">
        <v>9.07</v>
      </c>
      <c r="S993" s="4">
        <v>0</v>
      </c>
      <c r="T993" s="4">
        <v>0</v>
      </c>
      <c r="U993" s="4">
        <v>224.82</v>
      </c>
      <c r="V993" s="4">
        <v>212.39</v>
      </c>
      <c r="W993" t="s">
        <v>21</v>
      </c>
      <c r="X993" t="s">
        <v>36</v>
      </c>
      <c r="Y993" s="4">
        <v>26</v>
      </c>
      <c r="Z993" s="4">
        <v>10</v>
      </c>
      <c r="AA993" t="s">
        <v>52</v>
      </c>
      <c r="AB993" t="s">
        <v>44</v>
      </c>
      <c r="AC993" s="7">
        <v>2</v>
      </c>
      <c r="AD993" t="s">
        <v>45</v>
      </c>
      <c r="AE993">
        <f t="shared" si="15"/>
        <v>1</v>
      </c>
    </row>
    <row r="994" spans="1:31" x14ac:dyDescent="0.35">
      <c r="A994">
        <v>100993</v>
      </c>
      <c r="B994" s="3">
        <v>45994</v>
      </c>
      <c r="C994">
        <v>1139</v>
      </c>
      <c r="D994" t="s">
        <v>47</v>
      </c>
      <c r="E994" t="s">
        <v>74</v>
      </c>
      <c r="F994" t="s">
        <v>71</v>
      </c>
      <c r="G994" t="s">
        <v>33</v>
      </c>
      <c r="H994" t="s">
        <v>57</v>
      </c>
      <c r="I994" t="s">
        <v>35</v>
      </c>
      <c r="J994" s="4">
        <v>27.79</v>
      </c>
      <c r="K994" s="4">
        <v>19.809999999999999</v>
      </c>
      <c r="L994">
        <v>5</v>
      </c>
      <c r="M994" s="4">
        <v>27.53</v>
      </c>
      <c r="N994" s="4">
        <v>522.99</v>
      </c>
      <c r="O994" s="4">
        <v>176.46</v>
      </c>
      <c r="P994" s="4">
        <v>6.31</v>
      </c>
      <c r="Q994" s="4">
        <v>3.85</v>
      </c>
      <c r="R994" s="4">
        <v>0</v>
      </c>
      <c r="S994" s="4">
        <v>0</v>
      </c>
      <c r="T994" s="4">
        <v>0</v>
      </c>
      <c r="U994" s="4">
        <v>186.62</v>
      </c>
      <c r="V994" s="4">
        <v>336.37</v>
      </c>
      <c r="W994" t="s">
        <v>21</v>
      </c>
      <c r="X994" t="s">
        <v>36</v>
      </c>
      <c r="Y994" s="4">
        <v>3</v>
      </c>
      <c r="Z994" s="4">
        <v>15</v>
      </c>
      <c r="AA994" t="s">
        <v>37</v>
      </c>
      <c r="AB994" t="s">
        <v>38</v>
      </c>
      <c r="AC994" s="7">
        <v>0</v>
      </c>
      <c r="AD994" t="s">
        <v>39</v>
      </c>
      <c r="AE994">
        <f t="shared" si="15"/>
        <v>0</v>
      </c>
    </row>
    <row r="995" spans="1:31" x14ac:dyDescent="0.35">
      <c r="A995">
        <v>100994</v>
      </c>
      <c r="B995" s="3">
        <v>45984</v>
      </c>
      <c r="C995">
        <v>1102</v>
      </c>
      <c r="D995" t="s">
        <v>30</v>
      </c>
      <c r="E995" t="s">
        <v>40</v>
      </c>
      <c r="F995" t="s">
        <v>71</v>
      </c>
      <c r="G995" t="s">
        <v>46</v>
      </c>
      <c r="H995" t="s">
        <v>51</v>
      </c>
      <c r="I995" t="s">
        <v>42</v>
      </c>
      <c r="J995" s="4">
        <v>31.95</v>
      </c>
      <c r="K995" s="4">
        <v>16.5</v>
      </c>
      <c r="L995">
        <v>0</v>
      </c>
      <c r="M995" s="4">
        <v>0</v>
      </c>
      <c r="N995" s="4">
        <v>527.16999999999996</v>
      </c>
      <c r="O995" s="4">
        <v>260.36</v>
      </c>
      <c r="P995" s="4">
        <v>11.23</v>
      </c>
      <c r="Q995" s="4">
        <v>7.91</v>
      </c>
      <c r="R995" s="4">
        <v>5.21</v>
      </c>
      <c r="S995" s="4">
        <v>0</v>
      </c>
      <c r="T995" s="4">
        <v>0</v>
      </c>
      <c r="U995" s="4">
        <v>284.70999999999998</v>
      </c>
      <c r="V995" s="4">
        <v>242.46</v>
      </c>
      <c r="W995" t="s">
        <v>21</v>
      </c>
      <c r="X995" t="s">
        <v>36</v>
      </c>
      <c r="Y995" s="4">
        <v>0</v>
      </c>
      <c r="Z995" s="4">
        <v>14</v>
      </c>
      <c r="AA995" t="s">
        <v>37</v>
      </c>
      <c r="AB995" t="s">
        <v>38</v>
      </c>
      <c r="AC995" s="7">
        <v>1</v>
      </c>
      <c r="AD995" t="s">
        <v>39</v>
      </c>
      <c r="AE995">
        <f t="shared" si="15"/>
        <v>0</v>
      </c>
    </row>
    <row r="996" spans="1:31" x14ac:dyDescent="0.35">
      <c r="A996">
        <v>100995</v>
      </c>
      <c r="B996" s="3">
        <v>45933</v>
      </c>
      <c r="C996">
        <v>1113</v>
      </c>
      <c r="D996" t="s">
        <v>30</v>
      </c>
      <c r="E996" t="s">
        <v>72</v>
      </c>
      <c r="F996" t="s">
        <v>32</v>
      </c>
      <c r="G996" t="s">
        <v>46</v>
      </c>
      <c r="H996" t="s">
        <v>34</v>
      </c>
      <c r="I996" t="s">
        <v>35</v>
      </c>
      <c r="J996" s="4">
        <v>32.11</v>
      </c>
      <c r="K996" s="4">
        <v>15.84</v>
      </c>
      <c r="L996">
        <v>15</v>
      </c>
      <c r="M996" s="4">
        <v>76.290000000000006</v>
      </c>
      <c r="N996" s="4">
        <v>432.33</v>
      </c>
      <c r="O996" s="4">
        <v>217.03</v>
      </c>
      <c r="P996" s="4">
        <v>8.82</v>
      </c>
      <c r="Q996" s="4">
        <v>3.56</v>
      </c>
      <c r="R996" s="4">
        <v>1.17</v>
      </c>
      <c r="S996" s="4">
        <v>0</v>
      </c>
      <c r="T996" s="4">
        <v>0</v>
      </c>
      <c r="U996" s="4">
        <v>230.58</v>
      </c>
      <c r="V996" s="4">
        <v>201.75</v>
      </c>
      <c r="W996" t="s">
        <v>21</v>
      </c>
      <c r="X996" t="s">
        <v>36</v>
      </c>
      <c r="Y996" s="4">
        <v>1</v>
      </c>
      <c r="Z996" s="4">
        <v>10</v>
      </c>
      <c r="AA996" t="s">
        <v>37</v>
      </c>
      <c r="AB996" t="s">
        <v>38</v>
      </c>
      <c r="AC996" s="7">
        <v>0</v>
      </c>
      <c r="AD996" t="s">
        <v>39</v>
      </c>
      <c r="AE996">
        <f t="shared" si="15"/>
        <v>0</v>
      </c>
    </row>
    <row r="997" spans="1:31" x14ac:dyDescent="0.35">
      <c r="A997">
        <v>100996</v>
      </c>
      <c r="B997" s="3">
        <v>45992</v>
      </c>
      <c r="C997">
        <v>1092</v>
      </c>
      <c r="D997" t="s">
        <v>64</v>
      </c>
      <c r="E997" t="s">
        <v>67</v>
      </c>
      <c r="F997" t="s">
        <v>61</v>
      </c>
      <c r="G997" t="s">
        <v>63</v>
      </c>
      <c r="H997" t="s">
        <v>51</v>
      </c>
      <c r="I997" t="s">
        <v>35</v>
      </c>
      <c r="J997" s="4">
        <v>14.84</v>
      </c>
      <c r="K997" s="4">
        <v>13.1</v>
      </c>
      <c r="L997">
        <v>10</v>
      </c>
      <c r="M997" s="4">
        <v>19.440000000000001</v>
      </c>
      <c r="N997" s="4">
        <v>174.96</v>
      </c>
      <c r="O997" s="4">
        <v>118.02</v>
      </c>
      <c r="P997" s="4">
        <v>14.53</v>
      </c>
      <c r="Q997" s="4">
        <v>1.36</v>
      </c>
      <c r="R997" s="4">
        <v>6.81</v>
      </c>
      <c r="S997" s="4">
        <v>0</v>
      </c>
      <c r="T997" s="4">
        <v>0</v>
      </c>
      <c r="U997" s="4">
        <v>140.72</v>
      </c>
      <c r="V997" s="4">
        <v>34.24</v>
      </c>
      <c r="W997" t="s">
        <v>21</v>
      </c>
      <c r="X997" t="s">
        <v>36</v>
      </c>
      <c r="Y997" s="4">
        <v>15</v>
      </c>
      <c r="Z997" s="4">
        <v>10</v>
      </c>
      <c r="AA997" t="s">
        <v>37</v>
      </c>
      <c r="AB997" t="s">
        <v>38</v>
      </c>
      <c r="AC997" s="7">
        <v>0</v>
      </c>
      <c r="AD997" t="s">
        <v>39</v>
      </c>
      <c r="AE997">
        <f t="shared" si="15"/>
        <v>0</v>
      </c>
    </row>
    <row r="998" spans="1:31" x14ac:dyDescent="0.35">
      <c r="A998">
        <v>100997</v>
      </c>
      <c r="B998" s="3">
        <v>45963</v>
      </c>
      <c r="C998">
        <v>1046</v>
      </c>
      <c r="D998" t="s">
        <v>47</v>
      </c>
      <c r="E998" t="s">
        <v>53</v>
      </c>
      <c r="F998" t="s">
        <v>61</v>
      </c>
      <c r="G998" t="s">
        <v>33</v>
      </c>
      <c r="H998" t="s">
        <v>34</v>
      </c>
      <c r="I998" t="s">
        <v>42</v>
      </c>
      <c r="J998" s="4">
        <v>34.619999999999997</v>
      </c>
      <c r="K998" s="4">
        <v>18.98</v>
      </c>
      <c r="L998">
        <v>10</v>
      </c>
      <c r="M998" s="4">
        <v>65.709999999999994</v>
      </c>
      <c r="N998" s="4">
        <v>591.38</v>
      </c>
      <c r="O998" s="4">
        <v>250.56</v>
      </c>
      <c r="P998" s="4">
        <v>9.94</v>
      </c>
      <c r="Q998" s="4">
        <v>9.86</v>
      </c>
      <c r="R998" s="4">
        <v>9.94</v>
      </c>
      <c r="S998" s="4">
        <v>0</v>
      </c>
      <c r="T998" s="4">
        <v>0</v>
      </c>
      <c r="U998" s="4">
        <v>280.3</v>
      </c>
      <c r="V998" s="4">
        <v>311.08</v>
      </c>
      <c r="W998" t="s">
        <v>21</v>
      </c>
      <c r="X998" t="s">
        <v>36</v>
      </c>
      <c r="Y998" s="4">
        <v>9</v>
      </c>
      <c r="Z998" s="4">
        <v>9</v>
      </c>
      <c r="AA998" t="s">
        <v>37</v>
      </c>
      <c r="AB998" t="s">
        <v>38</v>
      </c>
      <c r="AC998" s="7">
        <v>2</v>
      </c>
      <c r="AD998" t="s">
        <v>39</v>
      </c>
      <c r="AE998">
        <f t="shared" si="15"/>
        <v>0</v>
      </c>
    </row>
    <row r="999" spans="1:31" x14ac:dyDescent="0.35">
      <c r="A999">
        <v>100998</v>
      </c>
      <c r="B999" s="3">
        <v>46001</v>
      </c>
      <c r="C999">
        <v>1100</v>
      </c>
      <c r="D999" t="s">
        <v>64</v>
      </c>
      <c r="E999" t="s">
        <v>75</v>
      </c>
      <c r="F999" t="s">
        <v>61</v>
      </c>
      <c r="G999" t="s">
        <v>50</v>
      </c>
      <c r="H999" t="s">
        <v>57</v>
      </c>
      <c r="I999" t="s">
        <v>35</v>
      </c>
      <c r="J999" s="4">
        <v>23.78</v>
      </c>
      <c r="K999" s="4">
        <v>19.100000000000001</v>
      </c>
      <c r="L999">
        <v>20</v>
      </c>
      <c r="M999" s="4">
        <v>90.84</v>
      </c>
      <c r="N999" s="4">
        <v>363.36</v>
      </c>
      <c r="O999" s="4">
        <v>177.21</v>
      </c>
      <c r="P999" s="4">
        <v>6.46</v>
      </c>
      <c r="Q999" s="4">
        <v>3.18</v>
      </c>
      <c r="R999" s="4">
        <v>8.56</v>
      </c>
      <c r="S999" s="4">
        <v>0</v>
      </c>
      <c r="T999" s="4">
        <v>0</v>
      </c>
      <c r="U999" s="4">
        <v>195.41</v>
      </c>
      <c r="V999" s="4">
        <v>167.95</v>
      </c>
      <c r="W999" t="s">
        <v>21</v>
      </c>
      <c r="X999" t="s">
        <v>36</v>
      </c>
      <c r="Y999" s="4">
        <v>12</v>
      </c>
      <c r="Z999" s="4">
        <v>1</v>
      </c>
      <c r="AA999" t="s">
        <v>37</v>
      </c>
      <c r="AB999" t="s">
        <v>38</v>
      </c>
      <c r="AC999" s="7">
        <v>0</v>
      </c>
      <c r="AD999" t="s">
        <v>39</v>
      </c>
      <c r="AE999">
        <f t="shared" si="15"/>
        <v>0</v>
      </c>
    </row>
    <row r="1000" spans="1:31" x14ac:dyDescent="0.35">
      <c r="A1000">
        <v>100999</v>
      </c>
      <c r="B1000" s="3">
        <v>46022</v>
      </c>
      <c r="C1000">
        <v>1114</v>
      </c>
      <c r="D1000" t="s">
        <v>30</v>
      </c>
      <c r="E1000" t="s">
        <v>31</v>
      </c>
      <c r="F1000" t="s">
        <v>49</v>
      </c>
      <c r="G1000" t="s">
        <v>63</v>
      </c>
      <c r="H1000" t="s">
        <v>34</v>
      </c>
      <c r="I1000" t="s">
        <v>35</v>
      </c>
      <c r="J1000" s="4">
        <v>5.56</v>
      </c>
      <c r="K1000" s="4">
        <v>12.98</v>
      </c>
      <c r="L1000">
        <v>0</v>
      </c>
      <c r="M1000" s="4">
        <v>0</v>
      </c>
      <c r="N1000" s="4">
        <v>72.17</v>
      </c>
      <c r="O1000" s="4">
        <v>44.37</v>
      </c>
      <c r="P1000" s="4">
        <v>8.52</v>
      </c>
      <c r="Q1000" s="4">
        <v>0.51</v>
      </c>
      <c r="R1000" s="4">
        <v>2.9</v>
      </c>
      <c r="S1000" s="4">
        <v>0</v>
      </c>
      <c r="T1000" s="4">
        <v>0</v>
      </c>
      <c r="U1000" s="4">
        <v>56.3</v>
      </c>
      <c r="V1000" s="4">
        <v>15.87</v>
      </c>
      <c r="W1000" t="s">
        <v>21</v>
      </c>
      <c r="X1000" t="s">
        <v>36</v>
      </c>
      <c r="Y1000" s="4">
        <v>5</v>
      </c>
      <c r="Z1000" s="4">
        <v>6</v>
      </c>
      <c r="AA1000" t="s">
        <v>37</v>
      </c>
      <c r="AB1000" t="s">
        <v>38</v>
      </c>
      <c r="AC1000" s="7">
        <v>0</v>
      </c>
      <c r="AD1000" t="s">
        <v>39</v>
      </c>
      <c r="AE1000">
        <f t="shared" si="15"/>
        <v>0</v>
      </c>
    </row>
    <row r="1001" spans="1:31" x14ac:dyDescent="0.35">
      <c r="A1001">
        <v>101000</v>
      </c>
      <c r="B1001" s="3">
        <v>45982</v>
      </c>
      <c r="C1001">
        <v>1061</v>
      </c>
      <c r="D1001" t="s">
        <v>47</v>
      </c>
      <c r="E1001" t="s">
        <v>48</v>
      </c>
      <c r="F1001" t="s">
        <v>32</v>
      </c>
      <c r="G1001" t="s">
        <v>63</v>
      </c>
      <c r="H1001" t="s">
        <v>34</v>
      </c>
      <c r="I1001" t="s">
        <v>69</v>
      </c>
      <c r="J1001" s="4">
        <v>23.58</v>
      </c>
      <c r="K1001" s="4">
        <v>13.15</v>
      </c>
      <c r="L1001">
        <v>5</v>
      </c>
      <c r="M1001" s="4">
        <v>15.5</v>
      </c>
      <c r="N1001" s="4">
        <v>294.58</v>
      </c>
      <c r="O1001" s="4">
        <v>177.4</v>
      </c>
      <c r="P1001" s="4">
        <v>12.7</v>
      </c>
      <c r="Q1001" s="4">
        <v>1.24</v>
      </c>
      <c r="R1001" s="4">
        <v>3.85</v>
      </c>
      <c r="S1001" s="4">
        <v>0</v>
      </c>
      <c r="T1001" s="4">
        <v>0</v>
      </c>
      <c r="U1001" s="4">
        <v>195.19</v>
      </c>
      <c r="V1001" s="4">
        <v>99.39</v>
      </c>
      <c r="W1001" t="s">
        <v>21</v>
      </c>
      <c r="X1001" t="s">
        <v>36</v>
      </c>
      <c r="Y1001" s="4">
        <v>4</v>
      </c>
      <c r="Z1001" s="4">
        <v>28</v>
      </c>
      <c r="AA1001" t="s">
        <v>37</v>
      </c>
      <c r="AB1001" t="s">
        <v>44</v>
      </c>
      <c r="AC1001" s="7">
        <v>1</v>
      </c>
      <c r="AD1001" t="s">
        <v>45</v>
      </c>
      <c r="AE1001">
        <f t="shared" si="15"/>
        <v>1</v>
      </c>
    </row>
    <row r="1002" spans="1:31" x14ac:dyDescent="0.35">
      <c r="A1002">
        <v>101001</v>
      </c>
      <c r="B1002" s="3">
        <v>45965</v>
      </c>
      <c r="C1002">
        <v>1118</v>
      </c>
      <c r="D1002" t="s">
        <v>59</v>
      </c>
      <c r="E1002" t="s">
        <v>60</v>
      </c>
      <c r="F1002" t="s">
        <v>71</v>
      </c>
      <c r="G1002" t="s">
        <v>50</v>
      </c>
      <c r="H1002" t="s">
        <v>34</v>
      </c>
      <c r="I1002" t="s">
        <v>35</v>
      </c>
      <c r="J1002" s="4">
        <v>48.17</v>
      </c>
      <c r="K1002" s="4">
        <v>18.989999999999998</v>
      </c>
      <c r="L1002">
        <v>0</v>
      </c>
      <c r="M1002" s="4">
        <v>0</v>
      </c>
      <c r="N1002" s="4">
        <v>914.75</v>
      </c>
      <c r="O1002" s="4">
        <v>240.88</v>
      </c>
      <c r="P1002" s="4">
        <v>8.17</v>
      </c>
      <c r="Q1002" s="4">
        <v>6.4</v>
      </c>
      <c r="R1002" s="4">
        <v>10.34</v>
      </c>
      <c r="S1002" s="4">
        <v>0</v>
      </c>
      <c r="T1002" s="4">
        <v>0</v>
      </c>
      <c r="U1002" s="4">
        <v>265.79000000000002</v>
      </c>
      <c r="V1002" s="4">
        <v>648.96</v>
      </c>
      <c r="W1002" t="s">
        <v>21</v>
      </c>
      <c r="X1002" t="s">
        <v>36</v>
      </c>
      <c r="Y1002" s="4">
        <v>23</v>
      </c>
      <c r="Z1002" s="4">
        <v>21</v>
      </c>
      <c r="AA1002" t="s">
        <v>52</v>
      </c>
      <c r="AB1002" t="s">
        <v>44</v>
      </c>
      <c r="AC1002" s="7">
        <v>2</v>
      </c>
      <c r="AD1002" t="s">
        <v>45</v>
      </c>
      <c r="AE1002">
        <f t="shared" si="15"/>
        <v>1</v>
      </c>
    </row>
    <row r="1003" spans="1:31" x14ac:dyDescent="0.35">
      <c r="A1003">
        <v>101002</v>
      </c>
      <c r="B1003" s="3">
        <v>45961</v>
      </c>
      <c r="C1003">
        <v>1121</v>
      </c>
      <c r="D1003" t="s">
        <v>30</v>
      </c>
      <c r="E1003" t="s">
        <v>31</v>
      </c>
      <c r="F1003" t="s">
        <v>49</v>
      </c>
      <c r="G1003" t="s">
        <v>63</v>
      </c>
      <c r="H1003" t="s">
        <v>34</v>
      </c>
      <c r="I1003" t="s">
        <v>69</v>
      </c>
      <c r="J1003" s="4">
        <v>17.45</v>
      </c>
      <c r="K1003" s="4">
        <v>14.36</v>
      </c>
      <c r="L1003">
        <v>10</v>
      </c>
      <c r="M1003" s="4">
        <v>25.06</v>
      </c>
      <c r="N1003" s="4">
        <v>225.52</v>
      </c>
      <c r="O1003" s="4">
        <v>131.94999999999999</v>
      </c>
      <c r="P1003" s="4">
        <v>5.95</v>
      </c>
      <c r="Q1003" s="4">
        <v>1</v>
      </c>
      <c r="R1003" s="4">
        <v>4.3099999999999996</v>
      </c>
      <c r="S1003" s="4">
        <v>0</v>
      </c>
      <c r="T1003" s="4">
        <v>0</v>
      </c>
      <c r="U1003" s="4">
        <v>143.21</v>
      </c>
      <c r="V1003" s="4">
        <v>82.31</v>
      </c>
      <c r="W1003" t="s">
        <v>21</v>
      </c>
      <c r="X1003" t="s">
        <v>36</v>
      </c>
      <c r="Y1003" s="4">
        <v>2</v>
      </c>
      <c r="Z1003" s="4">
        <v>2</v>
      </c>
      <c r="AA1003" t="s">
        <v>37</v>
      </c>
      <c r="AB1003" t="s">
        <v>38</v>
      </c>
      <c r="AC1003" s="7">
        <v>0</v>
      </c>
      <c r="AD1003" t="s">
        <v>39</v>
      </c>
      <c r="AE1003">
        <f t="shared" si="15"/>
        <v>0</v>
      </c>
    </row>
    <row r="1004" spans="1:31" x14ac:dyDescent="0.35">
      <c r="A1004">
        <v>101003</v>
      </c>
      <c r="B1004" s="3">
        <v>45931</v>
      </c>
      <c r="C1004">
        <v>1002</v>
      </c>
      <c r="D1004" t="s">
        <v>64</v>
      </c>
      <c r="E1004" t="s">
        <v>65</v>
      </c>
      <c r="F1004" t="s">
        <v>32</v>
      </c>
      <c r="G1004" t="s">
        <v>50</v>
      </c>
      <c r="H1004" t="s">
        <v>51</v>
      </c>
      <c r="I1004" t="s">
        <v>35</v>
      </c>
      <c r="J1004" s="4">
        <v>35.78</v>
      </c>
      <c r="K1004" s="4">
        <v>17.5</v>
      </c>
      <c r="L1004">
        <v>5</v>
      </c>
      <c r="M1004" s="4">
        <v>31.31</v>
      </c>
      <c r="N1004" s="4">
        <v>594.84</v>
      </c>
      <c r="O1004" s="4">
        <v>281.94</v>
      </c>
      <c r="P1004" s="4">
        <v>8.89</v>
      </c>
      <c r="Q1004" s="4">
        <v>4.38</v>
      </c>
      <c r="R1004" s="4">
        <v>5.66</v>
      </c>
      <c r="S1004" s="4">
        <v>0</v>
      </c>
      <c r="T1004" s="4">
        <v>0</v>
      </c>
      <c r="U1004" s="4">
        <v>300.87</v>
      </c>
      <c r="V1004" s="4">
        <v>293.97000000000003</v>
      </c>
      <c r="W1004" t="s">
        <v>21</v>
      </c>
      <c r="X1004" t="s">
        <v>36</v>
      </c>
      <c r="Y1004" s="4">
        <v>3</v>
      </c>
      <c r="Z1004" s="4">
        <v>18</v>
      </c>
      <c r="AA1004" t="s">
        <v>37</v>
      </c>
      <c r="AB1004" t="s">
        <v>44</v>
      </c>
      <c r="AC1004" s="7">
        <v>2</v>
      </c>
      <c r="AD1004" t="s">
        <v>45</v>
      </c>
      <c r="AE1004">
        <f t="shared" si="15"/>
        <v>1</v>
      </c>
    </row>
    <row r="1005" spans="1:31" x14ac:dyDescent="0.35">
      <c r="A1005">
        <v>101004</v>
      </c>
      <c r="B1005" s="3">
        <v>45944</v>
      </c>
      <c r="C1005">
        <v>1101</v>
      </c>
      <c r="D1005" t="s">
        <v>47</v>
      </c>
      <c r="E1005" t="s">
        <v>53</v>
      </c>
      <c r="F1005" t="s">
        <v>41</v>
      </c>
      <c r="G1005" t="s">
        <v>33</v>
      </c>
      <c r="H1005" t="s">
        <v>34</v>
      </c>
      <c r="I1005" t="s">
        <v>35</v>
      </c>
      <c r="J1005" s="4">
        <v>26.09</v>
      </c>
      <c r="K1005" s="4">
        <v>19.54</v>
      </c>
      <c r="L1005">
        <v>10</v>
      </c>
      <c r="M1005" s="4">
        <v>50.98</v>
      </c>
      <c r="N1005" s="4">
        <v>458.82</v>
      </c>
      <c r="O1005" s="4">
        <v>174.69</v>
      </c>
      <c r="P1005" s="4">
        <v>4.28</v>
      </c>
      <c r="Q1005" s="4">
        <v>3.57</v>
      </c>
      <c r="R1005" s="4">
        <v>8.14</v>
      </c>
      <c r="S1005" s="4">
        <v>0</v>
      </c>
      <c r="T1005" s="4">
        <v>0</v>
      </c>
      <c r="U1005" s="4">
        <v>190.68</v>
      </c>
      <c r="V1005" s="4">
        <v>268.14</v>
      </c>
      <c r="W1005" t="s">
        <v>21</v>
      </c>
      <c r="X1005" t="s">
        <v>36</v>
      </c>
      <c r="Y1005" s="4">
        <v>5</v>
      </c>
      <c r="Z1005" s="4">
        <v>2</v>
      </c>
      <c r="AA1005" t="s">
        <v>37</v>
      </c>
      <c r="AB1005" t="s">
        <v>38</v>
      </c>
      <c r="AC1005" s="7">
        <v>0</v>
      </c>
      <c r="AD1005" t="s">
        <v>39</v>
      </c>
      <c r="AE1005">
        <f t="shared" si="15"/>
        <v>0</v>
      </c>
    </row>
    <row r="1006" spans="1:31" x14ac:dyDescent="0.35">
      <c r="A1006">
        <v>101005</v>
      </c>
      <c r="B1006" s="3">
        <v>46002</v>
      </c>
      <c r="C1006">
        <v>1133</v>
      </c>
      <c r="D1006" t="s">
        <v>30</v>
      </c>
      <c r="E1006" t="s">
        <v>62</v>
      </c>
      <c r="F1006" t="s">
        <v>32</v>
      </c>
      <c r="G1006" t="s">
        <v>50</v>
      </c>
      <c r="H1006" t="s">
        <v>34</v>
      </c>
      <c r="I1006" t="s">
        <v>35</v>
      </c>
      <c r="J1006" s="4">
        <v>11.71</v>
      </c>
      <c r="K1006" s="4">
        <v>17.27</v>
      </c>
      <c r="L1006">
        <v>0</v>
      </c>
      <c r="M1006" s="4">
        <v>0</v>
      </c>
      <c r="N1006" s="4">
        <v>202.23</v>
      </c>
      <c r="O1006" s="4">
        <v>72.959999999999994</v>
      </c>
      <c r="P1006" s="4">
        <v>7.61</v>
      </c>
      <c r="Q1006" s="4">
        <v>1.42</v>
      </c>
      <c r="R1006" s="4">
        <v>8.4499999999999993</v>
      </c>
      <c r="S1006" s="4">
        <v>0</v>
      </c>
      <c r="T1006" s="4">
        <v>0</v>
      </c>
      <c r="U1006" s="4">
        <v>90.44</v>
      </c>
      <c r="V1006" s="4">
        <v>111.79</v>
      </c>
      <c r="W1006" t="s">
        <v>21</v>
      </c>
      <c r="X1006" t="s">
        <v>36</v>
      </c>
      <c r="Y1006" s="4">
        <v>26</v>
      </c>
      <c r="Z1006" s="4">
        <v>20</v>
      </c>
      <c r="AA1006" t="s">
        <v>52</v>
      </c>
      <c r="AB1006" t="s">
        <v>44</v>
      </c>
      <c r="AC1006" s="7">
        <v>3</v>
      </c>
      <c r="AD1006" t="s">
        <v>45</v>
      </c>
      <c r="AE1006">
        <f t="shared" si="15"/>
        <v>1</v>
      </c>
    </row>
    <row r="1007" spans="1:31" x14ac:dyDescent="0.35">
      <c r="A1007">
        <v>101006</v>
      </c>
      <c r="B1007" s="3">
        <v>46014</v>
      </c>
      <c r="C1007">
        <v>1040</v>
      </c>
      <c r="D1007" t="s">
        <v>30</v>
      </c>
      <c r="E1007" t="s">
        <v>40</v>
      </c>
      <c r="F1007" t="s">
        <v>49</v>
      </c>
      <c r="G1007" t="s">
        <v>46</v>
      </c>
      <c r="H1007" t="s">
        <v>34</v>
      </c>
      <c r="I1007" t="s">
        <v>69</v>
      </c>
      <c r="J1007" s="4">
        <v>39.15</v>
      </c>
      <c r="K1007" s="4">
        <v>15.72</v>
      </c>
      <c r="L1007">
        <v>0</v>
      </c>
      <c r="M1007" s="4">
        <v>0</v>
      </c>
      <c r="N1007" s="4">
        <v>615.44000000000005</v>
      </c>
      <c r="O1007" s="4">
        <v>290.73</v>
      </c>
      <c r="P1007" s="4">
        <v>11.08</v>
      </c>
      <c r="Q1007" s="4">
        <v>2.46</v>
      </c>
      <c r="R1007" s="4">
        <v>5.0999999999999996</v>
      </c>
      <c r="S1007" s="4">
        <v>363.72</v>
      </c>
      <c r="T1007" s="4">
        <v>0</v>
      </c>
      <c r="U1007" s="4">
        <v>673.09</v>
      </c>
      <c r="V1007" s="4">
        <v>-57.65</v>
      </c>
      <c r="W1007" t="s">
        <v>58</v>
      </c>
      <c r="X1007" t="s">
        <v>55</v>
      </c>
      <c r="Y1007" s="4">
        <v>7</v>
      </c>
      <c r="Z1007" s="4">
        <v>2</v>
      </c>
      <c r="AA1007" t="s">
        <v>37</v>
      </c>
      <c r="AB1007" t="s">
        <v>44</v>
      </c>
      <c r="AC1007" s="7">
        <v>1</v>
      </c>
      <c r="AD1007" t="s">
        <v>45</v>
      </c>
      <c r="AE1007">
        <f t="shared" si="15"/>
        <v>1</v>
      </c>
    </row>
    <row r="1008" spans="1:31" x14ac:dyDescent="0.35">
      <c r="A1008">
        <v>101007</v>
      </c>
      <c r="B1008" s="3">
        <v>45942</v>
      </c>
      <c r="C1008">
        <v>1084</v>
      </c>
      <c r="D1008" t="s">
        <v>64</v>
      </c>
      <c r="E1008" t="s">
        <v>67</v>
      </c>
      <c r="F1008" t="s">
        <v>71</v>
      </c>
      <c r="G1008" t="s">
        <v>50</v>
      </c>
      <c r="H1008" t="s">
        <v>34</v>
      </c>
      <c r="I1008" t="s">
        <v>35</v>
      </c>
      <c r="J1008" s="4">
        <v>27.71</v>
      </c>
      <c r="K1008" s="4">
        <v>17.600000000000001</v>
      </c>
      <c r="L1008">
        <v>5</v>
      </c>
      <c r="M1008" s="4">
        <v>24.38</v>
      </c>
      <c r="N1008" s="4">
        <v>463.32</v>
      </c>
      <c r="O1008" s="4">
        <v>169.17</v>
      </c>
      <c r="P1008" s="4">
        <v>9.61</v>
      </c>
      <c r="Q1008" s="4">
        <v>3.41</v>
      </c>
      <c r="R1008" s="4">
        <v>0.66</v>
      </c>
      <c r="S1008" s="4">
        <v>0</v>
      </c>
      <c r="T1008" s="4">
        <v>0</v>
      </c>
      <c r="U1008" s="4">
        <v>182.85</v>
      </c>
      <c r="V1008" s="4">
        <v>280.47000000000003</v>
      </c>
      <c r="W1008" t="s">
        <v>21</v>
      </c>
      <c r="X1008" t="s">
        <v>36</v>
      </c>
      <c r="Y1008" s="4">
        <v>5</v>
      </c>
      <c r="Z1008" s="4">
        <v>1</v>
      </c>
      <c r="AA1008" t="s">
        <v>37</v>
      </c>
      <c r="AB1008" t="s">
        <v>38</v>
      </c>
      <c r="AC1008" s="7">
        <v>0</v>
      </c>
      <c r="AD1008" t="s">
        <v>39</v>
      </c>
      <c r="AE1008">
        <f t="shared" si="15"/>
        <v>0</v>
      </c>
    </row>
    <row r="1009" spans="1:31" x14ac:dyDescent="0.35">
      <c r="A1009">
        <v>101008</v>
      </c>
      <c r="B1009" s="3">
        <v>45990</v>
      </c>
      <c r="C1009">
        <v>1028</v>
      </c>
      <c r="D1009" t="s">
        <v>59</v>
      </c>
      <c r="E1009" t="s">
        <v>60</v>
      </c>
      <c r="F1009" t="s">
        <v>61</v>
      </c>
      <c r="G1009" t="s">
        <v>46</v>
      </c>
      <c r="H1009" t="s">
        <v>51</v>
      </c>
      <c r="I1009" t="s">
        <v>54</v>
      </c>
      <c r="J1009" s="4">
        <v>34.72</v>
      </c>
      <c r="K1009" s="4">
        <v>17.16</v>
      </c>
      <c r="L1009">
        <v>10</v>
      </c>
      <c r="M1009" s="4">
        <v>59.58</v>
      </c>
      <c r="N1009" s="4">
        <v>536.22</v>
      </c>
      <c r="O1009" s="4">
        <v>296.69</v>
      </c>
      <c r="P1009" s="4">
        <v>4.0599999999999996</v>
      </c>
      <c r="Q1009" s="4">
        <v>7.15</v>
      </c>
      <c r="R1009" s="4">
        <v>9.1199999999999992</v>
      </c>
      <c r="S1009" s="4">
        <v>0</v>
      </c>
      <c r="T1009" s="4">
        <v>0</v>
      </c>
      <c r="U1009" s="4">
        <v>317.02</v>
      </c>
      <c r="V1009" s="4">
        <v>219.2</v>
      </c>
      <c r="W1009" t="s">
        <v>21</v>
      </c>
      <c r="X1009" t="s">
        <v>36</v>
      </c>
      <c r="Y1009" s="4">
        <v>1</v>
      </c>
      <c r="Z1009" s="4">
        <v>2</v>
      </c>
      <c r="AA1009" t="s">
        <v>37</v>
      </c>
      <c r="AB1009" t="s">
        <v>38</v>
      </c>
      <c r="AC1009" s="7">
        <v>0</v>
      </c>
      <c r="AD1009" t="s">
        <v>39</v>
      </c>
      <c r="AE1009">
        <f t="shared" si="15"/>
        <v>0</v>
      </c>
    </row>
    <row r="1010" spans="1:31" x14ac:dyDescent="0.35">
      <c r="A1010">
        <v>101009</v>
      </c>
      <c r="B1010" s="3">
        <v>45952</v>
      </c>
      <c r="C1010">
        <v>1132</v>
      </c>
      <c r="D1010" t="s">
        <v>64</v>
      </c>
      <c r="E1010" t="s">
        <v>67</v>
      </c>
      <c r="F1010" t="s">
        <v>61</v>
      </c>
      <c r="G1010" t="s">
        <v>33</v>
      </c>
      <c r="H1010" t="s">
        <v>34</v>
      </c>
      <c r="I1010" t="s">
        <v>54</v>
      </c>
      <c r="J1010" s="4">
        <v>23.22</v>
      </c>
      <c r="K1010" s="4">
        <v>18.39</v>
      </c>
      <c r="L1010">
        <v>5</v>
      </c>
      <c r="M1010" s="4">
        <v>21.35</v>
      </c>
      <c r="N1010" s="4">
        <v>405.67</v>
      </c>
      <c r="O1010" s="4">
        <v>167.41</v>
      </c>
      <c r="P1010" s="4">
        <v>4.08</v>
      </c>
      <c r="Q1010" s="4">
        <v>5.12</v>
      </c>
      <c r="R1010" s="4">
        <v>2.0699999999999998</v>
      </c>
      <c r="S1010" s="4">
        <v>0</v>
      </c>
      <c r="T1010" s="4">
        <v>0</v>
      </c>
      <c r="U1010" s="4">
        <v>178.68</v>
      </c>
      <c r="V1010" s="4">
        <v>226.99</v>
      </c>
      <c r="W1010" t="s">
        <v>21</v>
      </c>
      <c r="X1010" t="s">
        <v>36</v>
      </c>
      <c r="Y1010" s="4">
        <v>4</v>
      </c>
      <c r="Z1010" s="4">
        <v>1</v>
      </c>
      <c r="AA1010" t="s">
        <v>37</v>
      </c>
      <c r="AB1010" t="s">
        <v>38</v>
      </c>
      <c r="AC1010" s="7">
        <v>0</v>
      </c>
      <c r="AD1010" t="s">
        <v>39</v>
      </c>
      <c r="AE1010">
        <f t="shared" si="15"/>
        <v>0</v>
      </c>
    </row>
    <row r="1011" spans="1:31" x14ac:dyDescent="0.35">
      <c r="A1011">
        <v>101010</v>
      </c>
      <c r="B1011" s="3">
        <v>45954</v>
      </c>
      <c r="C1011">
        <v>1077</v>
      </c>
      <c r="D1011" t="s">
        <v>64</v>
      </c>
      <c r="E1011" t="s">
        <v>76</v>
      </c>
      <c r="F1011" t="s">
        <v>41</v>
      </c>
      <c r="G1011" t="s">
        <v>46</v>
      </c>
      <c r="H1011" t="s">
        <v>34</v>
      </c>
      <c r="I1011" t="s">
        <v>54</v>
      </c>
      <c r="J1011" s="4">
        <v>36.44</v>
      </c>
      <c r="K1011" s="4">
        <v>16.52</v>
      </c>
      <c r="L1011">
        <v>10</v>
      </c>
      <c r="M1011" s="4">
        <v>60.2</v>
      </c>
      <c r="N1011" s="4">
        <v>541.79</v>
      </c>
      <c r="O1011" s="4">
        <v>256.02</v>
      </c>
      <c r="P1011" s="4">
        <v>6.73</v>
      </c>
      <c r="Q1011" s="4">
        <v>7.22</v>
      </c>
      <c r="R1011" s="4">
        <v>10.82</v>
      </c>
      <c r="S1011" s="4">
        <v>0</v>
      </c>
      <c r="T1011" s="4">
        <v>0</v>
      </c>
      <c r="U1011" s="4">
        <v>280.79000000000002</v>
      </c>
      <c r="V1011" s="4">
        <v>261</v>
      </c>
      <c r="W1011" t="s">
        <v>21</v>
      </c>
      <c r="X1011" t="s">
        <v>36</v>
      </c>
      <c r="Y1011" s="4">
        <v>2</v>
      </c>
      <c r="Z1011" s="4">
        <v>31</v>
      </c>
      <c r="AA1011" t="s">
        <v>37</v>
      </c>
      <c r="AB1011" t="s">
        <v>44</v>
      </c>
      <c r="AC1011" s="7">
        <v>1</v>
      </c>
      <c r="AD1011" t="s">
        <v>45</v>
      </c>
      <c r="AE1011">
        <f t="shared" si="15"/>
        <v>1</v>
      </c>
    </row>
    <row r="1012" spans="1:31" x14ac:dyDescent="0.35">
      <c r="A1012">
        <v>101011</v>
      </c>
      <c r="B1012" s="3">
        <v>45938</v>
      </c>
      <c r="C1012">
        <v>1137</v>
      </c>
      <c r="D1012" t="s">
        <v>47</v>
      </c>
      <c r="E1012" t="s">
        <v>53</v>
      </c>
      <c r="F1012" t="s">
        <v>71</v>
      </c>
      <c r="G1012" t="s">
        <v>63</v>
      </c>
      <c r="H1012" t="s">
        <v>34</v>
      </c>
      <c r="I1012" t="s">
        <v>35</v>
      </c>
      <c r="J1012" s="4">
        <v>22.83</v>
      </c>
      <c r="K1012" s="4">
        <v>12.74</v>
      </c>
      <c r="L1012">
        <v>20</v>
      </c>
      <c r="M1012" s="4">
        <v>58.17</v>
      </c>
      <c r="N1012" s="4">
        <v>232.68</v>
      </c>
      <c r="O1012" s="4">
        <v>184.4</v>
      </c>
      <c r="P1012" s="4">
        <v>9.86</v>
      </c>
      <c r="Q1012" s="4">
        <v>2.04</v>
      </c>
      <c r="R1012" s="4">
        <v>6.32</v>
      </c>
      <c r="S1012" s="4">
        <v>0</v>
      </c>
      <c r="T1012" s="4">
        <v>0</v>
      </c>
      <c r="U1012" s="4">
        <v>202.62</v>
      </c>
      <c r="V1012" s="4">
        <v>30.06</v>
      </c>
      <c r="W1012" t="s">
        <v>21</v>
      </c>
      <c r="X1012" t="s">
        <v>36</v>
      </c>
      <c r="Y1012" s="4">
        <v>9</v>
      </c>
      <c r="Z1012" s="4">
        <v>0</v>
      </c>
      <c r="AA1012" t="s">
        <v>37</v>
      </c>
      <c r="AB1012" t="s">
        <v>38</v>
      </c>
      <c r="AC1012" s="7">
        <v>0</v>
      </c>
      <c r="AD1012" t="s">
        <v>39</v>
      </c>
      <c r="AE1012">
        <f t="shared" si="15"/>
        <v>0</v>
      </c>
    </row>
    <row r="1013" spans="1:31" x14ac:dyDescent="0.35">
      <c r="A1013">
        <v>101012</v>
      </c>
      <c r="B1013" s="3">
        <v>45977</v>
      </c>
      <c r="C1013">
        <v>1082</v>
      </c>
      <c r="D1013" t="s">
        <v>47</v>
      </c>
      <c r="E1013" t="s">
        <v>53</v>
      </c>
      <c r="F1013" t="s">
        <v>71</v>
      </c>
      <c r="G1013" t="s">
        <v>63</v>
      </c>
      <c r="H1013" t="s">
        <v>57</v>
      </c>
      <c r="I1013" t="s">
        <v>35</v>
      </c>
      <c r="J1013" s="4">
        <v>25.38</v>
      </c>
      <c r="K1013" s="4">
        <v>15.68</v>
      </c>
      <c r="L1013">
        <v>0</v>
      </c>
      <c r="M1013" s="4">
        <v>0</v>
      </c>
      <c r="N1013" s="4">
        <v>397.96</v>
      </c>
      <c r="O1013" s="4">
        <v>195.35</v>
      </c>
      <c r="P1013" s="4">
        <v>8.57</v>
      </c>
      <c r="Q1013" s="4">
        <v>2.79</v>
      </c>
      <c r="R1013" s="4">
        <v>6.6</v>
      </c>
      <c r="S1013" s="4">
        <v>0</v>
      </c>
      <c r="T1013" s="4">
        <v>0</v>
      </c>
      <c r="U1013" s="4">
        <v>213.31</v>
      </c>
      <c r="V1013" s="4">
        <v>184.65</v>
      </c>
      <c r="W1013" t="s">
        <v>21</v>
      </c>
      <c r="X1013" t="s">
        <v>36</v>
      </c>
      <c r="Y1013" s="4">
        <v>5</v>
      </c>
      <c r="Z1013" s="4">
        <v>11</v>
      </c>
      <c r="AA1013" t="s">
        <v>37</v>
      </c>
      <c r="AB1013" t="s">
        <v>38</v>
      </c>
      <c r="AC1013" s="7">
        <v>0</v>
      </c>
      <c r="AD1013" t="s">
        <v>39</v>
      </c>
      <c r="AE1013">
        <f t="shared" si="15"/>
        <v>0</v>
      </c>
    </row>
    <row r="1014" spans="1:31" x14ac:dyDescent="0.35">
      <c r="A1014">
        <v>101013</v>
      </c>
      <c r="B1014" s="3">
        <v>46019</v>
      </c>
      <c r="C1014">
        <v>1101</v>
      </c>
      <c r="D1014" t="s">
        <v>64</v>
      </c>
      <c r="E1014" t="s">
        <v>76</v>
      </c>
      <c r="F1014" t="s">
        <v>71</v>
      </c>
      <c r="G1014" t="s">
        <v>46</v>
      </c>
      <c r="H1014" t="s">
        <v>34</v>
      </c>
      <c r="I1014" t="s">
        <v>35</v>
      </c>
      <c r="J1014" s="4">
        <v>29.94</v>
      </c>
      <c r="K1014" s="4">
        <v>15.23</v>
      </c>
      <c r="L1014">
        <v>10</v>
      </c>
      <c r="M1014" s="4">
        <v>45.6</v>
      </c>
      <c r="N1014" s="4">
        <v>410.39</v>
      </c>
      <c r="O1014" s="4">
        <v>238.72</v>
      </c>
      <c r="P1014" s="4">
        <v>10.119999999999999</v>
      </c>
      <c r="Q1014" s="4">
        <v>3.19</v>
      </c>
      <c r="R1014" s="4">
        <v>8.94</v>
      </c>
      <c r="S1014" s="4">
        <v>0</v>
      </c>
      <c r="T1014" s="4">
        <v>0</v>
      </c>
      <c r="U1014" s="4">
        <v>260.97000000000003</v>
      </c>
      <c r="V1014" s="4">
        <v>149.41999999999999</v>
      </c>
      <c r="W1014" t="s">
        <v>21</v>
      </c>
      <c r="X1014" t="s">
        <v>36</v>
      </c>
      <c r="Y1014" s="4">
        <v>3</v>
      </c>
      <c r="Z1014" s="4">
        <v>5</v>
      </c>
      <c r="AA1014" t="s">
        <v>37</v>
      </c>
      <c r="AB1014" t="s">
        <v>38</v>
      </c>
      <c r="AC1014" s="7">
        <v>0</v>
      </c>
      <c r="AD1014" t="s">
        <v>39</v>
      </c>
      <c r="AE1014">
        <f t="shared" si="15"/>
        <v>0</v>
      </c>
    </row>
    <row r="1015" spans="1:31" x14ac:dyDescent="0.35">
      <c r="A1015">
        <v>101014</v>
      </c>
      <c r="B1015" s="3">
        <v>45970</v>
      </c>
      <c r="C1015">
        <v>1071</v>
      </c>
      <c r="D1015" t="s">
        <v>47</v>
      </c>
      <c r="E1015" t="s">
        <v>74</v>
      </c>
      <c r="F1015" t="s">
        <v>71</v>
      </c>
      <c r="G1015" t="s">
        <v>46</v>
      </c>
      <c r="H1015" t="s">
        <v>34</v>
      </c>
      <c r="I1015" t="s">
        <v>54</v>
      </c>
      <c r="J1015" s="4">
        <v>35.869999999999997</v>
      </c>
      <c r="K1015" s="4">
        <v>15.43</v>
      </c>
      <c r="L1015">
        <v>0</v>
      </c>
      <c r="M1015" s="4">
        <v>0</v>
      </c>
      <c r="N1015" s="4">
        <v>553.47</v>
      </c>
      <c r="O1015" s="4">
        <v>292.01</v>
      </c>
      <c r="P1015" s="4">
        <v>6.33</v>
      </c>
      <c r="Q1015" s="4">
        <v>6.64</v>
      </c>
      <c r="R1015" s="4">
        <v>3.79</v>
      </c>
      <c r="S1015" s="4">
        <v>0</v>
      </c>
      <c r="T1015" s="4">
        <v>0</v>
      </c>
      <c r="U1015" s="4">
        <v>308.77</v>
      </c>
      <c r="V1015" s="4">
        <v>244.7</v>
      </c>
      <c r="W1015" t="s">
        <v>21</v>
      </c>
      <c r="X1015" t="s">
        <v>36</v>
      </c>
      <c r="Y1015" s="4">
        <v>2</v>
      </c>
      <c r="Z1015" s="4">
        <v>5</v>
      </c>
      <c r="AA1015" t="s">
        <v>37</v>
      </c>
      <c r="AB1015" t="s">
        <v>38</v>
      </c>
      <c r="AC1015" s="7">
        <v>0</v>
      </c>
      <c r="AD1015" t="s">
        <v>39</v>
      </c>
      <c r="AE1015">
        <f t="shared" si="15"/>
        <v>0</v>
      </c>
    </row>
    <row r="1016" spans="1:31" x14ac:dyDescent="0.35">
      <c r="A1016">
        <v>101015</v>
      </c>
      <c r="B1016" s="3">
        <v>45943</v>
      </c>
      <c r="C1016">
        <v>1087</v>
      </c>
      <c r="D1016" t="s">
        <v>47</v>
      </c>
      <c r="E1016" t="s">
        <v>74</v>
      </c>
      <c r="F1016" t="s">
        <v>61</v>
      </c>
      <c r="G1016" t="s">
        <v>50</v>
      </c>
      <c r="H1016" t="s">
        <v>34</v>
      </c>
      <c r="I1016" t="s">
        <v>69</v>
      </c>
      <c r="J1016" s="4">
        <v>32.58</v>
      </c>
      <c r="K1016" s="4">
        <v>17.62</v>
      </c>
      <c r="L1016">
        <v>10</v>
      </c>
      <c r="M1016" s="4">
        <v>57.41</v>
      </c>
      <c r="N1016" s="4">
        <v>516.65</v>
      </c>
      <c r="O1016" s="4">
        <v>234.78</v>
      </c>
      <c r="P1016" s="4">
        <v>3.38</v>
      </c>
      <c r="Q1016" s="4">
        <v>2.2999999999999998</v>
      </c>
      <c r="R1016" s="4">
        <v>0.94</v>
      </c>
      <c r="S1016" s="4">
        <v>0</v>
      </c>
      <c r="T1016" s="4">
        <v>0</v>
      </c>
      <c r="U1016" s="4">
        <v>241.4</v>
      </c>
      <c r="V1016" s="4">
        <v>275.25</v>
      </c>
      <c r="W1016" t="s">
        <v>21</v>
      </c>
      <c r="X1016" t="s">
        <v>36</v>
      </c>
      <c r="Y1016" s="4">
        <v>5</v>
      </c>
      <c r="Z1016" s="4">
        <v>16</v>
      </c>
      <c r="AA1016" t="s">
        <v>37</v>
      </c>
      <c r="AB1016" t="s">
        <v>44</v>
      </c>
      <c r="AC1016" s="7">
        <v>1</v>
      </c>
      <c r="AD1016" t="s">
        <v>45</v>
      </c>
      <c r="AE1016">
        <f t="shared" si="15"/>
        <v>1</v>
      </c>
    </row>
    <row r="1017" spans="1:31" x14ac:dyDescent="0.35">
      <c r="A1017">
        <v>101016</v>
      </c>
      <c r="B1017" s="3">
        <v>45943</v>
      </c>
      <c r="C1017">
        <v>1031</v>
      </c>
      <c r="D1017" t="s">
        <v>59</v>
      </c>
      <c r="E1017" t="s">
        <v>60</v>
      </c>
      <c r="F1017" t="s">
        <v>32</v>
      </c>
      <c r="G1017" t="s">
        <v>63</v>
      </c>
      <c r="H1017" t="s">
        <v>34</v>
      </c>
      <c r="I1017" t="s">
        <v>35</v>
      </c>
      <c r="J1017" s="4">
        <v>25.05</v>
      </c>
      <c r="K1017" s="4">
        <v>12.83</v>
      </c>
      <c r="L1017">
        <v>5</v>
      </c>
      <c r="M1017" s="4">
        <v>16.07</v>
      </c>
      <c r="N1017" s="4">
        <v>305.32</v>
      </c>
      <c r="O1017" s="4">
        <v>179.2</v>
      </c>
      <c r="P1017" s="4">
        <v>12.99</v>
      </c>
      <c r="Q1017" s="4">
        <v>2.25</v>
      </c>
      <c r="R1017" s="4">
        <v>1.99</v>
      </c>
      <c r="S1017" s="4">
        <v>165.49</v>
      </c>
      <c r="T1017" s="4">
        <v>0</v>
      </c>
      <c r="U1017" s="4">
        <v>361.92</v>
      </c>
      <c r="V1017" s="4">
        <v>-56.6</v>
      </c>
      <c r="W1017" t="s">
        <v>58</v>
      </c>
      <c r="X1017" t="s">
        <v>66</v>
      </c>
      <c r="Y1017" s="4">
        <v>7</v>
      </c>
      <c r="Z1017" s="4">
        <v>1</v>
      </c>
      <c r="AA1017" t="s">
        <v>37</v>
      </c>
      <c r="AB1017" t="s">
        <v>38</v>
      </c>
      <c r="AC1017" s="7">
        <v>3</v>
      </c>
      <c r="AD1017" t="s">
        <v>45</v>
      </c>
      <c r="AE1017">
        <f t="shared" si="15"/>
        <v>0</v>
      </c>
    </row>
    <row r="1018" spans="1:31" x14ac:dyDescent="0.35">
      <c r="A1018">
        <v>101017</v>
      </c>
      <c r="B1018" s="3">
        <v>45947</v>
      </c>
      <c r="C1018">
        <v>1091</v>
      </c>
      <c r="D1018" t="s">
        <v>30</v>
      </c>
      <c r="E1018" t="s">
        <v>40</v>
      </c>
      <c r="F1018" t="s">
        <v>61</v>
      </c>
      <c r="G1018" t="s">
        <v>50</v>
      </c>
      <c r="H1018" t="s">
        <v>34</v>
      </c>
      <c r="I1018" t="s">
        <v>35</v>
      </c>
      <c r="J1018" s="4">
        <v>21.39</v>
      </c>
      <c r="K1018" s="4">
        <v>17.63</v>
      </c>
      <c r="L1018">
        <v>0</v>
      </c>
      <c r="M1018" s="4">
        <v>0</v>
      </c>
      <c r="N1018" s="4">
        <v>377.11</v>
      </c>
      <c r="O1018" s="4">
        <v>169.08</v>
      </c>
      <c r="P1018" s="4">
        <v>8.86</v>
      </c>
      <c r="Q1018" s="4">
        <v>2.64</v>
      </c>
      <c r="R1018" s="4">
        <v>4.82</v>
      </c>
      <c r="S1018" s="4">
        <v>0</v>
      </c>
      <c r="T1018" s="4">
        <v>0</v>
      </c>
      <c r="U1018" s="4">
        <v>185.4</v>
      </c>
      <c r="V1018" s="4">
        <v>191.71</v>
      </c>
      <c r="W1018" t="s">
        <v>21</v>
      </c>
      <c r="X1018" t="s">
        <v>36</v>
      </c>
      <c r="Y1018" s="4">
        <v>20</v>
      </c>
      <c r="Z1018" s="4">
        <v>4</v>
      </c>
      <c r="AA1018" t="s">
        <v>52</v>
      </c>
      <c r="AB1018" t="s">
        <v>38</v>
      </c>
      <c r="AC1018" s="7">
        <v>1</v>
      </c>
      <c r="AD1018" t="s">
        <v>39</v>
      </c>
      <c r="AE1018">
        <f t="shared" si="15"/>
        <v>0</v>
      </c>
    </row>
    <row r="1019" spans="1:31" x14ac:dyDescent="0.35">
      <c r="A1019">
        <v>101018</v>
      </c>
      <c r="B1019" s="3">
        <v>45965</v>
      </c>
      <c r="C1019">
        <v>1050</v>
      </c>
      <c r="D1019" t="s">
        <v>59</v>
      </c>
      <c r="E1019" t="s">
        <v>73</v>
      </c>
      <c r="F1019" t="s">
        <v>32</v>
      </c>
      <c r="G1019" t="s">
        <v>63</v>
      </c>
      <c r="H1019" t="s">
        <v>34</v>
      </c>
      <c r="I1019" t="s">
        <v>69</v>
      </c>
      <c r="J1019" s="4">
        <v>7.57</v>
      </c>
      <c r="K1019" s="4">
        <v>12.93</v>
      </c>
      <c r="L1019">
        <v>5</v>
      </c>
      <c r="M1019" s="4">
        <v>4.8899999999999997</v>
      </c>
      <c r="N1019" s="4">
        <v>92.99</v>
      </c>
      <c r="O1019" s="4">
        <v>51.44</v>
      </c>
      <c r="P1019" s="4">
        <v>7.75</v>
      </c>
      <c r="Q1019" s="4">
        <v>0.39</v>
      </c>
      <c r="R1019" s="4">
        <v>9.02</v>
      </c>
      <c r="S1019" s="4">
        <v>0</v>
      </c>
      <c r="T1019" s="4">
        <v>0</v>
      </c>
      <c r="U1019" s="4">
        <v>68.599999999999994</v>
      </c>
      <c r="V1019" s="4">
        <v>24.39</v>
      </c>
      <c r="W1019" t="s">
        <v>21</v>
      </c>
      <c r="X1019" t="s">
        <v>36</v>
      </c>
      <c r="Y1019" s="4">
        <v>15</v>
      </c>
      <c r="Z1019" s="4">
        <v>56</v>
      </c>
      <c r="AA1019" t="s">
        <v>37</v>
      </c>
      <c r="AB1019" t="s">
        <v>44</v>
      </c>
      <c r="AC1019" s="7">
        <v>2</v>
      </c>
      <c r="AD1019" t="s">
        <v>45</v>
      </c>
      <c r="AE1019">
        <f t="shared" si="15"/>
        <v>1</v>
      </c>
    </row>
    <row r="1020" spans="1:31" x14ac:dyDescent="0.35">
      <c r="A1020">
        <v>101019</v>
      </c>
      <c r="B1020" s="3">
        <v>45959</v>
      </c>
      <c r="C1020">
        <v>1122</v>
      </c>
      <c r="D1020" t="s">
        <v>30</v>
      </c>
      <c r="E1020" t="s">
        <v>40</v>
      </c>
      <c r="F1020" t="s">
        <v>71</v>
      </c>
      <c r="G1020" t="s">
        <v>63</v>
      </c>
      <c r="H1020" t="s">
        <v>57</v>
      </c>
      <c r="I1020" t="s">
        <v>69</v>
      </c>
      <c r="J1020" s="4">
        <v>10.98</v>
      </c>
      <c r="K1020" s="4">
        <v>12</v>
      </c>
      <c r="L1020">
        <v>5</v>
      </c>
      <c r="M1020" s="4">
        <v>6.59</v>
      </c>
      <c r="N1020" s="4">
        <v>125.17</v>
      </c>
      <c r="O1020" s="4">
        <v>64.709999999999994</v>
      </c>
      <c r="P1020" s="4">
        <v>4.8</v>
      </c>
      <c r="Q1020" s="4">
        <v>0.53</v>
      </c>
      <c r="R1020" s="4">
        <v>5.94</v>
      </c>
      <c r="S1020" s="4">
        <v>0</v>
      </c>
      <c r="T1020" s="4">
        <v>0</v>
      </c>
      <c r="U1020" s="4">
        <v>75.98</v>
      </c>
      <c r="V1020" s="4">
        <v>49.19</v>
      </c>
      <c r="W1020" t="s">
        <v>21</v>
      </c>
      <c r="X1020" t="s">
        <v>36</v>
      </c>
      <c r="Y1020" s="4">
        <v>8</v>
      </c>
      <c r="Z1020" s="4">
        <v>0</v>
      </c>
      <c r="AA1020" t="s">
        <v>37</v>
      </c>
      <c r="AB1020" t="s">
        <v>38</v>
      </c>
      <c r="AC1020" s="7">
        <v>0</v>
      </c>
      <c r="AD1020" t="s">
        <v>39</v>
      </c>
      <c r="AE1020">
        <f t="shared" si="15"/>
        <v>0</v>
      </c>
    </row>
    <row r="1021" spans="1:31" x14ac:dyDescent="0.35">
      <c r="A1021">
        <v>101020</v>
      </c>
      <c r="B1021" s="3">
        <v>45966</v>
      </c>
      <c r="C1021">
        <v>1021</v>
      </c>
      <c r="D1021" t="s">
        <v>30</v>
      </c>
      <c r="E1021" t="s">
        <v>72</v>
      </c>
      <c r="F1021" t="s">
        <v>41</v>
      </c>
      <c r="G1021" t="s">
        <v>46</v>
      </c>
      <c r="H1021" t="s">
        <v>34</v>
      </c>
      <c r="I1021" t="s">
        <v>54</v>
      </c>
      <c r="J1021" s="4">
        <v>16.52</v>
      </c>
      <c r="K1021" s="4">
        <v>15.38</v>
      </c>
      <c r="L1021">
        <v>0</v>
      </c>
      <c r="M1021" s="4">
        <v>0</v>
      </c>
      <c r="N1021" s="4">
        <v>254.08</v>
      </c>
      <c r="O1021" s="4">
        <v>109.54</v>
      </c>
      <c r="P1021" s="4">
        <v>4.5599999999999996</v>
      </c>
      <c r="Q1021" s="4">
        <v>3.05</v>
      </c>
      <c r="R1021" s="4">
        <v>4.4800000000000004</v>
      </c>
      <c r="S1021" s="4">
        <v>0</v>
      </c>
      <c r="T1021" s="4">
        <v>0</v>
      </c>
      <c r="U1021" s="4">
        <v>121.63</v>
      </c>
      <c r="V1021" s="4">
        <v>132.44999999999999</v>
      </c>
      <c r="W1021" t="s">
        <v>21</v>
      </c>
      <c r="X1021" t="s">
        <v>36</v>
      </c>
      <c r="Y1021" s="4">
        <v>6</v>
      </c>
      <c r="Z1021" s="4">
        <v>1</v>
      </c>
      <c r="AA1021" t="s">
        <v>37</v>
      </c>
      <c r="AB1021" t="s">
        <v>38</v>
      </c>
      <c r="AC1021" s="7">
        <v>0</v>
      </c>
      <c r="AD1021" t="s">
        <v>39</v>
      </c>
      <c r="AE1021">
        <f t="shared" si="15"/>
        <v>0</v>
      </c>
    </row>
    <row r="1022" spans="1:31" x14ac:dyDescent="0.35">
      <c r="A1022">
        <v>101021</v>
      </c>
      <c r="B1022" s="3">
        <v>46007</v>
      </c>
      <c r="C1022">
        <v>1050</v>
      </c>
      <c r="D1022" t="s">
        <v>59</v>
      </c>
      <c r="E1022" t="s">
        <v>68</v>
      </c>
      <c r="F1022" t="s">
        <v>61</v>
      </c>
      <c r="G1022" t="s">
        <v>46</v>
      </c>
      <c r="H1022" t="s">
        <v>34</v>
      </c>
      <c r="I1022" t="s">
        <v>42</v>
      </c>
      <c r="J1022" s="4">
        <v>26.19</v>
      </c>
      <c r="K1022" s="4">
        <v>16.37</v>
      </c>
      <c r="L1022">
        <v>5</v>
      </c>
      <c r="M1022" s="4">
        <v>21.44</v>
      </c>
      <c r="N1022" s="4">
        <v>407.29</v>
      </c>
      <c r="O1022" s="4">
        <v>179.87</v>
      </c>
      <c r="P1022" s="4">
        <v>8.91</v>
      </c>
      <c r="Q1022" s="4">
        <v>6.43</v>
      </c>
      <c r="R1022" s="4">
        <v>9.77</v>
      </c>
      <c r="S1022" s="4">
        <v>0</v>
      </c>
      <c r="T1022" s="4">
        <v>0</v>
      </c>
      <c r="U1022" s="4">
        <v>204.98</v>
      </c>
      <c r="V1022" s="4">
        <v>202.31</v>
      </c>
      <c r="W1022" t="s">
        <v>21</v>
      </c>
      <c r="X1022" t="s">
        <v>36</v>
      </c>
      <c r="Y1022" s="4">
        <v>0</v>
      </c>
      <c r="Z1022" s="4">
        <v>0</v>
      </c>
      <c r="AA1022" t="s">
        <v>37</v>
      </c>
      <c r="AB1022" t="s">
        <v>38</v>
      </c>
      <c r="AC1022" s="7">
        <v>0</v>
      </c>
      <c r="AD1022" t="s">
        <v>39</v>
      </c>
      <c r="AE1022">
        <f t="shared" si="15"/>
        <v>0</v>
      </c>
    </row>
    <row r="1023" spans="1:31" x14ac:dyDescent="0.35">
      <c r="A1023">
        <v>101022</v>
      </c>
      <c r="B1023" s="3">
        <v>45944</v>
      </c>
      <c r="C1023">
        <v>1141</v>
      </c>
      <c r="D1023" t="s">
        <v>59</v>
      </c>
      <c r="E1023" t="s">
        <v>68</v>
      </c>
      <c r="F1023" t="s">
        <v>71</v>
      </c>
      <c r="G1023" t="s">
        <v>46</v>
      </c>
      <c r="H1023" t="s">
        <v>34</v>
      </c>
      <c r="I1023" t="s">
        <v>35</v>
      </c>
      <c r="J1023" s="4">
        <v>25.07</v>
      </c>
      <c r="K1023" s="4">
        <v>16.12</v>
      </c>
      <c r="L1023">
        <v>10</v>
      </c>
      <c r="M1023" s="4">
        <v>40.409999999999997</v>
      </c>
      <c r="N1023" s="4">
        <v>363.72</v>
      </c>
      <c r="O1023" s="4">
        <v>172.37</v>
      </c>
      <c r="P1023" s="4">
        <v>5.49</v>
      </c>
      <c r="Q1023" s="4">
        <v>2.83</v>
      </c>
      <c r="R1023" s="4">
        <v>6.48</v>
      </c>
      <c r="S1023" s="4">
        <v>0</v>
      </c>
      <c r="T1023" s="4">
        <v>0</v>
      </c>
      <c r="U1023" s="4">
        <v>187.17</v>
      </c>
      <c r="V1023" s="4">
        <v>176.55</v>
      </c>
      <c r="W1023" t="s">
        <v>21</v>
      </c>
      <c r="X1023" t="s">
        <v>36</v>
      </c>
      <c r="Y1023" s="4">
        <v>25</v>
      </c>
      <c r="Z1023" s="4">
        <v>22</v>
      </c>
      <c r="AA1023" t="s">
        <v>52</v>
      </c>
      <c r="AB1023" t="s">
        <v>44</v>
      </c>
      <c r="AC1023" s="7">
        <v>3</v>
      </c>
      <c r="AD1023" t="s">
        <v>45</v>
      </c>
      <c r="AE1023">
        <f t="shared" si="15"/>
        <v>1</v>
      </c>
    </row>
    <row r="1024" spans="1:31" x14ac:dyDescent="0.35">
      <c r="A1024">
        <v>101023</v>
      </c>
      <c r="B1024" s="3">
        <v>45959</v>
      </c>
      <c r="C1024">
        <v>1105</v>
      </c>
      <c r="D1024" t="s">
        <v>47</v>
      </c>
      <c r="E1024" t="s">
        <v>74</v>
      </c>
      <c r="F1024" t="s">
        <v>32</v>
      </c>
      <c r="G1024" t="s">
        <v>33</v>
      </c>
      <c r="H1024" t="s">
        <v>34</v>
      </c>
      <c r="I1024" t="s">
        <v>35</v>
      </c>
      <c r="J1024" s="4">
        <v>24.92</v>
      </c>
      <c r="K1024" s="4">
        <v>20.41</v>
      </c>
      <c r="L1024">
        <v>15</v>
      </c>
      <c r="M1024" s="4">
        <v>76.290000000000006</v>
      </c>
      <c r="N1024" s="4">
        <v>432.33</v>
      </c>
      <c r="O1024" s="4">
        <v>191.68</v>
      </c>
      <c r="P1024" s="4">
        <v>5.61</v>
      </c>
      <c r="Q1024" s="4">
        <v>3.56</v>
      </c>
      <c r="R1024" s="4">
        <v>12.98</v>
      </c>
      <c r="S1024" s="4">
        <v>0</v>
      </c>
      <c r="T1024" s="4">
        <v>0</v>
      </c>
      <c r="U1024" s="4">
        <v>213.83</v>
      </c>
      <c r="V1024" s="4">
        <v>218.5</v>
      </c>
      <c r="W1024" t="s">
        <v>21</v>
      </c>
      <c r="X1024" t="s">
        <v>36</v>
      </c>
      <c r="Y1024" s="4">
        <v>2</v>
      </c>
      <c r="Z1024" s="4">
        <v>5</v>
      </c>
      <c r="AA1024" t="s">
        <v>37</v>
      </c>
      <c r="AB1024" t="s">
        <v>38</v>
      </c>
      <c r="AC1024" s="7">
        <v>0</v>
      </c>
      <c r="AD1024" t="s">
        <v>39</v>
      </c>
      <c r="AE1024">
        <f t="shared" si="15"/>
        <v>0</v>
      </c>
    </row>
    <row r="1025" spans="1:31" x14ac:dyDescent="0.35">
      <c r="A1025">
        <v>101024</v>
      </c>
      <c r="B1025" s="3">
        <v>45963</v>
      </c>
      <c r="C1025">
        <v>1059</v>
      </c>
      <c r="D1025" t="s">
        <v>30</v>
      </c>
      <c r="E1025" t="s">
        <v>31</v>
      </c>
      <c r="F1025" t="s">
        <v>61</v>
      </c>
      <c r="G1025" t="s">
        <v>63</v>
      </c>
      <c r="H1025" t="s">
        <v>34</v>
      </c>
      <c r="I1025" t="s">
        <v>69</v>
      </c>
      <c r="J1025" s="4">
        <v>13.41</v>
      </c>
      <c r="K1025" s="4">
        <v>12.9</v>
      </c>
      <c r="L1025">
        <v>5</v>
      </c>
      <c r="M1025" s="4">
        <v>8.65</v>
      </c>
      <c r="N1025" s="4">
        <v>164.34</v>
      </c>
      <c r="O1025" s="4">
        <v>107.47</v>
      </c>
      <c r="P1025" s="4">
        <v>5.17</v>
      </c>
      <c r="Q1025" s="4">
        <v>0.69</v>
      </c>
      <c r="R1025" s="4">
        <v>2.92</v>
      </c>
      <c r="S1025" s="4">
        <v>0</v>
      </c>
      <c r="T1025" s="4">
        <v>0</v>
      </c>
      <c r="U1025" s="4">
        <v>116.25</v>
      </c>
      <c r="V1025" s="4">
        <v>48.09</v>
      </c>
      <c r="W1025" t="s">
        <v>21</v>
      </c>
      <c r="X1025" t="s">
        <v>36</v>
      </c>
      <c r="Y1025" s="4">
        <v>30</v>
      </c>
      <c r="Z1025" s="4">
        <v>17</v>
      </c>
      <c r="AA1025" t="s">
        <v>52</v>
      </c>
      <c r="AB1025" t="s">
        <v>44</v>
      </c>
      <c r="AC1025" s="7">
        <v>1</v>
      </c>
      <c r="AD1025" t="s">
        <v>45</v>
      </c>
      <c r="AE1025">
        <f t="shared" si="15"/>
        <v>1</v>
      </c>
    </row>
    <row r="1026" spans="1:31" x14ac:dyDescent="0.35">
      <c r="A1026">
        <v>101025</v>
      </c>
      <c r="B1026" s="3">
        <v>45974</v>
      </c>
      <c r="C1026">
        <v>1143</v>
      </c>
      <c r="D1026" t="s">
        <v>47</v>
      </c>
      <c r="E1026" t="s">
        <v>56</v>
      </c>
      <c r="F1026" t="s">
        <v>32</v>
      </c>
      <c r="G1026" t="s">
        <v>46</v>
      </c>
      <c r="H1026" t="s">
        <v>34</v>
      </c>
      <c r="I1026" t="s">
        <v>54</v>
      </c>
      <c r="J1026" s="4">
        <v>36.36</v>
      </c>
      <c r="K1026" s="4">
        <v>15.1</v>
      </c>
      <c r="L1026">
        <v>5</v>
      </c>
      <c r="M1026" s="4">
        <v>27.45</v>
      </c>
      <c r="N1026" s="4">
        <v>521.59</v>
      </c>
      <c r="O1026" s="4">
        <v>276.89999999999998</v>
      </c>
      <c r="P1026" s="4">
        <v>10.71</v>
      </c>
      <c r="Q1026" s="4">
        <v>6.59</v>
      </c>
      <c r="R1026" s="4">
        <v>9.17</v>
      </c>
      <c r="S1026" s="4">
        <v>0</v>
      </c>
      <c r="T1026" s="4">
        <v>0</v>
      </c>
      <c r="U1026" s="4">
        <v>303.37</v>
      </c>
      <c r="V1026" s="4">
        <v>218.22</v>
      </c>
      <c r="W1026" t="s">
        <v>21</v>
      </c>
      <c r="X1026" t="s">
        <v>36</v>
      </c>
      <c r="Y1026" s="4">
        <v>8</v>
      </c>
      <c r="Z1026" s="4">
        <v>14</v>
      </c>
      <c r="AA1026" t="s">
        <v>37</v>
      </c>
      <c r="AB1026" t="s">
        <v>38</v>
      </c>
      <c r="AC1026" s="7">
        <v>0</v>
      </c>
      <c r="AD1026" t="s">
        <v>39</v>
      </c>
      <c r="AE1026">
        <f t="shared" si="15"/>
        <v>0</v>
      </c>
    </row>
    <row r="1027" spans="1:31" x14ac:dyDescent="0.35">
      <c r="A1027">
        <v>101026</v>
      </c>
      <c r="B1027" s="3">
        <v>45980</v>
      </c>
      <c r="C1027">
        <v>1005</v>
      </c>
      <c r="D1027" t="s">
        <v>30</v>
      </c>
      <c r="E1027" t="s">
        <v>31</v>
      </c>
      <c r="F1027" t="s">
        <v>61</v>
      </c>
      <c r="G1027" t="s">
        <v>50</v>
      </c>
      <c r="H1027" t="s">
        <v>34</v>
      </c>
      <c r="I1027" t="s">
        <v>69</v>
      </c>
      <c r="J1027" s="4">
        <v>29.53</v>
      </c>
      <c r="K1027" s="4">
        <v>17.66</v>
      </c>
      <c r="L1027">
        <v>20</v>
      </c>
      <c r="M1027" s="4">
        <v>104.3</v>
      </c>
      <c r="N1027" s="4">
        <v>417.2</v>
      </c>
      <c r="O1027" s="4">
        <v>205.52</v>
      </c>
      <c r="P1027" s="4">
        <v>10.11</v>
      </c>
      <c r="Q1027" s="4">
        <v>2.09</v>
      </c>
      <c r="R1027" s="4">
        <v>8.7200000000000006</v>
      </c>
      <c r="S1027" s="4">
        <v>507.58</v>
      </c>
      <c r="T1027" s="4">
        <v>0</v>
      </c>
      <c r="U1027" s="4">
        <v>734.02</v>
      </c>
      <c r="V1027" s="4">
        <v>-316.82</v>
      </c>
      <c r="W1027" t="s">
        <v>58</v>
      </c>
      <c r="X1027" t="s">
        <v>55</v>
      </c>
      <c r="Y1027" s="4">
        <v>13</v>
      </c>
      <c r="Z1027" s="4">
        <v>4</v>
      </c>
      <c r="AA1027" t="s">
        <v>37</v>
      </c>
      <c r="AB1027" t="s">
        <v>44</v>
      </c>
      <c r="AC1027" s="7">
        <v>3</v>
      </c>
      <c r="AD1027" t="s">
        <v>45</v>
      </c>
      <c r="AE1027">
        <f t="shared" ref="AE1027:AE1090" si="16">IF(AB1027="Yes",1,0)</f>
        <v>1</v>
      </c>
    </row>
    <row r="1028" spans="1:31" x14ac:dyDescent="0.35">
      <c r="A1028">
        <v>101027</v>
      </c>
      <c r="B1028" s="3">
        <v>45934</v>
      </c>
      <c r="C1028">
        <v>1010</v>
      </c>
      <c r="D1028" t="s">
        <v>59</v>
      </c>
      <c r="E1028" t="s">
        <v>60</v>
      </c>
      <c r="F1028" t="s">
        <v>41</v>
      </c>
      <c r="G1028" t="s">
        <v>63</v>
      </c>
      <c r="H1028" t="s">
        <v>34</v>
      </c>
      <c r="I1028" t="s">
        <v>69</v>
      </c>
      <c r="J1028" s="4">
        <v>26.08</v>
      </c>
      <c r="K1028" s="4">
        <v>13.12</v>
      </c>
      <c r="L1028">
        <v>0</v>
      </c>
      <c r="M1028" s="4">
        <v>0</v>
      </c>
      <c r="N1028" s="4">
        <v>342.17</v>
      </c>
      <c r="O1028" s="4">
        <v>168.83</v>
      </c>
      <c r="P1028" s="4">
        <v>8.09</v>
      </c>
      <c r="Q1028" s="4">
        <v>1.37</v>
      </c>
      <c r="R1028" s="4">
        <v>3.27</v>
      </c>
      <c r="S1028" s="4">
        <v>289.39</v>
      </c>
      <c r="T1028" s="4">
        <v>0</v>
      </c>
      <c r="U1028" s="4">
        <v>470.95</v>
      </c>
      <c r="V1028" s="4">
        <v>-128.78</v>
      </c>
      <c r="W1028" t="s">
        <v>58</v>
      </c>
      <c r="X1028" t="s">
        <v>55</v>
      </c>
      <c r="Y1028" s="4">
        <v>9</v>
      </c>
      <c r="Z1028" s="4">
        <v>4</v>
      </c>
      <c r="AA1028" t="s">
        <v>37</v>
      </c>
      <c r="AB1028" t="s">
        <v>44</v>
      </c>
      <c r="AC1028" s="7">
        <v>1</v>
      </c>
      <c r="AD1028" t="s">
        <v>45</v>
      </c>
      <c r="AE1028">
        <f t="shared" si="16"/>
        <v>1</v>
      </c>
    </row>
    <row r="1029" spans="1:31" x14ac:dyDescent="0.35">
      <c r="A1029">
        <v>101028</v>
      </c>
      <c r="B1029" s="3">
        <v>45936</v>
      </c>
      <c r="C1029">
        <v>1064</v>
      </c>
      <c r="D1029" t="s">
        <v>64</v>
      </c>
      <c r="E1029" t="s">
        <v>67</v>
      </c>
      <c r="F1029" t="s">
        <v>61</v>
      </c>
      <c r="G1029" t="s">
        <v>50</v>
      </c>
      <c r="H1029" t="s">
        <v>57</v>
      </c>
      <c r="I1029" t="s">
        <v>35</v>
      </c>
      <c r="J1029" s="4">
        <v>24.48</v>
      </c>
      <c r="K1029" s="4">
        <v>17.899999999999999</v>
      </c>
      <c r="L1029">
        <v>10</v>
      </c>
      <c r="M1029" s="4">
        <v>43.82</v>
      </c>
      <c r="N1029" s="4">
        <v>394.37</v>
      </c>
      <c r="O1029" s="4">
        <v>156.63</v>
      </c>
      <c r="P1029" s="4">
        <v>8.77</v>
      </c>
      <c r="Q1029" s="4">
        <v>3.07</v>
      </c>
      <c r="R1029" s="4">
        <v>4.1900000000000004</v>
      </c>
      <c r="S1029" s="4">
        <v>0</v>
      </c>
      <c r="T1029" s="4">
        <v>0</v>
      </c>
      <c r="U1029" s="4">
        <v>172.66</v>
      </c>
      <c r="V1029" s="4">
        <v>221.71</v>
      </c>
      <c r="W1029" t="s">
        <v>21</v>
      </c>
      <c r="X1029" t="s">
        <v>36</v>
      </c>
      <c r="Y1029" s="4">
        <v>13</v>
      </c>
      <c r="Z1029" s="4">
        <v>4</v>
      </c>
      <c r="AA1029" t="s">
        <v>37</v>
      </c>
      <c r="AB1029" t="s">
        <v>38</v>
      </c>
      <c r="AC1029" s="7">
        <v>0</v>
      </c>
      <c r="AD1029" t="s">
        <v>39</v>
      </c>
      <c r="AE1029">
        <f t="shared" si="16"/>
        <v>0</v>
      </c>
    </row>
    <row r="1030" spans="1:31" x14ac:dyDescent="0.35">
      <c r="A1030">
        <v>101029</v>
      </c>
      <c r="B1030" s="3">
        <v>45933</v>
      </c>
      <c r="C1030">
        <v>1097</v>
      </c>
      <c r="D1030" t="s">
        <v>30</v>
      </c>
      <c r="E1030" t="s">
        <v>31</v>
      </c>
      <c r="F1030" t="s">
        <v>61</v>
      </c>
      <c r="G1030" t="s">
        <v>50</v>
      </c>
      <c r="H1030" t="s">
        <v>34</v>
      </c>
      <c r="I1030" t="s">
        <v>35</v>
      </c>
      <c r="J1030" s="4">
        <v>35.159999999999997</v>
      </c>
      <c r="K1030" s="4">
        <v>17.8</v>
      </c>
      <c r="L1030">
        <v>5</v>
      </c>
      <c r="M1030" s="4">
        <v>31.29</v>
      </c>
      <c r="N1030" s="4">
        <v>594.55999999999995</v>
      </c>
      <c r="O1030" s="4">
        <v>252.99</v>
      </c>
      <c r="P1030" s="4">
        <v>7.27</v>
      </c>
      <c r="Q1030" s="4">
        <v>4.38</v>
      </c>
      <c r="R1030" s="4">
        <v>5.5</v>
      </c>
      <c r="S1030" s="4">
        <v>0</v>
      </c>
      <c r="T1030" s="4">
        <v>0</v>
      </c>
      <c r="U1030" s="4">
        <v>270.14</v>
      </c>
      <c r="V1030" s="4">
        <v>324.42</v>
      </c>
      <c r="W1030" t="s">
        <v>21</v>
      </c>
      <c r="X1030" t="s">
        <v>36</v>
      </c>
      <c r="Y1030" s="4">
        <v>1</v>
      </c>
      <c r="Z1030" s="4">
        <v>32</v>
      </c>
      <c r="AA1030" t="s">
        <v>37</v>
      </c>
      <c r="AB1030" t="s">
        <v>44</v>
      </c>
      <c r="AC1030" s="7">
        <v>2</v>
      </c>
      <c r="AD1030" t="s">
        <v>45</v>
      </c>
      <c r="AE1030">
        <f t="shared" si="16"/>
        <v>1</v>
      </c>
    </row>
    <row r="1031" spans="1:31" x14ac:dyDescent="0.35">
      <c r="A1031">
        <v>101030</v>
      </c>
      <c r="B1031" s="3">
        <v>45999</v>
      </c>
      <c r="C1031">
        <v>1101</v>
      </c>
      <c r="D1031" t="s">
        <v>47</v>
      </c>
      <c r="E1031" t="s">
        <v>53</v>
      </c>
      <c r="F1031" t="s">
        <v>41</v>
      </c>
      <c r="G1031" t="s">
        <v>33</v>
      </c>
      <c r="H1031" t="s">
        <v>34</v>
      </c>
      <c r="I1031" t="s">
        <v>54</v>
      </c>
      <c r="J1031" s="4">
        <v>21.17</v>
      </c>
      <c r="K1031" s="4">
        <v>19.670000000000002</v>
      </c>
      <c r="L1031">
        <v>0</v>
      </c>
      <c r="M1031" s="4">
        <v>0</v>
      </c>
      <c r="N1031" s="4">
        <v>416.41</v>
      </c>
      <c r="O1031" s="4">
        <v>158.81</v>
      </c>
      <c r="P1031" s="4">
        <v>4.6100000000000003</v>
      </c>
      <c r="Q1031" s="4">
        <v>5</v>
      </c>
      <c r="R1031" s="4">
        <v>12.48</v>
      </c>
      <c r="S1031" s="4">
        <v>0</v>
      </c>
      <c r="T1031" s="4">
        <v>0</v>
      </c>
      <c r="U1031" s="4">
        <v>180.9</v>
      </c>
      <c r="V1031" s="4">
        <v>235.51</v>
      </c>
      <c r="W1031" t="s">
        <v>21</v>
      </c>
      <c r="X1031" t="s">
        <v>36</v>
      </c>
      <c r="Y1031" s="4">
        <v>7</v>
      </c>
      <c r="Z1031" s="4">
        <v>16</v>
      </c>
      <c r="AA1031" t="s">
        <v>37</v>
      </c>
      <c r="AB1031" t="s">
        <v>44</v>
      </c>
      <c r="AC1031" s="7">
        <v>2</v>
      </c>
      <c r="AD1031" t="s">
        <v>45</v>
      </c>
      <c r="AE1031">
        <f t="shared" si="16"/>
        <v>1</v>
      </c>
    </row>
    <row r="1032" spans="1:31" x14ac:dyDescent="0.35">
      <c r="A1032">
        <v>101031</v>
      </c>
      <c r="B1032" s="3">
        <v>45991</v>
      </c>
      <c r="C1032">
        <v>1098</v>
      </c>
      <c r="D1032" t="s">
        <v>30</v>
      </c>
      <c r="E1032" t="s">
        <v>31</v>
      </c>
      <c r="F1032" t="s">
        <v>41</v>
      </c>
      <c r="G1032" t="s">
        <v>33</v>
      </c>
      <c r="H1032" t="s">
        <v>57</v>
      </c>
      <c r="I1032" t="s">
        <v>69</v>
      </c>
      <c r="J1032" s="4">
        <v>24.17</v>
      </c>
      <c r="K1032" s="4">
        <v>20.99</v>
      </c>
      <c r="L1032">
        <v>0</v>
      </c>
      <c r="M1032" s="4">
        <v>0</v>
      </c>
      <c r="N1032" s="4">
        <v>507.33</v>
      </c>
      <c r="O1032" s="4">
        <v>194.94</v>
      </c>
      <c r="P1032" s="4">
        <v>4.34</v>
      </c>
      <c r="Q1032" s="4">
        <v>2.0299999999999998</v>
      </c>
      <c r="R1032" s="4">
        <v>2.2599999999999998</v>
      </c>
      <c r="S1032" s="4">
        <v>0</v>
      </c>
      <c r="T1032" s="4">
        <v>0</v>
      </c>
      <c r="U1032" s="4">
        <v>203.57</v>
      </c>
      <c r="V1032" s="4">
        <v>303.76</v>
      </c>
      <c r="W1032" t="s">
        <v>21</v>
      </c>
      <c r="X1032" t="s">
        <v>36</v>
      </c>
      <c r="Y1032" s="4">
        <v>21</v>
      </c>
      <c r="Z1032" s="4">
        <v>9</v>
      </c>
      <c r="AA1032" t="s">
        <v>52</v>
      </c>
      <c r="AB1032" t="s">
        <v>44</v>
      </c>
      <c r="AC1032" s="7">
        <v>1</v>
      </c>
      <c r="AD1032" t="s">
        <v>45</v>
      </c>
      <c r="AE1032">
        <f t="shared" si="16"/>
        <v>1</v>
      </c>
    </row>
    <row r="1033" spans="1:31" x14ac:dyDescent="0.35">
      <c r="A1033">
        <v>101032</v>
      </c>
      <c r="B1033" s="3">
        <v>46006</v>
      </c>
      <c r="C1033">
        <v>1013</v>
      </c>
      <c r="D1033" t="s">
        <v>30</v>
      </c>
      <c r="E1033" t="s">
        <v>31</v>
      </c>
      <c r="F1033" t="s">
        <v>32</v>
      </c>
      <c r="G1033" t="s">
        <v>33</v>
      </c>
      <c r="H1033" t="s">
        <v>34</v>
      </c>
      <c r="I1033" t="s">
        <v>35</v>
      </c>
      <c r="J1033" s="4">
        <v>28.69</v>
      </c>
      <c r="K1033" s="4">
        <v>18.77</v>
      </c>
      <c r="L1033">
        <v>10</v>
      </c>
      <c r="M1033" s="4">
        <v>53.85</v>
      </c>
      <c r="N1033" s="4">
        <v>484.66</v>
      </c>
      <c r="O1033" s="4">
        <v>229.96</v>
      </c>
      <c r="P1033" s="4">
        <v>14.66</v>
      </c>
      <c r="Q1033" s="4">
        <v>3.77</v>
      </c>
      <c r="R1033" s="4">
        <v>5.6</v>
      </c>
      <c r="S1033" s="4">
        <v>300.81</v>
      </c>
      <c r="T1033" s="4">
        <v>0</v>
      </c>
      <c r="U1033" s="4">
        <v>554.79999999999995</v>
      </c>
      <c r="V1033" s="4">
        <v>-70.14</v>
      </c>
      <c r="W1033" t="s">
        <v>58</v>
      </c>
      <c r="X1033" t="s">
        <v>55</v>
      </c>
      <c r="Y1033" s="4">
        <v>5</v>
      </c>
      <c r="Z1033" s="4">
        <v>8</v>
      </c>
      <c r="AA1033" t="s">
        <v>37</v>
      </c>
      <c r="AB1033" t="s">
        <v>44</v>
      </c>
      <c r="AC1033" s="7">
        <v>1</v>
      </c>
      <c r="AD1033" t="s">
        <v>45</v>
      </c>
      <c r="AE1033">
        <f t="shared" si="16"/>
        <v>1</v>
      </c>
    </row>
    <row r="1034" spans="1:31" x14ac:dyDescent="0.35">
      <c r="A1034">
        <v>101033</v>
      </c>
      <c r="B1034" s="3">
        <v>45983</v>
      </c>
      <c r="C1034">
        <v>1018</v>
      </c>
      <c r="D1034" t="s">
        <v>64</v>
      </c>
      <c r="E1034" t="s">
        <v>75</v>
      </c>
      <c r="F1034" t="s">
        <v>32</v>
      </c>
      <c r="G1034" t="s">
        <v>33</v>
      </c>
      <c r="H1034" t="s">
        <v>34</v>
      </c>
      <c r="I1034" t="s">
        <v>54</v>
      </c>
      <c r="J1034" s="4">
        <v>25.39</v>
      </c>
      <c r="K1034" s="4">
        <v>18.829999999999998</v>
      </c>
      <c r="L1034">
        <v>10</v>
      </c>
      <c r="M1034" s="4">
        <v>47.81</v>
      </c>
      <c r="N1034" s="4">
        <v>430.28</v>
      </c>
      <c r="O1034" s="4">
        <v>181.68</v>
      </c>
      <c r="P1034" s="4">
        <v>13.14</v>
      </c>
      <c r="Q1034" s="4">
        <v>5.74</v>
      </c>
      <c r="R1034" s="4">
        <v>2.1</v>
      </c>
      <c r="S1034" s="4">
        <v>0</v>
      </c>
      <c r="T1034" s="4">
        <v>0</v>
      </c>
      <c r="U1034" s="4">
        <v>202.66</v>
      </c>
      <c r="V1034" s="4">
        <v>227.62</v>
      </c>
      <c r="W1034" t="s">
        <v>21</v>
      </c>
      <c r="X1034" t="s">
        <v>36</v>
      </c>
      <c r="Y1034" s="4">
        <v>1</v>
      </c>
      <c r="Z1034" s="4">
        <v>0</v>
      </c>
      <c r="AA1034" t="s">
        <v>37</v>
      </c>
      <c r="AB1034" t="s">
        <v>38</v>
      </c>
      <c r="AC1034" s="7">
        <v>0</v>
      </c>
      <c r="AD1034" t="s">
        <v>39</v>
      </c>
      <c r="AE1034">
        <f t="shared" si="16"/>
        <v>0</v>
      </c>
    </row>
    <row r="1035" spans="1:31" x14ac:dyDescent="0.35">
      <c r="A1035">
        <v>101034</v>
      </c>
      <c r="B1035" s="3">
        <v>45943</v>
      </c>
      <c r="C1035">
        <v>1069</v>
      </c>
      <c r="D1035" t="s">
        <v>64</v>
      </c>
      <c r="E1035" t="s">
        <v>75</v>
      </c>
      <c r="F1035" t="s">
        <v>61</v>
      </c>
      <c r="G1035" t="s">
        <v>50</v>
      </c>
      <c r="H1035" t="s">
        <v>51</v>
      </c>
      <c r="I1035" t="s">
        <v>54</v>
      </c>
      <c r="J1035" s="4">
        <v>34.42</v>
      </c>
      <c r="K1035" s="4">
        <v>18.46</v>
      </c>
      <c r="L1035">
        <v>0</v>
      </c>
      <c r="M1035" s="4">
        <v>0</v>
      </c>
      <c r="N1035" s="4">
        <v>635.39</v>
      </c>
      <c r="O1035" s="4">
        <v>284.26</v>
      </c>
      <c r="P1035" s="4">
        <v>5.32</v>
      </c>
      <c r="Q1035" s="4">
        <v>7.62</v>
      </c>
      <c r="R1035" s="4">
        <v>4.95</v>
      </c>
      <c r="S1035" s="4">
        <v>0</v>
      </c>
      <c r="T1035" s="4">
        <v>0</v>
      </c>
      <c r="U1035" s="4">
        <v>302.14999999999998</v>
      </c>
      <c r="V1035" s="4">
        <v>333.24</v>
      </c>
      <c r="W1035" t="s">
        <v>21</v>
      </c>
      <c r="X1035" t="s">
        <v>36</v>
      </c>
      <c r="Y1035" s="4">
        <v>0</v>
      </c>
      <c r="Z1035" s="4">
        <v>2</v>
      </c>
      <c r="AA1035" t="s">
        <v>37</v>
      </c>
      <c r="AB1035" t="s">
        <v>38</v>
      </c>
      <c r="AC1035" s="7">
        <v>0</v>
      </c>
      <c r="AD1035" t="s">
        <v>39</v>
      </c>
      <c r="AE1035">
        <f t="shared" si="16"/>
        <v>0</v>
      </c>
    </row>
    <row r="1036" spans="1:31" x14ac:dyDescent="0.35">
      <c r="A1036">
        <v>101035</v>
      </c>
      <c r="B1036" s="3">
        <v>45965</v>
      </c>
      <c r="C1036">
        <v>1108</v>
      </c>
      <c r="D1036" t="s">
        <v>30</v>
      </c>
      <c r="E1036" t="s">
        <v>31</v>
      </c>
      <c r="F1036" t="s">
        <v>61</v>
      </c>
      <c r="G1036" t="s">
        <v>63</v>
      </c>
      <c r="H1036" t="s">
        <v>34</v>
      </c>
      <c r="I1036" t="s">
        <v>69</v>
      </c>
      <c r="J1036" s="4">
        <v>10.16</v>
      </c>
      <c r="K1036" s="4">
        <v>11.61</v>
      </c>
      <c r="L1036">
        <v>0</v>
      </c>
      <c r="M1036" s="4">
        <v>0</v>
      </c>
      <c r="N1036" s="4">
        <v>117.96</v>
      </c>
      <c r="O1036" s="4">
        <v>68.489999999999995</v>
      </c>
      <c r="P1036" s="4">
        <v>8.84</v>
      </c>
      <c r="Q1036" s="4">
        <v>0.47</v>
      </c>
      <c r="R1036" s="4">
        <v>15.84</v>
      </c>
      <c r="S1036" s="4">
        <v>0</v>
      </c>
      <c r="T1036" s="4">
        <v>0</v>
      </c>
      <c r="U1036" s="4">
        <v>93.64</v>
      </c>
      <c r="V1036" s="4">
        <v>24.32</v>
      </c>
      <c r="W1036" t="s">
        <v>21</v>
      </c>
      <c r="X1036" t="s">
        <v>36</v>
      </c>
      <c r="Y1036" s="4">
        <v>1</v>
      </c>
      <c r="Z1036" s="4">
        <v>0</v>
      </c>
      <c r="AA1036" t="s">
        <v>37</v>
      </c>
      <c r="AB1036" t="s">
        <v>38</v>
      </c>
      <c r="AC1036" s="7">
        <v>0</v>
      </c>
      <c r="AD1036" t="s">
        <v>39</v>
      </c>
      <c r="AE1036">
        <f t="shared" si="16"/>
        <v>0</v>
      </c>
    </row>
    <row r="1037" spans="1:31" x14ac:dyDescent="0.35">
      <c r="A1037">
        <v>101036</v>
      </c>
      <c r="B1037" s="3">
        <v>45966</v>
      </c>
      <c r="C1037">
        <v>1129</v>
      </c>
      <c r="D1037" t="s">
        <v>47</v>
      </c>
      <c r="E1037" t="s">
        <v>53</v>
      </c>
      <c r="F1037" t="s">
        <v>61</v>
      </c>
      <c r="G1037" t="s">
        <v>63</v>
      </c>
      <c r="H1037" t="s">
        <v>34</v>
      </c>
      <c r="I1037" t="s">
        <v>35</v>
      </c>
      <c r="J1037" s="4">
        <v>3</v>
      </c>
      <c r="K1037" s="4">
        <v>11.69</v>
      </c>
      <c r="L1037">
        <v>15</v>
      </c>
      <c r="M1037" s="4">
        <v>5.26</v>
      </c>
      <c r="N1037" s="4">
        <v>29.81</v>
      </c>
      <c r="O1037" s="4">
        <v>16.73</v>
      </c>
      <c r="P1037" s="4">
        <v>9.11</v>
      </c>
      <c r="Q1037" s="4">
        <v>0.25</v>
      </c>
      <c r="R1037" s="4">
        <v>9.68</v>
      </c>
      <c r="S1037" s="4">
        <v>0</v>
      </c>
      <c r="T1037" s="4">
        <v>0</v>
      </c>
      <c r="U1037" s="4">
        <v>35.770000000000003</v>
      </c>
      <c r="V1037" s="4">
        <v>-5.96</v>
      </c>
      <c r="W1037" t="s">
        <v>58</v>
      </c>
      <c r="X1037" t="s">
        <v>36</v>
      </c>
      <c r="Y1037" s="4">
        <v>10</v>
      </c>
      <c r="Z1037" s="4">
        <v>12</v>
      </c>
      <c r="AA1037" t="s">
        <v>37</v>
      </c>
      <c r="AB1037" t="s">
        <v>38</v>
      </c>
      <c r="AC1037" s="7">
        <v>0</v>
      </c>
      <c r="AD1037" t="s">
        <v>45</v>
      </c>
      <c r="AE1037">
        <f t="shared" si="16"/>
        <v>0</v>
      </c>
    </row>
    <row r="1038" spans="1:31" x14ac:dyDescent="0.35">
      <c r="A1038">
        <v>101037</v>
      </c>
      <c r="B1038" s="3">
        <v>45957</v>
      </c>
      <c r="C1038">
        <v>1017</v>
      </c>
      <c r="D1038" t="s">
        <v>64</v>
      </c>
      <c r="E1038" t="s">
        <v>67</v>
      </c>
      <c r="F1038" t="s">
        <v>71</v>
      </c>
      <c r="G1038" t="s">
        <v>46</v>
      </c>
      <c r="H1038" t="s">
        <v>34</v>
      </c>
      <c r="I1038" t="s">
        <v>35</v>
      </c>
      <c r="J1038" s="4">
        <v>19.86</v>
      </c>
      <c r="K1038" s="4">
        <v>16.32</v>
      </c>
      <c r="L1038">
        <v>0</v>
      </c>
      <c r="M1038" s="4">
        <v>0</v>
      </c>
      <c r="N1038" s="4">
        <v>324.12</v>
      </c>
      <c r="O1038" s="4">
        <v>152.72999999999999</v>
      </c>
      <c r="P1038" s="4">
        <v>5.28</v>
      </c>
      <c r="Q1038" s="4">
        <v>2.27</v>
      </c>
      <c r="R1038" s="4">
        <v>4.96</v>
      </c>
      <c r="S1038" s="4">
        <v>0</v>
      </c>
      <c r="T1038" s="4">
        <v>0</v>
      </c>
      <c r="U1038" s="4">
        <v>165.24</v>
      </c>
      <c r="V1038" s="4">
        <v>158.88</v>
      </c>
      <c r="W1038" t="s">
        <v>21</v>
      </c>
      <c r="X1038" t="s">
        <v>36</v>
      </c>
      <c r="Y1038" s="4">
        <v>1</v>
      </c>
      <c r="Z1038" s="4">
        <v>1</v>
      </c>
      <c r="AA1038" t="s">
        <v>37</v>
      </c>
      <c r="AB1038" t="s">
        <v>38</v>
      </c>
      <c r="AC1038" s="7">
        <v>0</v>
      </c>
      <c r="AD1038" t="s">
        <v>39</v>
      </c>
      <c r="AE1038">
        <f t="shared" si="16"/>
        <v>0</v>
      </c>
    </row>
    <row r="1039" spans="1:31" x14ac:dyDescent="0.35">
      <c r="A1039">
        <v>101038</v>
      </c>
      <c r="B1039" s="3">
        <v>45990</v>
      </c>
      <c r="C1039">
        <v>1017</v>
      </c>
      <c r="D1039" t="s">
        <v>64</v>
      </c>
      <c r="E1039" t="s">
        <v>65</v>
      </c>
      <c r="F1039" t="s">
        <v>61</v>
      </c>
      <c r="G1039" t="s">
        <v>50</v>
      </c>
      <c r="H1039" t="s">
        <v>34</v>
      </c>
      <c r="I1039" t="s">
        <v>54</v>
      </c>
      <c r="J1039" s="4">
        <v>31.24</v>
      </c>
      <c r="K1039" s="4">
        <v>17.809999999999999</v>
      </c>
      <c r="L1039">
        <v>5</v>
      </c>
      <c r="M1039" s="4">
        <v>27.82</v>
      </c>
      <c r="N1039" s="4">
        <v>528.55999999999995</v>
      </c>
      <c r="O1039" s="4">
        <v>187</v>
      </c>
      <c r="P1039" s="4">
        <v>7.78</v>
      </c>
      <c r="Q1039" s="4">
        <v>6.68</v>
      </c>
      <c r="R1039" s="4">
        <v>8.17</v>
      </c>
      <c r="S1039" s="4">
        <v>0</v>
      </c>
      <c r="T1039" s="4">
        <v>0</v>
      </c>
      <c r="U1039" s="4">
        <v>209.63</v>
      </c>
      <c r="V1039" s="4">
        <v>318.93</v>
      </c>
      <c r="W1039" t="s">
        <v>21</v>
      </c>
      <c r="X1039" t="s">
        <v>36</v>
      </c>
      <c r="Y1039" s="4">
        <v>11</v>
      </c>
      <c r="Z1039" s="4">
        <v>5</v>
      </c>
      <c r="AA1039" t="s">
        <v>37</v>
      </c>
      <c r="AB1039" t="s">
        <v>38</v>
      </c>
      <c r="AC1039" s="7">
        <v>0</v>
      </c>
      <c r="AD1039" t="s">
        <v>39</v>
      </c>
      <c r="AE1039">
        <f t="shared" si="16"/>
        <v>0</v>
      </c>
    </row>
    <row r="1040" spans="1:31" x14ac:dyDescent="0.35">
      <c r="A1040">
        <v>101039</v>
      </c>
      <c r="B1040" s="3">
        <v>45961</v>
      </c>
      <c r="C1040">
        <v>1038</v>
      </c>
      <c r="D1040" t="s">
        <v>64</v>
      </c>
      <c r="E1040" t="s">
        <v>76</v>
      </c>
      <c r="F1040" t="s">
        <v>41</v>
      </c>
      <c r="G1040" t="s">
        <v>46</v>
      </c>
      <c r="H1040" t="s">
        <v>34</v>
      </c>
      <c r="I1040" t="s">
        <v>42</v>
      </c>
      <c r="J1040" s="4">
        <v>34.86</v>
      </c>
      <c r="K1040" s="4">
        <v>15.41</v>
      </c>
      <c r="L1040">
        <v>0</v>
      </c>
      <c r="M1040" s="4">
        <v>0</v>
      </c>
      <c r="N1040" s="4">
        <v>537.19000000000005</v>
      </c>
      <c r="O1040" s="4">
        <v>244.92</v>
      </c>
      <c r="P1040" s="4">
        <v>1</v>
      </c>
      <c r="Q1040" s="4">
        <v>8.06</v>
      </c>
      <c r="R1040" s="4">
        <v>7.47</v>
      </c>
      <c r="S1040" s="4">
        <v>0</v>
      </c>
      <c r="T1040" s="4">
        <v>0</v>
      </c>
      <c r="U1040" s="4">
        <v>261.45</v>
      </c>
      <c r="V1040" s="4">
        <v>275.74</v>
      </c>
      <c r="W1040" t="s">
        <v>21</v>
      </c>
      <c r="X1040" t="s">
        <v>36</v>
      </c>
      <c r="Y1040" s="4">
        <v>6</v>
      </c>
      <c r="Z1040" s="4">
        <v>3</v>
      </c>
      <c r="AA1040" t="s">
        <v>37</v>
      </c>
      <c r="AB1040" t="s">
        <v>38</v>
      </c>
      <c r="AC1040" s="7">
        <v>1</v>
      </c>
      <c r="AD1040" t="s">
        <v>39</v>
      </c>
      <c r="AE1040">
        <f t="shared" si="16"/>
        <v>0</v>
      </c>
    </row>
    <row r="1041" spans="1:31" x14ac:dyDescent="0.35">
      <c r="A1041">
        <v>101040</v>
      </c>
      <c r="B1041" s="3">
        <v>46011</v>
      </c>
      <c r="C1041">
        <v>1025</v>
      </c>
      <c r="D1041" t="s">
        <v>47</v>
      </c>
      <c r="E1041" t="s">
        <v>53</v>
      </c>
      <c r="F1041" t="s">
        <v>61</v>
      </c>
      <c r="G1041" t="s">
        <v>63</v>
      </c>
      <c r="H1041" t="s">
        <v>34</v>
      </c>
      <c r="I1041" t="s">
        <v>54</v>
      </c>
      <c r="J1041" s="4">
        <v>14.95</v>
      </c>
      <c r="K1041" s="4">
        <v>12.24</v>
      </c>
      <c r="L1041">
        <v>0</v>
      </c>
      <c r="M1041" s="4">
        <v>0</v>
      </c>
      <c r="N1041" s="4">
        <v>182.99</v>
      </c>
      <c r="O1041" s="4">
        <v>114.67</v>
      </c>
      <c r="P1041" s="4">
        <v>9.3699999999999992</v>
      </c>
      <c r="Q1041" s="4">
        <v>2.2000000000000002</v>
      </c>
      <c r="R1041" s="4">
        <v>4.78</v>
      </c>
      <c r="S1041" s="4">
        <v>0</v>
      </c>
      <c r="T1041" s="4">
        <v>0</v>
      </c>
      <c r="U1041" s="4">
        <v>131.02000000000001</v>
      </c>
      <c r="V1041" s="4">
        <v>51.97</v>
      </c>
      <c r="W1041" t="s">
        <v>21</v>
      </c>
      <c r="X1041" t="s">
        <v>36</v>
      </c>
      <c r="Y1041" s="4">
        <v>10</v>
      </c>
      <c r="Z1041" s="4">
        <v>1</v>
      </c>
      <c r="AA1041" t="s">
        <v>37</v>
      </c>
      <c r="AB1041" t="s">
        <v>38</v>
      </c>
      <c r="AC1041" s="7">
        <v>0</v>
      </c>
      <c r="AD1041" t="s">
        <v>39</v>
      </c>
      <c r="AE1041">
        <f t="shared" si="16"/>
        <v>0</v>
      </c>
    </row>
    <row r="1042" spans="1:31" x14ac:dyDescent="0.35">
      <c r="A1042">
        <v>101041</v>
      </c>
      <c r="B1042" s="3">
        <v>46007</v>
      </c>
      <c r="C1042">
        <v>1102</v>
      </c>
      <c r="D1042" t="s">
        <v>30</v>
      </c>
      <c r="E1042" t="s">
        <v>40</v>
      </c>
      <c r="F1042" t="s">
        <v>61</v>
      </c>
      <c r="G1042" t="s">
        <v>46</v>
      </c>
      <c r="H1042" t="s">
        <v>51</v>
      </c>
      <c r="I1042" t="s">
        <v>35</v>
      </c>
      <c r="J1042" s="4">
        <v>14.44</v>
      </c>
      <c r="K1042" s="4">
        <v>16.149999999999999</v>
      </c>
      <c r="L1042">
        <v>0</v>
      </c>
      <c r="M1042" s="4">
        <v>0</v>
      </c>
      <c r="N1042" s="4">
        <v>233.21</v>
      </c>
      <c r="O1042" s="4">
        <v>97.19</v>
      </c>
      <c r="P1042" s="4">
        <v>8.34</v>
      </c>
      <c r="Q1042" s="4">
        <v>1.63</v>
      </c>
      <c r="R1042" s="4">
        <v>14.48</v>
      </c>
      <c r="S1042" s="4">
        <v>0</v>
      </c>
      <c r="T1042" s="4">
        <v>0</v>
      </c>
      <c r="U1042" s="4">
        <v>121.64</v>
      </c>
      <c r="V1042" s="4">
        <v>111.57</v>
      </c>
      <c r="W1042" t="s">
        <v>21</v>
      </c>
      <c r="X1042" t="s">
        <v>36</v>
      </c>
      <c r="Y1042" s="4">
        <v>11</v>
      </c>
      <c r="Z1042" s="4">
        <v>50</v>
      </c>
      <c r="AA1042" t="s">
        <v>37</v>
      </c>
      <c r="AB1042" t="s">
        <v>44</v>
      </c>
      <c r="AC1042" s="7">
        <v>1</v>
      </c>
      <c r="AD1042" t="s">
        <v>45</v>
      </c>
      <c r="AE1042">
        <f t="shared" si="16"/>
        <v>1</v>
      </c>
    </row>
    <row r="1043" spans="1:31" x14ac:dyDescent="0.35">
      <c r="A1043">
        <v>101042</v>
      </c>
      <c r="B1043" s="3">
        <v>45949</v>
      </c>
      <c r="C1043">
        <v>1043</v>
      </c>
      <c r="D1043" t="s">
        <v>47</v>
      </c>
      <c r="E1043" t="s">
        <v>56</v>
      </c>
      <c r="F1043" t="s">
        <v>32</v>
      </c>
      <c r="G1043" t="s">
        <v>46</v>
      </c>
      <c r="H1043" t="s">
        <v>57</v>
      </c>
      <c r="I1043" t="s">
        <v>54</v>
      </c>
      <c r="J1043" s="4">
        <v>31.76</v>
      </c>
      <c r="K1043" s="4">
        <v>14.32</v>
      </c>
      <c r="L1043">
        <v>0</v>
      </c>
      <c r="M1043" s="4">
        <v>0</v>
      </c>
      <c r="N1043" s="4">
        <v>454.8</v>
      </c>
      <c r="O1043" s="4">
        <v>251.72</v>
      </c>
      <c r="P1043" s="4">
        <v>13.49</v>
      </c>
      <c r="Q1043" s="4">
        <v>5.46</v>
      </c>
      <c r="R1043" s="4">
        <v>6.07</v>
      </c>
      <c r="S1043" s="4">
        <v>0</v>
      </c>
      <c r="T1043" s="4">
        <v>0</v>
      </c>
      <c r="U1043" s="4">
        <v>276.74</v>
      </c>
      <c r="V1043" s="4">
        <v>178.06</v>
      </c>
      <c r="W1043" t="s">
        <v>21</v>
      </c>
      <c r="X1043" t="s">
        <v>36</v>
      </c>
      <c r="Y1043" s="4">
        <v>18</v>
      </c>
      <c r="Z1043" s="4">
        <v>1</v>
      </c>
      <c r="AA1043" t="s">
        <v>52</v>
      </c>
      <c r="AB1043" t="s">
        <v>38</v>
      </c>
      <c r="AC1043" s="7">
        <v>0</v>
      </c>
      <c r="AD1043" t="s">
        <v>39</v>
      </c>
      <c r="AE1043">
        <f t="shared" si="16"/>
        <v>0</v>
      </c>
    </row>
    <row r="1044" spans="1:31" x14ac:dyDescent="0.35">
      <c r="A1044">
        <v>101043</v>
      </c>
      <c r="B1044" s="3">
        <v>45957</v>
      </c>
      <c r="C1044">
        <v>1041</v>
      </c>
      <c r="D1044" t="s">
        <v>59</v>
      </c>
      <c r="E1044" t="s">
        <v>73</v>
      </c>
      <c r="F1044" t="s">
        <v>32</v>
      </c>
      <c r="G1044" t="s">
        <v>63</v>
      </c>
      <c r="H1044" t="s">
        <v>34</v>
      </c>
      <c r="I1044" t="s">
        <v>35</v>
      </c>
      <c r="J1044" s="4">
        <v>13.98</v>
      </c>
      <c r="K1044" s="4">
        <v>13.07</v>
      </c>
      <c r="L1044">
        <v>5</v>
      </c>
      <c r="M1044" s="4">
        <v>9.14</v>
      </c>
      <c r="N1044" s="4">
        <v>173.58</v>
      </c>
      <c r="O1044" s="4">
        <v>106.17</v>
      </c>
      <c r="P1044" s="4">
        <v>12.79</v>
      </c>
      <c r="Q1044" s="4">
        <v>1.28</v>
      </c>
      <c r="R1044" s="4">
        <v>11.59</v>
      </c>
      <c r="S1044" s="4">
        <v>144.06</v>
      </c>
      <c r="T1044" s="4">
        <v>0</v>
      </c>
      <c r="U1044" s="4">
        <v>275.89</v>
      </c>
      <c r="V1044" s="4">
        <v>-102.31</v>
      </c>
      <c r="W1044" t="s">
        <v>58</v>
      </c>
      <c r="X1044" t="s">
        <v>55</v>
      </c>
      <c r="Y1044" s="4">
        <v>8</v>
      </c>
      <c r="Z1044" s="4">
        <v>4</v>
      </c>
      <c r="AA1044" t="s">
        <v>37</v>
      </c>
      <c r="AB1044" t="s">
        <v>44</v>
      </c>
      <c r="AC1044" s="7">
        <v>3</v>
      </c>
      <c r="AD1044" t="s">
        <v>45</v>
      </c>
      <c r="AE1044">
        <f t="shared" si="16"/>
        <v>1</v>
      </c>
    </row>
    <row r="1045" spans="1:31" x14ac:dyDescent="0.35">
      <c r="A1045">
        <v>101044</v>
      </c>
      <c r="B1045" s="3">
        <v>45979</v>
      </c>
      <c r="C1045">
        <v>1006</v>
      </c>
      <c r="D1045" t="s">
        <v>47</v>
      </c>
      <c r="E1045" t="s">
        <v>56</v>
      </c>
      <c r="F1045" t="s">
        <v>71</v>
      </c>
      <c r="G1045" t="s">
        <v>46</v>
      </c>
      <c r="H1045" t="s">
        <v>34</v>
      </c>
      <c r="I1045" t="s">
        <v>69</v>
      </c>
      <c r="J1045" s="4">
        <v>35</v>
      </c>
      <c r="K1045" s="4">
        <v>15.25</v>
      </c>
      <c r="L1045">
        <v>0</v>
      </c>
      <c r="M1045" s="4">
        <v>0</v>
      </c>
      <c r="N1045" s="4">
        <v>533.75</v>
      </c>
      <c r="O1045" s="4">
        <v>305.56</v>
      </c>
      <c r="P1045" s="4">
        <v>3.9</v>
      </c>
      <c r="Q1045" s="4">
        <v>2.14</v>
      </c>
      <c r="R1045" s="4">
        <v>2.04</v>
      </c>
      <c r="S1045" s="4">
        <v>444.43</v>
      </c>
      <c r="T1045" s="4">
        <v>0</v>
      </c>
      <c r="U1045" s="4">
        <v>758.07</v>
      </c>
      <c r="V1045" s="4">
        <v>-224.32</v>
      </c>
      <c r="W1045" t="s">
        <v>58</v>
      </c>
      <c r="X1045" t="s">
        <v>66</v>
      </c>
      <c r="Y1045" s="4">
        <v>2</v>
      </c>
      <c r="Z1045" s="4">
        <v>0</v>
      </c>
      <c r="AA1045" t="s">
        <v>37</v>
      </c>
      <c r="AB1045" t="s">
        <v>38</v>
      </c>
      <c r="AC1045" s="7">
        <v>1</v>
      </c>
      <c r="AD1045" t="s">
        <v>45</v>
      </c>
      <c r="AE1045">
        <f t="shared" si="16"/>
        <v>0</v>
      </c>
    </row>
    <row r="1046" spans="1:31" x14ac:dyDescent="0.35">
      <c r="A1046">
        <v>101045</v>
      </c>
      <c r="B1046" s="3">
        <v>45965</v>
      </c>
      <c r="C1046">
        <v>1069</v>
      </c>
      <c r="D1046" t="s">
        <v>59</v>
      </c>
      <c r="E1046" t="s">
        <v>68</v>
      </c>
      <c r="F1046" t="s">
        <v>41</v>
      </c>
      <c r="G1046" t="s">
        <v>50</v>
      </c>
      <c r="H1046" t="s">
        <v>51</v>
      </c>
      <c r="I1046" t="s">
        <v>42</v>
      </c>
      <c r="J1046" s="4">
        <v>37.57</v>
      </c>
      <c r="K1046" s="4">
        <v>18.47</v>
      </c>
      <c r="L1046">
        <v>20</v>
      </c>
      <c r="M1046" s="4">
        <v>138.78</v>
      </c>
      <c r="N1046" s="4">
        <v>555.14</v>
      </c>
      <c r="O1046" s="4">
        <v>265.02</v>
      </c>
      <c r="P1046" s="4">
        <v>1</v>
      </c>
      <c r="Q1046" s="4">
        <v>10.41</v>
      </c>
      <c r="R1046" s="4">
        <v>8.1</v>
      </c>
      <c r="S1046" s="4">
        <v>0</v>
      </c>
      <c r="T1046" s="4">
        <v>0</v>
      </c>
      <c r="U1046" s="4">
        <v>284.52999999999997</v>
      </c>
      <c r="V1046" s="4">
        <v>270.61</v>
      </c>
      <c r="W1046" t="s">
        <v>21</v>
      </c>
      <c r="X1046" t="s">
        <v>36</v>
      </c>
      <c r="Y1046" s="4">
        <v>16</v>
      </c>
      <c r="Z1046" s="4">
        <v>7</v>
      </c>
      <c r="AA1046" t="s">
        <v>52</v>
      </c>
      <c r="AB1046" t="s">
        <v>38</v>
      </c>
      <c r="AC1046" s="7">
        <v>0</v>
      </c>
      <c r="AD1046" t="s">
        <v>39</v>
      </c>
      <c r="AE1046">
        <f t="shared" si="16"/>
        <v>0</v>
      </c>
    </row>
    <row r="1047" spans="1:31" x14ac:dyDescent="0.35">
      <c r="A1047">
        <v>101046</v>
      </c>
      <c r="B1047" s="3">
        <v>45993</v>
      </c>
      <c r="C1047">
        <v>1085</v>
      </c>
      <c r="D1047" t="s">
        <v>47</v>
      </c>
      <c r="E1047" t="s">
        <v>48</v>
      </c>
      <c r="F1047" t="s">
        <v>71</v>
      </c>
      <c r="G1047" t="s">
        <v>63</v>
      </c>
      <c r="H1047" t="s">
        <v>57</v>
      </c>
      <c r="I1047" t="s">
        <v>69</v>
      </c>
      <c r="J1047" s="4">
        <v>15.25</v>
      </c>
      <c r="K1047" s="4">
        <v>12.96</v>
      </c>
      <c r="L1047">
        <v>5</v>
      </c>
      <c r="M1047" s="4">
        <v>9.8800000000000008</v>
      </c>
      <c r="N1047" s="4">
        <v>187.76</v>
      </c>
      <c r="O1047" s="4">
        <v>100.67</v>
      </c>
      <c r="P1047" s="4">
        <v>9.6999999999999993</v>
      </c>
      <c r="Q1047" s="4">
        <v>0.79</v>
      </c>
      <c r="R1047" s="4">
        <v>7.51</v>
      </c>
      <c r="S1047" s="4">
        <v>0</v>
      </c>
      <c r="T1047" s="4">
        <v>0</v>
      </c>
      <c r="U1047" s="4">
        <v>118.67</v>
      </c>
      <c r="V1047" s="4">
        <v>69.09</v>
      </c>
      <c r="W1047" t="s">
        <v>21</v>
      </c>
      <c r="X1047" t="s">
        <v>36</v>
      </c>
      <c r="Y1047" s="4">
        <v>0</v>
      </c>
      <c r="Z1047" s="4">
        <v>14</v>
      </c>
      <c r="AA1047" t="s">
        <v>37</v>
      </c>
      <c r="AB1047" t="s">
        <v>38</v>
      </c>
      <c r="AC1047" s="7">
        <v>0</v>
      </c>
      <c r="AD1047" t="s">
        <v>39</v>
      </c>
      <c r="AE1047">
        <f t="shared" si="16"/>
        <v>0</v>
      </c>
    </row>
    <row r="1048" spans="1:31" x14ac:dyDescent="0.35">
      <c r="A1048">
        <v>101047</v>
      </c>
      <c r="B1048" s="3">
        <v>46016</v>
      </c>
      <c r="C1048">
        <v>1013</v>
      </c>
      <c r="D1048" t="s">
        <v>47</v>
      </c>
      <c r="E1048" t="s">
        <v>56</v>
      </c>
      <c r="F1048" t="s">
        <v>61</v>
      </c>
      <c r="G1048" t="s">
        <v>46</v>
      </c>
      <c r="H1048" t="s">
        <v>57</v>
      </c>
      <c r="I1048" t="s">
        <v>35</v>
      </c>
      <c r="J1048" s="4">
        <v>26.36</v>
      </c>
      <c r="K1048" s="4">
        <v>16.8</v>
      </c>
      <c r="L1048">
        <v>0</v>
      </c>
      <c r="M1048" s="4">
        <v>0</v>
      </c>
      <c r="N1048" s="4">
        <v>442.85</v>
      </c>
      <c r="O1048" s="4">
        <v>190.63</v>
      </c>
      <c r="P1048" s="4">
        <v>9.56</v>
      </c>
      <c r="Q1048" s="4">
        <v>3.1</v>
      </c>
      <c r="R1048" s="4">
        <v>2.34</v>
      </c>
      <c r="S1048" s="4">
        <v>0</v>
      </c>
      <c r="T1048" s="4">
        <v>0</v>
      </c>
      <c r="U1048" s="4">
        <v>205.63</v>
      </c>
      <c r="V1048" s="4">
        <v>237.22</v>
      </c>
      <c r="W1048" t="s">
        <v>21</v>
      </c>
      <c r="X1048" t="s">
        <v>36</v>
      </c>
      <c r="Y1048" s="4">
        <v>12</v>
      </c>
      <c r="Z1048" s="4">
        <v>6</v>
      </c>
      <c r="AA1048" t="s">
        <v>37</v>
      </c>
      <c r="AB1048" t="s">
        <v>38</v>
      </c>
      <c r="AC1048" s="7">
        <v>0</v>
      </c>
      <c r="AD1048" t="s">
        <v>39</v>
      </c>
      <c r="AE1048">
        <f t="shared" si="16"/>
        <v>0</v>
      </c>
    </row>
    <row r="1049" spans="1:31" x14ac:dyDescent="0.35">
      <c r="A1049">
        <v>101048</v>
      </c>
      <c r="B1049" s="3">
        <v>45990</v>
      </c>
      <c r="C1049">
        <v>1082</v>
      </c>
      <c r="D1049" t="s">
        <v>30</v>
      </c>
      <c r="E1049" t="s">
        <v>72</v>
      </c>
      <c r="F1049" t="s">
        <v>49</v>
      </c>
      <c r="G1049" t="s">
        <v>46</v>
      </c>
      <c r="H1049" t="s">
        <v>57</v>
      </c>
      <c r="I1049" t="s">
        <v>42</v>
      </c>
      <c r="J1049" s="4">
        <v>29.8</v>
      </c>
      <c r="K1049" s="4">
        <v>15.13</v>
      </c>
      <c r="L1049">
        <v>10</v>
      </c>
      <c r="M1049" s="4">
        <v>45.09</v>
      </c>
      <c r="N1049" s="4">
        <v>405.78</v>
      </c>
      <c r="O1049" s="4">
        <v>225.38</v>
      </c>
      <c r="P1049" s="4">
        <v>5.7</v>
      </c>
      <c r="Q1049" s="4">
        <v>6.76</v>
      </c>
      <c r="R1049" s="4">
        <v>1.03</v>
      </c>
      <c r="S1049" s="4">
        <v>361.21</v>
      </c>
      <c r="T1049" s="4">
        <v>1.47</v>
      </c>
      <c r="U1049" s="4">
        <v>601.54999999999995</v>
      </c>
      <c r="V1049" s="4">
        <v>-195.77</v>
      </c>
      <c r="W1049" t="s">
        <v>58</v>
      </c>
      <c r="X1049" t="s">
        <v>55</v>
      </c>
      <c r="Y1049" s="4">
        <v>2</v>
      </c>
      <c r="Z1049" s="4">
        <v>29</v>
      </c>
      <c r="AA1049" t="s">
        <v>37</v>
      </c>
      <c r="AB1049" t="s">
        <v>44</v>
      </c>
      <c r="AC1049" s="7">
        <v>2</v>
      </c>
      <c r="AD1049" t="s">
        <v>45</v>
      </c>
      <c r="AE1049">
        <f t="shared" si="16"/>
        <v>1</v>
      </c>
    </row>
    <row r="1050" spans="1:31" x14ac:dyDescent="0.35">
      <c r="A1050">
        <v>101049</v>
      </c>
      <c r="B1050" s="3">
        <v>45976</v>
      </c>
      <c r="C1050">
        <v>1033</v>
      </c>
      <c r="D1050" t="s">
        <v>30</v>
      </c>
      <c r="E1050" t="s">
        <v>62</v>
      </c>
      <c r="F1050" t="s">
        <v>61</v>
      </c>
      <c r="G1050" t="s">
        <v>46</v>
      </c>
      <c r="H1050" t="s">
        <v>51</v>
      </c>
      <c r="I1050" t="s">
        <v>69</v>
      </c>
      <c r="J1050" s="4">
        <v>37.119999999999997</v>
      </c>
      <c r="K1050" s="4">
        <v>16.02</v>
      </c>
      <c r="L1050">
        <v>15</v>
      </c>
      <c r="M1050" s="4">
        <v>89.2</v>
      </c>
      <c r="N1050" s="4">
        <v>505.46</v>
      </c>
      <c r="O1050" s="4">
        <v>284.92</v>
      </c>
      <c r="P1050" s="4">
        <v>3.06</v>
      </c>
      <c r="Q1050" s="4">
        <v>2.38</v>
      </c>
      <c r="R1050" s="4">
        <v>1.86</v>
      </c>
      <c r="S1050" s="4">
        <v>0</v>
      </c>
      <c r="T1050" s="4">
        <v>0</v>
      </c>
      <c r="U1050" s="4">
        <v>292.22000000000003</v>
      </c>
      <c r="V1050" s="4">
        <v>213.24</v>
      </c>
      <c r="W1050" t="s">
        <v>21</v>
      </c>
      <c r="X1050" t="s">
        <v>36</v>
      </c>
      <c r="Y1050" s="4">
        <v>0</v>
      </c>
      <c r="Z1050" s="4">
        <v>3</v>
      </c>
      <c r="AA1050" t="s">
        <v>37</v>
      </c>
      <c r="AB1050" t="s">
        <v>38</v>
      </c>
      <c r="AC1050" s="7">
        <v>0</v>
      </c>
      <c r="AD1050" t="s">
        <v>39</v>
      </c>
      <c r="AE1050">
        <f t="shared" si="16"/>
        <v>0</v>
      </c>
    </row>
    <row r="1051" spans="1:31" x14ac:dyDescent="0.35">
      <c r="A1051">
        <v>101050</v>
      </c>
      <c r="B1051" s="3">
        <v>45976</v>
      </c>
      <c r="C1051">
        <v>1069</v>
      </c>
      <c r="D1051" t="s">
        <v>64</v>
      </c>
      <c r="E1051" t="s">
        <v>76</v>
      </c>
      <c r="F1051" t="s">
        <v>71</v>
      </c>
      <c r="G1051" t="s">
        <v>46</v>
      </c>
      <c r="H1051" t="s">
        <v>34</v>
      </c>
      <c r="I1051" t="s">
        <v>35</v>
      </c>
      <c r="J1051" s="4">
        <v>22.91</v>
      </c>
      <c r="K1051" s="4">
        <v>14.98</v>
      </c>
      <c r="L1051">
        <v>0</v>
      </c>
      <c r="M1051" s="4">
        <v>0</v>
      </c>
      <c r="N1051" s="4">
        <v>343.19</v>
      </c>
      <c r="O1051" s="4">
        <v>180.39</v>
      </c>
      <c r="P1051" s="4">
        <v>10.38</v>
      </c>
      <c r="Q1051" s="4">
        <v>2.4</v>
      </c>
      <c r="R1051" s="4">
        <v>2.71</v>
      </c>
      <c r="S1051" s="4">
        <v>0</v>
      </c>
      <c r="T1051" s="4">
        <v>0</v>
      </c>
      <c r="U1051" s="4">
        <v>195.88</v>
      </c>
      <c r="V1051" s="4">
        <v>147.31</v>
      </c>
      <c r="W1051" t="s">
        <v>21</v>
      </c>
      <c r="X1051" t="s">
        <v>36</v>
      </c>
      <c r="Y1051" s="4">
        <v>14</v>
      </c>
      <c r="Z1051" s="4">
        <v>2</v>
      </c>
      <c r="AA1051" t="s">
        <v>37</v>
      </c>
      <c r="AB1051" t="s">
        <v>38</v>
      </c>
      <c r="AC1051" s="7">
        <v>0</v>
      </c>
      <c r="AD1051" t="s">
        <v>39</v>
      </c>
      <c r="AE1051">
        <f t="shared" si="16"/>
        <v>0</v>
      </c>
    </row>
    <row r="1052" spans="1:31" x14ac:dyDescent="0.35">
      <c r="A1052">
        <v>101051</v>
      </c>
      <c r="B1052" s="3">
        <v>45996</v>
      </c>
      <c r="C1052">
        <v>1136</v>
      </c>
      <c r="D1052" t="s">
        <v>64</v>
      </c>
      <c r="E1052" t="s">
        <v>76</v>
      </c>
      <c r="F1052" t="s">
        <v>71</v>
      </c>
      <c r="G1052" t="s">
        <v>46</v>
      </c>
      <c r="H1052" t="s">
        <v>34</v>
      </c>
      <c r="I1052" t="s">
        <v>42</v>
      </c>
      <c r="J1052" s="4">
        <v>20.86</v>
      </c>
      <c r="K1052" s="4">
        <v>16.03</v>
      </c>
      <c r="L1052">
        <v>0</v>
      </c>
      <c r="M1052" s="4">
        <v>0</v>
      </c>
      <c r="N1052" s="4">
        <v>334.39</v>
      </c>
      <c r="O1052" s="4">
        <v>162.03</v>
      </c>
      <c r="P1052" s="4">
        <v>9.2100000000000009</v>
      </c>
      <c r="Q1052" s="4">
        <v>5.0199999999999996</v>
      </c>
      <c r="R1052" s="4">
        <v>12.62</v>
      </c>
      <c r="S1052" s="4">
        <v>0</v>
      </c>
      <c r="T1052" s="4">
        <v>0</v>
      </c>
      <c r="U1052" s="4">
        <v>188.88</v>
      </c>
      <c r="V1052" s="4">
        <v>145.51</v>
      </c>
      <c r="W1052" t="s">
        <v>21</v>
      </c>
      <c r="X1052" t="s">
        <v>36</v>
      </c>
      <c r="Y1052" s="4">
        <v>28</v>
      </c>
      <c r="Z1052" s="4">
        <v>2</v>
      </c>
      <c r="AA1052" t="s">
        <v>52</v>
      </c>
      <c r="AB1052" t="s">
        <v>44</v>
      </c>
      <c r="AC1052" s="7">
        <v>1</v>
      </c>
      <c r="AD1052" t="s">
        <v>45</v>
      </c>
      <c r="AE1052">
        <f t="shared" si="16"/>
        <v>1</v>
      </c>
    </row>
    <row r="1053" spans="1:31" x14ac:dyDescent="0.35">
      <c r="A1053">
        <v>101052</v>
      </c>
      <c r="B1053" s="3">
        <v>45954</v>
      </c>
      <c r="C1053">
        <v>1145</v>
      </c>
      <c r="D1053" t="s">
        <v>30</v>
      </c>
      <c r="E1053" t="s">
        <v>72</v>
      </c>
      <c r="F1053" t="s">
        <v>41</v>
      </c>
      <c r="G1053" t="s">
        <v>46</v>
      </c>
      <c r="H1053" t="s">
        <v>34</v>
      </c>
      <c r="I1053" t="s">
        <v>54</v>
      </c>
      <c r="J1053" s="4">
        <v>21.11</v>
      </c>
      <c r="K1053" s="4">
        <v>14.59</v>
      </c>
      <c r="L1053">
        <v>0</v>
      </c>
      <c r="M1053" s="4">
        <v>0</v>
      </c>
      <c r="N1053" s="4">
        <v>307.99</v>
      </c>
      <c r="O1053" s="4">
        <v>146.47999999999999</v>
      </c>
      <c r="P1053" s="4">
        <v>12.25</v>
      </c>
      <c r="Q1053" s="4">
        <v>3.7</v>
      </c>
      <c r="R1053" s="4">
        <v>0</v>
      </c>
      <c r="S1053" s="4">
        <v>0</v>
      </c>
      <c r="T1053" s="4">
        <v>0</v>
      </c>
      <c r="U1053" s="4">
        <v>162.43</v>
      </c>
      <c r="V1053" s="4">
        <v>145.56</v>
      </c>
      <c r="W1053" t="s">
        <v>21</v>
      </c>
      <c r="X1053" t="s">
        <v>36</v>
      </c>
      <c r="Y1053" s="4">
        <v>33</v>
      </c>
      <c r="Z1053" s="4">
        <v>6</v>
      </c>
      <c r="AA1053" t="s">
        <v>43</v>
      </c>
      <c r="AB1053" t="s">
        <v>44</v>
      </c>
      <c r="AC1053" s="7">
        <v>1</v>
      </c>
      <c r="AD1053" t="s">
        <v>45</v>
      </c>
      <c r="AE1053">
        <f t="shared" si="16"/>
        <v>1</v>
      </c>
    </row>
    <row r="1054" spans="1:31" x14ac:dyDescent="0.35">
      <c r="A1054">
        <v>101053</v>
      </c>
      <c r="B1054" s="3">
        <v>46009</v>
      </c>
      <c r="C1054">
        <v>1047</v>
      </c>
      <c r="D1054" t="s">
        <v>59</v>
      </c>
      <c r="E1054" t="s">
        <v>73</v>
      </c>
      <c r="F1054" t="s">
        <v>71</v>
      </c>
      <c r="G1054" t="s">
        <v>50</v>
      </c>
      <c r="H1054" t="s">
        <v>34</v>
      </c>
      <c r="I1054" t="s">
        <v>35</v>
      </c>
      <c r="J1054" s="4">
        <v>39.130000000000003</v>
      </c>
      <c r="K1054" s="4">
        <v>17.16</v>
      </c>
      <c r="L1054">
        <v>5</v>
      </c>
      <c r="M1054" s="4">
        <v>33.57</v>
      </c>
      <c r="N1054" s="4">
        <v>637.9</v>
      </c>
      <c r="O1054" s="4">
        <v>312.98</v>
      </c>
      <c r="P1054" s="4">
        <v>11.15</v>
      </c>
      <c r="Q1054" s="4">
        <v>4.7</v>
      </c>
      <c r="R1054" s="4">
        <v>11.71</v>
      </c>
      <c r="S1054" s="4">
        <v>0</v>
      </c>
      <c r="T1054" s="4">
        <v>0</v>
      </c>
      <c r="U1054" s="4">
        <v>340.54</v>
      </c>
      <c r="V1054" s="4">
        <v>297.36</v>
      </c>
      <c r="W1054" t="s">
        <v>21</v>
      </c>
      <c r="X1054" t="s">
        <v>36</v>
      </c>
      <c r="Y1054" s="4">
        <v>20</v>
      </c>
      <c r="Z1054" s="4">
        <v>2</v>
      </c>
      <c r="AA1054" t="s">
        <v>52</v>
      </c>
      <c r="AB1054" t="s">
        <v>38</v>
      </c>
      <c r="AC1054" s="7">
        <v>0</v>
      </c>
      <c r="AD1054" t="s">
        <v>39</v>
      </c>
      <c r="AE1054">
        <f t="shared" si="16"/>
        <v>0</v>
      </c>
    </row>
    <row r="1055" spans="1:31" x14ac:dyDescent="0.35">
      <c r="A1055">
        <v>101054</v>
      </c>
      <c r="B1055" s="3">
        <v>45984</v>
      </c>
      <c r="C1055">
        <v>1051</v>
      </c>
      <c r="D1055" t="s">
        <v>59</v>
      </c>
      <c r="E1055" t="s">
        <v>60</v>
      </c>
      <c r="F1055" t="s">
        <v>41</v>
      </c>
      <c r="G1055" t="s">
        <v>63</v>
      </c>
      <c r="H1055" t="s">
        <v>34</v>
      </c>
      <c r="I1055" t="s">
        <v>35</v>
      </c>
      <c r="J1055" s="4">
        <v>24.37</v>
      </c>
      <c r="K1055" s="4">
        <v>11.67</v>
      </c>
      <c r="L1055">
        <v>0</v>
      </c>
      <c r="M1055" s="4">
        <v>0</v>
      </c>
      <c r="N1055" s="4">
        <v>284.39999999999998</v>
      </c>
      <c r="O1055" s="4">
        <v>171.78</v>
      </c>
      <c r="P1055" s="4">
        <v>4.79</v>
      </c>
      <c r="Q1055" s="4">
        <v>1.99</v>
      </c>
      <c r="R1055" s="4">
        <v>7.37</v>
      </c>
      <c r="S1055" s="4">
        <v>0</v>
      </c>
      <c r="T1055" s="4">
        <v>0</v>
      </c>
      <c r="U1055" s="4">
        <v>185.93</v>
      </c>
      <c r="V1055" s="4">
        <v>98.47</v>
      </c>
      <c r="W1055" t="s">
        <v>21</v>
      </c>
      <c r="X1055" t="s">
        <v>36</v>
      </c>
      <c r="Y1055" s="4">
        <v>8</v>
      </c>
      <c r="Z1055" s="4">
        <v>7</v>
      </c>
      <c r="AA1055" t="s">
        <v>37</v>
      </c>
      <c r="AB1055" t="s">
        <v>38</v>
      </c>
      <c r="AC1055" s="7">
        <v>0</v>
      </c>
      <c r="AD1055" t="s">
        <v>39</v>
      </c>
      <c r="AE1055">
        <f t="shared" si="16"/>
        <v>0</v>
      </c>
    </row>
    <row r="1056" spans="1:31" x14ac:dyDescent="0.35">
      <c r="A1056">
        <v>101055</v>
      </c>
      <c r="B1056" s="3">
        <v>46009</v>
      </c>
      <c r="C1056">
        <v>1109</v>
      </c>
      <c r="D1056" t="s">
        <v>30</v>
      </c>
      <c r="E1056" t="s">
        <v>72</v>
      </c>
      <c r="F1056" t="s">
        <v>71</v>
      </c>
      <c r="G1056" t="s">
        <v>46</v>
      </c>
      <c r="H1056" t="s">
        <v>57</v>
      </c>
      <c r="I1056" t="s">
        <v>35</v>
      </c>
      <c r="J1056" s="4">
        <v>42.99</v>
      </c>
      <c r="K1056" s="4">
        <v>15.83</v>
      </c>
      <c r="L1056">
        <v>0</v>
      </c>
      <c r="M1056" s="4">
        <v>0</v>
      </c>
      <c r="N1056" s="4">
        <v>680.53</v>
      </c>
      <c r="O1056" s="4">
        <v>315.69</v>
      </c>
      <c r="P1056" s="4">
        <v>9.5500000000000007</v>
      </c>
      <c r="Q1056" s="4">
        <v>4.76</v>
      </c>
      <c r="R1056" s="4">
        <v>7.51</v>
      </c>
      <c r="S1056" s="4">
        <v>0</v>
      </c>
      <c r="T1056" s="4">
        <v>0</v>
      </c>
      <c r="U1056" s="4">
        <v>337.51</v>
      </c>
      <c r="V1056" s="4">
        <v>343.02</v>
      </c>
      <c r="W1056" t="s">
        <v>21</v>
      </c>
      <c r="X1056" t="s">
        <v>36</v>
      </c>
      <c r="Y1056" s="4">
        <v>7</v>
      </c>
      <c r="Z1056" s="4">
        <v>7</v>
      </c>
      <c r="AA1056" t="s">
        <v>37</v>
      </c>
      <c r="AB1056" t="s">
        <v>38</v>
      </c>
      <c r="AC1056" s="7">
        <v>0</v>
      </c>
      <c r="AD1056" t="s">
        <v>39</v>
      </c>
      <c r="AE1056">
        <f t="shared" si="16"/>
        <v>0</v>
      </c>
    </row>
    <row r="1057" spans="1:31" x14ac:dyDescent="0.35">
      <c r="A1057">
        <v>101056</v>
      </c>
      <c r="B1057" s="3">
        <v>46021</v>
      </c>
      <c r="C1057">
        <v>1013</v>
      </c>
      <c r="D1057" t="s">
        <v>30</v>
      </c>
      <c r="E1057" t="s">
        <v>40</v>
      </c>
      <c r="F1057" t="s">
        <v>41</v>
      </c>
      <c r="G1057" t="s">
        <v>46</v>
      </c>
      <c r="H1057" t="s">
        <v>51</v>
      </c>
      <c r="I1057" t="s">
        <v>35</v>
      </c>
      <c r="J1057" s="4">
        <v>29.45</v>
      </c>
      <c r="K1057" s="4">
        <v>15.14</v>
      </c>
      <c r="L1057">
        <v>20</v>
      </c>
      <c r="M1057" s="4">
        <v>89.17</v>
      </c>
      <c r="N1057" s="4">
        <v>356.7</v>
      </c>
      <c r="O1057" s="4">
        <v>218.44</v>
      </c>
      <c r="P1057" s="4">
        <v>11.83</v>
      </c>
      <c r="Q1057" s="4">
        <v>3.12</v>
      </c>
      <c r="R1057" s="4">
        <v>5.23</v>
      </c>
      <c r="S1057" s="4">
        <v>0</v>
      </c>
      <c r="T1057" s="4">
        <v>0</v>
      </c>
      <c r="U1057" s="4">
        <v>238.62</v>
      </c>
      <c r="V1057" s="4">
        <v>118.08</v>
      </c>
      <c r="W1057" t="s">
        <v>21</v>
      </c>
      <c r="X1057" t="s">
        <v>36</v>
      </c>
      <c r="Y1057" s="4">
        <v>5</v>
      </c>
      <c r="Z1057" s="4">
        <v>8</v>
      </c>
      <c r="AA1057" t="s">
        <v>37</v>
      </c>
      <c r="AB1057" t="s">
        <v>38</v>
      </c>
      <c r="AC1057" s="7">
        <v>0</v>
      </c>
      <c r="AD1057" t="s">
        <v>39</v>
      </c>
      <c r="AE1057">
        <f t="shared" si="16"/>
        <v>0</v>
      </c>
    </row>
    <row r="1058" spans="1:31" x14ac:dyDescent="0.35">
      <c r="A1058">
        <v>101057</v>
      </c>
      <c r="B1058" s="3">
        <v>45943</v>
      </c>
      <c r="C1058">
        <v>1102</v>
      </c>
      <c r="D1058" t="s">
        <v>30</v>
      </c>
      <c r="E1058" t="s">
        <v>62</v>
      </c>
      <c r="F1058" t="s">
        <v>32</v>
      </c>
      <c r="G1058" t="s">
        <v>63</v>
      </c>
      <c r="H1058" t="s">
        <v>51</v>
      </c>
      <c r="I1058" t="s">
        <v>35</v>
      </c>
      <c r="J1058" s="4">
        <v>17.7</v>
      </c>
      <c r="K1058" s="4">
        <v>12.4</v>
      </c>
      <c r="L1058">
        <v>10</v>
      </c>
      <c r="M1058" s="4">
        <v>21.95</v>
      </c>
      <c r="N1058" s="4">
        <v>197.53</v>
      </c>
      <c r="O1058" s="4">
        <v>126.98</v>
      </c>
      <c r="P1058" s="4">
        <v>13.46</v>
      </c>
      <c r="Q1058" s="4">
        <v>1.54</v>
      </c>
      <c r="R1058" s="4">
        <v>0</v>
      </c>
      <c r="S1058" s="4">
        <v>109.21</v>
      </c>
      <c r="T1058" s="4">
        <v>20.37</v>
      </c>
      <c r="U1058" s="4">
        <v>271.56</v>
      </c>
      <c r="V1058" s="4">
        <v>-74.03</v>
      </c>
      <c r="W1058" t="s">
        <v>58</v>
      </c>
      <c r="X1058" t="s">
        <v>66</v>
      </c>
      <c r="Y1058" s="4">
        <v>4</v>
      </c>
      <c r="Z1058" s="4">
        <v>9</v>
      </c>
      <c r="AA1058" t="s">
        <v>37</v>
      </c>
      <c r="AB1058" t="s">
        <v>38</v>
      </c>
      <c r="AC1058" s="7">
        <v>1</v>
      </c>
      <c r="AD1058" t="s">
        <v>45</v>
      </c>
      <c r="AE1058">
        <f t="shared" si="16"/>
        <v>0</v>
      </c>
    </row>
    <row r="1059" spans="1:31" x14ac:dyDescent="0.35">
      <c r="A1059">
        <v>101058</v>
      </c>
      <c r="B1059" s="3">
        <v>45976</v>
      </c>
      <c r="C1059">
        <v>1128</v>
      </c>
      <c r="D1059" t="s">
        <v>64</v>
      </c>
      <c r="E1059" t="s">
        <v>65</v>
      </c>
      <c r="F1059" t="s">
        <v>49</v>
      </c>
      <c r="G1059" t="s">
        <v>33</v>
      </c>
      <c r="H1059" t="s">
        <v>34</v>
      </c>
      <c r="I1059" t="s">
        <v>42</v>
      </c>
      <c r="J1059" s="4">
        <v>37.07</v>
      </c>
      <c r="K1059" s="4">
        <v>20.149999999999999</v>
      </c>
      <c r="L1059">
        <v>15</v>
      </c>
      <c r="M1059" s="4">
        <v>112.04</v>
      </c>
      <c r="N1059" s="4">
        <v>634.91999999999996</v>
      </c>
      <c r="O1059" s="4">
        <v>237.99</v>
      </c>
      <c r="P1059" s="4">
        <v>11</v>
      </c>
      <c r="Q1059" s="4">
        <v>11.2</v>
      </c>
      <c r="R1059" s="4">
        <v>3.42</v>
      </c>
      <c r="S1059" s="4">
        <v>0</v>
      </c>
      <c r="T1059" s="4">
        <v>0</v>
      </c>
      <c r="U1059" s="4">
        <v>263.61</v>
      </c>
      <c r="V1059" s="4">
        <v>371.31</v>
      </c>
      <c r="W1059" t="s">
        <v>21</v>
      </c>
      <c r="X1059" t="s">
        <v>36</v>
      </c>
      <c r="Y1059" s="4">
        <v>11</v>
      </c>
      <c r="Z1059" s="4">
        <v>0</v>
      </c>
      <c r="AA1059" t="s">
        <v>37</v>
      </c>
      <c r="AB1059" t="s">
        <v>38</v>
      </c>
      <c r="AC1059" s="7">
        <v>0</v>
      </c>
      <c r="AD1059" t="s">
        <v>39</v>
      </c>
      <c r="AE1059">
        <f t="shared" si="16"/>
        <v>0</v>
      </c>
    </row>
    <row r="1060" spans="1:31" x14ac:dyDescent="0.35">
      <c r="A1060">
        <v>101059</v>
      </c>
      <c r="B1060" s="3">
        <v>46014</v>
      </c>
      <c r="C1060">
        <v>1150</v>
      </c>
      <c r="D1060" t="s">
        <v>30</v>
      </c>
      <c r="E1060" t="s">
        <v>72</v>
      </c>
      <c r="F1060" t="s">
        <v>71</v>
      </c>
      <c r="G1060" t="s">
        <v>46</v>
      </c>
      <c r="H1060" t="s">
        <v>34</v>
      </c>
      <c r="I1060" t="s">
        <v>35</v>
      </c>
      <c r="J1060" s="4">
        <v>23.35</v>
      </c>
      <c r="K1060" s="4">
        <v>17.21</v>
      </c>
      <c r="L1060">
        <v>0</v>
      </c>
      <c r="M1060" s="4">
        <v>0</v>
      </c>
      <c r="N1060" s="4">
        <v>401.85</v>
      </c>
      <c r="O1060" s="4">
        <v>186.33</v>
      </c>
      <c r="P1060" s="4">
        <v>10.31</v>
      </c>
      <c r="Q1060" s="4">
        <v>2.81</v>
      </c>
      <c r="R1060" s="4">
        <v>4.87</v>
      </c>
      <c r="S1060" s="4">
        <v>396.89</v>
      </c>
      <c r="T1060" s="4">
        <v>0</v>
      </c>
      <c r="U1060" s="4">
        <v>601.21</v>
      </c>
      <c r="V1060" s="4">
        <v>-199.36</v>
      </c>
      <c r="W1060" t="s">
        <v>58</v>
      </c>
      <c r="X1060" t="s">
        <v>66</v>
      </c>
      <c r="Y1060" s="4">
        <v>14</v>
      </c>
      <c r="Z1060" s="4">
        <v>1</v>
      </c>
      <c r="AA1060" t="s">
        <v>37</v>
      </c>
      <c r="AB1060" t="s">
        <v>38</v>
      </c>
      <c r="AC1060" s="7">
        <v>1</v>
      </c>
      <c r="AD1060" t="s">
        <v>45</v>
      </c>
      <c r="AE1060">
        <f t="shared" si="16"/>
        <v>0</v>
      </c>
    </row>
    <row r="1061" spans="1:31" x14ac:dyDescent="0.35">
      <c r="A1061">
        <v>101060</v>
      </c>
      <c r="B1061" s="3">
        <v>45971</v>
      </c>
      <c r="C1061">
        <v>1077</v>
      </c>
      <c r="D1061" t="s">
        <v>59</v>
      </c>
      <c r="E1061" t="s">
        <v>70</v>
      </c>
      <c r="F1061" t="s">
        <v>41</v>
      </c>
      <c r="G1061" t="s">
        <v>63</v>
      </c>
      <c r="H1061" t="s">
        <v>34</v>
      </c>
      <c r="I1061" t="s">
        <v>35</v>
      </c>
      <c r="J1061" s="4">
        <v>21.78</v>
      </c>
      <c r="K1061" s="4">
        <v>14.02</v>
      </c>
      <c r="L1061">
        <v>15</v>
      </c>
      <c r="M1061" s="4">
        <v>45.8</v>
      </c>
      <c r="N1061" s="4">
        <v>259.56</v>
      </c>
      <c r="O1061" s="4">
        <v>164.17</v>
      </c>
      <c r="P1061" s="4">
        <v>10.43</v>
      </c>
      <c r="Q1061" s="4">
        <v>2.14</v>
      </c>
      <c r="R1061" s="4">
        <v>6.29</v>
      </c>
      <c r="S1061" s="4">
        <v>0</v>
      </c>
      <c r="T1061" s="4">
        <v>0</v>
      </c>
      <c r="U1061" s="4">
        <v>183.03</v>
      </c>
      <c r="V1061" s="4">
        <v>76.53</v>
      </c>
      <c r="W1061" t="s">
        <v>21</v>
      </c>
      <c r="X1061" t="s">
        <v>36</v>
      </c>
      <c r="Y1061" s="4">
        <v>0</v>
      </c>
      <c r="Z1061" s="4">
        <v>5</v>
      </c>
      <c r="AA1061" t="s">
        <v>37</v>
      </c>
      <c r="AB1061" t="s">
        <v>38</v>
      </c>
      <c r="AC1061" s="7">
        <v>0</v>
      </c>
      <c r="AD1061" t="s">
        <v>39</v>
      </c>
      <c r="AE1061">
        <f t="shared" si="16"/>
        <v>0</v>
      </c>
    </row>
    <row r="1062" spans="1:31" x14ac:dyDescent="0.35">
      <c r="A1062">
        <v>101061</v>
      </c>
      <c r="B1062" s="3">
        <v>45986</v>
      </c>
      <c r="C1062">
        <v>1121</v>
      </c>
      <c r="D1062" t="s">
        <v>47</v>
      </c>
      <c r="E1062" t="s">
        <v>56</v>
      </c>
      <c r="F1062" t="s">
        <v>61</v>
      </c>
      <c r="G1062" t="s">
        <v>63</v>
      </c>
      <c r="H1062" t="s">
        <v>34</v>
      </c>
      <c r="I1062" t="s">
        <v>35</v>
      </c>
      <c r="J1062" s="4">
        <v>3</v>
      </c>
      <c r="K1062" s="4">
        <v>12.93</v>
      </c>
      <c r="L1062">
        <v>0</v>
      </c>
      <c r="M1062" s="4">
        <v>0</v>
      </c>
      <c r="N1062" s="4">
        <v>38.79</v>
      </c>
      <c r="O1062" s="4">
        <v>23.13</v>
      </c>
      <c r="P1062" s="4">
        <v>12.53</v>
      </c>
      <c r="Q1062" s="4">
        <v>0.27</v>
      </c>
      <c r="R1062" s="4">
        <v>9.4499999999999993</v>
      </c>
      <c r="S1062" s="4">
        <v>0</v>
      </c>
      <c r="T1062" s="4">
        <v>0</v>
      </c>
      <c r="U1062" s="4">
        <v>45.38</v>
      </c>
      <c r="V1062" s="4">
        <v>-6.59</v>
      </c>
      <c r="W1062" t="s">
        <v>58</v>
      </c>
      <c r="X1062" t="s">
        <v>36</v>
      </c>
      <c r="Y1062" s="4">
        <v>16</v>
      </c>
      <c r="Z1062" s="4">
        <v>4</v>
      </c>
      <c r="AA1062" t="s">
        <v>52</v>
      </c>
      <c r="AB1062" t="s">
        <v>38</v>
      </c>
      <c r="AC1062" s="7">
        <v>0</v>
      </c>
      <c r="AD1062" t="s">
        <v>45</v>
      </c>
      <c r="AE1062">
        <f t="shared" si="16"/>
        <v>0</v>
      </c>
    </row>
    <row r="1063" spans="1:31" x14ac:dyDescent="0.35">
      <c r="A1063">
        <v>101062</v>
      </c>
      <c r="B1063" s="3">
        <v>45986</v>
      </c>
      <c r="C1063">
        <v>1015</v>
      </c>
      <c r="D1063" t="s">
        <v>59</v>
      </c>
      <c r="E1063" t="s">
        <v>68</v>
      </c>
      <c r="F1063" t="s">
        <v>32</v>
      </c>
      <c r="G1063" t="s">
        <v>63</v>
      </c>
      <c r="H1063" t="s">
        <v>34</v>
      </c>
      <c r="I1063" t="s">
        <v>35</v>
      </c>
      <c r="J1063" s="4">
        <v>11.81</v>
      </c>
      <c r="K1063" s="4">
        <v>12.15</v>
      </c>
      <c r="L1063">
        <v>0</v>
      </c>
      <c r="M1063" s="4">
        <v>0</v>
      </c>
      <c r="N1063" s="4">
        <v>143.49</v>
      </c>
      <c r="O1063" s="4">
        <v>84.34</v>
      </c>
      <c r="P1063" s="4">
        <v>15.18</v>
      </c>
      <c r="Q1063" s="4">
        <v>1</v>
      </c>
      <c r="R1063" s="4">
        <v>6.93</v>
      </c>
      <c r="S1063" s="4">
        <v>0</v>
      </c>
      <c r="T1063" s="4">
        <v>0</v>
      </c>
      <c r="U1063" s="4">
        <v>107.45</v>
      </c>
      <c r="V1063" s="4">
        <v>36.04</v>
      </c>
      <c r="W1063" t="s">
        <v>21</v>
      </c>
      <c r="X1063" t="s">
        <v>36</v>
      </c>
      <c r="Y1063" s="4">
        <v>2</v>
      </c>
      <c r="Z1063" s="4">
        <v>3</v>
      </c>
      <c r="AA1063" t="s">
        <v>37</v>
      </c>
      <c r="AB1063" t="s">
        <v>38</v>
      </c>
      <c r="AC1063" s="7">
        <v>0</v>
      </c>
      <c r="AD1063" t="s">
        <v>39</v>
      </c>
      <c r="AE1063">
        <f t="shared" si="16"/>
        <v>0</v>
      </c>
    </row>
    <row r="1064" spans="1:31" x14ac:dyDescent="0.35">
      <c r="A1064">
        <v>101063</v>
      </c>
      <c r="B1064" s="3">
        <v>45979</v>
      </c>
      <c r="C1064">
        <v>1120</v>
      </c>
      <c r="D1064" t="s">
        <v>59</v>
      </c>
      <c r="E1064" t="s">
        <v>70</v>
      </c>
      <c r="F1064" t="s">
        <v>61</v>
      </c>
      <c r="G1064" t="s">
        <v>33</v>
      </c>
      <c r="H1064" t="s">
        <v>34</v>
      </c>
      <c r="I1064" t="s">
        <v>54</v>
      </c>
      <c r="J1064" s="4">
        <v>29.62</v>
      </c>
      <c r="K1064" s="4">
        <v>19.190000000000001</v>
      </c>
      <c r="L1064">
        <v>15</v>
      </c>
      <c r="M1064" s="4">
        <v>85.26</v>
      </c>
      <c r="N1064" s="4">
        <v>483.15</v>
      </c>
      <c r="O1064" s="4">
        <v>225.58</v>
      </c>
      <c r="P1064" s="4">
        <v>3.12</v>
      </c>
      <c r="Q1064" s="4">
        <v>6.82</v>
      </c>
      <c r="R1064" s="4">
        <v>0</v>
      </c>
      <c r="S1064" s="4">
        <v>449.99</v>
      </c>
      <c r="T1064" s="4">
        <v>0</v>
      </c>
      <c r="U1064" s="4">
        <v>685.51</v>
      </c>
      <c r="V1064" s="4">
        <v>-202.36</v>
      </c>
      <c r="W1064" t="s">
        <v>58</v>
      </c>
      <c r="X1064" t="s">
        <v>66</v>
      </c>
      <c r="Y1064" s="4">
        <v>3</v>
      </c>
      <c r="Z1064" s="4">
        <v>3</v>
      </c>
      <c r="AA1064" t="s">
        <v>37</v>
      </c>
      <c r="AB1064" t="s">
        <v>38</v>
      </c>
      <c r="AC1064" s="7">
        <v>1</v>
      </c>
      <c r="AD1064" t="s">
        <v>45</v>
      </c>
      <c r="AE1064">
        <f t="shared" si="16"/>
        <v>0</v>
      </c>
    </row>
    <row r="1065" spans="1:31" x14ac:dyDescent="0.35">
      <c r="A1065">
        <v>101064</v>
      </c>
      <c r="B1065" s="3">
        <v>46010</v>
      </c>
      <c r="C1065">
        <v>1053</v>
      </c>
      <c r="D1065" t="s">
        <v>47</v>
      </c>
      <c r="E1065" t="s">
        <v>53</v>
      </c>
      <c r="F1065" t="s">
        <v>49</v>
      </c>
      <c r="G1065" t="s">
        <v>46</v>
      </c>
      <c r="H1065" t="s">
        <v>34</v>
      </c>
      <c r="I1065" t="s">
        <v>54</v>
      </c>
      <c r="J1065" s="4">
        <v>13.39</v>
      </c>
      <c r="K1065" s="4">
        <v>15.74</v>
      </c>
      <c r="L1065">
        <v>15</v>
      </c>
      <c r="M1065" s="4">
        <v>31.61</v>
      </c>
      <c r="N1065" s="4">
        <v>179.15</v>
      </c>
      <c r="O1065" s="4">
        <v>92.93</v>
      </c>
      <c r="P1065" s="4">
        <v>6.95</v>
      </c>
      <c r="Q1065" s="4">
        <v>2.5299999999999998</v>
      </c>
      <c r="R1065" s="4">
        <v>8.31</v>
      </c>
      <c r="S1065" s="4">
        <v>0</v>
      </c>
      <c r="T1065" s="4">
        <v>0</v>
      </c>
      <c r="U1065" s="4">
        <v>110.72</v>
      </c>
      <c r="V1065" s="4">
        <v>68.430000000000007</v>
      </c>
      <c r="W1065" t="s">
        <v>21</v>
      </c>
      <c r="X1065" t="s">
        <v>36</v>
      </c>
      <c r="Y1065" s="4">
        <v>4</v>
      </c>
      <c r="Z1065" s="4">
        <v>8</v>
      </c>
      <c r="AA1065" t="s">
        <v>37</v>
      </c>
      <c r="AB1065" t="s">
        <v>38</v>
      </c>
      <c r="AC1065" s="7">
        <v>0</v>
      </c>
      <c r="AD1065" t="s">
        <v>39</v>
      </c>
      <c r="AE1065">
        <f t="shared" si="16"/>
        <v>0</v>
      </c>
    </row>
    <row r="1066" spans="1:31" x14ac:dyDescent="0.35">
      <c r="A1066">
        <v>101065</v>
      </c>
      <c r="B1066" s="3">
        <v>45947</v>
      </c>
      <c r="C1066">
        <v>1036</v>
      </c>
      <c r="D1066" t="s">
        <v>59</v>
      </c>
      <c r="E1066" t="s">
        <v>73</v>
      </c>
      <c r="F1066" t="s">
        <v>61</v>
      </c>
      <c r="G1066" t="s">
        <v>46</v>
      </c>
      <c r="H1066" t="s">
        <v>34</v>
      </c>
      <c r="I1066" t="s">
        <v>42</v>
      </c>
      <c r="J1066" s="4">
        <v>28.87</v>
      </c>
      <c r="K1066" s="4">
        <v>15.99</v>
      </c>
      <c r="L1066">
        <v>5</v>
      </c>
      <c r="M1066" s="4">
        <v>23.08</v>
      </c>
      <c r="N1066" s="4">
        <v>438.55</v>
      </c>
      <c r="O1066" s="4">
        <v>200.96</v>
      </c>
      <c r="P1066" s="4">
        <v>2.99</v>
      </c>
      <c r="Q1066" s="4">
        <v>6.92</v>
      </c>
      <c r="R1066" s="4">
        <v>3.92</v>
      </c>
      <c r="S1066" s="4">
        <v>0</v>
      </c>
      <c r="T1066" s="4">
        <v>0</v>
      </c>
      <c r="U1066" s="4">
        <v>214.79</v>
      </c>
      <c r="V1066" s="4">
        <v>223.76</v>
      </c>
      <c r="W1066" t="s">
        <v>21</v>
      </c>
      <c r="X1066" t="s">
        <v>36</v>
      </c>
      <c r="Y1066" s="4">
        <v>11</v>
      </c>
      <c r="Z1066" s="4">
        <v>7</v>
      </c>
      <c r="AA1066" t="s">
        <v>37</v>
      </c>
      <c r="AB1066" t="s">
        <v>38</v>
      </c>
      <c r="AC1066" s="7">
        <v>0</v>
      </c>
      <c r="AD1066" t="s">
        <v>39</v>
      </c>
      <c r="AE1066">
        <f t="shared" si="16"/>
        <v>0</v>
      </c>
    </row>
    <row r="1067" spans="1:31" x14ac:dyDescent="0.35">
      <c r="A1067">
        <v>101066</v>
      </c>
      <c r="B1067" s="3">
        <v>45984</v>
      </c>
      <c r="C1067">
        <v>1045</v>
      </c>
      <c r="D1067" t="s">
        <v>47</v>
      </c>
      <c r="E1067" t="s">
        <v>53</v>
      </c>
      <c r="F1067" t="s">
        <v>49</v>
      </c>
      <c r="G1067" t="s">
        <v>33</v>
      </c>
      <c r="H1067" t="s">
        <v>57</v>
      </c>
      <c r="I1067" t="s">
        <v>35</v>
      </c>
      <c r="J1067" s="4">
        <v>19.170000000000002</v>
      </c>
      <c r="K1067" s="4">
        <v>19.43</v>
      </c>
      <c r="L1067">
        <v>0</v>
      </c>
      <c r="M1067" s="4">
        <v>0</v>
      </c>
      <c r="N1067" s="4">
        <v>372.47</v>
      </c>
      <c r="O1067" s="4">
        <v>140.76</v>
      </c>
      <c r="P1067" s="4">
        <v>9.6999999999999993</v>
      </c>
      <c r="Q1067" s="4">
        <v>2.61</v>
      </c>
      <c r="R1067" s="4">
        <v>0</v>
      </c>
      <c r="S1067" s="4">
        <v>0</v>
      </c>
      <c r="T1067" s="4">
        <v>0</v>
      </c>
      <c r="U1067" s="4">
        <v>153.07</v>
      </c>
      <c r="V1067" s="4">
        <v>219.4</v>
      </c>
      <c r="W1067" t="s">
        <v>21</v>
      </c>
      <c r="X1067" t="s">
        <v>36</v>
      </c>
      <c r="Y1067" s="4">
        <v>24</v>
      </c>
      <c r="Z1067" s="4">
        <v>1</v>
      </c>
      <c r="AA1067" t="s">
        <v>52</v>
      </c>
      <c r="AB1067" t="s">
        <v>44</v>
      </c>
      <c r="AC1067" s="7">
        <v>3</v>
      </c>
      <c r="AD1067" t="s">
        <v>45</v>
      </c>
      <c r="AE1067">
        <f t="shared" si="16"/>
        <v>1</v>
      </c>
    </row>
    <row r="1068" spans="1:31" x14ac:dyDescent="0.35">
      <c r="A1068">
        <v>101067</v>
      </c>
      <c r="B1068" s="3">
        <v>46013</v>
      </c>
      <c r="C1068">
        <v>1118</v>
      </c>
      <c r="D1068" t="s">
        <v>59</v>
      </c>
      <c r="E1068" t="s">
        <v>73</v>
      </c>
      <c r="F1068" t="s">
        <v>32</v>
      </c>
      <c r="G1068" t="s">
        <v>46</v>
      </c>
      <c r="H1068" t="s">
        <v>57</v>
      </c>
      <c r="I1068" t="s">
        <v>54</v>
      </c>
      <c r="J1068" s="4">
        <v>14.84</v>
      </c>
      <c r="K1068" s="4">
        <v>14.58</v>
      </c>
      <c r="L1068">
        <v>5</v>
      </c>
      <c r="M1068" s="4">
        <v>10.82</v>
      </c>
      <c r="N1068" s="4">
        <v>205.55</v>
      </c>
      <c r="O1068" s="4">
        <v>118.78</v>
      </c>
      <c r="P1068" s="4">
        <v>11.7</v>
      </c>
      <c r="Q1068" s="4">
        <v>2.6</v>
      </c>
      <c r="R1068" s="4">
        <v>4.12</v>
      </c>
      <c r="S1068" s="4">
        <v>0</v>
      </c>
      <c r="T1068" s="4">
        <v>0</v>
      </c>
      <c r="U1068" s="4">
        <v>137.19999999999999</v>
      </c>
      <c r="V1068" s="4">
        <v>68.349999999999994</v>
      </c>
      <c r="W1068" t="s">
        <v>21</v>
      </c>
      <c r="X1068" t="s">
        <v>36</v>
      </c>
      <c r="Y1068" s="4">
        <v>17</v>
      </c>
      <c r="Z1068" s="4">
        <v>0</v>
      </c>
      <c r="AA1068" t="s">
        <v>52</v>
      </c>
      <c r="AB1068" t="s">
        <v>38</v>
      </c>
      <c r="AC1068" s="7">
        <v>0</v>
      </c>
      <c r="AD1068" t="s">
        <v>39</v>
      </c>
      <c r="AE1068">
        <f t="shared" si="16"/>
        <v>0</v>
      </c>
    </row>
    <row r="1069" spans="1:31" x14ac:dyDescent="0.35">
      <c r="A1069">
        <v>101068</v>
      </c>
      <c r="B1069" s="3">
        <v>45990</v>
      </c>
      <c r="C1069">
        <v>1111</v>
      </c>
      <c r="D1069" t="s">
        <v>59</v>
      </c>
      <c r="E1069" t="s">
        <v>73</v>
      </c>
      <c r="F1069" t="s">
        <v>61</v>
      </c>
      <c r="G1069" t="s">
        <v>46</v>
      </c>
      <c r="H1069" t="s">
        <v>34</v>
      </c>
      <c r="I1069" t="s">
        <v>35</v>
      </c>
      <c r="J1069" s="4">
        <v>25.35</v>
      </c>
      <c r="K1069" s="4">
        <v>16.11</v>
      </c>
      <c r="L1069">
        <v>5</v>
      </c>
      <c r="M1069" s="4">
        <v>20.420000000000002</v>
      </c>
      <c r="N1069" s="4">
        <v>387.97</v>
      </c>
      <c r="O1069" s="4">
        <v>166.81</v>
      </c>
      <c r="P1069" s="4">
        <v>6.82</v>
      </c>
      <c r="Q1069" s="4">
        <v>2.86</v>
      </c>
      <c r="R1069" s="4">
        <v>9.61</v>
      </c>
      <c r="S1069" s="4">
        <v>0</v>
      </c>
      <c r="T1069" s="4">
        <v>0</v>
      </c>
      <c r="U1069" s="4">
        <v>186.1</v>
      </c>
      <c r="V1069" s="4">
        <v>201.87</v>
      </c>
      <c r="W1069" t="s">
        <v>21</v>
      </c>
      <c r="X1069" t="s">
        <v>36</v>
      </c>
      <c r="Y1069" s="4">
        <v>9</v>
      </c>
      <c r="Z1069" s="4">
        <v>0</v>
      </c>
      <c r="AA1069" t="s">
        <v>37</v>
      </c>
      <c r="AB1069" t="s">
        <v>38</v>
      </c>
      <c r="AC1069" s="7">
        <v>0</v>
      </c>
      <c r="AD1069" t="s">
        <v>39</v>
      </c>
      <c r="AE1069">
        <f t="shared" si="16"/>
        <v>0</v>
      </c>
    </row>
    <row r="1070" spans="1:31" x14ac:dyDescent="0.35">
      <c r="A1070">
        <v>101069</v>
      </c>
      <c r="B1070" s="3">
        <v>45962</v>
      </c>
      <c r="C1070">
        <v>1114</v>
      </c>
      <c r="D1070" t="s">
        <v>47</v>
      </c>
      <c r="E1070" t="s">
        <v>74</v>
      </c>
      <c r="F1070" t="s">
        <v>32</v>
      </c>
      <c r="G1070" t="s">
        <v>46</v>
      </c>
      <c r="H1070" t="s">
        <v>34</v>
      </c>
      <c r="I1070" t="s">
        <v>69</v>
      </c>
      <c r="J1070" s="4">
        <v>21.26</v>
      </c>
      <c r="K1070" s="4">
        <v>15.15</v>
      </c>
      <c r="L1070">
        <v>5</v>
      </c>
      <c r="M1070" s="4">
        <v>16.100000000000001</v>
      </c>
      <c r="N1070" s="4">
        <v>305.99</v>
      </c>
      <c r="O1070" s="4">
        <v>156.04</v>
      </c>
      <c r="P1070" s="4">
        <v>8.99</v>
      </c>
      <c r="Q1070" s="4">
        <v>1.29</v>
      </c>
      <c r="R1070" s="4">
        <v>0.51</v>
      </c>
      <c r="S1070" s="4">
        <v>0</v>
      </c>
      <c r="T1070" s="4">
        <v>0</v>
      </c>
      <c r="U1070" s="4">
        <v>166.83</v>
      </c>
      <c r="V1070" s="4">
        <v>139.16</v>
      </c>
      <c r="W1070" t="s">
        <v>21</v>
      </c>
      <c r="X1070" t="s">
        <v>36</v>
      </c>
      <c r="Y1070" s="4">
        <v>1</v>
      </c>
      <c r="Z1070" s="4">
        <v>6</v>
      </c>
      <c r="AA1070" t="s">
        <v>37</v>
      </c>
      <c r="AB1070" t="s">
        <v>38</v>
      </c>
      <c r="AC1070" s="7">
        <v>0</v>
      </c>
      <c r="AD1070" t="s">
        <v>39</v>
      </c>
      <c r="AE1070">
        <f t="shared" si="16"/>
        <v>0</v>
      </c>
    </row>
    <row r="1071" spans="1:31" x14ac:dyDescent="0.35">
      <c r="A1071">
        <v>101070</v>
      </c>
      <c r="B1071" s="3">
        <v>46016</v>
      </c>
      <c r="C1071">
        <v>1149</v>
      </c>
      <c r="D1071" t="s">
        <v>64</v>
      </c>
      <c r="E1071" t="s">
        <v>76</v>
      </c>
      <c r="F1071" t="s">
        <v>32</v>
      </c>
      <c r="G1071" t="s">
        <v>33</v>
      </c>
      <c r="H1071" t="s">
        <v>34</v>
      </c>
      <c r="I1071" t="s">
        <v>35</v>
      </c>
      <c r="J1071" s="4">
        <v>32.64</v>
      </c>
      <c r="K1071" s="4">
        <v>20.03</v>
      </c>
      <c r="L1071">
        <v>0</v>
      </c>
      <c r="M1071" s="4">
        <v>0</v>
      </c>
      <c r="N1071" s="4">
        <v>653.78</v>
      </c>
      <c r="O1071" s="4">
        <v>219.96</v>
      </c>
      <c r="P1071" s="4">
        <v>6.74</v>
      </c>
      <c r="Q1071" s="4">
        <v>4.58</v>
      </c>
      <c r="R1071" s="4">
        <v>4.62</v>
      </c>
      <c r="S1071" s="4">
        <v>0</v>
      </c>
      <c r="T1071" s="4">
        <v>0</v>
      </c>
      <c r="U1071" s="4">
        <v>235.9</v>
      </c>
      <c r="V1071" s="4">
        <v>417.88</v>
      </c>
      <c r="W1071" t="s">
        <v>21</v>
      </c>
      <c r="X1071" t="s">
        <v>36</v>
      </c>
      <c r="Y1071" s="4">
        <v>9</v>
      </c>
      <c r="Z1071" s="4">
        <v>0</v>
      </c>
      <c r="AA1071" t="s">
        <v>37</v>
      </c>
      <c r="AB1071" t="s">
        <v>38</v>
      </c>
      <c r="AC1071" s="7">
        <v>0</v>
      </c>
      <c r="AD1071" t="s">
        <v>39</v>
      </c>
      <c r="AE1071">
        <f t="shared" si="16"/>
        <v>0</v>
      </c>
    </row>
    <row r="1072" spans="1:31" x14ac:dyDescent="0.35">
      <c r="A1072">
        <v>101071</v>
      </c>
      <c r="B1072" s="3">
        <v>45995</v>
      </c>
      <c r="C1072">
        <v>1038</v>
      </c>
      <c r="D1072" t="s">
        <v>47</v>
      </c>
      <c r="E1072" t="s">
        <v>56</v>
      </c>
      <c r="F1072" t="s">
        <v>61</v>
      </c>
      <c r="G1072" t="s">
        <v>50</v>
      </c>
      <c r="H1072" t="s">
        <v>57</v>
      </c>
      <c r="I1072" t="s">
        <v>42</v>
      </c>
      <c r="J1072" s="4">
        <v>27.04</v>
      </c>
      <c r="K1072" s="4">
        <v>17.71</v>
      </c>
      <c r="L1072">
        <v>5</v>
      </c>
      <c r="M1072" s="4">
        <v>23.94</v>
      </c>
      <c r="N1072" s="4">
        <v>454.94</v>
      </c>
      <c r="O1072" s="4">
        <v>250.42</v>
      </c>
      <c r="P1072" s="4">
        <v>9.57</v>
      </c>
      <c r="Q1072" s="4">
        <v>7.18</v>
      </c>
      <c r="R1072" s="4">
        <v>7.07</v>
      </c>
      <c r="S1072" s="4">
        <v>0</v>
      </c>
      <c r="T1072" s="4">
        <v>0</v>
      </c>
      <c r="U1072" s="4">
        <v>274.24</v>
      </c>
      <c r="V1072" s="4">
        <v>180.7</v>
      </c>
      <c r="W1072" t="s">
        <v>21</v>
      </c>
      <c r="X1072" t="s">
        <v>36</v>
      </c>
      <c r="Y1072" s="4">
        <v>8</v>
      </c>
      <c r="Z1072" s="4">
        <v>1</v>
      </c>
      <c r="AA1072" t="s">
        <v>37</v>
      </c>
      <c r="AB1072" t="s">
        <v>38</v>
      </c>
      <c r="AC1072" s="7">
        <v>0</v>
      </c>
      <c r="AD1072" t="s">
        <v>39</v>
      </c>
      <c r="AE1072">
        <f t="shared" si="16"/>
        <v>0</v>
      </c>
    </row>
    <row r="1073" spans="1:31" x14ac:dyDescent="0.35">
      <c r="A1073">
        <v>101072</v>
      </c>
      <c r="B1073" s="3">
        <v>45994</v>
      </c>
      <c r="C1073">
        <v>1090</v>
      </c>
      <c r="D1073" t="s">
        <v>64</v>
      </c>
      <c r="E1073" t="s">
        <v>65</v>
      </c>
      <c r="F1073" t="s">
        <v>41</v>
      </c>
      <c r="G1073" t="s">
        <v>50</v>
      </c>
      <c r="H1073" t="s">
        <v>34</v>
      </c>
      <c r="I1073" t="s">
        <v>54</v>
      </c>
      <c r="J1073" s="4">
        <v>22.68</v>
      </c>
      <c r="K1073" s="4">
        <v>18.46</v>
      </c>
      <c r="L1073">
        <v>0</v>
      </c>
      <c r="M1073" s="4">
        <v>0</v>
      </c>
      <c r="N1073" s="4">
        <v>418.67</v>
      </c>
      <c r="O1073" s="4">
        <v>160.56</v>
      </c>
      <c r="P1073" s="4">
        <v>7.9</v>
      </c>
      <c r="Q1073" s="4">
        <v>5.0199999999999996</v>
      </c>
      <c r="R1073" s="4">
        <v>13.61</v>
      </c>
      <c r="S1073" s="4">
        <v>0</v>
      </c>
      <c r="T1073" s="4">
        <v>0</v>
      </c>
      <c r="U1073" s="4">
        <v>187.09</v>
      </c>
      <c r="V1073" s="4">
        <v>231.58</v>
      </c>
      <c r="W1073" t="s">
        <v>21</v>
      </c>
      <c r="X1073" t="s">
        <v>36</v>
      </c>
      <c r="Y1073" s="4">
        <v>19</v>
      </c>
      <c r="Z1073" s="4">
        <v>7</v>
      </c>
      <c r="AA1073" t="s">
        <v>52</v>
      </c>
      <c r="AB1073" t="s">
        <v>38</v>
      </c>
      <c r="AC1073" s="7">
        <v>0</v>
      </c>
      <c r="AD1073" t="s">
        <v>39</v>
      </c>
      <c r="AE1073">
        <f t="shared" si="16"/>
        <v>0</v>
      </c>
    </row>
    <row r="1074" spans="1:31" x14ac:dyDescent="0.35">
      <c r="A1074">
        <v>101073</v>
      </c>
      <c r="B1074" s="3">
        <v>45971</v>
      </c>
      <c r="C1074">
        <v>1132</v>
      </c>
      <c r="D1074" t="s">
        <v>47</v>
      </c>
      <c r="E1074" t="s">
        <v>53</v>
      </c>
      <c r="F1074" t="s">
        <v>71</v>
      </c>
      <c r="G1074" t="s">
        <v>33</v>
      </c>
      <c r="H1074" t="s">
        <v>51</v>
      </c>
      <c r="I1074" t="s">
        <v>69</v>
      </c>
      <c r="J1074" s="4">
        <v>22.63</v>
      </c>
      <c r="K1074" s="4">
        <v>18.66</v>
      </c>
      <c r="L1074">
        <v>10</v>
      </c>
      <c r="M1074" s="4">
        <v>42.23</v>
      </c>
      <c r="N1074" s="4">
        <v>380.05</v>
      </c>
      <c r="O1074" s="4">
        <v>156.33000000000001</v>
      </c>
      <c r="P1074" s="4">
        <v>4.8499999999999996</v>
      </c>
      <c r="Q1074" s="4">
        <v>1.69</v>
      </c>
      <c r="R1074" s="4">
        <v>8.39</v>
      </c>
      <c r="S1074" s="4">
        <v>0</v>
      </c>
      <c r="T1074" s="4">
        <v>0</v>
      </c>
      <c r="U1074" s="4">
        <v>171.26</v>
      </c>
      <c r="V1074" s="4">
        <v>208.79</v>
      </c>
      <c r="W1074" t="s">
        <v>21</v>
      </c>
      <c r="X1074" t="s">
        <v>36</v>
      </c>
      <c r="Y1074" s="4">
        <v>6</v>
      </c>
      <c r="Z1074" s="4">
        <v>2</v>
      </c>
      <c r="AA1074" t="s">
        <v>37</v>
      </c>
      <c r="AB1074" t="s">
        <v>38</v>
      </c>
      <c r="AC1074" s="7">
        <v>1</v>
      </c>
      <c r="AD1074" t="s">
        <v>39</v>
      </c>
      <c r="AE1074">
        <f t="shared" si="16"/>
        <v>0</v>
      </c>
    </row>
    <row r="1075" spans="1:31" x14ac:dyDescent="0.35">
      <c r="A1075">
        <v>101074</v>
      </c>
      <c r="B1075" s="3">
        <v>45942</v>
      </c>
      <c r="C1075">
        <v>1068</v>
      </c>
      <c r="D1075" t="s">
        <v>47</v>
      </c>
      <c r="E1075" t="s">
        <v>48</v>
      </c>
      <c r="F1075" t="s">
        <v>41</v>
      </c>
      <c r="G1075" t="s">
        <v>50</v>
      </c>
      <c r="H1075" t="s">
        <v>34</v>
      </c>
      <c r="I1075" t="s">
        <v>42</v>
      </c>
      <c r="J1075" s="4">
        <v>23.48</v>
      </c>
      <c r="K1075" s="4">
        <v>17.23</v>
      </c>
      <c r="L1075">
        <v>10</v>
      </c>
      <c r="M1075" s="4">
        <v>40.46</v>
      </c>
      <c r="N1075" s="4">
        <v>364.1</v>
      </c>
      <c r="O1075" s="4">
        <v>200.31</v>
      </c>
      <c r="P1075" s="4">
        <v>6.45</v>
      </c>
      <c r="Q1075" s="4">
        <v>6.07</v>
      </c>
      <c r="R1075" s="4">
        <v>11.87</v>
      </c>
      <c r="S1075" s="4">
        <v>0</v>
      </c>
      <c r="T1075" s="4">
        <v>0</v>
      </c>
      <c r="U1075" s="4">
        <v>224.7</v>
      </c>
      <c r="V1075" s="4">
        <v>139.4</v>
      </c>
      <c r="W1075" t="s">
        <v>21</v>
      </c>
      <c r="X1075" t="s">
        <v>36</v>
      </c>
      <c r="Y1075" s="4">
        <v>5</v>
      </c>
      <c r="Z1075" s="4">
        <v>0</v>
      </c>
      <c r="AA1075" t="s">
        <v>37</v>
      </c>
      <c r="AB1075" t="s">
        <v>38</v>
      </c>
      <c r="AC1075" s="7">
        <v>0</v>
      </c>
      <c r="AD1075" t="s">
        <v>39</v>
      </c>
      <c r="AE1075">
        <f t="shared" si="16"/>
        <v>0</v>
      </c>
    </row>
    <row r="1076" spans="1:31" x14ac:dyDescent="0.35">
      <c r="A1076">
        <v>101075</v>
      </c>
      <c r="B1076" s="3">
        <v>45944</v>
      </c>
      <c r="C1076">
        <v>1138</v>
      </c>
      <c r="D1076" t="s">
        <v>30</v>
      </c>
      <c r="E1076" t="s">
        <v>31</v>
      </c>
      <c r="F1076" t="s">
        <v>32</v>
      </c>
      <c r="G1076" t="s">
        <v>33</v>
      </c>
      <c r="H1076" t="s">
        <v>34</v>
      </c>
      <c r="I1076" t="s">
        <v>35</v>
      </c>
      <c r="J1076" s="4">
        <v>36.06</v>
      </c>
      <c r="K1076" s="4">
        <v>20.74</v>
      </c>
      <c r="L1076">
        <v>0</v>
      </c>
      <c r="M1076" s="4">
        <v>0</v>
      </c>
      <c r="N1076" s="4">
        <v>747.88</v>
      </c>
      <c r="O1076" s="4">
        <v>277.44</v>
      </c>
      <c r="P1076" s="4">
        <v>5.85</v>
      </c>
      <c r="Q1076" s="4">
        <v>5.24</v>
      </c>
      <c r="R1076" s="4">
        <v>8.58</v>
      </c>
      <c r="S1076" s="4">
        <v>315.83999999999997</v>
      </c>
      <c r="T1076" s="4">
        <v>0</v>
      </c>
      <c r="U1076" s="4">
        <v>612.95000000000005</v>
      </c>
      <c r="V1076" s="4">
        <v>134.93</v>
      </c>
      <c r="W1076" t="s">
        <v>21</v>
      </c>
      <c r="X1076" t="s">
        <v>66</v>
      </c>
      <c r="Y1076" s="4">
        <v>29</v>
      </c>
      <c r="Z1076" s="4">
        <v>6</v>
      </c>
      <c r="AA1076" t="s">
        <v>52</v>
      </c>
      <c r="AB1076" t="s">
        <v>44</v>
      </c>
      <c r="AC1076" s="7">
        <v>2</v>
      </c>
      <c r="AD1076" t="s">
        <v>45</v>
      </c>
      <c r="AE1076">
        <f t="shared" si="16"/>
        <v>1</v>
      </c>
    </row>
    <row r="1077" spans="1:31" x14ac:dyDescent="0.35">
      <c r="A1077">
        <v>101076</v>
      </c>
      <c r="B1077" s="3">
        <v>45958</v>
      </c>
      <c r="C1077">
        <v>1089</v>
      </c>
      <c r="D1077" t="s">
        <v>64</v>
      </c>
      <c r="E1077" t="s">
        <v>75</v>
      </c>
      <c r="F1077" t="s">
        <v>49</v>
      </c>
      <c r="G1077" t="s">
        <v>63</v>
      </c>
      <c r="H1077" t="s">
        <v>34</v>
      </c>
      <c r="I1077" t="s">
        <v>69</v>
      </c>
      <c r="J1077" s="4">
        <v>13.17</v>
      </c>
      <c r="K1077" s="4">
        <v>11.55</v>
      </c>
      <c r="L1077">
        <v>0</v>
      </c>
      <c r="M1077" s="4">
        <v>0</v>
      </c>
      <c r="N1077" s="4">
        <v>152.11000000000001</v>
      </c>
      <c r="O1077" s="4">
        <v>110.48</v>
      </c>
      <c r="P1077" s="4">
        <v>9.02</v>
      </c>
      <c r="Q1077" s="4">
        <v>0.61</v>
      </c>
      <c r="R1077" s="4">
        <v>11.1</v>
      </c>
      <c r="S1077" s="4">
        <v>0</v>
      </c>
      <c r="T1077" s="4">
        <v>0</v>
      </c>
      <c r="U1077" s="4">
        <v>131.21</v>
      </c>
      <c r="V1077" s="4">
        <v>20.9</v>
      </c>
      <c r="W1077" t="s">
        <v>21</v>
      </c>
      <c r="X1077" t="s">
        <v>36</v>
      </c>
      <c r="Y1077" s="4">
        <v>22</v>
      </c>
      <c r="Z1077" s="4">
        <v>12</v>
      </c>
      <c r="AA1077" t="s">
        <v>52</v>
      </c>
      <c r="AB1077" t="s">
        <v>44</v>
      </c>
      <c r="AC1077" s="7">
        <v>3</v>
      </c>
      <c r="AD1077" t="s">
        <v>45</v>
      </c>
      <c r="AE1077">
        <f t="shared" si="16"/>
        <v>1</v>
      </c>
    </row>
    <row r="1078" spans="1:31" x14ac:dyDescent="0.35">
      <c r="A1078">
        <v>101077</v>
      </c>
      <c r="B1078" s="3">
        <v>45931</v>
      </c>
      <c r="C1078">
        <v>1089</v>
      </c>
      <c r="D1078" t="s">
        <v>30</v>
      </c>
      <c r="E1078" t="s">
        <v>72</v>
      </c>
      <c r="F1078" t="s">
        <v>49</v>
      </c>
      <c r="G1078" t="s">
        <v>63</v>
      </c>
      <c r="H1078" t="s">
        <v>51</v>
      </c>
      <c r="I1078" t="s">
        <v>35</v>
      </c>
      <c r="J1078" s="4">
        <v>37.32</v>
      </c>
      <c r="K1078" s="4">
        <v>12.19</v>
      </c>
      <c r="L1078">
        <v>0</v>
      </c>
      <c r="M1078" s="4">
        <v>0</v>
      </c>
      <c r="N1078" s="4">
        <v>454.93</v>
      </c>
      <c r="O1078" s="4">
        <v>255.31</v>
      </c>
      <c r="P1078" s="4">
        <v>5.74</v>
      </c>
      <c r="Q1078" s="4">
        <v>3.18</v>
      </c>
      <c r="R1078" s="4">
        <v>7.27</v>
      </c>
      <c r="S1078" s="4">
        <v>0</v>
      </c>
      <c r="T1078" s="4">
        <v>0</v>
      </c>
      <c r="U1078" s="4">
        <v>271.5</v>
      </c>
      <c r="V1078" s="4">
        <v>183.43</v>
      </c>
      <c r="W1078" t="s">
        <v>21</v>
      </c>
      <c r="X1078" t="s">
        <v>36</v>
      </c>
      <c r="Y1078" s="4">
        <v>0</v>
      </c>
      <c r="Z1078" s="4">
        <v>12</v>
      </c>
      <c r="AA1078" t="s">
        <v>37</v>
      </c>
      <c r="AB1078" t="s">
        <v>38</v>
      </c>
      <c r="AC1078" s="7">
        <v>0</v>
      </c>
      <c r="AD1078" t="s">
        <v>39</v>
      </c>
      <c r="AE1078">
        <f t="shared" si="16"/>
        <v>0</v>
      </c>
    </row>
    <row r="1079" spans="1:31" x14ac:dyDescent="0.35">
      <c r="A1079">
        <v>101078</v>
      </c>
      <c r="B1079" s="3">
        <v>45975</v>
      </c>
      <c r="C1079">
        <v>1039</v>
      </c>
      <c r="D1079" t="s">
        <v>59</v>
      </c>
      <c r="E1079" t="s">
        <v>68</v>
      </c>
      <c r="F1079" t="s">
        <v>71</v>
      </c>
      <c r="G1079" t="s">
        <v>33</v>
      </c>
      <c r="H1079" t="s">
        <v>34</v>
      </c>
      <c r="I1079" t="s">
        <v>35</v>
      </c>
      <c r="J1079" s="4">
        <v>28.47</v>
      </c>
      <c r="K1079" s="4">
        <v>19.77</v>
      </c>
      <c r="L1079">
        <v>10</v>
      </c>
      <c r="M1079" s="4">
        <v>56.28</v>
      </c>
      <c r="N1079" s="4">
        <v>506.57</v>
      </c>
      <c r="O1079" s="4">
        <v>229.39</v>
      </c>
      <c r="P1079" s="4">
        <v>5.93</v>
      </c>
      <c r="Q1079" s="4">
        <v>3.94</v>
      </c>
      <c r="R1079" s="4">
        <v>0</v>
      </c>
      <c r="S1079" s="4">
        <v>0</v>
      </c>
      <c r="T1079" s="4">
        <v>0</v>
      </c>
      <c r="U1079" s="4">
        <v>239.26</v>
      </c>
      <c r="V1079" s="4">
        <v>267.31</v>
      </c>
      <c r="W1079" t="s">
        <v>21</v>
      </c>
      <c r="X1079" t="s">
        <v>36</v>
      </c>
      <c r="Y1079" s="4">
        <v>5</v>
      </c>
      <c r="Z1079" s="4">
        <v>15</v>
      </c>
      <c r="AA1079" t="s">
        <v>37</v>
      </c>
      <c r="AB1079" t="s">
        <v>38</v>
      </c>
      <c r="AC1079" s="7">
        <v>0</v>
      </c>
      <c r="AD1079" t="s">
        <v>39</v>
      </c>
      <c r="AE1079">
        <f t="shared" si="16"/>
        <v>0</v>
      </c>
    </row>
    <row r="1080" spans="1:31" x14ac:dyDescent="0.35">
      <c r="A1080">
        <v>101079</v>
      </c>
      <c r="B1080" s="3">
        <v>45989</v>
      </c>
      <c r="C1080">
        <v>1002</v>
      </c>
      <c r="D1080" t="s">
        <v>47</v>
      </c>
      <c r="E1080" t="s">
        <v>56</v>
      </c>
      <c r="F1080" t="s">
        <v>61</v>
      </c>
      <c r="G1080" t="s">
        <v>63</v>
      </c>
      <c r="H1080" t="s">
        <v>34</v>
      </c>
      <c r="I1080" t="s">
        <v>54</v>
      </c>
      <c r="J1080" s="4">
        <v>28.04</v>
      </c>
      <c r="K1080" s="4">
        <v>12.62</v>
      </c>
      <c r="L1080">
        <v>0</v>
      </c>
      <c r="M1080" s="4">
        <v>0</v>
      </c>
      <c r="N1080" s="4">
        <v>353.86</v>
      </c>
      <c r="O1080" s="4">
        <v>184.86</v>
      </c>
      <c r="P1080" s="4">
        <v>5.43</v>
      </c>
      <c r="Q1080" s="4">
        <v>4.25</v>
      </c>
      <c r="R1080" s="4">
        <v>10.35</v>
      </c>
      <c r="S1080" s="4">
        <v>0</v>
      </c>
      <c r="T1080" s="4">
        <v>0</v>
      </c>
      <c r="U1080" s="4">
        <v>204.89</v>
      </c>
      <c r="V1080" s="4">
        <v>148.97</v>
      </c>
      <c r="W1080" t="s">
        <v>21</v>
      </c>
      <c r="X1080" t="s">
        <v>36</v>
      </c>
      <c r="Y1080" s="4">
        <v>20</v>
      </c>
      <c r="Z1080" s="4">
        <v>11</v>
      </c>
      <c r="AA1080" t="s">
        <v>52</v>
      </c>
      <c r="AB1080" t="s">
        <v>38</v>
      </c>
      <c r="AC1080" s="7">
        <v>0</v>
      </c>
      <c r="AD1080" t="s">
        <v>39</v>
      </c>
      <c r="AE1080">
        <f t="shared" si="16"/>
        <v>0</v>
      </c>
    </row>
    <row r="1081" spans="1:31" x14ac:dyDescent="0.35">
      <c r="A1081">
        <v>101080</v>
      </c>
      <c r="B1081" s="3">
        <v>46011</v>
      </c>
      <c r="C1081">
        <v>1035</v>
      </c>
      <c r="D1081" t="s">
        <v>59</v>
      </c>
      <c r="E1081" t="s">
        <v>68</v>
      </c>
      <c r="F1081" t="s">
        <v>49</v>
      </c>
      <c r="G1081" t="s">
        <v>33</v>
      </c>
      <c r="H1081" t="s">
        <v>34</v>
      </c>
      <c r="I1081" t="s">
        <v>54</v>
      </c>
      <c r="J1081" s="4">
        <v>39.21</v>
      </c>
      <c r="K1081" s="4">
        <v>18.78</v>
      </c>
      <c r="L1081">
        <v>0</v>
      </c>
      <c r="M1081" s="4">
        <v>0</v>
      </c>
      <c r="N1081" s="4">
        <v>736.36</v>
      </c>
      <c r="O1081" s="4">
        <v>267.58</v>
      </c>
      <c r="P1081" s="4">
        <v>11.37</v>
      </c>
      <c r="Q1081" s="4">
        <v>8.84</v>
      </c>
      <c r="R1081" s="4">
        <v>3.16</v>
      </c>
      <c r="S1081" s="4">
        <v>0</v>
      </c>
      <c r="T1081" s="4">
        <v>0</v>
      </c>
      <c r="U1081" s="4">
        <v>290.95</v>
      </c>
      <c r="V1081" s="4">
        <v>445.41</v>
      </c>
      <c r="W1081" t="s">
        <v>21</v>
      </c>
      <c r="X1081" t="s">
        <v>36</v>
      </c>
      <c r="Y1081" s="4">
        <v>31</v>
      </c>
      <c r="Z1081" s="4">
        <v>4</v>
      </c>
      <c r="AA1081" t="s">
        <v>43</v>
      </c>
      <c r="AB1081" t="s">
        <v>44</v>
      </c>
      <c r="AC1081" s="7">
        <v>1</v>
      </c>
      <c r="AD1081" t="s">
        <v>45</v>
      </c>
      <c r="AE1081">
        <f t="shared" si="16"/>
        <v>1</v>
      </c>
    </row>
    <row r="1082" spans="1:31" x14ac:dyDescent="0.35">
      <c r="A1082">
        <v>101081</v>
      </c>
      <c r="B1082" s="3">
        <v>45962</v>
      </c>
      <c r="C1082">
        <v>1079</v>
      </c>
      <c r="D1082" t="s">
        <v>30</v>
      </c>
      <c r="E1082" t="s">
        <v>62</v>
      </c>
      <c r="F1082" t="s">
        <v>71</v>
      </c>
      <c r="G1082" t="s">
        <v>46</v>
      </c>
      <c r="H1082" t="s">
        <v>34</v>
      </c>
      <c r="I1082" t="s">
        <v>69</v>
      </c>
      <c r="J1082" s="4">
        <v>30.41</v>
      </c>
      <c r="K1082" s="4">
        <v>15.54</v>
      </c>
      <c r="L1082">
        <v>0</v>
      </c>
      <c r="M1082" s="4">
        <v>0</v>
      </c>
      <c r="N1082" s="4">
        <v>472.57</v>
      </c>
      <c r="O1082" s="4">
        <v>205.07</v>
      </c>
      <c r="P1082" s="4">
        <v>6.39</v>
      </c>
      <c r="Q1082" s="4">
        <v>1.89</v>
      </c>
      <c r="R1082" s="4">
        <v>5.72</v>
      </c>
      <c r="S1082" s="4">
        <v>0</v>
      </c>
      <c r="T1082" s="4">
        <v>0</v>
      </c>
      <c r="U1082" s="4">
        <v>219.07</v>
      </c>
      <c r="V1082" s="4">
        <v>253.5</v>
      </c>
      <c r="W1082" t="s">
        <v>21</v>
      </c>
      <c r="X1082" t="s">
        <v>36</v>
      </c>
      <c r="Y1082" s="4">
        <v>14</v>
      </c>
      <c r="Z1082" s="4">
        <v>1</v>
      </c>
      <c r="AA1082" t="s">
        <v>37</v>
      </c>
      <c r="AB1082" t="s">
        <v>38</v>
      </c>
      <c r="AC1082" s="7">
        <v>0</v>
      </c>
      <c r="AD1082" t="s">
        <v>39</v>
      </c>
      <c r="AE1082">
        <f t="shared" si="16"/>
        <v>0</v>
      </c>
    </row>
    <row r="1083" spans="1:31" x14ac:dyDescent="0.35">
      <c r="A1083">
        <v>101082</v>
      </c>
      <c r="B1083" s="3">
        <v>45980</v>
      </c>
      <c r="C1083">
        <v>1124</v>
      </c>
      <c r="D1083" t="s">
        <v>59</v>
      </c>
      <c r="E1083" t="s">
        <v>60</v>
      </c>
      <c r="F1083" t="s">
        <v>41</v>
      </c>
      <c r="G1083" t="s">
        <v>63</v>
      </c>
      <c r="H1083" t="s">
        <v>57</v>
      </c>
      <c r="I1083" t="s">
        <v>35</v>
      </c>
      <c r="J1083" s="4">
        <v>19.22</v>
      </c>
      <c r="K1083" s="4">
        <v>14.55</v>
      </c>
      <c r="L1083">
        <v>20</v>
      </c>
      <c r="M1083" s="4">
        <v>55.93</v>
      </c>
      <c r="N1083" s="4">
        <v>223.72</v>
      </c>
      <c r="O1083" s="4">
        <v>149.56</v>
      </c>
      <c r="P1083" s="4">
        <v>3.72</v>
      </c>
      <c r="Q1083" s="4">
        <v>1.96</v>
      </c>
      <c r="R1083" s="4">
        <v>6.99</v>
      </c>
      <c r="S1083" s="4">
        <v>0</v>
      </c>
      <c r="T1083" s="4">
        <v>0</v>
      </c>
      <c r="U1083" s="4">
        <v>162.22999999999999</v>
      </c>
      <c r="V1083" s="4">
        <v>61.49</v>
      </c>
      <c r="W1083" t="s">
        <v>21</v>
      </c>
      <c r="X1083" t="s">
        <v>36</v>
      </c>
      <c r="Y1083" s="4">
        <v>0</v>
      </c>
      <c r="Z1083" s="4">
        <v>0</v>
      </c>
      <c r="AA1083" t="s">
        <v>37</v>
      </c>
      <c r="AB1083" t="s">
        <v>38</v>
      </c>
      <c r="AC1083" s="7">
        <v>0</v>
      </c>
      <c r="AD1083" t="s">
        <v>39</v>
      </c>
      <c r="AE1083">
        <f t="shared" si="16"/>
        <v>0</v>
      </c>
    </row>
    <row r="1084" spans="1:31" x14ac:dyDescent="0.35">
      <c r="A1084">
        <v>101083</v>
      </c>
      <c r="B1084" s="3">
        <v>46016</v>
      </c>
      <c r="C1084">
        <v>1122</v>
      </c>
      <c r="D1084" t="s">
        <v>47</v>
      </c>
      <c r="E1084" t="s">
        <v>56</v>
      </c>
      <c r="F1084" t="s">
        <v>32</v>
      </c>
      <c r="G1084" t="s">
        <v>50</v>
      </c>
      <c r="H1084" t="s">
        <v>51</v>
      </c>
      <c r="I1084" t="s">
        <v>69</v>
      </c>
      <c r="J1084" s="4">
        <v>43.75</v>
      </c>
      <c r="K1084" s="4">
        <v>17.41</v>
      </c>
      <c r="L1084">
        <v>10</v>
      </c>
      <c r="M1084" s="4">
        <v>76.17</v>
      </c>
      <c r="N1084" s="4">
        <v>685.52</v>
      </c>
      <c r="O1084" s="4">
        <v>299.25</v>
      </c>
      <c r="P1084" s="4">
        <v>9.25</v>
      </c>
      <c r="Q1084" s="4">
        <v>3.05</v>
      </c>
      <c r="R1084" s="4">
        <v>6.02</v>
      </c>
      <c r="S1084" s="4">
        <v>0</v>
      </c>
      <c r="T1084" s="4">
        <v>0</v>
      </c>
      <c r="U1084" s="4">
        <v>317.57</v>
      </c>
      <c r="V1084" s="4">
        <v>367.95</v>
      </c>
      <c r="W1084" t="s">
        <v>21</v>
      </c>
      <c r="X1084" t="s">
        <v>36</v>
      </c>
      <c r="Y1084" s="4">
        <v>12</v>
      </c>
      <c r="Z1084" s="4">
        <v>0</v>
      </c>
      <c r="AA1084" t="s">
        <v>37</v>
      </c>
      <c r="AB1084" t="s">
        <v>38</v>
      </c>
      <c r="AC1084" s="7">
        <v>2</v>
      </c>
      <c r="AD1084" t="s">
        <v>39</v>
      </c>
      <c r="AE1084">
        <f t="shared" si="16"/>
        <v>0</v>
      </c>
    </row>
    <row r="1085" spans="1:31" x14ac:dyDescent="0.35">
      <c r="A1085">
        <v>101084</v>
      </c>
      <c r="B1085" s="3">
        <v>45968</v>
      </c>
      <c r="C1085">
        <v>1015</v>
      </c>
      <c r="D1085" t="s">
        <v>30</v>
      </c>
      <c r="E1085" t="s">
        <v>40</v>
      </c>
      <c r="F1085" t="s">
        <v>49</v>
      </c>
      <c r="G1085" t="s">
        <v>33</v>
      </c>
      <c r="H1085" t="s">
        <v>51</v>
      </c>
      <c r="I1085" t="s">
        <v>54</v>
      </c>
      <c r="J1085" s="4">
        <v>21.92</v>
      </c>
      <c r="K1085" s="4">
        <v>19.2</v>
      </c>
      <c r="L1085">
        <v>0</v>
      </c>
      <c r="M1085" s="4">
        <v>0</v>
      </c>
      <c r="N1085" s="4">
        <v>420.86</v>
      </c>
      <c r="O1085" s="4">
        <v>151.33000000000001</v>
      </c>
      <c r="P1085" s="4">
        <v>8.0399999999999991</v>
      </c>
      <c r="Q1085" s="4">
        <v>5.05</v>
      </c>
      <c r="R1085" s="4">
        <v>5.0599999999999996</v>
      </c>
      <c r="S1085" s="4">
        <v>0</v>
      </c>
      <c r="T1085" s="4">
        <v>0</v>
      </c>
      <c r="U1085" s="4">
        <v>169.48</v>
      </c>
      <c r="V1085" s="4">
        <v>251.38</v>
      </c>
      <c r="W1085" t="s">
        <v>21</v>
      </c>
      <c r="X1085" t="s">
        <v>36</v>
      </c>
      <c r="Y1085" s="4">
        <v>14</v>
      </c>
      <c r="Z1085" s="4">
        <v>25</v>
      </c>
      <c r="AA1085" t="s">
        <v>37</v>
      </c>
      <c r="AB1085" t="s">
        <v>44</v>
      </c>
      <c r="AC1085" s="7">
        <v>2</v>
      </c>
      <c r="AD1085" t="s">
        <v>45</v>
      </c>
      <c r="AE1085">
        <f t="shared" si="16"/>
        <v>1</v>
      </c>
    </row>
    <row r="1086" spans="1:31" x14ac:dyDescent="0.35">
      <c r="A1086">
        <v>101085</v>
      </c>
      <c r="B1086" s="3">
        <v>46006</v>
      </c>
      <c r="C1086">
        <v>1034</v>
      </c>
      <c r="D1086" t="s">
        <v>30</v>
      </c>
      <c r="E1086" t="s">
        <v>72</v>
      </c>
      <c r="F1086" t="s">
        <v>49</v>
      </c>
      <c r="G1086" t="s">
        <v>33</v>
      </c>
      <c r="H1086" t="s">
        <v>34</v>
      </c>
      <c r="I1086" t="s">
        <v>42</v>
      </c>
      <c r="J1086" s="4">
        <v>22.07</v>
      </c>
      <c r="K1086" s="4">
        <v>18.55</v>
      </c>
      <c r="L1086">
        <v>0</v>
      </c>
      <c r="M1086" s="4">
        <v>0</v>
      </c>
      <c r="N1086" s="4">
        <v>409.4</v>
      </c>
      <c r="O1086" s="4">
        <v>165.82</v>
      </c>
      <c r="P1086" s="4">
        <v>7.01</v>
      </c>
      <c r="Q1086" s="4">
        <v>6.14</v>
      </c>
      <c r="R1086" s="4">
        <v>11.28</v>
      </c>
      <c r="S1086" s="4">
        <v>0</v>
      </c>
      <c r="T1086" s="4">
        <v>0</v>
      </c>
      <c r="U1086" s="4">
        <v>190.25</v>
      </c>
      <c r="V1086" s="4">
        <v>219.15</v>
      </c>
      <c r="W1086" t="s">
        <v>21</v>
      </c>
      <c r="X1086" t="s">
        <v>36</v>
      </c>
      <c r="Y1086" s="4">
        <v>19</v>
      </c>
      <c r="Z1086" s="4">
        <v>14</v>
      </c>
      <c r="AA1086" t="s">
        <v>52</v>
      </c>
      <c r="AB1086" t="s">
        <v>38</v>
      </c>
      <c r="AC1086" s="7">
        <v>0</v>
      </c>
      <c r="AD1086" t="s">
        <v>39</v>
      </c>
      <c r="AE1086">
        <f t="shared" si="16"/>
        <v>0</v>
      </c>
    </row>
    <row r="1087" spans="1:31" x14ac:dyDescent="0.35">
      <c r="A1087">
        <v>101086</v>
      </c>
      <c r="B1087" s="3">
        <v>45984</v>
      </c>
      <c r="C1087">
        <v>1010</v>
      </c>
      <c r="D1087" t="s">
        <v>47</v>
      </c>
      <c r="E1087" t="s">
        <v>74</v>
      </c>
      <c r="F1087" t="s">
        <v>49</v>
      </c>
      <c r="G1087" t="s">
        <v>46</v>
      </c>
      <c r="H1087" t="s">
        <v>51</v>
      </c>
      <c r="I1087" t="s">
        <v>35</v>
      </c>
      <c r="J1087" s="4">
        <v>36.36</v>
      </c>
      <c r="K1087" s="4">
        <v>15.33</v>
      </c>
      <c r="L1087">
        <v>15</v>
      </c>
      <c r="M1087" s="4">
        <v>83.61</v>
      </c>
      <c r="N1087" s="4">
        <v>473.79</v>
      </c>
      <c r="O1087" s="4">
        <v>223.9</v>
      </c>
      <c r="P1087" s="4">
        <v>3.5</v>
      </c>
      <c r="Q1087" s="4">
        <v>3.9</v>
      </c>
      <c r="R1087" s="4">
        <v>7.61</v>
      </c>
      <c r="S1087" s="4">
        <v>0</v>
      </c>
      <c r="T1087" s="4">
        <v>0</v>
      </c>
      <c r="U1087" s="4">
        <v>238.91</v>
      </c>
      <c r="V1087" s="4">
        <v>234.88</v>
      </c>
      <c r="W1087" t="s">
        <v>21</v>
      </c>
      <c r="X1087" t="s">
        <v>36</v>
      </c>
      <c r="Y1087" s="4">
        <v>11</v>
      </c>
      <c r="Z1087" s="4">
        <v>8</v>
      </c>
      <c r="AA1087" t="s">
        <v>37</v>
      </c>
      <c r="AB1087" t="s">
        <v>38</v>
      </c>
      <c r="AC1087" s="7">
        <v>0</v>
      </c>
      <c r="AD1087" t="s">
        <v>39</v>
      </c>
      <c r="AE1087">
        <f t="shared" si="16"/>
        <v>0</v>
      </c>
    </row>
    <row r="1088" spans="1:31" x14ac:dyDescent="0.35">
      <c r="A1088">
        <v>101087</v>
      </c>
      <c r="B1088" s="3">
        <v>45936</v>
      </c>
      <c r="C1088">
        <v>1060</v>
      </c>
      <c r="D1088" t="s">
        <v>59</v>
      </c>
      <c r="E1088" t="s">
        <v>73</v>
      </c>
      <c r="F1088" t="s">
        <v>32</v>
      </c>
      <c r="G1088" t="s">
        <v>63</v>
      </c>
      <c r="H1088" t="s">
        <v>51</v>
      </c>
      <c r="I1088" t="s">
        <v>69</v>
      </c>
      <c r="J1088" s="4">
        <v>28.64</v>
      </c>
      <c r="K1088" s="4">
        <v>12.35</v>
      </c>
      <c r="L1088">
        <v>5</v>
      </c>
      <c r="M1088" s="4">
        <v>17.68</v>
      </c>
      <c r="N1088" s="4">
        <v>336.02</v>
      </c>
      <c r="O1088" s="4">
        <v>193.87</v>
      </c>
      <c r="P1088" s="4">
        <v>4.57</v>
      </c>
      <c r="Q1088" s="4">
        <v>1.41</v>
      </c>
      <c r="R1088" s="4">
        <v>8.2899999999999991</v>
      </c>
      <c r="S1088" s="4">
        <v>130.55000000000001</v>
      </c>
      <c r="T1088" s="4">
        <v>24.39</v>
      </c>
      <c r="U1088" s="4">
        <v>363.08</v>
      </c>
      <c r="V1088" s="4">
        <v>-27.06</v>
      </c>
      <c r="W1088" t="s">
        <v>58</v>
      </c>
      <c r="X1088" t="s">
        <v>66</v>
      </c>
      <c r="Y1088" s="4">
        <v>14</v>
      </c>
      <c r="Z1088" s="4">
        <v>18</v>
      </c>
      <c r="AA1088" t="s">
        <v>37</v>
      </c>
      <c r="AB1088" t="s">
        <v>44</v>
      </c>
      <c r="AC1088" s="7">
        <v>3</v>
      </c>
      <c r="AD1088" t="s">
        <v>45</v>
      </c>
      <c r="AE1088">
        <f t="shared" si="16"/>
        <v>1</v>
      </c>
    </row>
    <row r="1089" spans="1:31" x14ac:dyDescent="0.35">
      <c r="A1089">
        <v>101088</v>
      </c>
      <c r="B1089" s="3">
        <v>45967</v>
      </c>
      <c r="C1089">
        <v>1065</v>
      </c>
      <c r="D1089" t="s">
        <v>64</v>
      </c>
      <c r="E1089" t="s">
        <v>65</v>
      </c>
      <c r="F1089" t="s">
        <v>32</v>
      </c>
      <c r="G1089" t="s">
        <v>46</v>
      </c>
      <c r="H1089" t="s">
        <v>51</v>
      </c>
      <c r="I1089" t="s">
        <v>35</v>
      </c>
      <c r="J1089" s="4">
        <v>22.74</v>
      </c>
      <c r="K1089" s="4">
        <v>15.48</v>
      </c>
      <c r="L1089">
        <v>10</v>
      </c>
      <c r="M1089" s="4">
        <v>35.200000000000003</v>
      </c>
      <c r="N1089" s="4">
        <v>316.82</v>
      </c>
      <c r="O1089" s="4">
        <v>151.5</v>
      </c>
      <c r="P1089" s="4">
        <v>11.68</v>
      </c>
      <c r="Q1089" s="4">
        <v>2.46</v>
      </c>
      <c r="R1089" s="4">
        <v>7.21</v>
      </c>
      <c r="S1089" s="4">
        <v>0</v>
      </c>
      <c r="T1089" s="4">
        <v>0</v>
      </c>
      <c r="U1089" s="4">
        <v>172.85</v>
      </c>
      <c r="V1089" s="4">
        <v>143.97</v>
      </c>
      <c r="W1089" t="s">
        <v>21</v>
      </c>
      <c r="X1089" t="s">
        <v>36</v>
      </c>
      <c r="Y1089" s="4">
        <v>22</v>
      </c>
      <c r="Z1089" s="4">
        <v>1</v>
      </c>
      <c r="AA1089" t="s">
        <v>52</v>
      </c>
      <c r="AB1089" t="s">
        <v>44</v>
      </c>
      <c r="AC1089" s="7">
        <v>2</v>
      </c>
      <c r="AD1089" t="s">
        <v>45</v>
      </c>
      <c r="AE1089">
        <f t="shared" si="16"/>
        <v>1</v>
      </c>
    </row>
    <row r="1090" spans="1:31" x14ac:dyDescent="0.35">
      <c r="A1090">
        <v>101089</v>
      </c>
      <c r="B1090" s="3">
        <v>45968</v>
      </c>
      <c r="C1090">
        <v>1093</v>
      </c>
      <c r="D1090" t="s">
        <v>30</v>
      </c>
      <c r="E1090" t="s">
        <v>62</v>
      </c>
      <c r="F1090" t="s">
        <v>71</v>
      </c>
      <c r="G1090" t="s">
        <v>63</v>
      </c>
      <c r="H1090" t="s">
        <v>57</v>
      </c>
      <c r="I1090" t="s">
        <v>35</v>
      </c>
      <c r="J1090" s="4">
        <v>21.19</v>
      </c>
      <c r="K1090" s="4">
        <v>12.19</v>
      </c>
      <c r="L1090">
        <v>0</v>
      </c>
      <c r="M1090" s="4">
        <v>0</v>
      </c>
      <c r="N1090" s="4">
        <v>258.31</v>
      </c>
      <c r="O1090" s="4">
        <v>157.30000000000001</v>
      </c>
      <c r="P1090" s="4">
        <v>7.09</v>
      </c>
      <c r="Q1090" s="4">
        <v>1.81</v>
      </c>
      <c r="R1090" s="4">
        <v>7.62</v>
      </c>
      <c r="S1090" s="4">
        <v>0</v>
      </c>
      <c r="T1090" s="4">
        <v>0</v>
      </c>
      <c r="U1090" s="4">
        <v>173.82</v>
      </c>
      <c r="V1090" s="4">
        <v>84.49</v>
      </c>
      <c r="W1090" t="s">
        <v>21</v>
      </c>
      <c r="X1090" t="s">
        <v>36</v>
      </c>
      <c r="Y1090" s="4">
        <v>10</v>
      </c>
      <c r="Z1090" s="4">
        <v>1</v>
      </c>
      <c r="AA1090" t="s">
        <v>37</v>
      </c>
      <c r="AB1090" t="s">
        <v>38</v>
      </c>
      <c r="AC1090" s="7">
        <v>2</v>
      </c>
      <c r="AD1090" t="s">
        <v>39</v>
      </c>
      <c r="AE1090">
        <f t="shared" si="16"/>
        <v>0</v>
      </c>
    </row>
    <row r="1091" spans="1:31" x14ac:dyDescent="0.35">
      <c r="A1091">
        <v>101090</v>
      </c>
      <c r="B1091" s="3">
        <v>45934</v>
      </c>
      <c r="C1091">
        <v>1059</v>
      </c>
      <c r="D1091" t="s">
        <v>47</v>
      </c>
      <c r="E1091" t="s">
        <v>56</v>
      </c>
      <c r="F1091" t="s">
        <v>61</v>
      </c>
      <c r="G1091" t="s">
        <v>46</v>
      </c>
      <c r="H1091" t="s">
        <v>34</v>
      </c>
      <c r="I1091" t="s">
        <v>35</v>
      </c>
      <c r="J1091" s="4">
        <v>30.84</v>
      </c>
      <c r="K1091" s="4">
        <v>15.09</v>
      </c>
      <c r="L1091">
        <v>20</v>
      </c>
      <c r="M1091" s="4">
        <v>93.08</v>
      </c>
      <c r="N1091" s="4">
        <v>372.3</v>
      </c>
      <c r="O1091" s="4">
        <v>209.97</v>
      </c>
      <c r="P1091" s="4">
        <v>2.0699999999999998</v>
      </c>
      <c r="Q1091" s="4">
        <v>3.26</v>
      </c>
      <c r="R1091" s="4">
        <v>6.56</v>
      </c>
      <c r="S1091" s="4">
        <v>0</v>
      </c>
      <c r="T1091" s="4">
        <v>0</v>
      </c>
      <c r="U1091" s="4">
        <v>221.86</v>
      </c>
      <c r="V1091" s="4">
        <v>150.44</v>
      </c>
      <c r="W1091" t="s">
        <v>21</v>
      </c>
      <c r="X1091" t="s">
        <v>36</v>
      </c>
      <c r="Y1091" s="4">
        <v>1</v>
      </c>
      <c r="Z1091" s="4">
        <v>1</v>
      </c>
      <c r="AA1091" t="s">
        <v>37</v>
      </c>
      <c r="AB1091" t="s">
        <v>38</v>
      </c>
      <c r="AC1091" s="7">
        <v>0</v>
      </c>
      <c r="AD1091" t="s">
        <v>39</v>
      </c>
      <c r="AE1091">
        <f t="shared" ref="AE1091:AE1154" si="17">IF(AB1091="Yes",1,0)</f>
        <v>0</v>
      </c>
    </row>
    <row r="1092" spans="1:31" x14ac:dyDescent="0.35">
      <c r="A1092">
        <v>101091</v>
      </c>
      <c r="B1092" s="3">
        <v>45952</v>
      </c>
      <c r="C1092">
        <v>1043</v>
      </c>
      <c r="D1092" t="s">
        <v>59</v>
      </c>
      <c r="E1092" t="s">
        <v>73</v>
      </c>
      <c r="F1092" t="s">
        <v>41</v>
      </c>
      <c r="G1092" t="s">
        <v>33</v>
      </c>
      <c r="H1092" t="s">
        <v>34</v>
      </c>
      <c r="I1092" t="s">
        <v>54</v>
      </c>
      <c r="J1092" s="4">
        <v>24.87</v>
      </c>
      <c r="K1092" s="4">
        <v>19.510000000000002</v>
      </c>
      <c r="L1092">
        <v>10</v>
      </c>
      <c r="M1092" s="4">
        <v>48.52</v>
      </c>
      <c r="N1092" s="4">
        <v>436.69</v>
      </c>
      <c r="O1092" s="4">
        <v>173.52</v>
      </c>
      <c r="P1092" s="4">
        <v>6.88</v>
      </c>
      <c r="Q1092" s="4">
        <v>5.82</v>
      </c>
      <c r="R1092" s="4">
        <v>6.99</v>
      </c>
      <c r="S1092" s="4">
        <v>0</v>
      </c>
      <c r="T1092" s="4">
        <v>0</v>
      </c>
      <c r="U1092" s="4">
        <v>193.21</v>
      </c>
      <c r="V1092" s="4">
        <v>243.48</v>
      </c>
      <c r="W1092" t="s">
        <v>21</v>
      </c>
      <c r="X1092" t="s">
        <v>36</v>
      </c>
      <c r="Y1092" s="4">
        <v>3</v>
      </c>
      <c r="Z1092" s="4">
        <v>0</v>
      </c>
      <c r="AA1092" t="s">
        <v>37</v>
      </c>
      <c r="AB1092" t="s">
        <v>38</v>
      </c>
      <c r="AC1092" s="7">
        <v>0</v>
      </c>
      <c r="AD1092" t="s">
        <v>39</v>
      </c>
      <c r="AE1092">
        <f t="shared" si="17"/>
        <v>0</v>
      </c>
    </row>
    <row r="1093" spans="1:31" x14ac:dyDescent="0.35">
      <c r="A1093">
        <v>101092</v>
      </c>
      <c r="B1093" s="3">
        <v>46022</v>
      </c>
      <c r="C1093">
        <v>1067</v>
      </c>
      <c r="D1093" t="s">
        <v>30</v>
      </c>
      <c r="E1093" t="s">
        <v>72</v>
      </c>
      <c r="F1093" t="s">
        <v>41</v>
      </c>
      <c r="G1093" t="s">
        <v>50</v>
      </c>
      <c r="H1093" t="s">
        <v>57</v>
      </c>
      <c r="I1093" t="s">
        <v>35</v>
      </c>
      <c r="J1093" s="4">
        <v>41.38</v>
      </c>
      <c r="K1093" s="4">
        <v>17.96</v>
      </c>
      <c r="L1093">
        <v>10</v>
      </c>
      <c r="M1093" s="4">
        <v>74.319999999999993</v>
      </c>
      <c r="N1093" s="4">
        <v>668.86</v>
      </c>
      <c r="O1093" s="4">
        <v>297.51</v>
      </c>
      <c r="P1093" s="4">
        <v>11.24</v>
      </c>
      <c r="Q1093" s="4">
        <v>5.2</v>
      </c>
      <c r="R1093" s="4">
        <v>10.81</v>
      </c>
      <c r="S1093" s="4">
        <v>0</v>
      </c>
      <c r="T1093" s="4">
        <v>0</v>
      </c>
      <c r="U1093" s="4">
        <v>324.76</v>
      </c>
      <c r="V1093" s="4">
        <v>344.1</v>
      </c>
      <c r="W1093" t="s">
        <v>21</v>
      </c>
      <c r="X1093" t="s">
        <v>36</v>
      </c>
      <c r="Y1093" s="4">
        <v>6</v>
      </c>
      <c r="Z1093" s="4">
        <v>18</v>
      </c>
      <c r="AA1093" t="s">
        <v>37</v>
      </c>
      <c r="AB1093" t="s">
        <v>44</v>
      </c>
      <c r="AC1093" s="7">
        <v>4</v>
      </c>
      <c r="AD1093" t="s">
        <v>45</v>
      </c>
      <c r="AE1093">
        <f t="shared" si="17"/>
        <v>1</v>
      </c>
    </row>
    <row r="1094" spans="1:31" x14ac:dyDescent="0.35">
      <c r="A1094">
        <v>101093</v>
      </c>
      <c r="B1094" s="3">
        <v>45934</v>
      </c>
      <c r="C1094">
        <v>1007</v>
      </c>
      <c r="D1094" t="s">
        <v>47</v>
      </c>
      <c r="E1094" t="s">
        <v>48</v>
      </c>
      <c r="F1094" t="s">
        <v>49</v>
      </c>
      <c r="G1094" t="s">
        <v>63</v>
      </c>
      <c r="H1094" t="s">
        <v>34</v>
      </c>
      <c r="I1094" t="s">
        <v>69</v>
      </c>
      <c r="J1094" s="4">
        <v>24.16</v>
      </c>
      <c r="K1094" s="4">
        <v>12.35</v>
      </c>
      <c r="L1094">
        <v>0</v>
      </c>
      <c r="M1094" s="4">
        <v>0</v>
      </c>
      <c r="N1094" s="4">
        <v>298.38</v>
      </c>
      <c r="O1094" s="4">
        <v>181.84</v>
      </c>
      <c r="P1094" s="4">
        <v>6.61</v>
      </c>
      <c r="Q1094" s="4">
        <v>1.19</v>
      </c>
      <c r="R1094" s="4">
        <v>9.01</v>
      </c>
      <c r="S1094" s="4">
        <v>238.01</v>
      </c>
      <c r="T1094" s="4">
        <v>0</v>
      </c>
      <c r="U1094" s="4">
        <v>436.66</v>
      </c>
      <c r="V1094" s="4">
        <v>-138.28</v>
      </c>
      <c r="W1094" t="s">
        <v>58</v>
      </c>
      <c r="X1094" t="s">
        <v>66</v>
      </c>
      <c r="Y1094" s="4">
        <v>13</v>
      </c>
      <c r="Z1094" s="4">
        <v>5</v>
      </c>
      <c r="AA1094" t="s">
        <v>37</v>
      </c>
      <c r="AB1094" t="s">
        <v>38</v>
      </c>
      <c r="AC1094" s="7">
        <v>3</v>
      </c>
      <c r="AD1094" t="s">
        <v>45</v>
      </c>
      <c r="AE1094">
        <f t="shared" si="17"/>
        <v>0</v>
      </c>
    </row>
    <row r="1095" spans="1:31" x14ac:dyDescent="0.35">
      <c r="A1095">
        <v>101094</v>
      </c>
      <c r="B1095" s="3">
        <v>45976</v>
      </c>
      <c r="C1095">
        <v>1020</v>
      </c>
      <c r="D1095" t="s">
        <v>59</v>
      </c>
      <c r="E1095" t="s">
        <v>70</v>
      </c>
      <c r="F1095" t="s">
        <v>61</v>
      </c>
      <c r="G1095" t="s">
        <v>63</v>
      </c>
      <c r="H1095" t="s">
        <v>34</v>
      </c>
      <c r="I1095" t="s">
        <v>35</v>
      </c>
      <c r="J1095" s="4">
        <v>12.96</v>
      </c>
      <c r="K1095" s="4">
        <v>13.2</v>
      </c>
      <c r="L1095">
        <v>0</v>
      </c>
      <c r="M1095" s="4">
        <v>0</v>
      </c>
      <c r="N1095" s="4">
        <v>171.07</v>
      </c>
      <c r="O1095" s="4">
        <v>95.07</v>
      </c>
      <c r="P1095" s="4">
        <v>5.91</v>
      </c>
      <c r="Q1095" s="4">
        <v>1.2</v>
      </c>
      <c r="R1095" s="4">
        <v>6.61</v>
      </c>
      <c r="S1095" s="4">
        <v>0</v>
      </c>
      <c r="T1095" s="4">
        <v>0</v>
      </c>
      <c r="U1095" s="4">
        <v>108.79</v>
      </c>
      <c r="V1095" s="4">
        <v>62.28</v>
      </c>
      <c r="W1095" t="s">
        <v>21</v>
      </c>
      <c r="X1095" t="s">
        <v>36</v>
      </c>
      <c r="Y1095" s="4">
        <v>18</v>
      </c>
      <c r="Z1095" s="4">
        <v>26</v>
      </c>
      <c r="AA1095" t="s">
        <v>52</v>
      </c>
      <c r="AB1095" t="s">
        <v>44</v>
      </c>
      <c r="AC1095" s="7">
        <v>2</v>
      </c>
      <c r="AD1095" t="s">
        <v>45</v>
      </c>
      <c r="AE1095">
        <f t="shared" si="17"/>
        <v>1</v>
      </c>
    </row>
    <row r="1096" spans="1:31" x14ac:dyDescent="0.35">
      <c r="A1096">
        <v>101095</v>
      </c>
      <c r="B1096" s="3">
        <v>45996</v>
      </c>
      <c r="C1096">
        <v>1038</v>
      </c>
      <c r="D1096" t="s">
        <v>64</v>
      </c>
      <c r="E1096" t="s">
        <v>75</v>
      </c>
      <c r="F1096" t="s">
        <v>32</v>
      </c>
      <c r="G1096" t="s">
        <v>33</v>
      </c>
      <c r="H1096" t="s">
        <v>57</v>
      </c>
      <c r="I1096" t="s">
        <v>54</v>
      </c>
      <c r="J1096" s="4">
        <v>26.39</v>
      </c>
      <c r="K1096" s="4">
        <v>19.7</v>
      </c>
      <c r="L1096">
        <v>0</v>
      </c>
      <c r="M1096" s="4">
        <v>0</v>
      </c>
      <c r="N1096" s="4">
        <v>519.88</v>
      </c>
      <c r="O1096" s="4">
        <v>167.93</v>
      </c>
      <c r="P1096" s="4">
        <v>8.33</v>
      </c>
      <c r="Q1096" s="4">
        <v>6.24</v>
      </c>
      <c r="R1096" s="4">
        <v>7.2</v>
      </c>
      <c r="S1096" s="4">
        <v>0</v>
      </c>
      <c r="T1096" s="4">
        <v>0</v>
      </c>
      <c r="U1096" s="4">
        <v>189.7</v>
      </c>
      <c r="V1096" s="4">
        <v>330.18</v>
      </c>
      <c r="W1096" t="s">
        <v>21</v>
      </c>
      <c r="X1096" t="s">
        <v>36</v>
      </c>
      <c r="Y1096" s="4">
        <v>9</v>
      </c>
      <c r="Z1096" s="4">
        <v>0</v>
      </c>
      <c r="AA1096" t="s">
        <v>37</v>
      </c>
      <c r="AB1096" t="s">
        <v>38</v>
      </c>
      <c r="AC1096" s="7">
        <v>1</v>
      </c>
      <c r="AD1096" t="s">
        <v>39</v>
      </c>
      <c r="AE1096">
        <f t="shared" si="17"/>
        <v>0</v>
      </c>
    </row>
    <row r="1097" spans="1:31" x14ac:dyDescent="0.35">
      <c r="A1097">
        <v>101096</v>
      </c>
      <c r="B1097" s="3">
        <v>46004</v>
      </c>
      <c r="C1097">
        <v>1010</v>
      </c>
      <c r="D1097" t="s">
        <v>30</v>
      </c>
      <c r="E1097" t="s">
        <v>72</v>
      </c>
      <c r="F1097" t="s">
        <v>32</v>
      </c>
      <c r="G1097" t="s">
        <v>33</v>
      </c>
      <c r="H1097" t="s">
        <v>57</v>
      </c>
      <c r="I1097" t="s">
        <v>54</v>
      </c>
      <c r="J1097" s="4">
        <v>25.03</v>
      </c>
      <c r="K1097" s="4">
        <v>21.9</v>
      </c>
      <c r="L1097">
        <v>10</v>
      </c>
      <c r="M1097" s="4">
        <v>54.82</v>
      </c>
      <c r="N1097" s="4">
        <v>493.34</v>
      </c>
      <c r="O1097" s="4">
        <v>164.55</v>
      </c>
      <c r="P1097" s="4">
        <v>10.09</v>
      </c>
      <c r="Q1097" s="4">
        <v>6.58</v>
      </c>
      <c r="R1097" s="4">
        <v>5.25</v>
      </c>
      <c r="S1097" s="4">
        <v>390.97</v>
      </c>
      <c r="T1097" s="4">
        <v>9.7799999999999994</v>
      </c>
      <c r="U1097" s="4">
        <v>587.22</v>
      </c>
      <c r="V1097" s="4">
        <v>-93.88</v>
      </c>
      <c r="W1097" t="s">
        <v>58</v>
      </c>
      <c r="X1097" t="s">
        <v>55</v>
      </c>
      <c r="Y1097" s="4">
        <v>3</v>
      </c>
      <c r="Z1097" s="4">
        <v>4</v>
      </c>
      <c r="AA1097" t="s">
        <v>37</v>
      </c>
      <c r="AB1097" t="s">
        <v>44</v>
      </c>
      <c r="AC1097" s="7">
        <v>2</v>
      </c>
      <c r="AD1097" t="s">
        <v>45</v>
      </c>
      <c r="AE1097">
        <f t="shared" si="17"/>
        <v>1</v>
      </c>
    </row>
    <row r="1098" spans="1:31" x14ac:dyDescent="0.35">
      <c r="A1098">
        <v>101097</v>
      </c>
      <c r="B1098" s="3">
        <v>45973</v>
      </c>
      <c r="C1098">
        <v>1073</v>
      </c>
      <c r="D1098" t="s">
        <v>30</v>
      </c>
      <c r="E1098" t="s">
        <v>62</v>
      </c>
      <c r="F1098" t="s">
        <v>41</v>
      </c>
      <c r="G1098" t="s">
        <v>50</v>
      </c>
      <c r="H1098" t="s">
        <v>34</v>
      </c>
      <c r="I1098" t="s">
        <v>35</v>
      </c>
      <c r="J1098" s="4">
        <v>38.01</v>
      </c>
      <c r="K1098" s="4">
        <v>18.579999999999998</v>
      </c>
      <c r="L1098">
        <v>5</v>
      </c>
      <c r="M1098" s="4">
        <v>35.31</v>
      </c>
      <c r="N1098" s="4">
        <v>670.92</v>
      </c>
      <c r="O1098" s="4">
        <v>252.08</v>
      </c>
      <c r="P1098" s="4">
        <v>2.8</v>
      </c>
      <c r="Q1098" s="4">
        <v>4.9400000000000004</v>
      </c>
      <c r="R1098" s="4">
        <v>1.1299999999999999</v>
      </c>
      <c r="S1098" s="4">
        <v>0</v>
      </c>
      <c r="T1098" s="4">
        <v>0</v>
      </c>
      <c r="U1098" s="4">
        <v>260.95</v>
      </c>
      <c r="V1098" s="4">
        <v>409.97</v>
      </c>
      <c r="W1098" t="s">
        <v>21</v>
      </c>
      <c r="X1098" t="s">
        <v>36</v>
      </c>
      <c r="Y1098" s="4">
        <v>0</v>
      </c>
      <c r="Z1098" s="4">
        <v>1</v>
      </c>
      <c r="AA1098" t="s">
        <v>37</v>
      </c>
      <c r="AB1098" t="s">
        <v>38</v>
      </c>
      <c r="AC1098" s="7">
        <v>0</v>
      </c>
      <c r="AD1098" t="s">
        <v>39</v>
      </c>
      <c r="AE1098">
        <f t="shared" si="17"/>
        <v>0</v>
      </c>
    </row>
    <row r="1099" spans="1:31" x14ac:dyDescent="0.35">
      <c r="A1099">
        <v>101098</v>
      </c>
      <c r="B1099" s="3">
        <v>46009</v>
      </c>
      <c r="C1099">
        <v>1102</v>
      </c>
      <c r="D1099" t="s">
        <v>59</v>
      </c>
      <c r="E1099" t="s">
        <v>70</v>
      </c>
      <c r="F1099" t="s">
        <v>61</v>
      </c>
      <c r="G1099" t="s">
        <v>63</v>
      </c>
      <c r="H1099" t="s">
        <v>57</v>
      </c>
      <c r="I1099" t="s">
        <v>54</v>
      </c>
      <c r="J1099" s="4">
        <v>13.7</v>
      </c>
      <c r="K1099" s="4">
        <v>13.19</v>
      </c>
      <c r="L1099">
        <v>0</v>
      </c>
      <c r="M1099" s="4">
        <v>0</v>
      </c>
      <c r="N1099" s="4">
        <v>180.7</v>
      </c>
      <c r="O1099" s="4">
        <v>89.01</v>
      </c>
      <c r="P1099" s="4">
        <v>4.87</v>
      </c>
      <c r="Q1099" s="4">
        <v>2.17</v>
      </c>
      <c r="R1099" s="4">
        <v>3.63</v>
      </c>
      <c r="S1099" s="4">
        <v>89.16</v>
      </c>
      <c r="T1099" s="4">
        <v>18.82</v>
      </c>
      <c r="U1099" s="4">
        <v>207.66</v>
      </c>
      <c r="V1099" s="4">
        <v>-26.96</v>
      </c>
      <c r="W1099" t="s">
        <v>58</v>
      </c>
      <c r="X1099" t="s">
        <v>55</v>
      </c>
      <c r="Y1099" s="4">
        <v>0</v>
      </c>
      <c r="Z1099" s="4">
        <v>20</v>
      </c>
      <c r="AA1099" t="s">
        <v>37</v>
      </c>
      <c r="AB1099" t="s">
        <v>44</v>
      </c>
      <c r="AC1099" s="7">
        <v>3</v>
      </c>
      <c r="AD1099" t="s">
        <v>45</v>
      </c>
      <c r="AE1099">
        <f t="shared" si="17"/>
        <v>1</v>
      </c>
    </row>
    <row r="1100" spans="1:31" x14ac:dyDescent="0.35">
      <c r="A1100">
        <v>101099</v>
      </c>
      <c r="B1100" s="3">
        <v>45992</v>
      </c>
      <c r="C1100">
        <v>1132</v>
      </c>
      <c r="D1100" t="s">
        <v>64</v>
      </c>
      <c r="E1100" t="s">
        <v>75</v>
      </c>
      <c r="F1100" t="s">
        <v>41</v>
      </c>
      <c r="G1100" t="s">
        <v>63</v>
      </c>
      <c r="H1100" t="s">
        <v>34</v>
      </c>
      <c r="I1100" t="s">
        <v>35</v>
      </c>
      <c r="J1100" s="4">
        <v>9.6999999999999993</v>
      </c>
      <c r="K1100" s="4">
        <v>12.39</v>
      </c>
      <c r="L1100">
        <v>5</v>
      </c>
      <c r="M1100" s="4">
        <v>6.01</v>
      </c>
      <c r="N1100" s="4">
        <v>114.17</v>
      </c>
      <c r="O1100" s="4">
        <v>72.09</v>
      </c>
      <c r="P1100" s="4">
        <v>6.2</v>
      </c>
      <c r="Q1100" s="4">
        <v>0.84</v>
      </c>
      <c r="R1100" s="4">
        <v>7.91</v>
      </c>
      <c r="S1100" s="4">
        <v>0</v>
      </c>
      <c r="T1100" s="4">
        <v>0</v>
      </c>
      <c r="U1100" s="4">
        <v>87.04</v>
      </c>
      <c r="V1100" s="4">
        <v>27.13</v>
      </c>
      <c r="W1100" t="s">
        <v>21</v>
      </c>
      <c r="X1100" t="s">
        <v>36</v>
      </c>
      <c r="Y1100" s="4">
        <v>3</v>
      </c>
      <c r="Z1100" s="4">
        <v>2</v>
      </c>
      <c r="AA1100" t="s">
        <v>37</v>
      </c>
      <c r="AB1100" t="s">
        <v>38</v>
      </c>
      <c r="AC1100" s="7">
        <v>0</v>
      </c>
      <c r="AD1100" t="s">
        <v>39</v>
      </c>
      <c r="AE1100">
        <f t="shared" si="17"/>
        <v>0</v>
      </c>
    </row>
    <row r="1101" spans="1:31" x14ac:dyDescent="0.35">
      <c r="A1101">
        <v>101100</v>
      </c>
      <c r="B1101" s="3">
        <v>45992</v>
      </c>
      <c r="C1101">
        <v>1109</v>
      </c>
      <c r="D1101" t="s">
        <v>59</v>
      </c>
      <c r="E1101" t="s">
        <v>73</v>
      </c>
      <c r="F1101" t="s">
        <v>41</v>
      </c>
      <c r="G1101" t="s">
        <v>46</v>
      </c>
      <c r="H1101" t="s">
        <v>51</v>
      </c>
      <c r="I1101" t="s">
        <v>54</v>
      </c>
      <c r="J1101" s="4">
        <v>24.2</v>
      </c>
      <c r="K1101" s="4">
        <v>16.88</v>
      </c>
      <c r="L1101">
        <v>5</v>
      </c>
      <c r="M1101" s="4">
        <v>20.420000000000002</v>
      </c>
      <c r="N1101" s="4">
        <v>388.08</v>
      </c>
      <c r="O1101" s="4">
        <v>175.43</v>
      </c>
      <c r="P1101" s="4">
        <v>7.11</v>
      </c>
      <c r="Q1101" s="4">
        <v>4.9000000000000004</v>
      </c>
      <c r="R1101" s="4">
        <v>14.13</v>
      </c>
      <c r="S1101" s="4">
        <v>0</v>
      </c>
      <c r="T1101" s="4">
        <v>0</v>
      </c>
      <c r="U1101" s="4">
        <v>201.57</v>
      </c>
      <c r="V1101" s="4">
        <v>186.51</v>
      </c>
      <c r="W1101" t="s">
        <v>21</v>
      </c>
      <c r="X1101" t="s">
        <v>36</v>
      </c>
      <c r="Y1101" s="4">
        <v>10</v>
      </c>
      <c r="Z1101" s="4">
        <v>21</v>
      </c>
      <c r="AA1101" t="s">
        <v>37</v>
      </c>
      <c r="AB1101" t="s">
        <v>44</v>
      </c>
      <c r="AC1101" s="7">
        <v>1</v>
      </c>
      <c r="AD1101" t="s">
        <v>45</v>
      </c>
      <c r="AE1101">
        <f t="shared" si="17"/>
        <v>1</v>
      </c>
    </row>
    <row r="1102" spans="1:31" x14ac:dyDescent="0.35">
      <c r="A1102">
        <v>101101</v>
      </c>
      <c r="B1102" s="3">
        <v>45978</v>
      </c>
      <c r="C1102">
        <v>1005</v>
      </c>
      <c r="D1102" t="s">
        <v>64</v>
      </c>
      <c r="E1102" t="s">
        <v>67</v>
      </c>
      <c r="F1102" t="s">
        <v>61</v>
      </c>
      <c r="G1102" t="s">
        <v>50</v>
      </c>
      <c r="H1102" t="s">
        <v>34</v>
      </c>
      <c r="I1102" t="s">
        <v>35</v>
      </c>
      <c r="J1102" s="4">
        <v>27</v>
      </c>
      <c r="K1102" s="4">
        <v>17.09</v>
      </c>
      <c r="L1102">
        <v>0</v>
      </c>
      <c r="M1102" s="4">
        <v>0</v>
      </c>
      <c r="N1102" s="4">
        <v>461.43</v>
      </c>
      <c r="O1102" s="4">
        <v>187.72</v>
      </c>
      <c r="P1102" s="4">
        <v>5.93</v>
      </c>
      <c r="Q1102" s="4">
        <v>3.23</v>
      </c>
      <c r="R1102" s="4">
        <v>3.8</v>
      </c>
      <c r="S1102" s="4">
        <v>0</v>
      </c>
      <c r="T1102" s="4">
        <v>0</v>
      </c>
      <c r="U1102" s="4">
        <v>200.68</v>
      </c>
      <c r="V1102" s="4">
        <v>260.75</v>
      </c>
      <c r="W1102" t="s">
        <v>21</v>
      </c>
      <c r="X1102" t="s">
        <v>36</v>
      </c>
      <c r="Y1102" s="4">
        <v>5</v>
      </c>
      <c r="Z1102" s="4">
        <v>3</v>
      </c>
      <c r="AA1102" t="s">
        <v>37</v>
      </c>
      <c r="AB1102" t="s">
        <v>38</v>
      </c>
      <c r="AC1102" s="7">
        <v>0</v>
      </c>
      <c r="AD1102" t="s">
        <v>39</v>
      </c>
      <c r="AE1102">
        <f t="shared" si="17"/>
        <v>0</v>
      </c>
    </row>
    <row r="1103" spans="1:31" x14ac:dyDescent="0.35">
      <c r="A1103">
        <v>101102</v>
      </c>
      <c r="B1103" s="3">
        <v>45974</v>
      </c>
      <c r="C1103">
        <v>1072</v>
      </c>
      <c r="D1103" t="s">
        <v>64</v>
      </c>
      <c r="E1103" t="s">
        <v>67</v>
      </c>
      <c r="F1103" t="s">
        <v>32</v>
      </c>
      <c r="G1103" t="s">
        <v>33</v>
      </c>
      <c r="H1103" t="s">
        <v>57</v>
      </c>
      <c r="I1103" t="s">
        <v>54</v>
      </c>
      <c r="J1103" s="4">
        <v>26.54</v>
      </c>
      <c r="K1103" s="4">
        <v>18.850000000000001</v>
      </c>
      <c r="L1103">
        <v>5</v>
      </c>
      <c r="M1103" s="4">
        <v>25.01</v>
      </c>
      <c r="N1103" s="4">
        <v>475.27</v>
      </c>
      <c r="O1103" s="4">
        <v>249.5</v>
      </c>
      <c r="P1103" s="4">
        <v>2.77</v>
      </c>
      <c r="Q1103" s="4">
        <v>6</v>
      </c>
      <c r="R1103" s="4">
        <v>5.42</v>
      </c>
      <c r="S1103" s="4">
        <v>0</v>
      </c>
      <c r="T1103" s="4">
        <v>0</v>
      </c>
      <c r="U1103" s="4">
        <v>263.69</v>
      </c>
      <c r="V1103" s="4">
        <v>211.58</v>
      </c>
      <c r="W1103" t="s">
        <v>21</v>
      </c>
      <c r="X1103" t="s">
        <v>36</v>
      </c>
      <c r="Y1103" s="4">
        <v>5</v>
      </c>
      <c r="Z1103" s="4">
        <v>7</v>
      </c>
      <c r="AA1103" t="s">
        <v>37</v>
      </c>
      <c r="AB1103" t="s">
        <v>38</v>
      </c>
      <c r="AC1103" s="7">
        <v>0</v>
      </c>
      <c r="AD1103" t="s">
        <v>39</v>
      </c>
      <c r="AE1103">
        <f t="shared" si="17"/>
        <v>0</v>
      </c>
    </row>
    <row r="1104" spans="1:31" x14ac:dyDescent="0.35">
      <c r="A1104">
        <v>101103</v>
      </c>
      <c r="B1104" s="3">
        <v>45931</v>
      </c>
      <c r="C1104">
        <v>1027</v>
      </c>
      <c r="D1104" t="s">
        <v>30</v>
      </c>
      <c r="E1104" t="s">
        <v>72</v>
      </c>
      <c r="F1104" t="s">
        <v>49</v>
      </c>
      <c r="G1104" t="s">
        <v>46</v>
      </c>
      <c r="H1104" t="s">
        <v>34</v>
      </c>
      <c r="I1104" t="s">
        <v>35</v>
      </c>
      <c r="J1104" s="4">
        <v>18.98</v>
      </c>
      <c r="K1104" s="4">
        <v>15.64</v>
      </c>
      <c r="L1104">
        <v>10</v>
      </c>
      <c r="M1104" s="4">
        <v>29.68</v>
      </c>
      <c r="N1104" s="4">
        <v>267.17</v>
      </c>
      <c r="O1104" s="4">
        <v>143.75</v>
      </c>
      <c r="P1104" s="4">
        <v>7.96</v>
      </c>
      <c r="Q1104" s="4">
        <v>2.08</v>
      </c>
      <c r="R1104" s="4">
        <v>4.5199999999999996</v>
      </c>
      <c r="S1104" s="4">
        <v>0</v>
      </c>
      <c r="T1104" s="4">
        <v>0</v>
      </c>
      <c r="U1104" s="4">
        <v>158.31</v>
      </c>
      <c r="V1104" s="4">
        <v>108.86</v>
      </c>
      <c r="W1104" t="s">
        <v>21</v>
      </c>
      <c r="X1104" t="s">
        <v>36</v>
      </c>
      <c r="Y1104" s="4">
        <v>56</v>
      </c>
      <c r="Z1104" s="4">
        <v>30</v>
      </c>
      <c r="AA1104" t="s">
        <v>43</v>
      </c>
      <c r="AB1104" t="s">
        <v>44</v>
      </c>
      <c r="AC1104" s="7">
        <v>2</v>
      </c>
      <c r="AD1104" t="s">
        <v>45</v>
      </c>
      <c r="AE1104">
        <f t="shared" si="17"/>
        <v>1</v>
      </c>
    </row>
    <row r="1105" spans="1:31" x14ac:dyDescent="0.35">
      <c r="A1105">
        <v>101104</v>
      </c>
      <c r="B1105" s="3">
        <v>45962</v>
      </c>
      <c r="C1105">
        <v>1137</v>
      </c>
      <c r="D1105" t="s">
        <v>30</v>
      </c>
      <c r="E1105" t="s">
        <v>40</v>
      </c>
      <c r="F1105" t="s">
        <v>41</v>
      </c>
      <c r="G1105" t="s">
        <v>46</v>
      </c>
      <c r="H1105" t="s">
        <v>34</v>
      </c>
      <c r="I1105" t="s">
        <v>69</v>
      </c>
      <c r="J1105" s="4">
        <v>23.23</v>
      </c>
      <c r="K1105" s="4">
        <v>15.56</v>
      </c>
      <c r="L1105">
        <v>0</v>
      </c>
      <c r="M1105" s="4">
        <v>0</v>
      </c>
      <c r="N1105" s="4">
        <v>361.46</v>
      </c>
      <c r="O1105" s="4">
        <v>183.54</v>
      </c>
      <c r="P1105" s="4">
        <v>10.8</v>
      </c>
      <c r="Q1105" s="4">
        <v>1.45</v>
      </c>
      <c r="R1105" s="4">
        <v>7.57</v>
      </c>
      <c r="S1105" s="4">
        <v>0</v>
      </c>
      <c r="T1105" s="4">
        <v>0</v>
      </c>
      <c r="U1105" s="4">
        <v>203.36</v>
      </c>
      <c r="V1105" s="4">
        <v>158.1</v>
      </c>
      <c r="W1105" t="s">
        <v>21</v>
      </c>
      <c r="X1105" t="s">
        <v>36</v>
      </c>
      <c r="Y1105" s="4">
        <v>5</v>
      </c>
      <c r="Z1105" s="4">
        <v>1</v>
      </c>
      <c r="AA1105" t="s">
        <v>37</v>
      </c>
      <c r="AB1105" t="s">
        <v>38</v>
      </c>
      <c r="AC1105" s="7">
        <v>0</v>
      </c>
      <c r="AD1105" t="s">
        <v>39</v>
      </c>
      <c r="AE1105">
        <f t="shared" si="17"/>
        <v>0</v>
      </c>
    </row>
    <row r="1106" spans="1:31" x14ac:dyDescent="0.35">
      <c r="A1106">
        <v>101105</v>
      </c>
      <c r="B1106" s="3">
        <v>45984</v>
      </c>
      <c r="C1106">
        <v>1014</v>
      </c>
      <c r="D1106" t="s">
        <v>30</v>
      </c>
      <c r="E1106" t="s">
        <v>40</v>
      </c>
      <c r="F1106" t="s">
        <v>32</v>
      </c>
      <c r="G1106" t="s">
        <v>63</v>
      </c>
      <c r="H1106" t="s">
        <v>34</v>
      </c>
      <c r="I1106" t="s">
        <v>35</v>
      </c>
      <c r="J1106" s="4">
        <v>14.53</v>
      </c>
      <c r="K1106" s="4">
        <v>11.74</v>
      </c>
      <c r="L1106">
        <v>10</v>
      </c>
      <c r="M1106" s="4">
        <v>17.059999999999999</v>
      </c>
      <c r="N1106" s="4">
        <v>153.52000000000001</v>
      </c>
      <c r="O1106" s="4">
        <v>97.99</v>
      </c>
      <c r="P1106" s="4">
        <v>9.41</v>
      </c>
      <c r="Q1106" s="4">
        <v>1.19</v>
      </c>
      <c r="R1106" s="4">
        <v>5.81</v>
      </c>
      <c r="S1106" s="4">
        <v>0</v>
      </c>
      <c r="T1106" s="4">
        <v>0</v>
      </c>
      <c r="U1106" s="4">
        <v>114.4</v>
      </c>
      <c r="V1106" s="4">
        <v>39.119999999999997</v>
      </c>
      <c r="W1106" t="s">
        <v>21</v>
      </c>
      <c r="X1106" t="s">
        <v>36</v>
      </c>
      <c r="Y1106" s="4">
        <v>38</v>
      </c>
      <c r="Z1106" s="4">
        <v>0</v>
      </c>
      <c r="AA1106" t="s">
        <v>43</v>
      </c>
      <c r="AB1106" t="s">
        <v>44</v>
      </c>
      <c r="AC1106" s="7">
        <v>1</v>
      </c>
      <c r="AD1106" t="s">
        <v>45</v>
      </c>
      <c r="AE1106">
        <f t="shared" si="17"/>
        <v>1</v>
      </c>
    </row>
    <row r="1107" spans="1:31" x14ac:dyDescent="0.35">
      <c r="A1107">
        <v>101106</v>
      </c>
      <c r="B1107" s="3">
        <v>45988</v>
      </c>
      <c r="C1107">
        <v>1021</v>
      </c>
      <c r="D1107" t="s">
        <v>47</v>
      </c>
      <c r="E1107" t="s">
        <v>53</v>
      </c>
      <c r="F1107" t="s">
        <v>61</v>
      </c>
      <c r="G1107" t="s">
        <v>46</v>
      </c>
      <c r="H1107" t="s">
        <v>57</v>
      </c>
      <c r="I1107" t="s">
        <v>35</v>
      </c>
      <c r="J1107" s="4">
        <v>34.520000000000003</v>
      </c>
      <c r="K1107" s="4">
        <v>15.61</v>
      </c>
      <c r="L1107">
        <v>0</v>
      </c>
      <c r="M1107" s="4">
        <v>0</v>
      </c>
      <c r="N1107" s="4">
        <v>538.86</v>
      </c>
      <c r="O1107" s="4">
        <v>306.45999999999998</v>
      </c>
      <c r="P1107" s="4">
        <v>4.9400000000000004</v>
      </c>
      <c r="Q1107" s="4">
        <v>3.77</v>
      </c>
      <c r="R1107" s="4">
        <v>0</v>
      </c>
      <c r="S1107" s="4">
        <v>0</v>
      </c>
      <c r="T1107" s="4">
        <v>0</v>
      </c>
      <c r="U1107" s="4">
        <v>315.17</v>
      </c>
      <c r="V1107" s="4">
        <v>223.69</v>
      </c>
      <c r="W1107" t="s">
        <v>21</v>
      </c>
      <c r="X1107" t="s">
        <v>36</v>
      </c>
      <c r="Y1107" s="4">
        <v>31</v>
      </c>
      <c r="Z1107" s="4">
        <v>8</v>
      </c>
      <c r="AA1107" t="s">
        <v>43</v>
      </c>
      <c r="AB1107" t="s">
        <v>44</v>
      </c>
      <c r="AC1107" s="7">
        <v>1</v>
      </c>
      <c r="AD1107" t="s">
        <v>45</v>
      </c>
      <c r="AE1107">
        <f t="shared" si="17"/>
        <v>1</v>
      </c>
    </row>
    <row r="1108" spans="1:31" x14ac:dyDescent="0.35">
      <c r="A1108">
        <v>101107</v>
      </c>
      <c r="B1108" s="3">
        <v>45995</v>
      </c>
      <c r="C1108">
        <v>1144</v>
      </c>
      <c r="D1108" t="s">
        <v>64</v>
      </c>
      <c r="E1108" t="s">
        <v>76</v>
      </c>
      <c r="F1108" t="s">
        <v>61</v>
      </c>
      <c r="G1108" t="s">
        <v>46</v>
      </c>
      <c r="H1108" t="s">
        <v>57</v>
      </c>
      <c r="I1108" t="s">
        <v>35</v>
      </c>
      <c r="J1108" s="4">
        <v>32.5</v>
      </c>
      <c r="K1108" s="4">
        <v>15.8</v>
      </c>
      <c r="L1108">
        <v>0</v>
      </c>
      <c r="M1108" s="4">
        <v>0</v>
      </c>
      <c r="N1108" s="4">
        <v>513.5</v>
      </c>
      <c r="O1108" s="4">
        <v>177.9</v>
      </c>
      <c r="P1108" s="4">
        <v>8.7899999999999991</v>
      </c>
      <c r="Q1108" s="4">
        <v>3.59</v>
      </c>
      <c r="R1108" s="4">
        <v>8.58</v>
      </c>
      <c r="S1108" s="4">
        <v>0</v>
      </c>
      <c r="T1108" s="4">
        <v>0</v>
      </c>
      <c r="U1108" s="4">
        <v>198.86</v>
      </c>
      <c r="V1108" s="4">
        <v>314.64</v>
      </c>
      <c r="W1108" t="s">
        <v>21</v>
      </c>
      <c r="X1108" t="s">
        <v>36</v>
      </c>
      <c r="Y1108" s="4">
        <v>8</v>
      </c>
      <c r="Z1108" s="4">
        <v>0</v>
      </c>
      <c r="AA1108" t="s">
        <v>37</v>
      </c>
      <c r="AB1108" t="s">
        <v>38</v>
      </c>
      <c r="AC1108" s="7">
        <v>0</v>
      </c>
      <c r="AD1108" t="s">
        <v>39</v>
      </c>
      <c r="AE1108">
        <f t="shared" si="17"/>
        <v>0</v>
      </c>
    </row>
    <row r="1109" spans="1:31" x14ac:dyDescent="0.35">
      <c r="A1109">
        <v>101108</v>
      </c>
      <c r="B1109" s="3">
        <v>46020</v>
      </c>
      <c r="C1109">
        <v>1080</v>
      </c>
      <c r="D1109" t="s">
        <v>47</v>
      </c>
      <c r="E1109" t="s">
        <v>48</v>
      </c>
      <c r="F1109" t="s">
        <v>61</v>
      </c>
      <c r="G1109" t="s">
        <v>50</v>
      </c>
      <c r="H1109" t="s">
        <v>57</v>
      </c>
      <c r="I1109" t="s">
        <v>35</v>
      </c>
      <c r="J1109" s="4">
        <v>38</v>
      </c>
      <c r="K1109" s="4">
        <v>16.850000000000001</v>
      </c>
      <c r="L1109">
        <v>5</v>
      </c>
      <c r="M1109" s="4">
        <v>32.020000000000003</v>
      </c>
      <c r="N1109" s="4">
        <v>608.28</v>
      </c>
      <c r="O1109" s="4">
        <v>350.15</v>
      </c>
      <c r="P1109" s="4">
        <v>6.12</v>
      </c>
      <c r="Q1109" s="4">
        <v>4.4800000000000004</v>
      </c>
      <c r="R1109" s="4">
        <v>9.75</v>
      </c>
      <c r="S1109" s="4">
        <v>0</v>
      </c>
      <c r="T1109" s="4">
        <v>0</v>
      </c>
      <c r="U1109" s="4">
        <v>370.5</v>
      </c>
      <c r="V1109" s="4">
        <v>237.78</v>
      </c>
      <c r="W1109" t="s">
        <v>21</v>
      </c>
      <c r="X1109" t="s">
        <v>36</v>
      </c>
      <c r="Y1109" s="4">
        <v>22</v>
      </c>
      <c r="Z1109" s="4">
        <v>4</v>
      </c>
      <c r="AA1109" t="s">
        <v>52</v>
      </c>
      <c r="AB1109" t="s">
        <v>44</v>
      </c>
      <c r="AC1109" s="7">
        <v>1</v>
      </c>
      <c r="AD1109" t="s">
        <v>45</v>
      </c>
      <c r="AE1109">
        <f t="shared" si="17"/>
        <v>1</v>
      </c>
    </row>
    <row r="1110" spans="1:31" x14ac:dyDescent="0.35">
      <c r="A1110">
        <v>101109</v>
      </c>
      <c r="B1110" s="3">
        <v>45931</v>
      </c>
      <c r="C1110">
        <v>1087</v>
      </c>
      <c r="D1110" t="s">
        <v>59</v>
      </c>
      <c r="E1110" t="s">
        <v>68</v>
      </c>
      <c r="F1110" t="s">
        <v>71</v>
      </c>
      <c r="G1110" t="s">
        <v>33</v>
      </c>
      <c r="H1110" t="s">
        <v>34</v>
      </c>
      <c r="I1110" t="s">
        <v>42</v>
      </c>
      <c r="J1110" s="4">
        <v>18.71</v>
      </c>
      <c r="K1110" s="4">
        <v>18.87</v>
      </c>
      <c r="L1110">
        <v>0</v>
      </c>
      <c r="M1110" s="4">
        <v>0</v>
      </c>
      <c r="N1110" s="4">
        <v>353.06</v>
      </c>
      <c r="O1110" s="4">
        <v>132.94999999999999</v>
      </c>
      <c r="P1110" s="4">
        <v>6.96</v>
      </c>
      <c r="Q1110" s="4">
        <v>5.3</v>
      </c>
      <c r="R1110" s="4">
        <v>3.34</v>
      </c>
      <c r="S1110" s="4">
        <v>0</v>
      </c>
      <c r="T1110" s="4">
        <v>0</v>
      </c>
      <c r="U1110" s="4">
        <v>148.55000000000001</v>
      </c>
      <c r="V1110" s="4">
        <v>204.51</v>
      </c>
      <c r="W1110" t="s">
        <v>21</v>
      </c>
      <c r="X1110" t="s">
        <v>36</v>
      </c>
      <c r="Y1110" s="4">
        <v>13</v>
      </c>
      <c r="Z1110" s="4">
        <v>0</v>
      </c>
      <c r="AA1110" t="s">
        <v>37</v>
      </c>
      <c r="AB1110" t="s">
        <v>38</v>
      </c>
      <c r="AC1110" s="7">
        <v>2</v>
      </c>
      <c r="AD1110" t="s">
        <v>39</v>
      </c>
      <c r="AE1110">
        <f t="shared" si="17"/>
        <v>0</v>
      </c>
    </row>
    <row r="1111" spans="1:31" x14ac:dyDescent="0.35">
      <c r="A1111">
        <v>101110</v>
      </c>
      <c r="B1111" s="3">
        <v>45939</v>
      </c>
      <c r="C1111">
        <v>1041</v>
      </c>
      <c r="D1111" t="s">
        <v>64</v>
      </c>
      <c r="E1111" t="s">
        <v>65</v>
      </c>
      <c r="F1111" t="s">
        <v>41</v>
      </c>
      <c r="G1111" t="s">
        <v>46</v>
      </c>
      <c r="H1111" t="s">
        <v>34</v>
      </c>
      <c r="I1111" t="s">
        <v>35</v>
      </c>
      <c r="J1111" s="4">
        <v>36.409999999999997</v>
      </c>
      <c r="K1111" s="4">
        <v>16.100000000000001</v>
      </c>
      <c r="L1111">
        <v>0</v>
      </c>
      <c r="M1111" s="4">
        <v>0</v>
      </c>
      <c r="N1111" s="4">
        <v>586.20000000000005</v>
      </c>
      <c r="O1111" s="4">
        <v>294.68</v>
      </c>
      <c r="P1111" s="4">
        <v>7.33</v>
      </c>
      <c r="Q1111" s="4">
        <v>4.0999999999999996</v>
      </c>
      <c r="R1111" s="4">
        <v>4.24</v>
      </c>
      <c r="S1111" s="4">
        <v>0</v>
      </c>
      <c r="T1111" s="4">
        <v>0</v>
      </c>
      <c r="U1111" s="4">
        <v>310.35000000000002</v>
      </c>
      <c r="V1111" s="4">
        <v>275.85000000000002</v>
      </c>
      <c r="W1111" t="s">
        <v>21</v>
      </c>
      <c r="X1111" t="s">
        <v>36</v>
      </c>
      <c r="Y1111" s="4">
        <v>15</v>
      </c>
      <c r="Z1111" s="4">
        <v>11</v>
      </c>
      <c r="AA1111" t="s">
        <v>37</v>
      </c>
      <c r="AB1111" t="s">
        <v>38</v>
      </c>
      <c r="AC1111" s="7">
        <v>0</v>
      </c>
      <c r="AD1111" t="s">
        <v>39</v>
      </c>
      <c r="AE1111">
        <f t="shared" si="17"/>
        <v>0</v>
      </c>
    </row>
    <row r="1112" spans="1:31" x14ac:dyDescent="0.35">
      <c r="A1112">
        <v>101111</v>
      </c>
      <c r="B1112" s="3">
        <v>45995</v>
      </c>
      <c r="C1112">
        <v>1044</v>
      </c>
      <c r="D1112" t="s">
        <v>59</v>
      </c>
      <c r="E1112" t="s">
        <v>73</v>
      </c>
      <c r="F1112" t="s">
        <v>49</v>
      </c>
      <c r="G1112" t="s">
        <v>63</v>
      </c>
      <c r="H1112" t="s">
        <v>34</v>
      </c>
      <c r="I1112" t="s">
        <v>35</v>
      </c>
      <c r="J1112" s="4">
        <v>12.19</v>
      </c>
      <c r="K1112" s="4">
        <v>13.27</v>
      </c>
      <c r="L1112">
        <v>0</v>
      </c>
      <c r="M1112" s="4">
        <v>0</v>
      </c>
      <c r="N1112" s="4">
        <v>161.76</v>
      </c>
      <c r="O1112" s="4">
        <v>83.28</v>
      </c>
      <c r="P1112" s="4">
        <v>10.95</v>
      </c>
      <c r="Q1112" s="4">
        <v>1.1299999999999999</v>
      </c>
      <c r="R1112" s="4">
        <v>9.01</v>
      </c>
      <c r="S1112" s="4">
        <v>0</v>
      </c>
      <c r="T1112" s="4">
        <v>0</v>
      </c>
      <c r="U1112" s="4">
        <v>104.37</v>
      </c>
      <c r="V1112" s="4">
        <v>57.39</v>
      </c>
      <c r="W1112" t="s">
        <v>21</v>
      </c>
      <c r="X1112" t="s">
        <v>36</v>
      </c>
      <c r="Y1112" s="4">
        <v>0</v>
      </c>
      <c r="Z1112" s="4">
        <v>13</v>
      </c>
      <c r="AA1112" t="s">
        <v>37</v>
      </c>
      <c r="AB1112" t="s">
        <v>38</v>
      </c>
      <c r="AC1112" s="7">
        <v>0</v>
      </c>
      <c r="AD1112" t="s">
        <v>39</v>
      </c>
      <c r="AE1112">
        <f t="shared" si="17"/>
        <v>0</v>
      </c>
    </row>
    <row r="1113" spans="1:31" x14ac:dyDescent="0.35">
      <c r="A1113">
        <v>101112</v>
      </c>
      <c r="B1113" s="3">
        <v>45945</v>
      </c>
      <c r="C1113">
        <v>1081</v>
      </c>
      <c r="D1113" t="s">
        <v>30</v>
      </c>
      <c r="E1113" t="s">
        <v>31</v>
      </c>
      <c r="F1113" t="s">
        <v>71</v>
      </c>
      <c r="G1113" t="s">
        <v>63</v>
      </c>
      <c r="H1113" t="s">
        <v>34</v>
      </c>
      <c r="I1113" t="s">
        <v>42</v>
      </c>
      <c r="J1113" s="4">
        <v>24.54</v>
      </c>
      <c r="K1113" s="4">
        <v>13.46</v>
      </c>
      <c r="L1113">
        <v>0</v>
      </c>
      <c r="M1113" s="4">
        <v>0</v>
      </c>
      <c r="N1113" s="4">
        <v>330.31</v>
      </c>
      <c r="O1113" s="4">
        <v>181.62</v>
      </c>
      <c r="P1113" s="4">
        <v>4.03</v>
      </c>
      <c r="Q1113" s="4">
        <v>4.95</v>
      </c>
      <c r="R1113" s="4">
        <v>4.43</v>
      </c>
      <c r="S1113" s="4">
        <v>0</v>
      </c>
      <c r="T1113" s="4">
        <v>0</v>
      </c>
      <c r="U1113" s="4">
        <v>195.03</v>
      </c>
      <c r="V1113" s="4">
        <v>135.28</v>
      </c>
      <c r="W1113" t="s">
        <v>21</v>
      </c>
      <c r="X1113" t="s">
        <v>36</v>
      </c>
      <c r="Y1113" s="4">
        <v>13</v>
      </c>
      <c r="Z1113" s="4">
        <v>0</v>
      </c>
      <c r="AA1113" t="s">
        <v>37</v>
      </c>
      <c r="AB1113" t="s">
        <v>38</v>
      </c>
      <c r="AC1113" s="7">
        <v>0</v>
      </c>
      <c r="AD1113" t="s">
        <v>39</v>
      </c>
      <c r="AE1113">
        <f t="shared" si="17"/>
        <v>0</v>
      </c>
    </row>
    <row r="1114" spans="1:31" x14ac:dyDescent="0.35">
      <c r="A1114">
        <v>101113</v>
      </c>
      <c r="B1114" s="3">
        <v>45989</v>
      </c>
      <c r="C1114">
        <v>1037</v>
      </c>
      <c r="D1114" t="s">
        <v>30</v>
      </c>
      <c r="E1114" t="s">
        <v>62</v>
      </c>
      <c r="F1114" t="s">
        <v>61</v>
      </c>
      <c r="G1114" t="s">
        <v>46</v>
      </c>
      <c r="H1114" t="s">
        <v>34</v>
      </c>
      <c r="I1114" t="s">
        <v>35</v>
      </c>
      <c r="J1114" s="4">
        <v>24.91</v>
      </c>
      <c r="K1114" s="4">
        <v>15.21</v>
      </c>
      <c r="L1114">
        <v>20</v>
      </c>
      <c r="M1114" s="4">
        <v>75.78</v>
      </c>
      <c r="N1114" s="4">
        <v>303.10000000000002</v>
      </c>
      <c r="O1114" s="4">
        <v>175.48</v>
      </c>
      <c r="P1114" s="4">
        <v>9.51</v>
      </c>
      <c r="Q1114" s="4">
        <v>2.65</v>
      </c>
      <c r="R1114" s="4">
        <v>4.83</v>
      </c>
      <c r="S1114" s="4">
        <v>0</v>
      </c>
      <c r="T1114" s="4">
        <v>0</v>
      </c>
      <c r="U1114" s="4">
        <v>192.47</v>
      </c>
      <c r="V1114" s="4">
        <v>110.63</v>
      </c>
      <c r="W1114" t="s">
        <v>21</v>
      </c>
      <c r="X1114" t="s">
        <v>36</v>
      </c>
      <c r="Y1114" s="4">
        <v>2</v>
      </c>
      <c r="Z1114" s="4">
        <v>1</v>
      </c>
      <c r="AA1114" t="s">
        <v>37</v>
      </c>
      <c r="AB1114" t="s">
        <v>38</v>
      </c>
      <c r="AC1114" s="7">
        <v>0</v>
      </c>
      <c r="AD1114" t="s">
        <v>39</v>
      </c>
      <c r="AE1114">
        <f t="shared" si="17"/>
        <v>0</v>
      </c>
    </row>
    <row r="1115" spans="1:31" x14ac:dyDescent="0.35">
      <c r="A1115">
        <v>101114</v>
      </c>
      <c r="B1115" s="3">
        <v>45967</v>
      </c>
      <c r="C1115">
        <v>1124</v>
      </c>
      <c r="D1115" t="s">
        <v>59</v>
      </c>
      <c r="E1115" t="s">
        <v>70</v>
      </c>
      <c r="F1115" t="s">
        <v>49</v>
      </c>
      <c r="G1115" t="s">
        <v>63</v>
      </c>
      <c r="H1115" t="s">
        <v>57</v>
      </c>
      <c r="I1115" t="s">
        <v>35</v>
      </c>
      <c r="J1115" s="4">
        <v>13.03</v>
      </c>
      <c r="K1115" s="4">
        <v>14.09</v>
      </c>
      <c r="L1115">
        <v>0</v>
      </c>
      <c r="M1115" s="4">
        <v>0</v>
      </c>
      <c r="N1115" s="4">
        <v>183.59</v>
      </c>
      <c r="O1115" s="4">
        <v>89.12</v>
      </c>
      <c r="P1115" s="4">
        <v>6.9</v>
      </c>
      <c r="Q1115" s="4">
        <v>1.29</v>
      </c>
      <c r="R1115" s="4">
        <v>4.4000000000000004</v>
      </c>
      <c r="S1115" s="4">
        <v>0</v>
      </c>
      <c r="T1115" s="4">
        <v>0</v>
      </c>
      <c r="U1115" s="4">
        <v>101.71</v>
      </c>
      <c r="V1115" s="4">
        <v>81.88</v>
      </c>
      <c r="W1115" t="s">
        <v>21</v>
      </c>
      <c r="X1115" t="s">
        <v>36</v>
      </c>
      <c r="Y1115" s="4">
        <v>19</v>
      </c>
      <c r="Z1115" s="4">
        <v>6</v>
      </c>
      <c r="AA1115" t="s">
        <v>52</v>
      </c>
      <c r="AB1115" t="s">
        <v>38</v>
      </c>
      <c r="AC1115" s="7">
        <v>0</v>
      </c>
      <c r="AD1115" t="s">
        <v>39</v>
      </c>
      <c r="AE1115">
        <f t="shared" si="17"/>
        <v>0</v>
      </c>
    </row>
    <row r="1116" spans="1:31" x14ac:dyDescent="0.35">
      <c r="A1116">
        <v>101115</v>
      </c>
      <c r="B1116" s="3">
        <v>45978</v>
      </c>
      <c r="C1116">
        <v>1038</v>
      </c>
      <c r="D1116" t="s">
        <v>30</v>
      </c>
      <c r="E1116" t="s">
        <v>62</v>
      </c>
      <c r="F1116" t="s">
        <v>61</v>
      </c>
      <c r="G1116" t="s">
        <v>63</v>
      </c>
      <c r="H1116" t="s">
        <v>34</v>
      </c>
      <c r="I1116" t="s">
        <v>42</v>
      </c>
      <c r="J1116" s="4">
        <v>24.95</v>
      </c>
      <c r="K1116" s="4">
        <v>12.62</v>
      </c>
      <c r="L1116">
        <v>0</v>
      </c>
      <c r="M1116" s="4">
        <v>0</v>
      </c>
      <c r="N1116" s="4">
        <v>314.87</v>
      </c>
      <c r="O1116" s="4">
        <v>159.36000000000001</v>
      </c>
      <c r="P1116" s="4">
        <v>12.01</v>
      </c>
      <c r="Q1116" s="4">
        <v>4.72</v>
      </c>
      <c r="R1116" s="4">
        <v>5.47</v>
      </c>
      <c r="S1116" s="4">
        <v>0</v>
      </c>
      <c r="T1116" s="4">
        <v>0</v>
      </c>
      <c r="U1116" s="4">
        <v>181.56</v>
      </c>
      <c r="V1116" s="4">
        <v>133.31</v>
      </c>
      <c r="W1116" t="s">
        <v>21</v>
      </c>
      <c r="X1116" t="s">
        <v>36</v>
      </c>
      <c r="Y1116" s="4">
        <v>13</v>
      </c>
      <c r="Z1116" s="4">
        <v>15</v>
      </c>
      <c r="AA1116" t="s">
        <v>37</v>
      </c>
      <c r="AB1116" t="s">
        <v>38</v>
      </c>
      <c r="AC1116" s="7">
        <v>0</v>
      </c>
      <c r="AD1116" t="s">
        <v>39</v>
      </c>
      <c r="AE1116">
        <f t="shared" si="17"/>
        <v>0</v>
      </c>
    </row>
    <row r="1117" spans="1:31" x14ac:dyDescent="0.35">
      <c r="A1117">
        <v>101116</v>
      </c>
      <c r="B1117" s="3">
        <v>45966</v>
      </c>
      <c r="C1117">
        <v>1044</v>
      </c>
      <c r="D1117" t="s">
        <v>59</v>
      </c>
      <c r="E1117" t="s">
        <v>73</v>
      </c>
      <c r="F1117" t="s">
        <v>71</v>
      </c>
      <c r="G1117" t="s">
        <v>50</v>
      </c>
      <c r="H1117" t="s">
        <v>34</v>
      </c>
      <c r="I1117" t="s">
        <v>35</v>
      </c>
      <c r="J1117" s="4">
        <v>7.51</v>
      </c>
      <c r="K1117" s="4">
        <v>17.149999999999999</v>
      </c>
      <c r="L1117">
        <v>5</v>
      </c>
      <c r="M1117" s="4">
        <v>6.44</v>
      </c>
      <c r="N1117" s="4">
        <v>122.36</v>
      </c>
      <c r="O1117" s="4">
        <v>51.63</v>
      </c>
      <c r="P1117" s="4">
        <v>2.48</v>
      </c>
      <c r="Q1117" s="4">
        <v>0.9</v>
      </c>
      <c r="R1117" s="4">
        <v>0</v>
      </c>
      <c r="S1117" s="4">
        <v>0</v>
      </c>
      <c r="T1117" s="4">
        <v>0</v>
      </c>
      <c r="U1117" s="4">
        <v>55.01</v>
      </c>
      <c r="V1117" s="4">
        <v>67.349999999999994</v>
      </c>
      <c r="W1117" t="s">
        <v>21</v>
      </c>
      <c r="X1117" t="s">
        <v>36</v>
      </c>
      <c r="Y1117" s="4">
        <v>2</v>
      </c>
      <c r="Z1117" s="4">
        <v>2</v>
      </c>
      <c r="AA1117" t="s">
        <v>37</v>
      </c>
      <c r="AB1117" t="s">
        <v>38</v>
      </c>
      <c r="AC1117" s="7">
        <v>0</v>
      </c>
      <c r="AD1117" t="s">
        <v>39</v>
      </c>
      <c r="AE1117">
        <f t="shared" si="17"/>
        <v>0</v>
      </c>
    </row>
    <row r="1118" spans="1:31" x14ac:dyDescent="0.35">
      <c r="A1118">
        <v>101117</v>
      </c>
      <c r="B1118" s="3">
        <v>45955</v>
      </c>
      <c r="C1118">
        <v>1001</v>
      </c>
      <c r="D1118" t="s">
        <v>47</v>
      </c>
      <c r="E1118" t="s">
        <v>74</v>
      </c>
      <c r="F1118" t="s">
        <v>49</v>
      </c>
      <c r="G1118" t="s">
        <v>50</v>
      </c>
      <c r="H1118" t="s">
        <v>34</v>
      </c>
      <c r="I1118" t="s">
        <v>35</v>
      </c>
      <c r="J1118" s="4">
        <v>34.020000000000003</v>
      </c>
      <c r="K1118" s="4">
        <v>17.59</v>
      </c>
      <c r="L1118">
        <v>15</v>
      </c>
      <c r="M1118" s="4">
        <v>89.76</v>
      </c>
      <c r="N1118" s="4">
        <v>508.65</v>
      </c>
      <c r="O1118" s="4">
        <v>286.86</v>
      </c>
      <c r="P1118" s="4">
        <v>8.8699999999999992</v>
      </c>
      <c r="Q1118" s="4">
        <v>4.1900000000000004</v>
      </c>
      <c r="R1118" s="4">
        <v>7.19</v>
      </c>
      <c r="S1118" s="4">
        <v>0</v>
      </c>
      <c r="T1118" s="4">
        <v>0</v>
      </c>
      <c r="U1118" s="4">
        <v>307.11</v>
      </c>
      <c r="V1118" s="4">
        <v>201.54</v>
      </c>
      <c r="W1118" t="s">
        <v>21</v>
      </c>
      <c r="X1118" t="s">
        <v>36</v>
      </c>
      <c r="Y1118" s="4">
        <v>21</v>
      </c>
      <c r="Z1118" s="4">
        <v>8</v>
      </c>
      <c r="AA1118" t="s">
        <v>52</v>
      </c>
      <c r="AB1118" t="s">
        <v>44</v>
      </c>
      <c r="AC1118" s="7">
        <v>2</v>
      </c>
      <c r="AD1118" t="s">
        <v>45</v>
      </c>
      <c r="AE1118">
        <f t="shared" si="17"/>
        <v>1</v>
      </c>
    </row>
    <row r="1119" spans="1:31" x14ac:dyDescent="0.35">
      <c r="A1119">
        <v>101118</v>
      </c>
      <c r="B1119" s="3">
        <v>45952</v>
      </c>
      <c r="C1119">
        <v>1031</v>
      </c>
      <c r="D1119" t="s">
        <v>30</v>
      </c>
      <c r="E1119" t="s">
        <v>62</v>
      </c>
      <c r="F1119" t="s">
        <v>71</v>
      </c>
      <c r="G1119" t="s">
        <v>63</v>
      </c>
      <c r="H1119" t="s">
        <v>57</v>
      </c>
      <c r="I1119" t="s">
        <v>42</v>
      </c>
      <c r="J1119" s="4">
        <v>6.17</v>
      </c>
      <c r="K1119" s="4">
        <v>12.82</v>
      </c>
      <c r="L1119">
        <v>15</v>
      </c>
      <c r="M1119" s="4">
        <v>11.86</v>
      </c>
      <c r="N1119" s="4">
        <v>67.239999999999995</v>
      </c>
      <c r="O1119" s="4">
        <v>47.65</v>
      </c>
      <c r="P1119" s="4">
        <v>7.28</v>
      </c>
      <c r="Q1119" s="4">
        <v>1.19</v>
      </c>
      <c r="R1119" s="4">
        <v>11.07</v>
      </c>
      <c r="S1119" s="4">
        <v>0</v>
      </c>
      <c r="T1119" s="4">
        <v>0</v>
      </c>
      <c r="U1119" s="4">
        <v>67.19</v>
      </c>
      <c r="V1119" s="4">
        <v>0.05</v>
      </c>
      <c r="W1119" t="s">
        <v>21</v>
      </c>
      <c r="X1119" t="s">
        <v>36</v>
      </c>
      <c r="Y1119" s="4">
        <v>14</v>
      </c>
      <c r="Z1119" s="4">
        <v>8</v>
      </c>
      <c r="AA1119" t="s">
        <v>37</v>
      </c>
      <c r="AB1119" t="s">
        <v>38</v>
      </c>
      <c r="AC1119" s="7">
        <v>0</v>
      </c>
      <c r="AD1119" t="s">
        <v>39</v>
      </c>
      <c r="AE1119">
        <f t="shared" si="17"/>
        <v>0</v>
      </c>
    </row>
    <row r="1120" spans="1:31" x14ac:dyDescent="0.35">
      <c r="A1120">
        <v>101119</v>
      </c>
      <c r="B1120" s="3">
        <v>45944</v>
      </c>
      <c r="C1120">
        <v>1041</v>
      </c>
      <c r="D1120" t="s">
        <v>47</v>
      </c>
      <c r="E1120" t="s">
        <v>53</v>
      </c>
      <c r="F1120" t="s">
        <v>41</v>
      </c>
      <c r="G1120" t="s">
        <v>50</v>
      </c>
      <c r="H1120" t="s">
        <v>51</v>
      </c>
      <c r="I1120" t="s">
        <v>35</v>
      </c>
      <c r="J1120" s="4">
        <v>33.22</v>
      </c>
      <c r="K1120" s="4">
        <v>18.8</v>
      </c>
      <c r="L1120">
        <v>10</v>
      </c>
      <c r="M1120" s="4">
        <v>62.45</v>
      </c>
      <c r="N1120" s="4">
        <v>562.09</v>
      </c>
      <c r="O1120" s="4">
        <v>228.54</v>
      </c>
      <c r="P1120" s="4">
        <v>5.32</v>
      </c>
      <c r="Q1120" s="4">
        <v>4.37</v>
      </c>
      <c r="R1120" s="4">
        <v>5.22</v>
      </c>
      <c r="S1120" s="4">
        <v>0</v>
      </c>
      <c r="T1120" s="4">
        <v>0</v>
      </c>
      <c r="U1120" s="4">
        <v>243.45</v>
      </c>
      <c r="V1120" s="4">
        <v>318.64</v>
      </c>
      <c r="W1120" t="s">
        <v>21</v>
      </c>
      <c r="X1120" t="s">
        <v>36</v>
      </c>
      <c r="Y1120" s="4">
        <v>7</v>
      </c>
      <c r="Z1120" s="4">
        <v>7</v>
      </c>
      <c r="AA1120" t="s">
        <v>37</v>
      </c>
      <c r="AB1120" t="s">
        <v>38</v>
      </c>
      <c r="AC1120" s="7">
        <v>0</v>
      </c>
      <c r="AD1120" t="s">
        <v>39</v>
      </c>
      <c r="AE1120">
        <f t="shared" si="17"/>
        <v>0</v>
      </c>
    </row>
    <row r="1121" spans="1:31" x14ac:dyDescent="0.35">
      <c r="A1121">
        <v>101120</v>
      </c>
      <c r="B1121" s="3">
        <v>45972</v>
      </c>
      <c r="C1121">
        <v>1145</v>
      </c>
      <c r="D1121" t="s">
        <v>47</v>
      </c>
      <c r="E1121" t="s">
        <v>56</v>
      </c>
      <c r="F1121" t="s">
        <v>61</v>
      </c>
      <c r="G1121" t="s">
        <v>46</v>
      </c>
      <c r="H1121" t="s">
        <v>57</v>
      </c>
      <c r="I1121" t="s">
        <v>69</v>
      </c>
      <c r="J1121" s="4">
        <v>28.53</v>
      </c>
      <c r="K1121" s="4">
        <v>14.53</v>
      </c>
      <c r="L1121">
        <v>5</v>
      </c>
      <c r="M1121" s="4">
        <v>20.73</v>
      </c>
      <c r="N1121" s="4">
        <v>393.81</v>
      </c>
      <c r="O1121" s="4">
        <v>235.6</v>
      </c>
      <c r="P1121" s="4">
        <v>3.77</v>
      </c>
      <c r="Q1121" s="4">
        <v>1.66</v>
      </c>
      <c r="R1121" s="4">
        <v>6.19</v>
      </c>
      <c r="S1121" s="4">
        <v>0</v>
      </c>
      <c r="T1121" s="4">
        <v>0</v>
      </c>
      <c r="U1121" s="4">
        <v>247.22</v>
      </c>
      <c r="V1121" s="4">
        <v>146.59</v>
      </c>
      <c r="W1121" t="s">
        <v>21</v>
      </c>
      <c r="X1121" t="s">
        <v>36</v>
      </c>
      <c r="Y1121" s="4">
        <v>8</v>
      </c>
      <c r="Z1121" s="4">
        <v>8</v>
      </c>
      <c r="AA1121" t="s">
        <v>37</v>
      </c>
      <c r="AB1121" t="s">
        <v>38</v>
      </c>
      <c r="AC1121" s="7">
        <v>0</v>
      </c>
      <c r="AD1121" t="s">
        <v>39</v>
      </c>
      <c r="AE1121">
        <f t="shared" si="17"/>
        <v>0</v>
      </c>
    </row>
    <row r="1122" spans="1:31" x14ac:dyDescent="0.35">
      <c r="A1122">
        <v>101121</v>
      </c>
      <c r="B1122" s="3">
        <v>45955</v>
      </c>
      <c r="C1122">
        <v>1003</v>
      </c>
      <c r="D1122" t="s">
        <v>47</v>
      </c>
      <c r="E1122" t="s">
        <v>74</v>
      </c>
      <c r="F1122" t="s">
        <v>49</v>
      </c>
      <c r="G1122" t="s">
        <v>63</v>
      </c>
      <c r="H1122" t="s">
        <v>57</v>
      </c>
      <c r="I1122" t="s">
        <v>35</v>
      </c>
      <c r="J1122" s="4">
        <v>29.59</v>
      </c>
      <c r="K1122" s="4">
        <v>12.76</v>
      </c>
      <c r="L1122">
        <v>10</v>
      </c>
      <c r="M1122" s="4">
        <v>37.76</v>
      </c>
      <c r="N1122" s="4">
        <v>339.81</v>
      </c>
      <c r="O1122" s="4">
        <v>187.77</v>
      </c>
      <c r="P1122" s="4">
        <v>10.65</v>
      </c>
      <c r="Q1122" s="4">
        <v>2.64</v>
      </c>
      <c r="R1122" s="4">
        <v>6.68</v>
      </c>
      <c r="S1122" s="4">
        <v>0</v>
      </c>
      <c r="T1122" s="4">
        <v>0</v>
      </c>
      <c r="U1122" s="4">
        <v>207.74</v>
      </c>
      <c r="V1122" s="4">
        <v>132.07</v>
      </c>
      <c r="W1122" t="s">
        <v>21</v>
      </c>
      <c r="X1122" t="s">
        <v>36</v>
      </c>
      <c r="Y1122" s="4">
        <v>8</v>
      </c>
      <c r="Z1122" s="4">
        <v>6</v>
      </c>
      <c r="AA1122" t="s">
        <v>37</v>
      </c>
      <c r="AB1122" t="s">
        <v>38</v>
      </c>
      <c r="AC1122" s="7">
        <v>0</v>
      </c>
      <c r="AD1122" t="s">
        <v>39</v>
      </c>
      <c r="AE1122">
        <f t="shared" si="17"/>
        <v>0</v>
      </c>
    </row>
    <row r="1123" spans="1:31" x14ac:dyDescent="0.35">
      <c r="A1123">
        <v>101122</v>
      </c>
      <c r="B1123" s="3">
        <v>45958</v>
      </c>
      <c r="C1123">
        <v>1013</v>
      </c>
      <c r="D1123" t="s">
        <v>30</v>
      </c>
      <c r="E1123" t="s">
        <v>40</v>
      </c>
      <c r="F1123" t="s">
        <v>41</v>
      </c>
      <c r="G1123" t="s">
        <v>46</v>
      </c>
      <c r="H1123" t="s">
        <v>57</v>
      </c>
      <c r="I1123" t="s">
        <v>69</v>
      </c>
      <c r="J1123" s="4">
        <v>35.28</v>
      </c>
      <c r="K1123" s="4">
        <v>15.97</v>
      </c>
      <c r="L1123">
        <v>0</v>
      </c>
      <c r="M1123" s="4">
        <v>0</v>
      </c>
      <c r="N1123" s="4">
        <v>563.41999999999996</v>
      </c>
      <c r="O1123" s="4">
        <v>276.26</v>
      </c>
      <c r="P1123" s="4">
        <v>8.59</v>
      </c>
      <c r="Q1123" s="4">
        <v>2.25</v>
      </c>
      <c r="R1123" s="4">
        <v>1.03</v>
      </c>
      <c r="S1123" s="4">
        <v>343.31</v>
      </c>
      <c r="T1123" s="4">
        <v>22.94</v>
      </c>
      <c r="U1123" s="4">
        <v>654.38</v>
      </c>
      <c r="V1123" s="4">
        <v>-90.96</v>
      </c>
      <c r="W1123" t="s">
        <v>58</v>
      </c>
      <c r="X1123" t="s">
        <v>55</v>
      </c>
      <c r="Y1123" s="4">
        <v>12</v>
      </c>
      <c r="Z1123" s="4">
        <v>8</v>
      </c>
      <c r="AA1123" t="s">
        <v>37</v>
      </c>
      <c r="AB1123" t="s">
        <v>44</v>
      </c>
      <c r="AC1123" s="7">
        <v>1</v>
      </c>
      <c r="AD1123" t="s">
        <v>45</v>
      </c>
      <c r="AE1123">
        <f t="shared" si="17"/>
        <v>1</v>
      </c>
    </row>
    <row r="1124" spans="1:31" x14ac:dyDescent="0.35">
      <c r="A1124">
        <v>101123</v>
      </c>
      <c r="B1124" s="3">
        <v>46013</v>
      </c>
      <c r="C1124">
        <v>1073</v>
      </c>
      <c r="D1124" t="s">
        <v>30</v>
      </c>
      <c r="E1124" t="s">
        <v>40</v>
      </c>
      <c r="F1124" t="s">
        <v>49</v>
      </c>
      <c r="G1124" t="s">
        <v>46</v>
      </c>
      <c r="H1124" t="s">
        <v>34</v>
      </c>
      <c r="I1124" t="s">
        <v>35</v>
      </c>
      <c r="J1124" s="4">
        <v>29.04</v>
      </c>
      <c r="K1124" s="4">
        <v>16.53</v>
      </c>
      <c r="L1124">
        <v>0</v>
      </c>
      <c r="M1124" s="4">
        <v>0</v>
      </c>
      <c r="N1124" s="4">
        <v>480.03</v>
      </c>
      <c r="O1124" s="4">
        <v>193.26</v>
      </c>
      <c r="P1124" s="4">
        <v>13.68</v>
      </c>
      <c r="Q1124" s="4">
        <v>3.36</v>
      </c>
      <c r="R1124" s="4">
        <v>4.72</v>
      </c>
      <c r="S1124" s="4">
        <v>0</v>
      </c>
      <c r="T1124" s="4">
        <v>0</v>
      </c>
      <c r="U1124" s="4">
        <v>215.02</v>
      </c>
      <c r="V1124" s="4">
        <v>265.01</v>
      </c>
      <c r="W1124" t="s">
        <v>21</v>
      </c>
      <c r="X1124" t="s">
        <v>36</v>
      </c>
      <c r="Y1124" s="4">
        <v>13</v>
      </c>
      <c r="Z1124" s="4">
        <v>12</v>
      </c>
      <c r="AA1124" t="s">
        <v>37</v>
      </c>
      <c r="AB1124" t="s">
        <v>38</v>
      </c>
      <c r="AC1124" s="7">
        <v>0</v>
      </c>
      <c r="AD1124" t="s">
        <v>39</v>
      </c>
      <c r="AE1124">
        <f t="shared" si="17"/>
        <v>0</v>
      </c>
    </row>
    <row r="1125" spans="1:31" x14ac:dyDescent="0.35">
      <c r="A1125">
        <v>101124</v>
      </c>
      <c r="B1125" s="3">
        <v>45931</v>
      </c>
      <c r="C1125">
        <v>1077</v>
      </c>
      <c r="D1125" t="s">
        <v>30</v>
      </c>
      <c r="E1125" t="s">
        <v>31</v>
      </c>
      <c r="F1125" t="s">
        <v>49</v>
      </c>
      <c r="G1125" t="s">
        <v>50</v>
      </c>
      <c r="H1125" t="s">
        <v>57</v>
      </c>
      <c r="I1125" t="s">
        <v>35</v>
      </c>
      <c r="J1125" s="4">
        <v>49.36</v>
      </c>
      <c r="K1125" s="4">
        <v>17.760000000000002</v>
      </c>
      <c r="L1125">
        <v>20</v>
      </c>
      <c r="M1125" s="4">
        <v>175.33</v>
      </c>
      <c r="N1125" s="4">
        <v>701.3</v>
      </c>
      <c r="O1125" s="4">
        <v>410.58</v>
      </c>
      <c r="P1125" s="4">
        <v>8.18</v>
      </c>
      <c r="Q1125" s="4">
        <v>6.14</v>
      </c>
      <c r="R1125" s="4">
        <v>4.3</v>
      </c>
      <c r="S1125" s="4">
        <v>0</v>
      </c>
      <c r="T1125" s="4">
        <v>0</v>
      </c>
      <c r="U1125" s="4">
        <v>429.2</v>
      </c>
      <c r="V1125" s="4">
        <v>272.10000000000002</v>
      </c>
      <c r="W1125" t="s">
        <v>21</v>
      </c>
      <c r="X1125" t="s">
        <v>36</v>
      </c>
      <c r="Y1125" s="4">
        <v>1</v>
      </c>
      <c r="Z1125" s="4">
        <v>5</v>
      </c>
      <c r="AA1125" t="s">
        <v>37</v>
      </c>
      <c r="AB1125" t="s">
        <v>38</v>
      </c>
      <c r="AC1125" s="7">
        <v>0</v>
      </c>
      <c r="AD1125" t="s">
        <v>39</v>
      </c>
      <c r="AE1125">
        <f t="shared" si="17"/>
        <v>0</v>
      </c>
    </row>
    <row r="1126" spans="1:31" x14ac:dyDescent="0.35">
      <c r="A1126">
        <v>101125</v>
      </c>
      <c r="B1126" s="3">
        <v>46004</v>
      </c>
      <c r="C1126">
        <v>1052</v>
      </c>
      <c r="D1126" t="s">
        <v>59</v>
      </c>
      <c r="E1126" t="s">
        <v>60</v>
      </c>
      <c r="F1126" t="s">
        <v>32</v>
      </c>
      <c r="G1126" t="s">
        <v>50</v>
      </c>
      <c r="H1126" t="s">
        <v>34</v>
      </c>
      <c r="I1126" t="s">
        <v>35</v>
      </c>
      <c r="J1126" s="4">
        <v>35.11</v>
      </c>
      <c r="K1126" s="4">
        <v>16.899999999999999</v>
      </c>
      <c r="L1126">
        <v>0</v>
      </c>
      <c r="M1126" s="4">
        <v>0</v>
      </c>
      <c r="N1126" s="4">
        <v>593.36</v>
      </c>
      <c r="O1126" s="4">
        <v>235.59</v>
      </c>
      <c r="P1126" s="4">
        <v>10.7</v>
      </c>
      <c r="Q1126" s="4">
        <v>4.1500000000000004</v>
      </c>
      <c r="R1126" s="4">
        <v>0.67</v>
      </c>
      <c r="S1126" s="4">
        <v>0</v>
      </c>
      <c r="T1126" s="4">
        <v>0</v>
      </c>
      <c r="U1126" s="4">
        <v>251.11</v>
      </c>
      <c r="V1126" s="4">
        <v>342.25</v>
      </c>
      <c r="W1126" t="s">
        <v>21</v>
      </c>
      <c r="X1126" t="s">
        <v>36</v>
      </c>
      <c r="Y1126" s="4">
        <v>1</v>
      </c>
      <c r="Z1126" s="4">
        <v>9</v>
      </c>
      <c r="AA1126" t="s">
        <v>37</v>
      </c>
      <c r="AB1126" t="s">
        <v>38</v>
      </c>
      <c r="AC1126" s="7">
        <v>0</v>
      </c>
      <c r="AD1126" t="s">
        <v>39</v>
      </c>
      <c r="AE1126">
        <f t="shared" si="17"/>
        <v>0</v>
      </c>
    </row>
    <row r="1127" spans="1:31" x14ac:dyDescent="0.35">
      <c r="A1127">
        <v>101126</v>
      </c>
      <c r="B1127" s="3">
        <v>46000</v>
      </c>
      <c r="C1127">
        <v>1018</v>
      </c>
      <c r="D1127" t="s">
        <v>47</v>
      </c>
      <c r="E1127" t="s">
        <v>53</v>
      </c>
      <c r="F1127" t="s">
        <v>71</v>
      </c>
      <c r="G1127" t="s">
        <v>46</v>
      </c>
      <c r="H1127" t="s">
        <v>34</v>
      </c>
      <c r="I1127" t="s">
        <v>35</v>
      </c>
      <c r="J1127" s="4">
        <v>29.72</v>
      </c>
      <c r="K1127" s="4">
        <v>15.46</v>
      </c>
      <c r="L1127">
        <v>0</v>
      </c>
      <c r="M1127" s="4">
        <v>0</v>
      </c>
      <c r="N1127" s="4">
        <v>459.47</v>
      </c>
      <c r="O1127" s="4">
        <v>257.81</v>
      </c>
      <c r="P1127" s="4">
        <v>7.78</v>
      </c>
      <c r="Q1127" s="4">
        <v>3.22</v>
      </c>
      <c r="R1127" s="4">
        <v>11.55</v>
      </c>
      <c r="S1127" s="4">
        <v>0</v>
      </c>
      <c r="T1127" s="4">
        <v>0</v>
      </c>
      <c r="U1127" s="4">
        <v>280.36</v>
      </c>
      <c r="V1127" s="4">
        <v>179.11</v>
      </c>
      <c r="W1127" t="s">
        <v>21</v>
      </c>
      <c r="X1127" t="s">
        <v>36</v>
      </c>
      <c r="Y1127" s="4">
        <v>15</v>
      </c>
      <c r="Z1127" s="4">
        <v>7</v>
      </c>
      <c r="AA1127" t="s">
        <v>37</v>
      </c>
      <c r="AB1127" t="s">
        <v>38</v>
      </c>
      <c r="AC1127" s="7">
        <v>1</v>
      </c>
      <c r="AD1127" t="s">
        <v>39</v>
      </c>
      <c r="AE1127">
        <f t="shared" si="17"/>
        <v>0</v>
      </c>
    </row>
    <row r="1128" spans="1:31" x14ac:dyDescent="0.35">
      <c r="A1128">
        <v>101127</v>
      </c>
      <c r="B1128" s="3">
        <v>45973</v>
      </c>
      <c r="C1128">
        <v>1011</v>
      </c>
      <c r="D1128" t="s">
        <v>30</v>
      </c>
      <c r="E1128" t="s">
        <v>40</v>
      </c>
      <c r="F1128" t="s">
        <v>71</v>
      </c>
      <c r="G1128" t="s">
        <v>63</v>
      </c>
      <c r="H1128" t="s">
        <v>34</v>
      </c>
      <c r="I1128" t="s">
        <v>35</v>
      </c>
      <c r="J1128" s="4">
        <v>29.53</v>
      </c>
      <c r="K1128" s="4">
        <v>12.55</v>
      </c>
      <c r="L1128">
        <v>10</v>
      </c>
      <c r="M1128" s="4">
        <v>37.06</v>
      </c>
      <c r="N1128" s="4">
        <v>333.54</v>
      </c>
      <c r="O1128" s="4">
        <v>222.75</v>
      </c>
      <c r="P1128" s="4">
        <v>9.67</v>
      </c>
      <c r="Q1128" s="4">
        <v>2.59</v>
      </c>
      <c r="R1128" s="4">
        <v>2.16</v>
      </c>
      <c r="S1128" s="4">
        <v>0</v>
      </c>
      <c r="T1128" s="4">
        <v>0</v>
      </c>
      <c r="U1128" s="4">
        <v>237.17</v>
      </c>
      <c r="V1128" s="4">
        <v>96.37</v>
      </c>
      <c r="W1128" t="s">
        <v>21</v>
      </c>
      <c r="X1128" t="s">
        <v>36</v>
      </c>
      <c r="Y1128" s="4">
        <v>4</v>
      </c>
      <c r="Z1128" s="4">
        <v>1</v>
      </c>
      <c r="AA1128" t="s">
        <v>37</v>
      </c>
      <c r="AB1128" t="s">
        <v>38</v>
      </c>
      <c r="AC1128" s="7">
        <v>0</v>
      </c>
      <c r="AD1128" t="s">
        <v>39</v>
      </c>
      <c r="AE1128">
        <f t="shared" si="17"/>
        <v>0</v>
      </c>
    </row>
    <row r="1129" spans="1:31" x14ac:dyDescent="0.35">
      <c r="A1129">
        <v>101128</v>
      </c>
      <c r="B1129" s="3">
        <v>45964</v>
      </c>
      <c r="C1129">
        <v>1029</v>
      </c>
      <c r="D1129" t="s">
        <v>59</v>
      </c>
      <c r="E1129" t="s">
        <v>60</v>
      </c>
      <c r="F1129" t="s">
        <v>32</v>
      </c>
      <c r="G1129" t="s">
        <v>63</v>
      </c>
      <c r="H1129" t="s">
        <v>34</v>
      </c>
      <c r="I1129" t="s">
        <v>42</v>
      </c>
      <c r="J1129" s="4">
        <v>20.96</v>
      </c>
      <c r="K1129" s="4">
        <v>12.59</v>
      </c>
      <c r="L1129">
        <v>0</v>
      </c>
      <c r="M1129" s="4">
        <v>0</v>
      </c>
      <c r="N1129" s="4">
        <v>263.89</v>
      </c>
      <c r="O1129" s="4">
        <v>137.6</v>
      </c>
      <c r="P1129" s="4">
        <v>5.0999999999999996</v>
      </c>
      <c r="Q1129" s="4">
        <v>3.96</v>
      </c>
      <c r="R1129" s="4">
        <v>5.78</v>
      </c>
      <c r="S1129" s="4">
        <v>0</v>
      </c>
      <c r="T1129" s="4">
        <v>0</v>
      </c>
      <c r="U1129" s="4">
        <v>152.44</v>
      </c>
      <c r="V1129" s="4">
        <v>111.45</v>
      </c>
      <c r="W1129" t="s">
        <v>21</v>
      </c>
      <c r="X1129" t="s">
        <v>36</v>
      </c>
      <c r="Y1129" s="4">
        <v>2</v>
      </c>
      <c r="Z1129" s="4">
        <v>0</v>
      </c>
      <c r="AA1129" t="s">
        <v>37</v>
      </c>
      <c r="AB1129" t="s">
        <v>38</v>
      </c>
      <c r="AC1129" s="7">
        <v>0</v>
      </c>
      <c r="AD1129" t="s">
        <v>39</v>
      </c>
      <c r="AE1129">
        <f t="shared" si="17"/>
        <v>0</v>
      </c>
    </row>
    <row r="1130" spans="1:31" x14ac:dyDescent="0.35">
      <c r="A1130">
        <v>101129</v>
      </c>
      <c r="B1130" s="3">
        <v>45977</v>
      </c>
      <c r="C1130">
        <v>1014</v>
      </c>
      <c r="D1130" t="s">
        <v>47</v>
      </c>
      <c r="E1130" t="s">
        <v>56</v>
      </c>
      <c r="F1130" t="s">
        <v>71</v>
      </c>
      <c r="G1130" t="s">
        <v>63</v>
      </c>
      <c r="H1130" t="s">
        <v>34</v>
      </c>
      <c r="I1130" t="s">
        <v>42</v>
      </c>
      <c r="J1130" s="4">
        <v>19.64</v>
      </c>
      <c r="K1130" s="4">
        <v>12.21</v>
      </c>
      <c r="L1130">
        <v>0</v>
      </c>
      <c r="M1130" s="4">
        <v>0</v>
      </c>
      <c r="N1130" s="4">
        <v>239.8</v>
      </c>
      <c r="O1130" s="4">
        <v>133.88999999999999</v>
      </c>
      <c r="P1130" s="4">
        <v>6.94</v>
      </c>
      <c r="Q1130" s="4">
        <v>3.6</v>
      </c>
      <c r="R1130" s="4">
        <v>0.33</v>
      </c>
      <c r="S1130" s="4">
        <v>0</v>
      </c>
      <c r="T1130" s="4">
        <v>0</v>
      </c>
      <c r="U1130" s="4">
        <v>144.76</v>
      </c>
      <c r="V1130" s="4">
        <v>95.04</v>
      </c>
      <c r="W1130" t="s">
        <v>21</v>
      </c>
      <c r="X1130" t="s">
        <v>36</v>
      </c>
      <c r="Y1130" s="4">
        <v>12</v>
      </c>
      <c r="Z1130" s="4">
        <v>2</v>
      </c>
      <c r="AA1130" t="s">
        <v>37</v>
      </c>
      <c r="AB1130" t="s">
        <v>38</v>
      </c>
      <c r="AC1130" s="7">
        <v>0</v>
      </c>
      <c r="AD1130" t="s">
        <v>39</v>
      </c>
      <c r="AE1130">
        <f t="shared" si="17"/>
        <v>0</v>
      </c>
    </row>
    <row r="1131" spans="1:31" x14ac:dyDescent="0.35">
      <c r="A1131">
        <v>101130</v>
      </c>
      <c r="B1131" s="3">
        <v>46002</v>
      </c>
      <c r="C1131">
        <v>1031</v>
      </c>
      <c r="D1131" t="s">
        <v>64</v>
      </c>
      <c r="E1131" t="s">
        <v>75</v>
      </c>
      <c r="F1131" t="s">
        <v>32</v>
      </c>
      <c r="G1131" t="s">
        <v>63</v>
      </c>
      <c r="H1131" t="s">
        <v>34</v>
      </c>
      <c r="I1131" t="s">
        <v>69</v>
      </c>
      <c r="J1131" s="4">
        <v>15.1</v>
      </c>
      <c r="K1131" s="4">
        <v>12.83</v>
      </c>
      <c r="L1131">
        <v>5</v>
      </c>
      <c r="M1131" s="4">
        <v>9.69</v>
      </c>
      <c r="N1131" s="4">
        <v>184.04</v>
      </c>
      <c r="O1131" s="4">
        <v>109.98</v>
      </c>
      <c r="P1131" s="4">
        <v>12.18</v>
      </c>
      <c r="Q1131" s="4">
        <v>0.77</v>
      </c>
      <c r="R1131" s="4">
        <v>10.71</v>
      </c>
      <c r="S1131" s="4">
        <v>0</v>
      </c>
      <c r="T1131" s="4">
        <v>0</v>
      </c>
      <c r="U1131" s="4">
        <v>133.63999999999999</v>
      </c>
      <c r="V1131" s="4">
        <v>50.4</v>
      </c>
      <c r="W1131" t="s">
        <v>21</v>
      </c>
      <c r="X1131" t="s">
        <v>36</v>
      </c>
      <c r="Y1131" s="4">
        <v>3</v>
      </c>
      <c r="Z1131" s="4">
        <v>13</v>
      </c>
      <c r="AA1131" t="s">
        <v>37</v>
      </c>
      <c r="AB1131" t="s">
        <v>38</v>
      </c>
      <c r="AC1131" s="7">
        <v>0</v>
      </c>
      <c r="AD1131" t="s">
        <v>39</v>
      </c>
      <c r="AE1131">
        <f t="shared" si="17"/>
        <v>0</v>
      </c>
    </row>
    <row r="1132" spans="1:31" x14ac:dyDescent="0.35">
      <c r="A1132">
        <v>101131</v>
      </c>
      <c r="B1132" s="3">
        <v>45981</v>
      </c>
      <c r="C1132">
        <v>1036</v>
      </c>
      <c r="D1132" t="s">
        <v>47</v>
      </c>
      <c r="E1132" t="s">
        <v>56</v>
      </c>
      <c r="F1132" t="s">
        <v>32</v>
      </c>
      <c r="G1132" t="s">
        <v>63</v>
      </c>
      <c r="H1132" t="s">
        <v>34</v>
      </c>
      <c r="I1132" t="s">
        <v>42</v>
      </c>
      <c r="J1132" s="4">
        <v>15.45</v>
      </c>
      <c r="K1132" s="4">
        <v>13.14</v>
      </c>
      <c r="L1132">
        <v>5</v>
      </c>
      <c r="M1132" s="4">
        <v>10.15</v>
      </c>
      <c r="N1132" s="4">
        <v>192.86</v>
      </c>
      <c r="O1132" s="4">
        <v>110.8</v>
      </c>
      <c r="P1132" s="4">
        <v>9.11</v>
      </c>
      <c r="Q1132" s="4">
        <v>3.05</v>
      </c>
      <c r="R1132" s="4">
        <v>0</v>
      </c>
      <c r="S1132" s="4">
        <v>0</v>
      </c>
      <c r="T1132" s="4">
        <v>0</v>
      </c>
      <c r="U1132" s="4">
        <v>122.96</v>
      </c>
      <c r="V1132" s="4">
        <v>69.900000000000006</v>
      </c>
      <c r="W1132" t="s">
        <v>21</v>
      </c>
      <c r="X1132" t="s">
        <v>36</v>
      </c>
      <c r="Y1132" s="4">
        <v>11</v>
      </c>
      <c r="Z1132" s="4">
        <v>0</v>
      </c>
      <c r="AA1132" t="s">
        <v>37</v>
      </c>
      <c r="AB1132" t="s">
        <v>38</v>
      </c>
      <c r="AC1132" s="7">
        <v>0</v>
      </c>
      <c r="AD1132" t="s">
        <v>39</v>
      </c>
      <c r="AE1132">
        <f t="shared" si="17"/>
        <v>0</v>
      </c>
    </row>
    <row r="1133" spans="1:31" x14ac:dyDescent="0.35">
      <c r="A1133">
        <v>101132</v>
      </c>
      <c r="B1133" s="3">
        <v>45953</v>
      </c>
      <c r="C1133">
        <v>1065</v>
      </c>
      <c r="D1133" t="s">
        <v>64</v>
      </c>
      <c r="E1133" t="s">
        <v>67</v>
      </c>
      <c r="F1133" t="s">
        <v>71</v>
      </c>
      <c r="G1133" t="s">
        <v>50</v>
      </c>
      <c r="H1133" t="s">
        <v>51</v>
      </c>
      <c r="I1133" t="s">
        <v>35</v>
      </c>
      <c r="J1133" s="4">
        <v>24.88</v>
      </c>
      <c r="K1133" s="4">
        <v>16.87</v>
      </c>
      <c r="L1133">
        <v>0</v>
      </c>
      <c r="M1133" s="4">
        <v>0</v>
      </c>
      <c r="N1133" s="4">
        <v>419.73</v>
      </c>
      <c r="O1133" s="4">
        <v>202.22</v>
      </c>
      <c r="P1133" s="4">
        <v>4.96</v>
      </c>
      <c r="Q1133" s="4">
        <v>2.94</v>
      </c>
      <c r="R1133" s="4">
        <v>12.28</v>
      </c>
      <c r="S1133" s="4">
        <v>0</v>
      </c>
      <c r="T1133" s="4">
        <v>0</v>
      </c>
      <c r="U1133" s="4">
        <v>222.4</v>
      </c>
      <c r="V1133" s="4">
        <v>197.33</v>
      </c>
      <c r="W1133" t="s">
        <v>21</v>
      </c>
      <c r="X1133" t="s">
        <v>36</v>
      </c>
      <c r="Y1133" s="4">
        <v>12</v>
      </c>
      <c r="Z1133" s="4">
        <v>4</v>
      </c>
      <c r="AA1133" t="s">
        <v>37</v>
      </c>
      <c r="AB1133" t="s">
        <v>38</v>
      </c>
      <c r="AC1133" s="7">
        <v>0</v>
      </c>
      <c r="AD1133" t="s">
        <v>39</v>
      </c>
      <c r="AE1133">
        <f t="shared" si="17"/>
        <v>0</v>
      </c>
    </row>
    <row r="1134" spans="1:31" x14ac:dyDescent="0.35">
      <c r="A1134">
        <v>101133</v>
      </c>
      <c r="B1134" s="3">
        <v>45939</v>
      </c>
      <c r="C1134">
        <v>1046</v>
      </c>
      <c r="D1134" t="s">
        <v>47</v>
      </c>
      <c r="E1134" t="s">
        <v>53</v>
      </c>
      <c r="F1134" t="s">
        <v>32</v>
      </c>
      <c r="G1134" t="s">
        <v>50</v>
      </c>
      <c r="H1134" t="s">
        <v>57</v>
      </c>
      <c r="I1134" t="s">
        <v>69</v>
      </c>
      <c r="J1134" s="4">
        <v>21.55</v>
      </c>
      <c r="K1134" s="4">
        <v>17.29</v>
      </c>
      <c r="L1134">
        <v>0</v>
      </c>
      <c r="M1134" s="4">
        <v>0</v>
      </c>
      <c r="N1134" s="4">
        <v>372.6</v>
      </c>
      <c r="O1134" s="4">
        <v>143.99</v>
      </c>
      <c r="P1134" s="4">
        <v>7.82</v>
      </c>
      <c r="Q1134" s="4">
        <v>1.49</v>
      </c>
      <c r="R1134" s="4">
        <v>8</v>
      </c>
      <c r="S1134" s="4">
        <v>0</v>
      </c>
      <c r="T1134" s="4">
        <v>0</v>
      </c>
      <c r="U1134" s="4">
        <v>161.30000000000001</v>
      </c>
      <c r="V1134" s="4">
        <v>211.3</v>
      </c>
      <c r="W1134" t="s">
        <v>21</v>
      </c>
      <c r="X1134" t="s">
        <v>36</v>
      </c>
      <c r="Y1134" s="4">
        <v>8</v>
      </c>
      <c r="Z1134" s="4">
        <v>2</v>
      </c>
      <c r="AA1134" t="s">
        <v>37</v>
      </c>
      <c r="AB1134" t="s">
        <v>38</v>
      </c>
      <c r="AC1134" s="7">
        <v>0</v>
      </c>
      <c r="AD1134" t="s">
        <v>39</v>
      </c>
      <c r="AE1134">
        <f t="shared" si="17"/>
        <v>0</v>
      </c>
    </row>
    <row r="1135" spans="1:31" x14ac:dyDescent="0.35">
      <c r="A1135">
        <v>101134</v>
      </c>
      <c r="B1135" s="3">
        <v>45975</v>
      </c>
      <c r="C1135">
        <v>1059</v>
      </c>
      <c r="D1135" t="s">
        <v>64</v>
      </c>
      <c r="E1135" t="s">
        <v>75</v>
      </c>
      <c r="F1135" t="s">
        <v>32</v>
      </c>
      <c r="G1135" t="s">
        <v>50</v>
      </c>
      <c r="H1135" t="s">
        <v>34</v>
      </c>
      <c r="I1135" t="s">
        <v>69</v>
      </c>
      <c r="J1135" s="4">
        <v>31.47</v>
      </c>
      <c r="K1135" s="4">
        <v>17.47</v>
      </c>
      <c r="L1135">
        <v>5</v>
      </c>
      <c r="M1135" s="4">
        <v>27.49</v>
      </c>
      <c r="N1135" s="4">
        <v>522.29</v>
      </c>
      <c r="O1135" s="4">
        <v>260.13</v>
      </c>
      <c r="P1135" s="4">
        <v>5.67</v>
      </c>
      <c r="Q1135" s="4">
        <v>2.2000000000000002</v>
      </c>
      <c r="R1135" s="4">
        <v>7.13</v>
      </c>
      <c r="S1135" s="4">
        <v>0</v>
      </c>
      <c r="T1135" s="4">
        <v>0</v>
      </c>
      <c r="U1135" s="4">
        <v>275.13</v>
      </c>
      <c r="V1135" s="4">
        <v>247.16</v>
      </c>
      <c r="W1135" t="s">
        <v>21</v>
      </c>
      <c r="X1135" t="s">
        <v>36</v>
      </c>
      <c r="Y1135" s="4">
        <v>1</v>
      </c>
      <c r="Z1135" s="4">
        <v>2</v>
      </c>
      <c r="AA1135" t="s">
        <v>37</v>
      </c>
      <c r="AB1135" t="s">
        <v>38</v>
      </c>
      <c r="AC1135" s="7">
        <v>0</v>
      </c>
      <c r="AD1135" t="s">
        <v>39</v>
      </c>
      <c r="AE1135">
        <f t="shared" si="17"/>
        <v>0</v>
      </c>
    </row>
    <row r="1136" spans="1:31" x14ac:dyDescent="0.35">
      <c r="A1136">
        <v>101135</v>
      </c>
      <c r="B1136" s="3">
        <v>46001</v>
      </c>
      <c r="C1136">
        <v>1039</v>
      </c>
      <c r="D1136" t="s">
        <v>59</v>
      </c>
      <c r="E1136" t="s">
        <v>73</v>
      </c>
      <c r="F1136" t="s">
        <v>41</v>
      </c>
      <c r="G1136" t="s">
        <v>63</v>
      </c>
      <c r="H1136" t="s">
        <v>57</v>
      </c>
      <c r="I1136" t="s">
        <v>35</v>
      </c>
      <c r="J1136" s="4">
        <v>16.489999999999998</v>
      </c>
      <c r="K1136" s="4">
        <v>12.14</v>
      </c>
      <c r="L1136">
        <v>5</v>
      </c>
      <c r="M1136" s="4">
        <v>10.01</v>
      </c>
      <c r="N1136" s="4">
        <v>190.18</v>
      </c>
      <c r="O1136" s="4">
        <v>102.67</v>
      </c>
      <c r="P1136" s="4">
        <v>3.55</v>
      </c>
      <c r="Q1136" s="4">
        <v>1.4</v>
      </c>
      <c r="R1136" s="4">
        <v>9.7799999999999994</v>
      </c>
      <c r="S1136" s="4">
        <v>0</v>
      </c>
      <c r="T1136" s="4">
        <v>0</v>
      </c>
      <c r="U1136" s="4">
        <v>117.4</v>
      </c>
      <c r="V1136" s="4">
        <v>72.78</v>
      </c>
      <c r="W1136" t="s">
        <v>21</v>
      </c>
      <c r="X1136" t="s">
        <v>36</v>
      </c>
      <c r="Y1136" s="4">
        <v>20</v>
      </c>
      <c r="Z1136" s="4">
        <v>27</v>
      </c>
      <c r="AA1136" t="s">
        <v>52</v>
      </c>
      <c r="AB1136" t="s">
        <v>44</v>
      </c>
      <c r="AC1136" s="7">
        <v>1</v>
      </c>
      <c r="AD1136" t="s">
        <v>45</v>
      </c>
      <c r="AE1136">
        <f t="shared" si="17"/>
        <v>1</v>
      </c>
    </row>
    <row r="1137" spans="1:31" x14ac:dyDescent="0.35">
      <c r="A1137">
        <v>101136</v>
      </c>
      <c r="B1137" s="3">
        <v>45955</v>
      </c>
      <c r="C1137">
        <v>1092</v>
      </c>
      <c r="D1137" t="s">
        <v>47</v>
      </c>
      <c r="E1137" t="s">
        <v>48</v>
      </c>
      <c r="F1137" t="s">
        <v>71</v>
      </c>
      <c r="G1137" t="s">
        <v>46</v>
      </c>
      <c r="H1137" t="s">
        <v>34</v>
      </c>
      <c r="I1137" t="s">
        <v>35</v>
      </c>
      <c r="J1137" s="4">
        <v>18.75</v>
      </c>
      <c r="K1137" s="4">
        <v>14.85</v>
      </c>
      <c r="L1137">
        <v>10</v>
      </c>
      <c r="M1137" s="4">
        <v>27.84</v>
      </c>
      <c r="N1137" s="4">
        <v>250.6</v>
      </c>
      <c r="O1137" s="4">
        <v>135.69</v>
      </c>
      <c r="P1137" s="4">
        <v>2.54</v>
      </c>
      <c r="Q1137" s="4">
        <v>1.95</v>
      </c>
      <c r="R1137" s="4">
        <v>7.91</v>
      </c>
      <c r="S1137" s="4">
        <v>0</v>
      </c>
      <c r="T1137" s="4">
        <v>0</v>
      </c>
      <c r="U1137" s="4">
        <v>148.09</v>
      </c>
      <c r="V1137" s="4">
        <v>102.51</v>
      </c>
      <c r="W1137" t="s">
        <v>21</v>
      </c>
      <c r="X1137" t="s">
        <v>36</v>
      </c>
      <c r="Y1137" s="4">
        <v>15</v>
      </c>
      <c r="Z1137" s="4">
        <v>18</v>
      </c>
      <c r="AA1137" t="s">
        <v>37</v>
      </c>
      <c r="AB1137" t="s">
        <v>44</v>
      </c>
      <c r="AC1137" s="7">
        <v>3</v>
      </c>
      <c r="AD1137" t="s">
        <v>45</v>
      </c>
      <c r="AE1137">
        <f t="shared" si="17"/>
        <v>1</v>
      </c>
    </row>
    <row r="1138" spans="1:31" x14ac:dyDescent="0.35">
      <c r="A1138">
        <v>101137</v>
      </c>
      <c r="B1138" s="3">
        <v>46019</v>
      </c>
      <c r="C1138">
        <v>1014</v>
      </c>
      <c r="D1138" t="s">
        <v>59</v>
      </c>
      <c r="E1138" t="s">
        <v>68</v>
      </c>
      <c r="F1138" t="s">
        <v>61</v>
      </c>
      <c r="G1138" t="s">
        <v>63</v>
      </c>
      <c r="H1138" t="s">
        <v>34</v>
      </c>
      <c r="I1138" t="s">
        <v>42</v>
      </c>
      <c r="J1138" s="4">
        <v>5.13</v>
      </c>
      <c r="K1138" s="4">
        <v>11.95</v>
      </c>
      <c r="L1138">
        <v>10</v>
      </c>
      <c r="M1138" s="4">
        <v>6.13</v>
      </c>
      <c r="N1138" s="4">
        <v>55.17</v>
      </c>
      <c r="O1138" s="4">
        <v>41.6</v>
      </c>
      <c r="P1138" s="4">
        <v>7.02</v>
      </c>
      <c r="Q1138" s="4">
        <v>0.92</v>
      </c>
      <c r="R1138" s="4">
        <v>3.94</v>
      </c>
      <c r="S1138" s="4">
        <v>0</v>
      </c>
      <c r="T1138" s="4">
        <v>0</v>
      </c>
      <c r="U1138" s="4">
        <v>53.48</v>
      </c>
      <c r="V1138" s="4">
        <v>1.69</v>
      </c>
      <c r="W1138" t="s">
        <v>21</v>
      </c>
      <c r="X1138" t="s">
        <v>36</v>
      </c>
      <c r="Y1138" s="4">
        <v>9</v>
      </c>
      <c r="Z1138" s="4">
        <v>1</v>
      </c>
      <c r="AA1138" t="s">
        <v>37</v>
      </c>
      <c r="AB1138" t="s">
        <v>38</v>
      </c>
      <c r="AC1138" s="7">
        <v>0</v>
      </c>
      <c r="AD1138" t="s">
        <v>39</v>
      </c>
      <c r="AE1138">
        <f t="shared" si="17"/>
        <v>0</v>
      </c>
    </row>
    <row r="1139" spans="1:31" x14ac:dyDescent="0.35">
      <c r="A1139">
        <v>101138</v>
      </c>
      <c r="B1139" s="3">
        <v>46004</v>
      </c>
      <c r="C1139">
        <v>1081</v>
      </c>
      <c r="D1139" t="s">
        <v>59</v>
      </c>
      <c r="E1139" t="s">
        <v>60</v>
      </c>
      <c r="F1139" t="s">
        <v>49</v>
      </c>
      <c r="G1139" t="s">
        <v>46</v>
      </c>
      <c r="H1139" t="s">
        <v>34</v>
      </c>
      <c r="I1139" t="s">
        <v>35</v>
      </c>
      <c r="J1139" s="4">
        <v>26.37</v>
      </c>
      <c r="K1139" s="4">
        <v>15.33</v>
      </c>
      <c r="L1139">
        <v>0</v>
      </c>
      <c r="M1139" s="4">
        <v>0</v>
      </c>
      <c r="N1139" s="4">
        <v>404.25</v>
      </c>
      <c r="O1139" s="4">
        <v>214.92</v>
      </c>
      <c r="P1139" s="4">
        <v>9.18</v>
      </c>
      <c r="Q1139" s="4">
        <v>2.83</v>
      </c>
      <c r="R1139" s="4">
        <v>6.25</v>
      </c>
      <c r="S1139" s="4">
        <v>0</v>
      </c>
      <c r="T1139" s="4">
        <v>0</v>
      </c>
      <c r="U1139" s="4">
        <v>233.18</v>
      </c>
      <c r="V1139" s="4">
        <v>171.07</v>
      </c>
      <c r="W1139" t="s">
        <v>21</v>
      </c>
      <c r="X1139" t="s">
        <v>36</v>
      </c>
      <c r="Y1139" s="4">
        <v>4</v>
      </c>
      <c r="Z1139" s="4">
        <v>13</v>
      </c>
      <c r="AA1139" t="s">
        <v>37</v>
      </c>
      <c r="AB1139" t="s">
        <v>38</v>
      </c>
      <c r="AC1139" s="7">
        <v>0</v>
      </c>
      <c r="AD1139" t="s">
        <v>39</v>
      </c>
      <c r="AE1139">
        <f t="shared" si="17"/>
        <v>0</v>
      </c>
    </row>
    <row r="1140" spans="1:31" x14ac:dyDescent="0.35">
      <c r="A1140">
        <v>101139</v>
      </c>
      <c r="B1140" s="3">
        <v>45963</v>
      </c>
      <c r="C1140">
        <v>1032</v>
      </c>
      <c r="D1140" t="s">
        <v>30</v>
      </c>
      <c r="E1140" t="s">
        <v>62</v>
      </c>
      <c r="F1140" t="s">
        <v>32</v>
      </c>
      <c r="G1140" t="s">
        <v>63</v>
      </c>
      <c r="H1140" t="s">
        <v>34</v>
      </c>
      <c r="I1140" t="s">
        <v>69</v>
      </c>
      <c r="J1140" s="4">
        <v>21.42</v>
      </c>
      <c r="K1140" s="4">
        <v>14.25</v>
      </c>
      <c r="L1140">
        <v>0</v>
      </c>
      <c r="M1140" s="4">
        <v>0</v>
      </c>
      <c r="N1140" s="4">
        <v>305.24</v>
      </c>
      <c r="O1140" s="4">
        <v>160.24</v>
      </c>
      <c r="P1140" s="4">
        <v>11.85</v>
      </c>
      <c r="Q1140" s="4">
        <v>1.22</v>
      </c>
      <c r="R1140" s="4">
        <v>0.7</v>
      </c>
      <c r="S1140" s="4">
        <v>0</v>
      </c>
      <c r="T1140" s="4">
        <v>0</v>
      </c>
      <c r="U1140" s="4">
        <v>174.01</v>
      </c>
      <c r="V1140" s="4">
        <v>131.22999999999999</v>
      </c>
      <c r="W1140" t="s">
        <v>21</v>
      </c>
      <c r="X1140" t="s">
        <v>36</v>
      </c>
      <c r="Y1140" s="4">
        <v>16</v>
      </c>
      <c r="Z1140" s="4">
        <v>0</v>
      </c>
      <c r="AA1140" t="s">
        <v>52</v>
      </c>
      <c r="AB1140" t="s">
        <v>38</v>
      </c>
      <c r="AC1140" s="7">
        <v>0</v>
      </c>
      <c r="AD1140" t="s">
        <v>39</v>
      </c>
      <c r="AE1140">
        <f t="shared" si="17"/>
        <v>0</v>
      </c>
    </row>
    <row r="1141" spans="1:31" x14ac:dyDescent="0.35">
      <c r="A1141">
        <v>101140</v>
      </c>
      <c r="B1141" s="3">
        <v>45938</v>
      </c>
      <c r="C1141">
        <v>1012</v>
      </c>
      <c r="D1141" t="s">
        <v>30</v>
      </c>
      <c r="E1141" t="s">
        <v>72</v>
      </c>
      <c r="F1141" t="s">
        <v>61</v>
      </c>
      <c r="G1141" t="s">
        <v>46</v>
      </c>
      <c r="H1141" t="s">
        <v>57</v>
      </c>
      <c r="I1141" t="s">
        <v>42</v>
      </c>
      <c r="J1141" s="4">
        <v>18.73</v>
      </c>
      <c r="K1141" s="4">
        <v>15.17</v>
      </c>
      <c r="L1141">
        <v>0</v>
      </c>
      <c r="M1141" s="4">
        <v>0</v>
      </c>
      <c r="N1141" s="4">
        <v>284.13</v>
      </c>
      <c r="O1141" s="4">
        <v>121.8</v>
      </c>
      <c r="P1141" s="4">
        <v>7.66</v>
      </c>
      <c r="Q1141" s="4">
        <v>4.26</v>
      </c>
      <c r="R1141" s="4">
        <v>4.76</v>
      </c>
      <c r="S1141" s="4">
        <v>0</v>
      </c>
      <c r="T1141" s="4">
        <v>0</v>
      </c>
      <c r="U1141" s="4">
        <v>138.47999999999999</v>
      </c>
      <c r="V1141" s="4">
        <v>145.65</v>
      </c>
      <c r="W1141" t="s">
        <v>21</v>
      </c>
      <c r="X1141" t="s">
        <v>36</v>
      </c>
      <c r="Y1141" s="4">
        <v>51</v>
      </c>
      <c r="Z1141" s="4">
        <v>4</v>
      </c>
      <c r="AA1141" t="s">
        <v>43</v>
      </c>
      <c r="AB1141" t="s">
        <v>44</v>
      </c>
      <c r="AC1141" s="7">
        <v>4</v>
      </c>
      <c r="AD1141" t="s">
        <v>45</v>
      </c>
      <c r="AE1141">
        <f t="shared" si="17"/>
        <v>1</v>
      </c>
    </row>
    <row r="1142" spans="1:31" x14ac:dyDescent="0.35">
      <c r="A1142">
        <v>101141</v>
      </c>
      <c r="B1142" s="3">
        <v>45999</v>
      </c>
      <c r="C1142">
        <v>1004</v>
      </c>
      <c r="D1142" t="s">
        <v>59</v>
      </c>
      <c r="E1142" t="s">
        <v>73</v>
      </c>
      <c r="F1142" t="s">
        <v>71</v>
      </c>
      <c r="G1142" t="s">
        <v>63</v>
      </c>
      <c r="H1142" t="s">
        <v>51</v>
      </c>
      <c r="I1142" t="s">
        <v>54</v>
      </c>
      <c r="J1142" s="4">
        <v>5.73</v>
      </c>
      <c r="K1142" s="4">
        <v>14.6</v>
      </c>
      <c r="L1142">
        <v>5</v>
      </c>
      <c r="M1142" s="4">
        <v>4.18</v>
      </c>
      <c r="N1142" s="4">
        <v>79.48</v>
      </c>
      <c r="O1142" s="4">
        <v>45.54</v>
      </c>
      <c r="P1142" s="4">
        <v>7.5</v>
      </c>
      <c r="Q1142" s="4">
        <v>1</v>
      </c>
      <c r="R1142" s="4">
        <v>7.27</v>
      </c>
      <c r="S1142" s="4">
        <v>33.590000000000003</v>
      </c>
      <c r="T1142" s="4">
        <v>4.6900000000000004</v>
      </c>
      <c r="U1142" s="4">
        <v>99.59</v>
      </c>
      <c r="V1142" s="4">
        <v>-20.11</v>
      </c>
      <c r="W1142" t="s">
        <v>58</v>
      </c>
      <c r="X1142" t="s">
        <v>55</v>
      </c>
      <c r="Y1142" s="4">
        <v>6</v>
      </c>
      <c r="Z1142" s="4">
        <v>9</v>
      </c>
      <c r="AA1142" t="s">
        <v>37</v>
      </c>
      <c r="AB1142" t="s">
        <v>44</v>
      </c>
      <c r="AC1142" s="7">
        <v>2</v>
      </c>
      <c r="AD1142" t="s">
        <v>45</v>
      </c>
      <c r="AE1142">
        <f t="shared" si="17"/>
        <v>1</v>
      </c>
    </row>
    <row r="1143" spans="1:31" x14ac:dyDescent="0.35">
      <c r="A1143">
        <v>101142</v>
      </c>
      <c r="B1143" s="3">
        <v>46003</v>
      </c>
      <c r="C1143">
        <v>1014</v>
      </c>
      <c r="D1143" t="s">
        <v>30</v>
      </c>
      <c r="E1143" t="s">
        <v>72</v>
      </c>
      <c r="F1143" t="s">
        <v>71</v>
      </c>
      <c r="G1143" t="s">
        <v>63</v>
      </c>
      <c r="H1143" t="s">
        <v>57</v>
      </c>
      <c r="I1143" t="s">
        <v>42</v>
      </c>
      <c r="J1143" s="4">
        <v>27.07</v>
      </c>
      <c r="K1143" s="4">
        <v>12.02</v>
      </c>
      <c r="L1143">
        <v>10</v>
      </c>
      <c r="M1143" s="4">
        <v>32.54</v>
      </c>
      <c r="N1143" s="4">
        <v>292.83999999999997</v>
      </c>
      <c r="O1143" s="4">
        <v>195.24</v>
      </c>
      <c r="P1143" s="4">
        <v>8.89</v>
      </c>
      <c r="Q1143" s="4">
        <v>4.88</v>
      </c>
      <c r="R1143" s="4">
        <v>4.84</v>
      </c>
      <c r="S1143" s="4">
        <v>0</v>
      </c>
      <c r="T1143" s="4">
        <v>0</v>
      </c>
      <c r="U1143" s="4">
        <v>213.85</v>
      </c>
      <c r="V1143" s="4">
        <v>78.989999999999995</v>
      </c>
      <c r="W1143" t="s">
        <v>21</v>
      </c>
      <c r="X1143" t="s">
        <v>36</v>
      </c>
      <c r="Y1143" s="4">
        <v>46</v>
      </c>
      <c r="Z1143" s="4">
        <v>2</v>
      </c>
      <c r="AA1143" t="s">
        <v>43</v>
      </c>
      <c r="AB1143" t="s">
        <v>44</v>
      </c>
      <c r="AC1143" s="7">
        <v>1</v>
      </c>
      <c r="AD1143" t="s">
        <v>45</v>
      </c>
      <c r="AE1143">
        <f t="shared" si="17"/>
        <v>1</v>
      </c>
    </row>
    <row r="1144" spans="1:31" x14ac:dyDescent="0.35">
      <c r="A1144">
        <v>101143</v>
      </c>
      <c r="B1144" s="3">
        <v>46003</v>
      </c>
      <c r="C1144">
        <v>1082</v>
      </c>
      <c r="D1144" t="s">
        <v>64</v>
      </c>
      <c r="E1144" t="s">
        <v>75</v>
      </c>
      <c r="F1144" t="s">
        <v>41</v>
      </c>
      <c r="G1144" t="s">
        <v>46</v>
      </c>
      <c r="H1144" t="s">
        <v>57</v>
      </c>
      <c r="I1144" t="s">
        <v>54</v>
      </c>
      <c r="J1144" s="4">
        <v>24.99</v>
      </c>
      <c r="K1144" s="4">
        <v>17.68</v>
      </c>
      <c r="L1144">
        <v>20</v>
      </c>
      <c r="M1144" s="4">
        <v>88.36</v>
      </c>
      <c r="N1144" s="4">
        <v>353.46</v>
      </c>
      <c r="O1144" s="4">
        <v>188.23</v>
      </c>
      <c r="P1144" s="4">
        <v>9.57</v>
      </c>
      <c r="Q1144" s="4">
        <v>5.3</v>
      </c>
      <c r="R1144" s="4">
        <v>11.99</v>
      </c>
      <c r="S1144" s="4">
        <v>0</v>
      </c>
      <c r="T1144" s="4">
        <v>0</v>
      </c>
      <c r="U1144" s="4">
        <v>215.09</v>
      </c>
      <c r="V1144" s="4">
        <v>138.37</v>
      </c>
      <c r="W1144" t="s">
        <v>21</v>
      </c>
      <c r="X1144" t="s">
        <v>36</v>
      </c>
      <c r="Y1144" s="4">
        <v>6</v>
      </c>
      <c r="Z1144" s="4">
        <v>0</v>
      </c>
      <c r="AA1144" t="s">
        <v>37</v>
      </c>
      <c r="AB1144" t="s">
        <v>38</v>
      </c>
      <c r="AC1144" s="7">
        <v>0</v>
      </c>
      <c r="AD1144" t="s">
        <v>39</v>
      </c>
      <c r="AE1144">
        <f t="shared" si="17"/>
        <v>0</v>
      </c>
    </row>
    <row r="1145" spans="1:31" x14ac:dyDescent="0.35">
      <c r="A1145">
        <v>101144</v>
      </c>
      <c r="B1145" s="3">
        <v>46006</v>
      </c>
      <c r="C1145">
        <v>1069</v>
      </c>
      <c r="D1145" t="s">
        <v>30</v>
      </c>
      <c r="E1145" t="s">
        <v>62</v>
      </c>
      <c r="F1145" t="s">
        <v>61</v>
      </c>
      <c r="G1145" t="s">
        <v>63</v>
      </c>
      <c r="H1145" t="s">
        <v>57</v>
      </c>
      <c r="I1145" t="s">
        <v>54</v>
      </c>
      <c r="J1145" s="4">
        <v>15.64</v>
      </c>
      <c r="K1145" s="4">
        <v>12.08</v>
      </c>
      <c r="L1145">
        <v>0</v>
      </c>
      <c r="M1145" s="4">
        <v>0</v>
      </c>
      <c r="N1145" s="4">
        <v>188.93</v>
      </c>
      <c r="O1145" s="4">
        <v>131.69</v>
      </c>
      <c r="P1145" s="4">
        <v>5.23</v>
      </c>
      <c r="Q1145" s="4">
        <v>2.27</v>
      </c>
      <c r="R1145" s="4">
        <v>2.71</v>
      </c>
      <c r="S1145" s="4">
        <v>0</v>
      </c>
      <c r="T1145" s="4">
        <v>0</v>
      </c>
      <c r="U1145" s="4">
        <v>141.9</v>
      </c>
      <c r="V1145" s="4">
        <v>47.03</v>
      </c>
      <c r="W1145" t="s">
        <v>21</v>
      </c>
      <c r="X1145" t="s">
        <v>36</v>
      </c>
      <c r="Y1145" s="4">
        <v>19</v>
      </c>
      <c r="Z1145" s="4">
        <v>1</v>
      </c>
      <c r="AA1145" t="s">
        <v>52</v>
      </c>
      <c r="AB1145" t="s">
        <v>38</v>
      </c>
      <c r="AC1145" s="7">
        <v>0</v>
      </c>
      <c r="AD1145" t="s">
        <v>39</v>
      </c>
      <c r="AE1145">
        <f t="shared" si="17"/>
        <v>0</v>
      </c>
    </row>
    <row r="1146" spans="1:31" x14ac:dyDescent="0.35">
      <c r="A1146">
        <v>101145</v>
      </c>
      <c r="B1146" s="3">
        <v>45969</v>
      </c>
      <c r="C1146">
        <v>1105</v>
      </c>
      <c r="D1146" t="s">
        <v>47</v>
      </c>
      <c r="E1146" t="s">
        <v>74</v>
      </c>
      <c r="F1146" t="s">
        <v>41</v>
      </c>
      <c r="G1146" t="s">
        <v>50</v>
      </c>
      <c r="H1146" t="s">
        <v>34</v>
      </c>
      <c r="I1146" t="s">
        <v>42</v>
      </c>
      <c r="J1146" s="4">
        <v>32.24</v>
      </c>
      <c r="K1146" s="4">
        <v>17.37</v>
      </c>
      <c r="L1146">
        <v>5</v>
      </c>
      <c r="M1146" s="4">
        <v>28</v>
      </c>
      <c r="N1146" s="4">
        <v>532.01</v>
      </c>
      <c r="O1146" s="4">
        <v>251.19</v>
      </c>
      <c r="P1146" s="4">
        <v>1</v>
      </c>
      <c r="Q1146" s="4">
        <v>8.4</v>
      </c>
      <c r="R1146" s="4">
        <v>8.41</v>
      </c>
      <c r="S1146" s="4">
        <v>0</v>
      </c>
      <c r="T1146" s="4">
        <v>0</v>
      </c>
      <c r="U1146" s="4">
        <v>269</v>
      </c>
      <c r="V1146" s="4">
        <v>263.01</v>
      </c>
      <c r="W1146" t="s">
        <v>21</v>
      </c>
      <c r="X1146" t="s">
        <v>36</v>
      </c>
      <c r="Y1146" s="4">
        <v>3</v>
      </c>
      <c r="Z1146" s="4">
        <v>0</v>
      </c>
      <c r="AA1146" t="s">
        <v>37</v>
      </c>
      <c r="AB1146" t="s">
        <v>38</v>
      </c>
      <c r="AC1146" s="7">
        <v>2</v>
      </c>
      <c r="AD1146" t="s">
        <v>39</v>
      </c>
      <c r="AE1146">
        <f t="shared" si="17"/>
        <v>0</v>
      </c>
    </row>
    <row r="1147" spans="1:31" x14ac:dyDescent="0.35">
      <c r="A1147">
        <v>101146</v>
      </c>
      <c r="B1147" s="3">
        <v>46020</v>
      </c>
      <c r="C1147">
        <v>1029</v>
      </c>
      <c r="D1147" t="s">
        <v>30</v>
      </c>
      <c r="E1147" t="s">
        <v>40</v>
      </c>
      <c r="F1147" t="s">
        <v>49</v>
      </c>
      <c r="G1147" t="s">
        <v>50</v>
      </c>
      <c r="H1147" t="s">
        <v>51</v>
      </c>
      <c r="I1147" t="s">
        <v>69</v>
      </c>
      <c r="J1147" s="4">
        <v>26.79</v>
      </c>
      <c r="K1147" s="4">
        <v>18.100000000000001</v>
      </c>
      <c r="L1147">
        <v>0</v>
      </c>
      <c r="M1147" s="4">
        <v>0</v>
      </c>
      <c r="N1147" s="4">
        <v>484.9</v>
      </c>
      <c r="O1147" s="4">
        <v>220.92</v>
      </c>
      <c r="P1147" s="4">
        <v>5.34</v>
      </c>
      <c r="Q1147" s="4">
        <v>1.94</v>
      </c>
      <c r="R1147" s="4">
        <v>7.64</v>
      </c>
      <c r="S1147" s="4">
        <v>179.29</v>
      </c>
      <c r="T1147" s="4">
        <v>21.78</v>
      </c>
      <c r="U1147" s="4">
        <v>436.91</v>
      </c>
      <c r="V1147" s="4">
        <v>47.99</v>
      </c>
      <c r="W1147" t="s">
        <v>21</v>
      </c>
      <c r="X1147" t="s">
        <v>66</v>
      </c>
      <c r="Y1147" s="4">
        <v>8</v>
      </c>
      <c r="Z1147" s="4">
        <v>6</v>
      </c>
      <c r="AA1147" t="s">
        <v>37</v>
      </c>
      <c r="AB1147" t="s">
        <v>38</v>
      </c>
      <c r="AC1147" s="7">
        <v>2</v>
      </c>
      <c r="AD1147" t="s">
        <v>45</v>
      </c>
      <c r="AE1147">
        <f t="shared" si="17"/>
        <v>0</v>
      </c>
    </row>
    <row r="1148" spans="1:31" x14ac:dyDescent="0.35">
      <c r="A1148">
        <v>101147</v>
      </c>
      <c r="B1148" s="3">
        <v>45957</v>
      </c>
      <c r="C1148">
        <v>1023</v>
      </c>
      <c r="D1148" t="s">
        <v>59</v>
      </c>
      <c r="E1148" t="s">
        <v>70</v>
      </c>
      <c r="F1148" t="s">
        <v>49</v>
      </c>
      <c r="G1148" t="s">
        <v>33</v>
      </c>
      <c r="H1148" t="s">
        <v>34</v>
      </c>
      <c r="I1148" t="s">
        <v>35</v>
      </c>
      <c r="J1148" s="4">
        <v>26.08</v>
      </c>
      <c r="K1148" s="4">
        <v>19.010000000000002</v>
      </c>
      <c r="L1148">
        <v>0</v>
      </c>
      <c r="M1148" s="4">
        <v>0</v>
      </c>
      <c r="N1148" s="4">
        <v>495.78</v>
      </c>
      <c r="O1148" s="4">
        <v>226.71</v>
      </c>
      <c r="P1148" s="4">
        <v>8.89</v>
      </c>
      <c r="Q1148" s="4">
        <v>3.47</v>
      </c>
      <c r="R1148" s="4">
        <v>3.23</v>
      </c>
      <c r="S1148" s="4">
        <v>0</v>
      </c>
      <c r="T1148" s="4">
        <v>0</v>
      </c>
      <c r="U1148" s="4">
        <v>242.3</v>
      </c>
      <c r="V1148" s="4">
        <v>253.48</v>
      </c>
      <c r="W1148" t="s">
        <v>21</v>
      </c>
      <c r="X1148" t="s">
        <v>36</v>
      </c>
      <c r="Y1148" s="4">
        <v>50</v>
      </c>
      <c r="Z1148" s="4">
        <v>14</v>
      </c>
      <c r="AA1148" t="s">
        <v>43</v>
      </c>
      <c r="AB1148" t="s">
        <v>44</v>
      </c>
      <c r="AC1148" s="7">
        <v>3</v>
      </c>
      <c r="AD1148" t="s">
        <v>45</v>
      </c>
      <c r="AE1148">
        <f t="shared" si="17"/>
        <v>1</v>
      </c>
    </row>
    <row r="1149" spans="1:31" x14ac:dyDescent="0.35">
      <c r="A1149">
        <v>101148</v>
      </c>
      <c r="B1149" s="3">
        <v>45980</v>
      </c>
      <c r="C1149">
        <v>1064</v>
      </c>
      <c r="D1149" t="s">
        <v>64</v>
      </c>
      <c r="E1149" t="s">
        <v>67</v>
      </c>
      <c r="F1149" t="s">
        <v>61</v>
      </c>
      <c r="G1149" t="s">
        <v>33</v>
      </c>
      <c r="H1149" t="s">
        <v>57</v>
      </c>
      <c r="I1149" t="s">
        <v>54</v>
      </c>
      <c r="J1149" s="4">
        <v>28.54</v>
      </c>
      <c r="K1149" s="4">
        <v>18.86</v>
      </c>
      <c r="L1149">
        <v>5</v>
      </c>
      <c r="M1149" s="4">
        <v>26.91</v>
      </c>
      <c r="N1149" s="4">
        <v>511.35</v>
      </c>
      <c r="O1149" s="4">
        <v>206.09</v>
      </c>
      <c r="P1149" s="4">
        <v>1</v>
      </c>
      <c r="Q1149" s="4">
        <v>6.46</v>
      </c>
      <c r="R1149" s="4">
        <v>5.81</v>
      </c>
      <c r="S1149" s="4">
        <v>0</v>
      </c>
      <c r="T1149" s="4">
        <v>0</v>
      </c>
      <c r="U1149" s="4">
        <v>219.36</v>
      </c>
      <c r="V1149" s="4">
        <v>291.99</v>
      </c>
      <c r="W1149" t="s">
        <v>21</v>
      </c>
      <c r="X1149" t="s">
        <v>36</v>
      </c>
      <c r="Y1149" s="4">
        <v>1</v>
      </c>
      <c r="Z1149" s="4">
        <v>18</v>
      </c>
      <c r="AA1149" t="s">
        <v>37</v>
      </c>
      <c r="AB1149" t="s">
        <v>44</v>
      </c>
      <c r="AC1149" s="7">
        <v>3</v>
      </c>
      <c r="AD1149" t="s">
        <v>45</v>
      </c>
      <c r="AE1149">
        <f t="shared" si="17"/>
        <v>1</v>
      </c>
    </row>
    <row r="1150" spans="1:31" x14ac:dyDescent="0.35">
      <c r="A1150">
        <v>101149</v>
      </c>
      <c r="B1150" s="3">
        <v>45988</v>
      </c>
      <c r="C1150">
        <v>1094</v>
      </c>
      <c r="D1150" t="s">
        <v>59</v>
      </c>
      <c r="E1150" t="s">
        <v>70</v>
      </c>
      <c r="F1150" t="s">
        <v>71</v>
      </c>
      <c r="G1150" t="s">
        <v>33</v>
      </c>
      <c r="H1150" t="s">
        <v>34</v>
      </c>
      <c r="I1150" t="s">
        <v>69</v>
      </c>
      <c r="J1150" s="4">
        <v>26.58</v>
      </c>
      <c r="K1150" s="4">
        <v>18.920000000000002</v>
      </c>
      <c r="L1150">
        <v>15</v>
      </c>
      <c r="M1150" s="4">
        <v>75.430000000000007</v>
      </c>
      <c r="N1150" s="4">
        <v>427.46</v>
      </c>
      <c r="O1150" s="4">
        <v>223.72</v>
      </c>
      <c r="P1150" s="4">
        <v>4.82</v>
      </c>
      <c r="Q1150" s="4">
        <v>2.0099999999999998</v>
      </c>
      <c r="R1150" s="4">
        <v>6.44</v>
      </c>
      <c r="S1150" s="4">
        <v>0</v>
      </c>
      <c r="T1150" s="4">
        <v>0</v>
      </c>
      <c r="U1150" s="4">
        <v>236.99</v>
      </c>
      <c r="V1150" s="4">
        <v>190.47</v>
      </c>
      <c r="W1150" t="s">
        <v>21</v>
      </c>
      <c r="X1150" t="s">
        <v>36</v>
      </c>
      <c r="Y1150" s="4">
        <v>14</v>
      </c>
      <c r="Z1150" s="4">
        <v>9</v>
      </c>
      <c r="AA1150" t="s">
        <v>37</v>
      </c>
      <c r="AB1150" t="s">
        <v>38</v>
      </c>
      <c r="AC1150" s="7">
        <v>0</v>
      </c>
      <c r="AD1150" t="s">
        <v>39</v>
      </c>
      <c r="AE1150">
        <f t="shared" si="17"/>
        <v>0</v>
      </c>
    </row>
    <row r="1151" spans="1:31" x14ac:dyDescent="0.35">
      <c r="A1151">
        <v>101150</v>
      </c>
      <c r="B1151" s="3">
        <v>45974</v>
      </c>
      <c r="C1151">
        <v>1078</v>
      </c>
      <c r="D1151" t="s">
        <v>30</v>
      </c>
      <c r="E1151" t="s">
        <v>40</v>
      </c>
      <c r="F1151" t="s">
        <v>61</v>
      </c>
      <c r="G1151" t="s">
        <v>50</v>
      </c>
      <c r="H1151" t="s">
        <v>34</v>
      </c>
      <c r="I1151" t="s">
        <v>69</v>
      </c>
      <c r="J1151" s="4">
        <v>20.84</v>
      </c>
      <c r="K1151" s="4">
        <v>17.55</v>
      </c>
      <c r="L1151">
        <v>0</v>
      </c>
      <c r="M1151" s="4">
        <v>0</v>
      </c>
      <c r="N1151" s="4">
        <v>365.74</v>
      </c>
      <c r="O1151" s="4">
        <v>115.09</v>
      </c>
      <c r="P1151" s="4">
        <v>10.19</v>
      </c>
      <c r="Q1151" s="4">
        <v>1.46</v>
      </c>
      <c r="R1151" s="4">
        <v>6.85</v>
      </c>
      <c r="S1151" s="4">
        <v>0</v>
      </c>
      <c r="T1151" s="4">
        <v>0</v>
      </c>
      <c r="U1151" s="4">
        <v>133.59</v>
      </c>
      <c r="V1151" s="4">
        <v>232.15</v>
      </c>
      <c r="W1151" t="s">
        <v>21</v>
      </c>
      <c r="X1151" t="s">
        <v>36</v>
      </c>
      <c r="Y1151" s="4">
        <v>0</v>
      </c>
      <c r="Z1151" s="4">
        <v>25</v>
      </c>
      <c r="AA1151" t="s">
        <v>37</v>
      </c>
      <c r="AB1151" t="s">
        <v>44</v>
      </c>
      <c r="AC1151" s="7">
        <v>3</v>
      </c>
      <c r="AD1151" t="s">
        <v>45</v>
      </c>
      <c r="AE1151">
        <f t="shared" si="17"/>
        <v>1</v>
      </c>
    </row>
    <row r="1152" spans="1:31" x14ac:dyDescent="0.35">
      <c r="A1152">
        <v>101151</v>
      </c>
      <c r="B1152" s="3">
        <v>45990</v>
      </c>
      <c r="C1152">
        <v>1085</v>
      </c>
      <c r="D1152" t="s">
        <v>64</v>
      </c>
      <c r="E1152" t="s">
        <v>75</v>
      </c>
      <c r="F1152" t="s">
        <v>41</v>
      </c>
      <c r="G1152" t="s">
        <v>46</v>
      </c>
      <c r="H1152" t="s">
        <v>57</v>
      </c>
      <c r="I1152" t="s">
        <v>42</v>
      </c>
      <c r="J1152" s="4">
        <v>24.15</v>
      </c>
      <c r="K1152" s="4">
        <v>17.989999999999998</v>
      </c>
      <c r="L1152">
        <v>0</v>
      </c>
      <c r="M1152" s="4">
        <v>0</v>
      </c>
      <c r="N1152" s="4">
        <v>434.46</v>
      </c>
      <c r="O1152" s="4">
        <v>179.65</v>
      </c>
      <c r="P1152" s="4">
        <v>5.76</v>
      </c>
      <c r="Q1152" s="4">
        <v>6.52</v>
      </c>
      <c r="R1152" s="4">
        <v>13.26</v>
      </c>
      <c r="S1152" s="4">
        <v>412.91</v>
      </c>
      <c r="T1152" s="4">
        <v>8.3000000000000007</v>
      </c>
      <c r="U1152" s="4">
        <v>626.4</v>
      </c>
      <c r="V1152" s="4">
        <v>-191.94</v>
      </c>
      <c r="W1152" t="s">
        <v>58</v>
      </c>
      <c r="X1152" t="s">
        <v>55</v>
      </c>
      <c r="Y1152" s="4">
        <v>16</v>
      </c>
      <c r="Z1152" s="4">
        <v>2</v>
      </c>
      <c r="AA1152" t="s">
        <v>52</v>
      </c>
      <c r="AB1152" t="s">
        <v>44</v>
      </c>
      <c r="AC1152" s="7">
        <v>3</v>
      </c>
      <c r="AD1152" t="s">
        <v>45</v>
      </c>
      <c r="AE1152">
        <f t="shared" si="17"/>
        <v>1</v>
      </c>
    </row>
    <row r="1153" spans="1:31" x14ac:dyDescent="0.35">
      <c r="A1153">
        <v>101152</v>
      </c>
      <c r="B1153" s="3">
        <v>45962</v>
      </c>
      <c r="C1153">
        <v>1118</v>
      </c>
      <c r="D1153" t="s">
        <v>64</v>
      </c>
      <c r="E1153" t="s">
        <v>75</v>
      </c>
      <c r="F1153" t="s">
        <v>32</v>
      </c>
      <c r="G1153" t="s">
        <v>63</v>
      </c>
      <c r="H1153" t="s">
        <v>34</v>
      </c>
      <c r="I1153" t="s">
        <v>35</v>
      </c>
      <c r="J1153" s="4">
        <v>20.65</v>
      </c>
      <c r="K1153" s="4">
        <v>12.52</v>
      </c>
      <c r="L1153">
        <v>5</v>
      </c>
      <c r="M1153" s="4">
        <v>12.93</v>
      </c>
      <c r="N1153" s="4">
        <v>245.61</v>
      </c>
      <c r="O1153" s="4">
        <v>140.53</v>
      </c>
      <c r="P1153" s="4">
        <v>1.33</v>
      </c>
      <c r="Q1153" s="4">
        <v>1.81</v>
      </c>
      <c r="R1153" s="4">
        <v>5.97</v>
      </c>
      <c r="S1153" s="4">
        <v>0</v>
      </c>
      <c r="T1153" s="4">
        <v>0</v>
      </c>
      <c r="U1153" s="4">
        <v>149.63999999999999</v>
      </c>
      <c r="V1153" s="4">
        <v>95.97</v>
      </c>
      <c r="W1153" t="s">
        <v>21</v>
      </c>
      <c r="X1153" t="s">
        <v>36</v>
      </c>
      <c r="Y1153" s="4">
        <v>27</v>
      </c>
      <c r="Z1153" s="4">
        <v>13</v>
      </c>
      <c r="AA1153" t="s">
        <v>52</v>
      </c>
      <c r="AB1153" t="s">
        <v>44</v>
      </c>
      <c r="AC1153" s="7">
        <v>2</v>
      </c>
      <c r="AD1153" t="s">
        <v>45</v>
      </c>
      <c r="AE1153">
        <f t="shared" si="17"/>
        <v>1</v>
      </c>
    </row>
    <row r="1154" spans="1:31" x14ac:dyDescent="0.35">
      <c r="A1154">
        <v>101153</v>
      </c>
      <c r="B1154" s="3">
        <v>45932</v>
      </c>
      <c r="C1154">
        <v>1023</v>
      </c>
      <c r="D1154" t="s">
        <v>64</v>
      </c>
      <c r="E1154" t="s">
        <v>65</v>
      </c>
      <c r="F1154" t="s">
        <v>61</v>
      </c>
      <c r="G1154" t="s">
        <v>46</v>
      </c>
      <c r="H1154" t="s">
        <v>34</v>
      </c>
      <c r="I1154" t="s">
        <v>35</v>
      </c>
      <c r="J1154" s="4">
        <v>23.42</v>
      </c>
      <c r="K1154" s="4">
        <v>15.87</v>
      </c>
      <c r="L1154">
        <v>10</v>
      </c>
      <c r="M1154" s="4">
        <v>37.17</v>
      </c>
      <c r="N1154" s="4">
        <v>334.51</v>
      </c>
      <c r="O1154" s="4">
        <v>151.21</v>
      </c>
      <c r="P1154" s="4">
        <v>7.95</v>
      </c>
      <c r="Q1154" s="4">
        <v>2.6</v>
      </c>
      <c r="R1154" s="4">
        <v>3.64</v>
      </c>
      <c r="S1154" s="4">
        <v>0</v>
      </c>
      <c r="T1154" s="4">
        <v>0</v>
      </c>
      <c r="U1154" s="4">
        <v>165.4</v>
      </c>
      <c r="V1154" s="4">
        <v>169.11</v>
      </c>
      <c r="W1154" t="s">
        <v>21</v>
      </c>
      <c r="X1154" t="s">
        <v>36</v>
      </c>
      <c r="Y1154" s="4">
        <v>11</v>
      </c>
      <c r="Z1154" s="4">
        <v>10</v>
      </c>
      <c r="AA1154" t="s">
        <v>37</v>
      </c>
      <c r="AB1154" t="s">
        <v>38</v>
      </c>
      <c r="AC1154" s="7">
        <v>0</v>
      </c>
      <c r="AD1154" t="s">
        <v>39</v>
      </c>
      <c r="AE1154">
        <f t="shared" si="17"/>
        <v>0</v>
      </c>
    </row>
    <row r="1155" spans="1:31" x14ac:dyDescent="0.35">
      <c r="A1155">
        <v>101154</v>
      </c>
      <c r="B1155" s="3">
        <v>45985</v>
      </c>
      <c r="C1155">
        <v>1003</v>
      </c>
      <c r="D1155" t="s">
        <v>30</v>
      </c>
      <c r="E1155" t="s">
        <v>31</v>
      </c>
      <c r="F1155" t="s">
        <v>49</v>
      </c>
      <c r="G1155" t="s">
        <v>33</v>
      </c>
      <c r="H1155" t="s">
        <v>51</v>
      </c>
      <c r="I1155" t="s">
        <v>42</v>
      </c>
      <c r="J1155" s="4">
        <v>10.96</v>
      </c>
      <c r="K1155" s="4">
        <v>18.760000000000002</v>
      </c>
      <c r="L1155">
        <v>10</v>
      </c>
      <c r="M1155" s="4">
        <v>20.56</v>
      </c>
      <c r="N1155" s="4">
        <v>185.05</v>
      </c>
      <c r="O1155" s="4">
        <v>69.489999999999995</v>
      </c>
      <c r="P1155" s="4">
        <v>5.85</v>
      </c>
      <c r="Q1155" s="4">
        <v>3.08</v>
      </c>
      <c r="R1155" s="4">
        <v>0</v>
      </c>
      <c r="S1155" s="4">
        <v>0</v>
      </c>
      <c r="T1155" s="4">
        <v>0</v>
      </c>
      <c r="U1155" s="4">
        <v>78.42</v>
      </c>
      <c r="V1155" s="4">
        <v>106.63</v>
      </c>
      <c r="W1155" t="s">
        <v>21</v>
      </c>
      <c r="X1155" t="s">
        <v>36</v>
      </c>
      <c r="Y1155" s="4">
        <v>3</v>
      </c>
      <c r="Z1155" s="4">
        <v>10</v>
      </c>
      <c r="AA1155" t="s">
        <v>37</v>
      </c>
      <c r="AB1155" t="s">
        <v>38</v>
      </c>
      <c r="AC1155" s="7">
        <v>0</v>
      </c>
      <c r="AD1155" t="s">
        <v>39</v>
      </c>
      <c r="AE1155">
        <f t="shared" ref="AE1155:AE1218" si="18">IF(AB1155="Yes",1,0)</f>
        <v>0</v>
      </c>
    </row>
    <row r="1156" spans="1:31" x14ac:dyDescent="0.35">
      <c r="A1156">
        <v>101155</v>
      </c>
      <c r="B1156" s="3">
        <v>45980</v>
      </c>
      <c r="C1156">
        <v>1017</v>
      </c>
      <c r="D1156" t="s">
        <v>47</v>
      </c>
      <c r="E1156" t="s">
        <v>53</v>
      </c>
      <c r="F1156" t="s">
        <v>41</v>
      </c>
      <c r="G1156" t="s">
        <v>50</v>
      </c>
      <c r="H1156" t="s">
        <v>34</v>
      </c>
      <c r="I1156" t="s">
        <v>35</v>
      </c>
      <c r="J1156" s="4">
        <v>30.18</v>
      </c>
      <c r="K1156" s="4">
        <v>16.920000000000002</v>
      </c>
      <c r="L1156">
        <v>0</v>
      </c>
      <c r="M1156" s="4">
        <v>0</v>
      </c>
      <c r="N1156" s="4">
        <v>510.65</v>
      </c>
      <c r="O1156" s="4">
        <v>208.88</v>
      </c>
      <c r="P1156" s="4">
        <v>8.9700000000000006</v>
      </c>
      <c r="Q1156" s="4">
        <v>3.57</v>
      </c>
      <c r="R1156" s="4">
        <v>10.84</v>
      </c>
      <c r="S1156" s="4">
        <v>0</v>
      </c>
      <c r="T1156" s="4">
        <v>0</v>
      </c>
      <c r="U1156" s="4">
        <v>232.26</v>
      </c>
      <c r="V1156" s="4">
        <v>278.39</v>
      </c>
      <c r="W1156" t="s">
        <v>21</v>
      </c>
      <c r="X1156" t="s">
        <v>36</v>
      </c>
      <c r="Y1156" s="4">
        <v>5</v>
      </c>
      <c r="Z1156" s="4">
        <v>13</v>
      </c>
      <c r="AA1156" t="s">
        <v>37</v>
      </c>
      <c r="AB1156" t="s">
        <v>38</v>
      </c>
      <c r="AC1156" s="7">
        <v>0</v>
      </c>
      <c r="AD1156" t="s">
        <v>39</v>
      </c>
      <c r="AE1156">
        <f t="shared" si="18"/>
        <v>0</v>
      </c>
    </row>
    <row r="1157" spans="1:31" x14ac:dyDescent="0.35">
      <c r="A1157">
        <v>101156</v>
      </c>
      <c r="B1157" s="3">
        <v>46018</v>
      </c>
      <c r="C1157">
        <v>1088</v>
      </c>
      <c r="D1157" t="s">
        <v>64</v>
      </c>
      <c r="E1157" t="s">
        <v>65</v>
      </c>
      <c r="F1157" t="s">
        <v>41</v>
      </c>
      <c r="G1157" t="s">
        <v>46</v>
      </c>
      <c r="H1157" t="s">
        <v>51</v>
      </c>
      <c r="I1157" t="s">
        <v>42</v>
      </c>
      <c r="J1157" s="4">
        <v>29.87</v>
      </c>
      <c r="K1157" s="4">
        <v>15.14</v>
      </c>
      <c r="L1157">
        <v>10</v>
      </c>
      <c r="M1157" s="4">
        <v>45.22</v>
      </c>
      <c r="N1157" s="4">
        <v>407.01</v>
      </c>
      <c r="O1157" s="4">
        <v>230.38</v>
      </c>
      <c r="P1157" s="4">
        <v>10.49</v>
      </c>
      <c r="Q1157" s="4">
        <v>6.78</v>
      </c>
      <c r="R1157" s="4">
        <v>4.54</v>
      </c>
      <c r="S1157" s="4">
        <v>0</v>
      </c>
      <c r="T1157" s="4">
        <v>0</v>
      </c>
      <c r="U1157" s="4">
        <v>252.19</v>
      </c>
      <c r="V1157" s="4">
        <v>154.82</v>
      </c>
      <c r="W1157" t="s">
        <v>21</v>
      </c>
      <c r="X1157" t="s">
        <v>36</v>
      </c>
      <c r="Y1157" s="4">
        <v>34</v>
      </c>
      <c r="Z1157" s="4">
        <v>1</v>
      </c>
      <c r="AA1157" t="s">
        <v>43</v>
      </c>
      <c r="AB1157" t="s">
        <v>44</v>
      </c>
      <c r="AC1157" s="7">
        <v>1</v>
      </c>
      <c r="AD1157" t="s">
        <v>45</v>
      </c>
      <c r="AE1157">
        <f t="shared" si="18"/>
        <v>1</v>
      </c>
    </row>
    <row r="1158" spans="1:31" x14ac:dyDescent="0.35">
      <c r="A1158">
        <v>101157</v>
      </c>
      <c r="B1158" s="3">
        <v>45961</v>
      </c>
      <c r="C1158">
        <v>1084</v>
      </c>
      <c r="D1158" t="s">
        <v>30</v>
      </c>
      <c r="E1158" t="s">
        <v>31</v>
      </c>
      <c r="F1158" t="s">
        <v>41</v>
      </c>
      <c r="G1158" t="s">
        <v>63</v>
      </c>
      <c r="H1158" t="s">
        <v>34</v>
      </c>
      <c r="I1158" t="s">
        <v>42</v>
      </c>
      <c r="J1158" s="4">
        <v>13.08</v>
      </c>
      <c r="K1158" s="4">
        <v>12.52</v>
      </c>
      <c r="L1158">
        <v>15</v>
      </c>
      <c r="M1158" s="4">
        <v>24.56</v>
      </c>
      <c r="N1158" s="4">
        <v>139.19999999999999</v>
      </c>
      <c r="O1158" s="4">
        <v>92.9</v>
      </c>
      <c r="P1158" s="4">
        <v>8.18</v>
      </c>
      <c r="Q1158" s="4">
        <v>2.46</v>
      </c>
      <c r="R1158" s="4">
        <v>0</v>
      </c>
      <c r="S1158" s="4">
        <v>0</v>
      </c>
      <c r="T1158" s="4">
        <v>0</v>
      </c>
      <c r="U1158" s="4">
        <v>103.54</v>
      </c>
      <c r="V1158" s="4">
        <v>35.659999999999997</v>
      </c>
      <c r="W1158" t="s">
        <v>21</v>
      </c>
      <c r="X1158" t="s">
        <v>36</v>
      </c>
      <c r="Y1158" s="4">
        <v>20</v>
      </c>
      <c r="Z1158" s="4">
        <v>1</v>
      </c>
      <c r="AA1158" t="s">
        <v>52</v>
      </c>
      <c r="AB1158" t="s">
        <v>38</v>
      </c>
      <c r="AC1158" s="7">
        <v>0</v>
      </c>
      <c r="AD1158" t="s">
        <v>39</v>
      </c>
      <c r="AE1158">
        <f t="shared" si="18"/>
        <v>0</v>
      </c>
    </row>
    <row r="1159" spans="1:31" x14ac:dyDescent="0.35">
      <c r="A1159">
        <v>101158</v>
      </c>
      <c r="B1159" s="3">
        <v>45973</v>
      </c>
      <c r="C1159">
        <v>1076</v>
      </c>
      <c r="D1159" t="s">
        <v>64</v>
      </c>
      <c r="E1159" t="s">
        <v>67</v>
      </c>
      <c r="F1159" t="s">
        <v>61</v>
      </c>
      <c r="G1159" t="s">
        <v>63</v>
      </c>
      <c r="H1159" t="s">
        <v>34</v>
      </c>
      <c r="I1159" t="s">
        <v>35</v>
      </c>
      <c r="J1159" s="4">
        <v>20.149999999999999</v>
      </c>
      <c r="K1159" s="4">
        <v>12.15</v>
      </c>
      <c r="L1159">
        <v>0</v>
      </c>
      <c r="M1159" s="4">
        <v>0</v>
      </c>
      <c r="N1159" s="4">
        <v>244.82</v>
      </c>
      <c r="O1159" s="4">
        <v>169.88</v>
      </c>
      <c r="P1159" s="4">
        <v>9</v>
      </c>
      <c r="Q1159" s="4">
        <v>1.71</v>
      </c>
      <c r="R1159" s="4">
        <v>7.75</v>
      </c>
      <c r="S1159" s="4">
        <v>0</v>
      </c>
      <c r="T1159" s="4">
        <v>0</v>
      </c>
      <c r="U1159" s="4">
        <v>188.34</v>
      </c>
      <c r="V1159" s="4">
        <v>56.48</v>
      </c>
      <c r="W1159" t="s">
        <v>21</v>
      </c>
      <c r="X1159" t="s">
        <v>36</v>
      </c>
      <c r="Y1159" s="4">
        <v>2</v>
      </c>
      <c r="Z1159" s="4">
        <v>38</v>
      </c>
      <c r="AA1159" t="s">
        <v>37</v>
      </c>
      <c r="AB1159" t="s">
        <v>44</v>
      </c>
      <c r="AC1159" s="7">
        <v>2</v>
      </c>
      <c r="AD1159" t="s">
        <v>45</v>
      </c>
      <c r="AE1159">
        <f t="shared" si="18"/>
        <v>1</v>
      </c>
    </row>
    <row r="1160" spans="1:31" x14ac:dyDescent="0.35">
      <c r="A1160">
        <v>101159</v>
      </c>
      <c r="B1160" s="3">
        <v>46022</v>
      </c>
      <c r="C1160">
        <v>1060</v>
      </c>
      <c r="D1160" t="s">
        <v>47</v>
      </c>
      <c r="E1160" t="s">
        <v>53</v>
      </c>
      <c r="F1160" t="s">
        <v>61</v>
      </c>
      <c r="G1160" t="s">
        <v>46</v>
      </c>
      <c r="H1160" t="s">
        <v>34</v>
      </c>
      <c r="I1160" t="s">
        <v>35</v>
      </c>
      <c r="J1160" s="4">
        <v>28.65</v>
      </c>
      <c r="K1160" s="4">
        <v>15.36</v>
      </c>
      <c r="L1160">
        <v>5</v>
      </c>
      <c r="M1160" s="4">
        <v>22</v>
      </c>
      <c r="N1160" s="4">
        <v>418.06</v>
      </c>
      <c r="O1160" s="4">
        <v>173.14</v>
      </c>
      <c r="P1160" s="4">
        <v>6.19</v>
      </c>
      <c r="Q1160" s="4">
        <v>3.08</v>
      </c>
      <c r="R1160" s="4">
        <v>9.98</v>
      </c>
      <c r="S1160" s="4">
        <v>0</v>
      </c>
      <c r="T1160" s="4">
        <v>0</v>
      </c>
      <c r="U1160" s="4">
        <v>192.39</v>
      </c>
      <c r="V1160" s="4">
        <v>225.67</v>
      </c>
      <c r="W1160" t="s">
        <v>21</v>
      </c>
      <c r="X1160" t="s">
        <v>36</v>
      </c>
      <c r="Y1160" s="4">
        <v>0</v>
      </c>
      <c r="Z1160" s="4">
        <v>2</v>
      </c>
      <c r="AA1160" t="s">
        <v>37</v>
      </c>
      <c r="AB1160" t="s">
        <v>38</v>
      </c>
      <c r="AC1160" s="7">
        <v>0</v>
      </c>
      <c r="AD1160" t="s">
        <v>39</v>
      </c>
      <c r="AE1160">
        <f t="shared" si="18"/>
        <v>0</v>
      </c>
    </row>
    <row r="1161" spans="1:31" x14ac:dyDescent="0.35">
      <c r="A1161">
        <v>101160</v>
      </c>
      <c r="B1161" s="3">
        <v>45937</v>
      </c>
      <c r="C1161">
        <v>1106</v>
      </c>
      <c r="D1161" t="s">
        <v>47</v>
      </c>
      <c r="E1161" t="s">
        <v>48</v>
      </c>
      <c r="F1161" t="s">
        <v>71</v>
      </c>
      <c r="G1161" t="s">
        <v>33</v>
      </c>
      <c r="H1161" t="s">
        <v>34</v>
      </c>
      <c r="I1161" t="s">
        <v>69</v>
      </c>
      <c r="J1161" s="4">
        <v>25.59</v>
      </c>
      <c r="K1161" s="4">
        <v>19.04</v>
      </c>
      <c r="L1161">
        <v>5</v>
      </c>
      <c r="M1161" s="4">
        <v>24.36</v>
      </c>
      <c r="N1161" s="4">
        <v>462.87</v>
      </c>
      <c r="O1161" s="4">
        <v>185.12</v>
      </c>
      <c r="P1161" s="4">
        <v>7.93</v>
      </c>
      <c r="Q1161" s="4">
        <v>1.95</v>
      </c>
      <c r="R1161" s="4">
        <v>2.95</v>
      </c>
      <c r="S1161" s="4">
        <v>0</v>
      </c>
      <c r="T1161" s="4">
        <v>0</v>
      </c>
      <c r="U1161" s="4">
        <v>197.95</v>
      </c>
      <c r="V1161" s="4">
        <v>264.92</v>
      </c>
      <c r="W1161" t="s">
        <v>21</v>
      </c>
      <c r="X1161" t="s">
        <v>36</v>
      </c>
      <c r="Y1161" s="4">
        <v>3</v>
      </c>
      <c r="Z1161" s="4">
        <v>4</v>
      </c>
      <c r="AA1161" t="s">
        <v>37</v>
      </c>
      <c r="AB1161" t="s">
        <v>38</v>
      </c>
      <c r="AC1161" s="7">
        <v>0</v>
      </c>
      <c r="AD1161" t="s">
        <v>39</v>
      </c>
      <c r="AE1161">
        <f t="shared" si="18"/>
        <v>0</v>
      </c>
    </row>
    <row r="1162" spans="1:31" x14ac:dyDescent="0.35">
      <c r="A1162">
        <v>101161</v>
      </c>
      <c r="B1162" s="3">
        <v>45961</v>
      </c>
      <c r="C1162">
        <v>1112</v>
      </c>
      <c r="D1162" t="s">
        <v>47</v>
      </c>
      <c r="E1162" t="s">
        <v>74</v>
      </c>
      <c r="F1162" t="s">
        <v>61</v>
      </c>
      <c r="G1162" t="s">
        <v>63</v>
      </c>
      <c r="H1162" t="s">
        <v>51</v>
      </c>
      <c r="I1162" t="s">
        <v>42</v>
      </c>
      <c r="J1162" s="4">
        <v>13.56</v>
      </c>
      <c r="K1162" s="4">
        <v>12.93</v>
      </c>
      <c r="L1162">
        <v>20</v>
      </c>
      <c r="M1162" s="4">
        <v>35.07</v>
      </c>
      <c r="N1162" s="4">
        <v>140.26</v>
      </c>
      <c r="O1162" s="4">
        <v>116.98</v>
      </c>
      <c r="P1162" s="4">
        <v>7.41</v>
      </c>
      <c r="Q1162" s="4">
        <v>2.63</v>
      </c>
      <c r="R1162" s="4">
        <v>6.82</v>
      </c>
      <c r="S1162" s="4">
        <v>0</v>
      </c>
      <c r="T1162" s="4">
        <v>0</v>
      </c>
      <c r="U1162" s="4">
        <v>133.84</v>
      </c>
      <c r="V1162" s="4">
        <v>6.42</v>
      </c>
      <c r="W1162" t="s">
        <v>21</v>
      </c>
      <c r="X1162" t="s">
        <v>36</v>
      </c>
      <c r="Y1162" s="4">
        <v>24</v>
      </c>
      <c r="Z1162" s="4">
        <v>0</v>
      </c>
      <c r="AA1162" t="s">
        <v>52</v>
      </c>
      <c r="AB1162" t="s">
        <v>44</v>
      </c>
      <c r="AC1162" s="7">
        <v>3</v>
      </c>
      <c r="AD1162" t="s">
        <v>45</v>
      </c>
      <c r="AE1162">
        <f t="shared" si="18"/>
        <v>1</v>
      </c>
    </row>
    <row r="1163" spans="1:31" x14ac:dyDescent="0.35">
      <c r="A1163">
        <v>101162</v>
      </c>
      <c r="B1163" s="3">
        <v>46019</v>
      </c>
      <c r="C1163">
        <v>1083</v>
      </c>
      <c r="D1163" t="s">
        <v>59</v>
      </c>
      <c r="E1163" t="s">
        <v>60</v>
      </c>
      <c r="F1163" t="s">
        <v>41</v>
      </c>
      <c r="G1163" t="s">
        <v>33</v>
      </c>
      <c r="H1163" t="s">
        <v>57</v>
      </c>
      <c r="I1163" t="s">
        <v>35</v>
      </c>
      <c r="J1163" s="4">
        <v>13.02</v>
      </c>
      <c r="K1163" s="4">
        <v>19.37</v>
      </c>
      <c r="L1163">
        <v>20</v>
      </c>
      <c r="M1163" s="4">
        <v>50.44</v>
      </c>
      <c r="N1163" s="4">
        <v>201.76</v>
      </c>
      <c r="O1163" s="4">
        <v>91.48</v>
      </c>
      <c r="P1163" s="4">
        <v>8.77</v>
      </c>
      <c r="Q1163" s="4">
        <v>1.77</v>
      </c>
      <c r="R1163" s="4">
        <v>11.2</v>
      </c>
      <c r="S1163" s="4">
        <v>0</v>
      </c>
      <c r="T1163" s="4">
        <v>0</v>
      </c>
      <c r="U1163" s="4">
        <v>113.22</v>
      </c>
      <c r="V1163" s="4">
        <v>88.54</v>
      </c>
      <c r="W1163" t="s">
        <v>21</v>
      </c>
      <c r="X1163" t="s">
        <v>36</v>
      </c>
      <c r="Y1163" s="4">
        <v>17</v>
      </c>
      <c r="Z1163" s="4">
        <v>2</v>
      </c>
      <c r="AA1163" t="s">
        <v>52</v>
      </c>
      <c r="AB1163" t="s">
        <v>38</v>
      </c>
      <c r="AC1163" s="7">
        <v>0</v>
      </c>
      <c r="AD1163" t="s">
        <v>39</v>
      </c>
      <c r="AE1163">
        <f t="shared" si="18"/>
        <v>0</v>
      </c>
    </row>
    <row r="1164" spans="1:31" x14ac:dyDescent="0.35">
      <c r="A1164">
        <v>101163</v>
      </c>
      <c r="B1164" s="3">
        <v>45950</v>
      </c>
      <c r="C1164">
        <v>1150</v>
      </c>
      <c r="D1164" t="s">
        <v>64</v>
      </c>
      <c r="E1164" t="s">
        <v>75</v>
      </c>
      <c r="F1164" t="s">
        <v>71</v>
      </c>
      <c r="G1164" t="s">
        <v>63</v>
      </c>
      <c r="H1164" t="s">
        <v>34</v>
      </c>
      <c r="I1164" t="s">
        <v>42</v>
      </c>
      <c r="J1164" s="4">
        <v>19.420000000000002</v>
      </c>
      <c r="K1164" s="4">
        <v>12.42</v>
      </c>
      <c r="L1164">
        <v>5</v>
      </c>
      <c r="M1164" s="4">
        <v>12.06</v>
      </c>
      <c r="N1164" s="4">
        <v>229.14</v>
      </c>
      <c r="O1164" s="4">
        <v>126.04</v>
      </c>
      <c r="P1164" s="4">
        <v>8.82</v>
      </c>
      <c r="Q1164" s="4">
        <v>3.62</v>
      </c>
      <c r="R1164" s="4">
        <v>1.3</v>
      </c>
      <c r="S1164" s="4">
        <v>0</v>
      </c>
      <c r="T1164" s="4">
        <v>0</v>
      </c>
      <c r="U1164" s="4">
        <v>139.78</v>
      </c>
      <c r="V1164" s="4">
        <v>89.36</v>
      </c>
      <c r="W1164" t="s">
        <v>21</v>
      </c>
      <c r="X1164" t="s">
        <v>36</v>
      </c>
      <c r="Y1164" s="4">
        <v>2</v>
      </c>
      <c r="Z1164" s="4">
        <v>9</v>
      </c>
      <c r="AA1164" t="s">
        <v>37</v>
      </c>
      <c r="AB1164" t="s">
        <v>38</v>
      </c>
      <c r="AC1164" s="7">
        <v>0</v>
      </c>
      <c r="AD1164" t="s">
        <v>39</v>
      </c>
      <c r="AE1164">
        <f t="shared" si="18"/>
        <v>0</v>
      </c>
    </row>
    <row r="1165" spans="1:31" x14ac:dyDescent="0.35">
      <c r="A1165">
        <v>101164</v>
      </c>
      <c r="B1165" s="3">
        <v>45977</v>
      </c>
      <c r="C1165">
        <v>1095</v>
      </c>
      <c r="D1165" t="s">
        <v>47</v>
      </c>
      <c r="E1165" t="s">
        <v>74</v>
      </c>
      <c r="F1165" t="s">
        <v>41</v>
      </c>
      <c r="G1165" t="s">
        <v>46</v>
      </c>
      <c r="H1165" t="s">
        <v>57</v>
      </c>
      <c r="I1165" t="s">
        <v>54</v>
      </c>
      <c r="J1165" s="4">
        <v>26.88</v>
      </c>
      <c r="K1165" s="4">
        <v>15.93</v>
      </c>
      <c r="L1165">
        <v>15</v>
      </c>
      <c r="M1165" s="4">
        <v>64.23</v>
      </c>
      <c r="N1165" s="4">
        <v>363.97</v>
      </c>
      <c r="O1165" s="4">
        <v>161.36000000000001</v>
      </c>
      <c r="P1165" s="4">
        <v>9.98</v>
      </c>
      <c r="Q1165" s="4">
        <v>5.14</v>
      </c>
      <c r="R1165" s="4">
        <v>1.07</v>
      </c>
      <c r="S1165" s="4">
        <v>0</v>
      </c>
      <c r="T1165" s="4">
        <v>0</v>
      </c>
      <c r="U1165" s="4">
        <v>177.55</v>
      </c>
      <c r="V1165" s="4">
        <v>186.42</v>
      </c>
      <c r="W1165" t="s">
        <v>21</v>
      </c>
      <c r="X1165" t="s">
        <v>36</v>
      </c>
      <c r="Y1165" s="4">
        <v>7</v>
      </c>
      <c r="Z1165" s="4">
        <v>12</v>
      </c>
      <c r="AA1165" t="s">
        <v>37</v>
      </c>
      <c r="AB1165" t="s">
        <v>38</v>
      </c>
      <c r="AC1165" s="7">
        <v>0</v>
      </c>
      <c r="AD1165" t="s">
        <v>39</v>
      </c>
      <c r="AE1165">
        <f t="shared" si="18"/>
        <v>0</v>
      </c>
    </row>
    <row r="1166" spans="1:31" x14ac:dyDescent="0.35">
      <c r="A1166">
        <v>101165</v>
      </c>
      <c r="B1166" s="3">
        <v>45993</v>
      </c>
      <c r="C1166">
        <v>1050</v>
      </c>
      <c r="D1166" t="s">
        <v>64</v>
      </c>
      <c r="E1166" t="s">
        <v>75</v>
      </c>
      <c r="F1166" t="s">
        <v>61</v>
      </c>
      <c r="G1166" t="s">
        <v>46</v>
      </c>
      <c r="H1166" t="s">
        <v>34</v>
      </c>
      <c r="I1166" t="s">
        <v>35</v>
      </c>
      <c r="J1166" s="4">
        <v>38.950000000000003</v>
      </c>
      <c r="K1166" s="4">
        <v>16.29</v>
      </c>
      <c r="L1166">
        <v>10</v>
      </c>
      <c r="M1166" s="4">
        <v>63.45</v>
      </c>
      <c r="N1166" s="4">
        <v>571.04999999999995</v>
      </c>
      <c r="O1166" s="4">
        <v>269.75</v>
      </c>
      <c r="P1166" s="4">
        <v>7.17</v>
      </c>
      <c r="Q1166" s="4">
        <v>4.4400000000000004</v>
      </c>
      <c r="R1166" s="4">
        <v>4.6500000000000004</v>
      </c>
      <c r="S1166" s="4">
        <v>272.17</v>
      </c>
      <c r="T1166" s="4">
        <v>0</v>
      </c>
      <c r="U1166" s="4">
        <v>558.17999999999995</v>
      </c>
      <c r="V1166" s="4">
        <v>12.87</v>
      </c>
      <c r="W1166" t="s">
        <v>21</v>
      </c>
      <c r="X1166" t="s">
        <v>66</v>
      </c>
      <c r="Y1166" s="4">
        <v>12</v>
      </c>
      <c r="Z1166" s="4">
        <v>7</v>
      </c>
      <c r="AA1166" t="s">
        <v>37</v>
      </c>
      <c r="AB1166" t="s">
        <v>38</v>
      </c>
      <c r="AC1166" s="7">
        <v>4</v>
      </c>
      <c r="AD1166" t="s">
        <v>45</v>
      </c>
      <c r="AE1166">
        <f t="shared" si="18"/>
        <v>0</v>
      </c>
    </row>
    <row r="1167" spans="1:31" x14ac:dyDescent="0.35">
      <c r="A1167">
        <v>101166</v>
      </c>
      <c r="B1167" s="3">
        <v>45944</v>
      </c>
      <c r="C1167">
        <v>1034</v>
      </c>
      <c r="D1167" t="s">
        <v>30</v>
      </c>
      <c r="E1167" t="s">
        <v>72</v>
      </c>
      <c r="F1167" t="s">
        <v>41</v>
      </c>
      <c r="G1167" t="s">
        <v>33</v>
      </c>
      <c r="H1167" t="s">
        <v>34</v>
      </c>
      <c r="I1167" t="s">
        <v>35</v>
      </c>
      <c r="J1167" s="4">
        <v>27.51</v>
      </c>
      <c r="K1167" s="4">
        <v>18.55</v>
      </c>
      <c r="L1167">
        <v>0</v>
      </c>
      <c r="M1167" s="4">
        <v>0</v>
      </c>
      <c r="N1167" s="4">
        <v>510.31</v>
      </c>
      <c r="O1167" s="4">
        <v>230.48</v>
      </c>
      <c r="P1167" s="4">
        <v>7.51</v>
      </c>
      <c r="Q1167" s="4">
        <v>3.57</v>
      </c>
      <c r="R1167" s="4">
        <v>9.6300000000000008</v>
      </c>
      <c r="S1167" s="4">
        <v>0</v>
      </c>
      <c r="T1167" s="4">
        <v>0</v>
      </c>
      <c r="U1167" s="4">
        <v>251.19</v>
      </c>
      <c r="V1167" s="4">
        <v>259.12</v>
      </c>
      <c r="W1167" t="s">
        <v>21</v>
      </c>
      <c r="X1167" t="s">
        <v>36</v>
      </c>
      <c r="Y1167" s="4">
        <v>36</v>
      </c>
      <c r="Z1167" s="4">
        <v>2</v>
      </c>
      <c r="AA1167" t="s">
        <v>43</v>
      </c>
      <c r="AB1167" t="s">
        <v>44</v>
      </c>
      <c r="AC1167" s="7">
        <v>3</v>
      </c>
      <c r="AD1167" t="s">
        <v>45</v>
      </c>
      <c r="AE1167">
        <f t="shared" si="18"/>
        <v>1</v>
      </c>
    </row>
    <row r="1168" spans="1:31" x14ac:dyDescent="0.35">
      <c r="A1168">
        <v>101167</v>
      </c>
      <c r="B1168" s="3">
        <v>46003</v>
      </c>
      <c r="C1168">
        <v>1118</v>
      </c>
      <c r="D1168" t="s">
        <v>59</v>
      </c>
      <c r="E1168" t="s">
        <v>70</v>
      </c>
      <c r="F1168" t="s">
        <v>41</v>
      </c>
      <c r="G1168" t="s">
        <v>63</v>
      </c>
      <c r="H1168" t="s">
        <v>34</v>
      </c>
      <c r="I1168" t="s">
        <v>35</v>
      </c>
      <c r="J1168" s="4">
        <v>16.059999999999999</v>
      </c>
      <c r="K1168" s="4">
        <v>11.88</v>
      </c>
      <c r="L1168">
        <v>0</v>
      </c>
      <c r="M1168" s="4">
        <v>0</v>
      </c>
      <c r="N1168" s="4">
        <v>190.79</v>
      </c>
      <c r="O1168" s="4">
        <v>101.62</v>
      </c>
      <c r="P1168" s="4">
        <v>10.34</v>
      </c>
      <c r="Q1168" s="4">
        <v>1.34</v>
      </c>
      <c r="R1168" s="4">
        <v>2.79</v>
      </c>
      <c r="S1168" s="4">
        <v>0</v>
      </c>
      <c r="T1168" s="4">
        <v>0</v>
      </c>
      <c r="U1168" s="4">
        <v>116.09</v>
      </c>
      <c r="V1168" s="4">
        <v>74.7</v>
      </c>
      <c r="W1168" t="s">
        <v>21</v>
      </c>
      <c r="X1168" t="s">
        <v>36</v>
      </c>
      <c r="Y1168" s="4">
        <v>29</v>
      </c>
      <c r="Z1168" s="4">
        <v>19</v>
      </c>
      <c r="AA1168" t="s">
        <v>52</v>
      </c>
      <c r="AB1168" t="s">
        <v>44</v>
      </c>
      <c r="AC1168" s="7">
        <v>3</v>
      </c>
      <c r="AD1168" t="s">
        <v>45</v>
      </c>
      <c r="AE1168">
        <f t="shared" si="18"/>
        <v>1</v>
      </c>
    </row>
    <row r="1169" spans="1:31" x14ac:dyDescent="0.35">
      <c r="A1169">
        <v>101168</v>
      </c>
      <c r="B1169" s="3">
        <v>45957</v>
      </c>
      <c r="C1169">
        <v>1073</v>
      </c>
      <c r="D1169" t="s">
        <v>47</v>
      </c>
      <c r="E1169" t="s">
        <v>56</v>
      </c>
      <c r="F1169" t="s">
        <v>61</v>
      </c>
      <c r="G1169" t="s">
        <v>50</v>
      </c>
      <c r="H1169" t="s">
        <v>34</v>
      </c>
      <c r="I1169" t="s">
        <v>35</v>
      </c>
      <c r="J1169" s="4">
        <v>16.760000000000002</v>
      </c>
      <c r="K1169" s="4">
        <v>17.38</v>
      </c>
      <c r="L1169">
        <v>0</v>
      </c>
      <c r="M1169" s="4">
        <v>0</v>
      </c>
      <c r="N1169" s="4">
        <v>291.29000000000002</v>
      </c>
      <c r="O1169" s="4">
        <v>102.68</v>
      </c>
      <c r="P1169" s="4">
        <v>7.54</v>
      </c>
      <c r="Q1169" s="4">
        <v>2.04</v>
      </c>
      <c r="R1169" s="4">
        <v>8.69</v>
      </c>
      <c r="S1169" s="4">
        <v>0</v>
      </c>
      <c r="T1169" s="4">
        <v>0</v>
      </c>
      <c r="U1169" s="4">
        <v>120.95</v>
      </c>
      <c r="V1169" s="4">
        <v>170.34</v>
      </c>
      <c r="W1169" t="s">
        <v>21</v>
      </c>
      <c r="X1169" t="s">
        <v>36</v>
      </c>
      <c r="Y1169" s="4">
        <v>29</v>
      </c>
      <c r="Z1169" s="4">
        <v>2</v>
      </c>
      <c r="AA1169" t="s">
        <v>52</v>
      </c>
      <c r="AB1169" t="s">
        <v>44</v>
      </c>
      <c r="AC1169" s="7">
        <v>3</v>
      </c>
      <c r="AD1169" t="s">
        <v>45</v>
      </c>
      <c r="AE1169">
        <f t="shared" si="18"/>
        <v>1</v>
      </c>
    </row>
    <row r="1170" spans="1:31" x14ac:dyDescent="0.35">
      <c r="A1170">
        <v>101169</v>
      </c>
      <c r="B1170" s="3">
        <v>45957</v>
      </c>
      <c r="C1170">
        <v>1046</v>
      </c>
      <c r="D1170" t="s">
        <v>47</v>
      </c>
      <c r="E1170" t="s">
        <v>74</v>
      </c>
      <c r="F1170" t="s">
        <v>61</v>
      </c>
      <c r="G1170" t="s">
        <v>46</v>
      </c>
      <c r="H1170" t="s">
        <v>34</v>
      </c>
      <c r="I1170" t="s">
        <v>35</v>
      </c>
      <c r="J1170" s="4">
        <v>15.11</v>
      </c>
      <c r="K1170" s="4">
        <v>16.68</v>
      </c>
      <c r="L1170">
        <v>0</v>
      </c>
      <c r="M1170" s="4">
        <v>0</v>
      </c>
      <c r="N1170" s="4">
        <v>252.03</v>
      </c>
      <c r="O1170" s="4">
        <v>111.07</v>
      </c>
      <c r="P1170" s="4">
        <v>6.79</v>
      </c>
      <c r="Q1170" s="4">
        <v>1.76</v>
      </c>
      <c r="R1170" s="4">
        <v>0</v>
      </c>
      <c r="S1170" s="4">
        <v>0</v>
      </c>
      <c r="T1170" s="4">
        <v>0</v>
      </c>
      <c r="U1170" s="4">
        <v>119.62</v>
      </c>
      <c r="V1170" s="4">
        <v>132.41</v>
      </c>
      <c r="W1170" t="s">
        <v>21</v>
      </c>
      <c r="X1170" t="s">
        <v>36</v>
      </c>
      <c r="Y1170" s="4">
        <v>10</v>
      </c>
      <c r="Z1170" s="4">
        <v>9</v>
      </c>
      <c r="AA1170" t="s">
        <v>37</v>
      </c>
      <c r="AB1170" t="s">
        <v>38</v>
      </c>
      <c r="AC1170" s="7">
        <v>0</v>
      </c>
      <c r="AD1170" t="s">
        <v>39</v>
      </c>
      <c r="AE1170">
        <f t="shared" si="18"/>
        <v>0</v>
      </c>
    </row>
    <row r="1171" spans="1:31" x14ac:dyDescent="0.35">
      <c r="A1171">
        <v>101170</v>
      </c>
      <c r="B1171" s="3">
        <v>45999</v>
      </c>
      <c r="C1171">
        <v>1080</v>
      </c>
      <c r="D1171" t="s">
        <v>47</v>
      </c>
      <c r="E1171" t="s">
        <v>56</v>
      </c>
      <c r="F1171" t="s">
        <v>71</v>
      </c>
      <c r="G1171" t="s">
        <v>50</v>
      </c>
      <c r="H1171" t="s">
        <v>34</v>
      </c>
      <c r="I1171" t="s">
        <v>54</v>
      </c>
      <c r="J1171" s="4">
        <v>25.46</v>
      </c>
      <c r="K1171" s="4">
        <v>18.53</v>
      </c>
      <c r="L1171">
        <v>5</v>
      </c>
      <c r="M1171" s="4">
        <v>23.59</v>
      </c>
      <c r="N1171" s="4">
        <v>448.18</v>
      </c>
      <c r="O1171" s="4">
        <v>176.97</v>
      </c>
      <c r="P1171" s="4">
        <v>11.35</v>
      </c>
      <c r="Q1171" s="4">
        <v>5.66</v>
      </c>
      <c r="R1171" s="4">
        <v>6.19</v>
      </c>
      <c r="S1171" s="4">
        <v>0</v>
      </c>
      <c r="T1171" s="4">
        <v>0</v>
      </c>
      <c r="U1171" s="4">
        <v>200.17</v>
      </c>
      <c r="V1171" s="4">
        <v>248.01</v>
      </c>
      <c r="W1171" t="s">
        <v>21</v>
      </c>
      <c r="X1171" t="s">
        <v>36</v>
      </c>
      <c r="Y1171" s="4">
        <v>1</v>
      </c>
      <c r="Z1171" s="4">
        <v>12</v>
      </c>
      <c r="AA1171" t="s">
        <v>37</v>
      </c>
      <c r="AB1171" t="s">
        <v>38</v>
      </c>
      <c r="AC1171" s="7">
        <v>0</v>
      </c>
      <c r="AD1171" t="s">
        <v>39</v>
      </c>
      <c r="AE1171">
        <f t="shared" si="18"/>
        <v>0</v>
      </c>
    </row>
    <row r="1172" spans="1:31" x14ac:dyDescent="0.35">
      <c r="A1172">
        <v>101171</v>
      </c>
      <c r="B1172" s="3">
        <v>45983</v>
      </c>
      <c r="C1172">
        <v>1145</v>
      </c>
      <c r="D1172" t="s">
        <v>59</v>
      </c>
      <c r="E1172" t="s">
        <v>68</v>
      </c>
      <c r="F1172" t="s">
        <v>49</v>
      </c>
      <c r="G1172" t="s">
        <v>50</v>
      </c>
      <c r="H1172" t="s">
        <v>51</v>
      </c>
      <c r="I1172" t="s">
        <v>35</v>
      </c>
      <c r="J1172" s="4">
        <v>23.17</v>
      </c>
      <c r="K1172" s="4">
        <v>18.47</v>
      </c>
      <c r="L1172">
        <v>0</v>
      </c>
      <c r="M1172" s="4">
        <v>0</v>
      </c>
      <c r="N1172" s="4">
        <v>427.95</v>
      </c>
      <c r="O1172" s="4">
        <v>169.44</v>
      </c>
      <c r="P1172" s="4">
        <v>7.98</v>
      </c>
      <c r="Q1172" s="4">
        <v>3</v>
      </c>
      <c r="R1172" s="4">
        <v>1.51</v>
      </c>
      <c r="S1172" s="4">
        <v>0</v>
      </c>
      <c r="T1172" s="4">
        <v>0</v>
      </c>
      <c r="U1172" s="4">
        <v>181.93</v>
      </c>
      <c r="V1172" s="4">
        <v>246.02</v>
      </c>
      <c r="W1172" t="s">
        <v>21</v>
      </c>
      <c r="X1172" t="s">
        <v>36</v>
      </c>
      <c r="Y1172" s="4">
        <v>36</v>
      </c>
      <c r="Z1172" s="4">
        <v>6</v>
      </c>
      <c r="AA1172" t="s">
        <v>43</v>
      </c>
      <c r="AB1172" t="s">
        <v>44</v>
      </c>
      <c r="AC1172" s="7">
        <v>1</v>
      </c>
      <c r="AD1172" t="s">
        <v>45</v>
      </c>
      <c r="AE1172">
        <f t="shared" si="18"/>
        <v>1</v>
      </c>
    </row>
    <row r="1173" spans="1:31" x14ac:dyDescent="0.35">
      <c r="A1173">
        <v>101172</v>
      </c>
      <c r="B1173" s="3">
        <v>46005</v>
      </c>
      <c r="C1173">
        <v>1138</v>
      </c>
      <c r="D1173" t="s">
        <v>64</v>
      </c>
      <c r="E1173" t="s">
        <v>67</v>
      </c>
      <c r="F1173" t="s">
        <v>71</v>
      </c>
      <c r="G1173" t="s">
        <v>33</v>
      </c>
      <c r="H1173" t="s">
        <v>51</v>
      </c>
      <c r="I1173" t="s">
        <v>35</v>
      </c>
      <c r="J1173" s="4">
        <v>31.36</v>
      </c>
      <c r="K1173" s="4">
        <v>19.34</v>
      </c>
      <c r="L1173">
        <v>10</v>
      </c>
      <c r="M1173" s="4">
        <v>60.65</v>
      </c>
      <c r="N1173" s="4">
        <v>545.85</v>
      </c>
      <c r="O1173" s="4">
        <v>231.33</v>
      </c>
      <c r="P1173" s="4">
        <v>7.75</v>
      </c>
      <c r="Q1173" s="4">
        <v>4.25</v>
      </c>
      <c r="R1173" s="4">
        <v>8.49</v>
      </c>
      <c r="S1173" s="4">
        <v>0</v>
      </c>
      <c r="T1173" s="4">
        <v>0</v>
      </c>
      <c r="U1173" s="4">
        <v>251.82</v>
      </c>
      <c r="V1173" s="4">
        <v>294.02999999999997</v>
      </c>
      <c r="W1173" t="s">
        <v>21</v>
      </c>
      <c r="X1173" t="s">
        <v>36</v>
      </c>
      <c r="Y1173" s="4">
        <v>21</v>
      </c>
      <c r="Z1173" s="4">
        <v>5</v>
      </c>
      <c r="AA1173" t="s">
        <v>52</v>
      </c>
      <c r="AB1173" t="s">
        <v>44</v>
      </c>
      <c r="AC1173" s="7">
        <v>1</v>
      </c>
      <c r="AD1173" t="s">
        <v>45</v>
      </c>
      <c r="AE1173">
        <f t="shared" si="18"/>
        <v>1</v>
      </c>
    </row>
    <row r="1174" spans="1:31" x14ac:dyDescent="0.35">
      <c r="A1174">
        <v>101173</v>
      </c>
      <c r="B1174" s="3">
        <v>45971</v>
      </c>
      <c r="C1174">
        <v>1036</v>
      </c>
      <c r="D1174" t="s">
        <v>64</v>
      </c>
      <c r="E1174" t="s">
        <v>76</v>
      </c>
      <c r="F1174" t="s">
        <v>61</v>
      </c>
      <c r="G1174" t="s">
        <v>63</v>
      </c>
      <c r="H1174" t="s">
        <v>34</v>
      </c>
      <c r="I1174" t="s">
        <v>35</v>
      </c>
      <c r="J1174" s="4">
        <v>25.32</v>
      </c>
      <c r="K1174" s="4">
        <v>13.31</v>
      </c>
      <c r="L1174">
        <v>0</v>
      </c>
      <c r="M1174" s="4">
        <v>0</v>
      </c>
      <c r="N1174" s="4">
        <v>337.01</v>
      </c>
      <c r="O1174" s="4">
        <v>175.46</v>
      </c>
      <c r="P1174" s="4">
        <v>9.17</v>
      </c>
      <c r="Q1174" s="4">
        <v>2.36</v>
      </c>
      <c r="R1174" s="4">
        <v>9.24</v>
      </c>
      <c r="S1174" s="4">
        <v>181.18</v>
      </c>
      <c r="T1174" s="4">
        <v>0</v>
      </c>
      <c r="U1174" s="4">
        <v>377.41</v>
      </c>
      <c r="V1174" s="4">
        <v>-40.4</v>
      </c>
      <c r="W1174" t="s">
        <v>58</v>
      </c>
      <c r="X1174" t="s">
        <v>55</v>
      </c>
      <c r="Y1174" s="4">
        <v>1</v>
      </c>
      <c r="Z1174" s="4">
        <v>12</v>
      </c>
      <c r="AA1174" t="s">
        <v>37</v>
      </c>
      <c r="AB1174" t="s">
        <v>44</v>
      </c>
      <c r="AC1174" s="7">
        <v>1</v>
      </c>
      <c r="AD1174" t="s">
        <v>45</v>
      </c>
      <c r="AE1174">
        <f t="shared" si="18"/>
        <v>1</v>
      </c>
    </row>
    <row r="1175" spans="1:31" x14ac:dyDescent="0.35">
      <c r="A1175">
        <v>101174</v>
      </c>
      <c r="B1175" s="3">
        <v>45968</v>
      </c>
      <c r="C1175">
        <v>1096</v>
      </c>
      <c r="D1175" t="s">
        <v>64</v>
      </c>
      <c r="E1175" t="s">
        <v>76</v>
      </c>
      <c r="F1175" t="s">
        <v>32</v>
      </c>
      <c r="G1175" t="s">
        <v>63</v>
      </c>
      <c r="H1175" t="s">
        <v>34</v>
      </c>
      <c r="I1175" t="s">
        <v>35</v>
      </c>
      <c r="J1175" s="4">
        <v>22.2</v>
      </c>
      <c r="K1175" s="4">
        <v>12.73</v>
      </c>
      <c r="L1175">
        <v>5</v>
      </c>
      <c r="M1175" s="4">
        <v>14.13</v>
      </c>
      <c r="N1175" s="4">
        <v>268.48</v>
      </c>
      <c r="O1175" s="4">
        <v>163.06</v>
      </c>
      <c r="P1175" s="4">
        <v>5.18</v>
      </c>
      <c r="Q1175" s="4">
        <v>1.98</v>
      </c>
      <c r="R1175" s="4">
        <v>5.71</v>
      </c>
      <c r="S1175" s="4">
        <v>259.94</v>
      </c>
      <c r="T1175" s="4">
        <v>0</v>
      </c>
      <c r="U1175" s="4">
        <v>435.87</v>
      </c>
      <c r="V1175" s="4">
        <v>-167.39</v>
      </c>
      <c r="W1175" t="s">
        <v>58</v>
      </c>
      <c r="X1175" t="s">
        <v>66</v>
      </c>
      <c r="Y1175" s="4">
        <v>7</v>
      </c>
      <c r="Z1175" s="4">
        <v>0</v>
      </c>
      <c r="AA1175" t="s">
        <v>37</v>
      </c>
      <c r="AB1175" t="s">
        <v>38</v>
      </c>
      <c r="AC1175" s="7">
        <v>2</v>
      </c>
      <c r="AD1175" t="s">
        <v>45</v>
      </c>
      <c r="AE1175">
        <f t="shared" si="18"/>
        <v>0</v>
      </c>
    </row>
    <row r="1176" spans="1:31" x14ac:dyDescent="0.35">
      <c r="A1176">
        <v>101175</v>
      </c>
      <c r="B1176" s="3">
        <v>45990</v>
      </c>
      <c r="C1176">
        <v>1127</v>
      </c>
      <c r="D1176" t="s">
        <v>47</v>
      </c>
      <c r="E1176" t="s">
        <v>56</v>
      </c>
      <c r="F1176" t="s">
        <v>41</v>
      </c>
      <c r="G1176" t="s">
        <v>63</v>
      </c>
      <c r="H1176" t="s">
        <v>57</v>
      </c>
      <c r="I1176" t="s">
        <v>35</v>
      </c>
      <c r="J1176" s="4">
        <v>20.6</v>
      </c>
      <c r="K1176" s="4">
        <v>14.43</v>
      </c>
      <c r="L1176">
        <v>15</v>
      </c>
      <c r="M1176" s="4">
        <v>44.59</v>
      </c>
      <c r="N1176" s="4">
        <v>252.67</v>
      </c>
      <c r="O1176" s="4">
        <v>108.27</v>
      </c>
      <c r="P1176" s="4">
        <v>15.63</v>
      </c>
      <c r="Q1176" s="4">
        <v>2.08</v>
      </c>
      <c r="R1176" s="4">
        <v>11.33</v>
      </c>
      <c r="S1176" s="4">
        <v>0</v>
      </c>
      <c r="T1176" s="4">
        <v>0</v>
      </c>
      <c r="U1176" s="4">
        <v>137.31</v>
      </c>
      <c r="V1176" s="4">
        <v>115.36</v>
      </c>
      <c r="W1176" t="s">
        <v>21</v>
      </c>
      <c r="X1176" t="s">
        <v>36</v>
      </c>
      <c r="Y1176" s="4">
        <v>1</v>
      </c>
      <c r="Z1176" s="4">
        <v>32</v>
      </c>
      <c r="AA1176" t="s">
        <v>37</v>
      </c>
      <c r="AB1176" t="s">
        <v>44</v>
      </c>
      <c r="AC1176" s="7">
        <v>1</v>
      </c>
      <c r="AD1176" t="s">
        <v>45</v>
      </c>
      <c r="AE1176">
        <f t="shared" si="18"/>
        <v>1</v>
      </c>
    </row>
    <row r="1177" spans="1:31" x14ac:dyDescent="0.35">
      <c r="A1177">
        <v>101176</v>
      </c>
      <c r="B1177" s="3">
        <v>45977</v>
      </c>
      <c r="C1177">
        <v>1077</v>
      </c>
      <c r="D1177" t="s">
        <v>59</v>
      </c>
      <c r="E1177" t="s">
        <v>70</v>
      </c>
      <c r="F1177" t="s">
        <v>41</v>
      </c>
      <c r="G1177" t="s">
        <v>50</v>
      </c>
      <c r="H1177" t="s">
        <v>34</v>
      </c>
      <c r="I1177" t="s">
        <v>35</v>
      </c>
      <c r="J1177" s="4">
        <v>21.41</v>
      </c>
      <c r="K1177" s="4">
        <v>18.13</v>
      </c>
      <c r="L1177">
        <v>5</v>
      </c>
      <c r="M1177" s="4">
        <v>19.41</v>
      </c>
      <c r="N1177" s="4">
        <v>368.75</v>
      </c>
      <c r="O1177" s="4">
        <v>145.33000000000001</v>
      </c>
      <c r="P1177" s="4">
        <v>10.26</v>
      </c>
      <c r="Q1177" s="4">
        <v>2.72</v>
      </c>
      <c r="R1177" s="4">
        <v>3.15</v>
      </c>
      <c r="S1177" s="4">
        <v>275.05</v>
      </c>
      <c r="T1177" s="4">
        <v>0</v>
      </c>
      <c r="U1177" s="4">
        <v>436.51</v>
      </c>
      <c r="V1177" s="4">
        <v>-67.760000000000005</v>
      </c>
      <c r="W1177" t="s">
        <v>58</v>
      </c>
      <c r="X1177" t="s">
        <v>55</v>
      </c>
      <c r="Y1177" s="4">
        <v>15</v>
      </c>
      <c r="Z1177" s="4">
        <v>5</v>
      </c>
      <c r="AA1177" t="s">
        <v>37</v>
      </c>
      <c r="AB1177" t="s">
        <v>44</v>
      </c>
      <c r="AC1177" s="7">
        <v>1</v>
      </c>
      <c r="AD1177" t="s">
        <v>45</v>
      </c>
      <c r="AE1177">
        <f t="shared" si="18"/>
        <v>1</v>
      </c>
    </row>
    <row r="1178" spans="1:31" x14ac:dyDescent="0.35">
      <c r="A1178">
        <v>101177</v>
      </c>
      <c r="B1178" s="3">
        <v>45940</v>
      </c>
      <c r="C1178">
        <v>1018</v>
      </c>
      <c r="D1178" t="s">
        <v>64</v>
      </c>
      <c r="E1178" t="s">
        <v>75</v>
      </c>
      <c r="F1178" t="s">
        <v>41</v>
      </c>
      <c r="G1178" t="s">
        <v>50</v>
      </c>
      <c r="H1178" t="s">
        <v>51</v>
      </c>
      <c r="I1178" t="s">
        <v>54</v>
      </c>
      <c r="J1178" s="4">
        <v>24.46</v>
      </c>
      <c r="K1178" s="4">
        <v>17.45</v>
      </c>
      <c r="L1178">
        <v>0</v>
      </c>
      <c r="M1178" s="4">
        <v>0</v>
      </c>
      <c r="N1178" s="4">
        <v>426.83</v>
      </c>
      <c r="O1178" s="4">
        <v>188.17</v>
      </c>
      <c r="P1178" s="4">
        <v>11.08</v>
      </c>
      <c r="Q1178" s="4">
        <v>5.12</v>
      </c>
      <c r="R1178" s="4">
        <v>4.55</v>
      </c>
      <c r="S1178" s="4">
        <v>0</v>
      </c>
      <c r="T1178" s="4">
        <v>0</v>
      </c>
      <c r="U1178" s="4">
        <v>208.92</v>
      </c>
      <c r="V1178" s="4">
        <v>217.91</v>
      </c>
      <c r="W1178" t="s">
        <v>21</v>
      </c>
      <c r="X1178" t="s">
        <v>36</v>
      </c>
      <c r="Y1178" s="4">
        <v>1</v>
      </c>
      <c r="Z1178" s="4">
        <v>2</v>
      </c>
      <c r="AA1178" t="s">
        <v>37</v>
      </c>
      <c r="AB1178" t="s">
        <v>38</v>
      </c>
      <c r="AC1178" s="7">
        <v>0</v>
      </c>
      <c r="AD1178" t="s">
        <v>39</v>
      </c>
      <c r="AE1178">
        <f t="shared" si="18"/>
        <v>0</v>
      </c>
    </row>
    <row r="1179" spans="1:31" x14ac:dyDescent="0.35">
      <c r="A1179">
        <v>101178</v>
      </c>
      <c r="B1179" s="3">
        <v>45952</v>
      </c>
      <c r="C1179">
        <v>1066</v>
      </c>
      <c r="D1179" t="s">
        <v>64</v>
      </c>
      <c r="E1179" t="s">
        <v>76</v>
      </c>
      <c r="F1179" t="s">
        <v>71</v>
      </c>
      <c r="G1179" t="s">
        <v>63</v>
      </c>
      <c r="H1179" t="s">
        <v>34</v>
      </c>
      <c r="I1179" t="s">
        <v>35</v>
      </c>
      <c r="J1179" s="4">
        <v>14.67</v>
      </c>
      <c r="K1179" s="4">
        <v>11.54</v>
      </c>
      <c r="L1179">
        <v>15</v>
      </c>
      <c r="M1179" s="4">
        <v>25.39</v>
      </c>
      <c r="N1179" s="4">
        <v>143.9</v>
      </c>
      <c r="O1179" s="4">
        <v>102.22</v>
      </c>
      <c r="P1179" s="4">
        <v>13.89</v>
      </c>
      <c r="Q1179" s="4">
        <v>1.19</v>
      </c>
      <c r="R1179" s="4">
        <v>6.94</v>
      </c>
      <c r="S1179" s="4">
        <v>0</v>
      </c>
      <c r="T1179" s="4">
        <v>0</v>
      </c>
      <c r="U1179" s="4">
        <v>124.24</v>
      </c>
      <c r="V1179" s="4">
        <v>19.66</v>
      </c>
      <c r="W1179" t="s">
        <v>21</v>
      </c>
      <c r="X1179" t="s">
        <v>36</v>
      </c>
      <c r="Y1179" s="4">
        <v>13</v>
      </c>
      <c r="Z1179" s="4">
        <v>0</v>
      </c>
      <c r="AA1179" t="s">
        <v>37</v>
      </c>
      <c r="AB1179" t="s">
        <v>38</v>
      </c>
      <c r="AC1179" s="7">
        <v>0</v>
      </c>
      <c r="AD1179" t="s">
        <v>39</v>
      </c>
      <c r="AE1179">
        <f t="shared" si="18"/>
        <v>0</v>
      </c>
    </row>
    <row r="1180" spans="1:31" x14ac:dyDescent="0.35">
      <c r="A1180">
        <v>101179</v>
      </c>
      <c r="B1180" s="3">
        <v>46002</v>
      </c>
      <c r="C1180">
        <v>1139</v>
      </c>
      <c r="D1180" t="s">
        <v>30</v>
      </c>
      <c r="E1180" t="s">
        <v>40</v>
      </c>
      <c r="F1180" t="s">
        <v>41</v>
      </c>
      <c r="G1180" t="s">
        <v>46</v>
      </c>
      <c r="H1180" t="s">
        <v>34</v>
      </c>
      <c r="I1180" t="s">
        <v>35</v>
      </c>
      <c r="J1180" s="4">
        <v>37.119999999999997</v>
      </c>
      <c r="K1180" s="4">
        <v>16.760000000000002</v>
      </c>
      <c r="L1180">
        <v>0</v>
      </c>
      <c r="M1180" s="4">
        <v>0</v>
      </c>
      <c r="N1180" s="4">
        <v>622.13</v>
      </c>
      <c r="O1180" s="4">
        <v>273.04000000000002</v>
      </c>
      <c r="P1180" s="4">
        <v>7.43</v>
      </c>
      <c r="Q1180" s="4">
        <v>4.3499999999999996</v>
      </c>
      <c r="R1180" s="4">
        <v>4.5599999999999996</v>
      </c>
      <c r="S1180" s="4">
        <v>0</v>
      </c>
      <c r="T1180" s="4">
        <v>0</v>
      </c>
      <c r="U1180" s="4">
        <v>289.38</v>
      </c>
      <c r="V1180" s="4">
        <v>332.75</v>
      </c>
      <c r="W1180" t="s">
        <v>21</v>
      </c>
      <c r="X1180" t="s">
        <v>36</v>
      </c>
      <c r="Y1180" s="4">
        <v>21</v>
      </c>
      <c r="Z1180" s="4">
        <v>12</v>
      </c>
      <c r="AA1180" t="s">
        <v>52</v>
      </c>
      <c r="AB1180" t="s">
        <v>44</v>
      </c>
      <c r="AC1180" s="7">
        <v>1</v>
      </c>
      <c r="AD1180" t="s">
        <v>45</v>
      </c>
      <c r="AE1180">
        <f t="shared" si="18"/>
        <v>1</v>
      </c>
    </row>
    <row r="1181" spans="1:31" x14ac:dyDescent="0.35">
      <c r="A1181">
        <v>101180</v>
      </c>
      <c r="B1181" s="3">
        <v>45968</v>
      </c>
      <c r="C1181">
        <v>1002</v>
      </c>
      <c r="D1181" t="s">
        <v>59</v>
      </c>
      <c r="E1181" t="s">
        <v>68</v>
      </c>
      <c r="F1181" t="s">
        <v>49</v>
      </c>
      <c r="G1181" t="s">
        <v>63</v>
      </c>
      <c r="H1181" t="s">
        <v>34</v>
      </c>
      <c r="I1181" t="s">
        <v>69</v>
      </c>
      <c r="J1181" s="4">
        <v>16.86</v>
      </c>
      <c r="K1181" s="4">
        <v>12.88</v>
      </c>
      <c r="L1181">
        <v>10</v>
      </c>
      <c r="M1181" s="4">
        <v>21.72</v>
      </c>
      <c r="N1181" s="4">
        <v>195.44</v>
      </c>
      <c r="O1181" s="4">
        <v>122.44</v>
      </c>
      <c r="P1181" s="4">
        <v>10.28</v>
      </c>
      <c r="Q1181" s="4">
        <v>0.87</v>
      </c>
      <c r="R1181" s="4">
        <v>4.67</v>
      </c>
      <c r="S1181" s="4">
        <v>191.24</v>
      </c>
      <c r="T1181" s="4">
        <v>0</v>
      </c>
      <c r="U1181" s="4">
        <v>329.5</v>
      </c>
      <c r="V1181" s="4">
        <v>-134.06</v>
      </c>
      <c r="W1181" t="s">
        <v>58</v>
      </c>
      <c r="X1181" t="s">
        <v>55</v>
      </c>
      <c r="Y1181" s="4">
        <v>17</v>
      </c>
      <c r="Z1181" s="4">
        <v>4</v>
      </c>
      <c r="AA1181" t="s">
        <v>52</v>
      </c>
      <c r="AB1181" t="s">
        <v>44</v>
      </c>
      <c r="AC1181" s="7">
        <v>3</v>
      </c>
      <c r="AD1181" t="s">
        <v>45</v>
      </c>
      <c r="AE1181">
        <f t="shared" si="18"/>
        <v>1</v>
      </c>
    </row>
    <row r="1182" spans="1:31" x14ac:dyDescent="0.35">
      <c r="A1182">
        <v>101181</v>
      </c>
      <c r="B1182" s="3">
        <v>45965</v>
      </c>
      <c r="C1182">
        <v>1001</v>
      </c>
      <c r="D1182" t="s">
        <v>30</v>
      </c>
      <c r="E1182" t="s">
        <v>72</v>
      </c>
      <c r="F1182" t="s">
        <v>71</v>
      </c>
      <c r="G1182" t="s">
        <v>33</v>
      </c>
      <c r="H1182" t="s">
        <v>57</v>
      </c>
      <c r="I1182" t="s">
        <v>35</v>
      </c>
      <c r="J1182" s="4">
        <v>22.33</v>
      </c>
      <c r="K1182" s="4">
        <v>19.22</v>
      </c>
      <c r="L1182">
        <v>10</v>
      </c>
      <c r="M1182" s="4">
        <v>42.92</v>
      </c>
      <c r="N1182" s="4">
        <v>386.26</v>
      </c>
      <c r="O1182" s="4">
        <v>168.84</v>
      </c>
      <c r="P1182" s="4">
        <v>8.84</v>
      </c>
      <c r="Q1182" s="4">
        <v>3</v>
      </c>
      <c r="R1182" s="4">
        <v>7.57</v>
      </c>
      <c r="S1182" s="4">
        <v>0</v>
      </c>
      <c r="T1182" s="4">
        <v>0</v>
      </c>
      <c r="U1182" s="4">
        <v>188.25</v>
      </c>
      <c r="V1182" s="4">
        <v>198.01</v>
      </c>
      <c r="W1182" t="s">
        <v>21</v>
      </c>
      <c r="X1182" t="s">
        <v>36</v>
      </c>
      <c r="Y1182" s="4">
        <v>1</v>
      </c>
      <c r="Z1182" s="4">
        <v>1</v>
      </c>
      <c r="AA1182" t="s">
        <v>37</v>
      </c>
      <c r="AB1182" t="s">
        <v>38</v>
      </c>
      <c r="AC1182" s="7">
        <v>0</v>
      </c>
      <c r="AD1182" t="s">
        <v>39</v>
      </c>
      <c r="AE1182">
        <f t="shared" si="18"/>
        <v>0</v>
      </c>
    </row>
    <row r="1183" spans="1:31" x14ac:dyDescent="0.35">
      <c r="A1183">
        <v>101182</v>
      </c>
      <c r="B1183" s="3">
        <v>45975</v>
      </c>
      <c r="C1183">
        <v>1130</v>
      </c>
      <c r="D1183" t="s">
        <v>64</v>
      </c>
      <c r="E1183" t="s">
        <v>76</v>
      </c>
      <c r="F1183" t="s">
        <v>49</v>
      </c>
      <c r="G1183" t="s">
        <v>63</v>
      </c>
      <c r="H1183" t="s">
        <v>57</v>
      </c>
      <c r="I1183" t="s">
        <v>35</v>
      </c>
      <c r="J1183" s="4">
        <v>13.27</v>
      </c>
      <c r="K1183" s="4">
        <v>13.01</v>
      </c>
      <c r="L1183">
        <v>5</v>
      </c>
      <c r="M1183" s="4">
        <v>8.6300000000000008</v>
      </c>
      <c r="N1183" s="4">
        <v>164.01</v>
      </c>
      <c r="O1183" s="4">
        <v>97.09</v>
      </c>
      <c r="P1183" s="4">
        <v>13.5</v>
      </c>
      <c r="Q1183" s="4">
        <v>1.21</v>
      </c>
      <c r="R1183" s="4">
        <v>8.51</v>
      </c>
      <c r="S1183" s="4">
        <v>0</v>
      </c>
      <c r="T1183" s="4">
        <v>0</v>
      </c>
      <c r="U1183" s="4">
        <v>120.31</v>
      </c>
      <c r="V1183" s="4">
        <v>43.7</v>
      </c>
      <c r="W1183" t="s">
        <v>21</v>
      </c>
      <c r="X1183" t="s">
        <v>36</v>
      </c>
      <c r="Y1183" s="4">
        <v>1</v>
      </c>
      <c r="Z1183" s="4">
        <v>18</v>
      </c>
      <c r="AA1183" t="s">
        <v>37</v>
      </c>
      <c r="AB1183" t="s">
        <v>44</v>
      </c>
      <c r="AC1183" s="7">
        <v>1</v>
      </c>
      <c r="AD1183" t="s">
        <v>45</v>
      </c>
      <c r="AE1183">
        <f t="shared" si="18"/>
        <v>1</v>
      </c>
    </row>
    <row r="1184" spans="1:31" x14ac:dyDescent="0.35">
      <c r="A1184">
        <v>101183</v>
      </c>
      <c r="B1184" s="3">
        <v>45996</v>
      </c>
      <c r="C1184">
        <v>1049</v>
      </c>
      <c r="D1184" t="s">
        <v>64</v>
      </c>
      <c r="E1184" t="s">
        <v>65</v>
      </c>
      <c r="F1184" t="s">
        <v>32</v>
      </c>
      <c r="G1184" t="s">
        <v>33</v>
      </c>
      <c r="H1184" t="s">
        <v>57</v>
      </c>
      <c r="I1184" t="s">
        <v>69</v>
      </c>
      <c r="J1184" s="4">
        <v>29.01</v>
      </c>
      <c r="K1184" s="4">
        <v>19.149999999999999</v>
      </c>
      <c r="L1184">
        <v>5</v>
      </c>
      <c r="M1184" s="4">
        <v>27.78</v>
      </c>
      <c r="N1184" s="4">
        <v>527.76</v>
      </c>
      <c r="O1184" s="4">
        <v>186.84</v>
      </c>
      <c r="P1184" s="4">
        <v>13.08</v>
      </c>
      <c r="Q1184" s="4">
        <v>2.2200000000000002</v>
      </c>
      <c r="R1184" s="4">
        <v>0</v>
      </c>
      <c r="S1184" s="4">
        <v>0</v>
      </c>
      <c r="T1184" s="4">
        <v>0</v>
      </c>
      <c r="U1184" s="4">
        <v>202.14</v>
      </c>
      <c r="V1184" s="4">
        <v>325.62</v>
      </c>
      <c r="W1184" t="s">
        <v>21</v>
      </c>
      <c r="X1184" t="s">
        <v>36</v>
      </c>
      <c r="Y1184" s="4">
        <v>16</v>
      </c>
      <c r="Z1184" s="4">
        <v>8</v>
      </c>
      <c r="AA1184" t="s">
        <v>52</v>
      </c>
      <c r="AB1184" t="s">
        <v>38</v>
      </c>
      <c r="AC1184" s="7">
        <v>0</v>
      </c>
      <c r="AD1184" t="s">
        <v>39</v>
      </c>
      <c r="AE1184">
        <f t="shared" si="18"/>
        <v>0</v>
      </c>
    </row>
    <row r="1185" spans="1:31" x14ac:dyDescent="0.35">
      <c r="A1185">
        <v>101184</v>
      </c>
      <c r="B1185" s="3">
        <v>46011</v>
      </c>
      <c r="C1185">
        <v>1113</v>
      </c>
      <c r="D1185" t="s">
        <v>47</v>
      </c>
      <c r="E1185" t="s">
        <v>48</v>
      </c>
      <c r="F1185" t="s">
        <v>61</v>
      </c>
      <c r="G1185" t="s">
        <v>63</v>
      </c>
      <c r="H1185" t="s">
        <v>34</v>
      </c>
      <c r="I1185" t="s">
        <v>35</v>
      </c>
      <c r="J1185" s="4">
        <v>22.64</v>
      </c>
      <c r="K1185" s="4">
        <v>12.35</v>
      </c>
      <c r="L1185">
        <v>10</v>
      </c>
      <c r="M1185" s="4">
        <v>27.96</v>
      </c>
      <c r="N1185" s="4">
        <v>251.64</v>
      </c>
      <c r="O1185" s="4">
        <v>143.53</v>
      </c>
      <c r="P1185" s="4">
        <v>7.83</v>
      </c>
      <c r="Q1185" s="4">
        <v>1.96</v>
      </c>
      <c r="R1185" s="4">
        <v>7.15</v>
      </c>
      <c r="S1185" s="4">
        <v>0</v>
      </c>
      <c r="T1185" s="4">
        <v>0</v>
      </c>
      <c r="U1185" s="4">
        <v>160.47</v>
      </c>
      <c r="V1185" s="4">
        <v>91.17</v>
      </c>
      <c r="W1185" t="s">
        <v>21</v>
      </c>
      <c r="X1185" t="s">
        <v>36</v>
      </c>
      <c r="Y1185" s="4">
        <v>5</v>
      </c>
      <c r="Z1185" s="4">
        <v>3</v>
      </c>
      <c r="AA1185" t="s">
        <v>37</v>
      </c>
      <c r="AB1185" t="s">
        <v>38</v>
      </c>
      <c r="AC1185" s="7">
        <v>0</v>
      </c>
      <c r="AD1185" t="s">
        <v>39</v>
      </c>
      <c r="AE1185">
        <f t="shared" si="18"/>
        <v>0</v>
      </c>
    </row>
    <row r="1186" spans="1:31" x14ac:dyDescent="0.35">
      <c r="A1186">
        <v>101185</v>
      </c>
      <c r="B1186" s="3">
        <v>45972</v>
      </c>
      <c r="C1186">
        <v>1070</v>
      </c>
      <c r="D1186" t="s">
        <v>59</v>
      </c>
      <c r="E1186" t="s">
        <v>70</v>
      </c>
      <c r="F1186" t="s">
        <v>49</v>
      </c>
      <c r="G1186" t="s">
        <v>46</v>
      </c>
      <c r="H1186" t="s">
        <v>34</v>
      </c>
      <c r="I1186" t="s">
        <v>35</v>
      </c>
      <c r="J1186" s="4">
        <v>37.72</v>
      </c>
      <c r="K1186" s="4">
        <v>14.07</v>
      </c>
      <c r="L1186">
        <v>0</v>
      </c>
      <c r="M1186" s="4">
        <v>0</v>
      </c>
      <c r="N1186" s="4">
        <v>530.72</v>
      </c>
      <c r="O1186" s="4">
        <v>289.79000000000002</v>
      </c>
      <c r="P1186" s="4">
        <v>8.6999999999999993</v>
      </c>
      <c r="Q1186" s="4">
        <v>3.72</v>
      </c>
      <c r="R1186" s="4">
        <v>9.49</v>
      </c>
      <c r="S1186" s="4">
        <v>0</v>
      </c>
      <c r="T1186" s="4">
        <v>0</v>
      </c>
      <c r="U1186" s="4">
        <v>311.7</v>
      </c>
      <c r="V1186" s="4">
        <v>219.02</v>
      </c>
      <c r="W1186" t="s">
        <v>21</v>
      </c>
      <c r="X1186" t="s">
        <v>36</v>
      </c>
      <c r="Y1186" s="4">
        <v>5</v>
      </c>
      <c r="Z1186" s="4">
        <v>18</v>
      </c>
      <c r="AA1186" t="s">
        <v>37</v>
      </c>
      <c r="AB1186" t="s">
        <v>44</v>
      </c>
      <c r="AC1186" s="7">
        <v>1</v>
      </c>
      <c r="AD1186" t="s">
        <v>45</v>
      </c>
      <c r="AE1186">
        <f t="shared" si="18"/>
        <v>1</v>
      </c>
    </row>
    <row r="1187" spans="1:31" x14ac:dyDescent="0.35">
      <c r="A1187">
        <v>101186</v>
      </c>
      <c r="B1187" s="3">
        <v>45963</v>
      </c>
      <c r="C1187">
        <v>1143</v>
      </c>
      <c r="D1187" t="s">
        <v>47</v>
      </c>
      <c r="E1187" t="s">
        <v>74</v>
      </c>
      <c r="F1187" t="s">
        <v>41</v>
      </c>
      <c r="G1187" t="s">
        <v>50</v>
      </c>
      <c r="H1187" t="s">
        <v>57</v>
      </c>
      <c r="I1187" t="s">
        <v>42</v>
      </c>
      <c r="J1187" s="4">
        <v>31.6</v>
      </c>
      <c r="K1187" s="4">
        <v>18.64</v>
      </c>
      <c r="L1187">
        <v>15</v>
      </c>
      <c r="M1187" s="4">
        <v>88.35</v>
      </c>
      <c r="N1187" s="4">
        <v>500.67</v>
      </c>
      <c r="O1187" s="4">
        <v>171.05</v>
      </c>
      <c r="P1187" s="4">
        <v>13.07</v>
      </c>
      <c r="Q1187" s="4">
        <v>8.84</v>
      </c>
      <c r="R1187" s="4">
        <v>11.78</v>
      </c>
      <c r="S1187" s="4">
        <v>0</v>
      </c>
      <c r="T1187" s="4">
        <v>0</v>
      </c>
      <c r="U1187" s="4">
        <v>204.74</v>
      </c>
      <c r="V1187" s="4">
        <v>295.93</v>
      </c>
      <c r="W1187" t="s">
        <v>21</v>
      </c>
      <c r="X1187" t="s">
        <v>36</v>
      </c>
      <c r="Y1187" s="4">
        <v>20</v>
      </c>
      <c r="Z1187" s="4">
        <v>23</v>
      </c>
      <c r="AA1187" t="s">
        <v>52</v>
      </c>
      <c r="AB1187" t="s">
        <v>44</v>
      </c>
      <c r="AC1187" s="7">
        <v>2</v>
      </c>
      <c r="AD1187" t="s">
        <v>45</v>
      </c>
      <c r="AE1187">
        <f t="shared" si="18"/>
        <v>1</v>
      </c>
    </row>
    <row r="1188" spans="1:31" x14ac:dyDescent="0.35">
      <c r="A1188">
        <v>101187</v>
      </c>
      <c r="B1188" s="3">
        <v>45945</v>
      </c>
      <c r="C1188">
        <v>1099</v>
      </c>
      <c r="D1188" t="s">
        <v>30</v>
      </c>
      <c r="E1188" t="s">
        <v>62</v>
      </c>
      <c r="F1188" t="s">
        <v>71</v>
      </c>
      <c r="G1188" t="s">
        <v>63</v>
      </c>
      <c r="H1188" t="s">
        <v>57</v>
      </c>
      <c r="I1188" t="s">
        <v>42</v>
      </c>
      <c r="J1188" s="4">
        <v>20.309999999999999</v>
      </c>
      <c r="K1188" s="4">
        <v>12.84</v>
      </c>
      <c r="L1188">
        <v>20</v>
      </c>
      <c r="M1188" s="4">
        <v>52.16</v>
      </c>
      <c r="N1188" s="4">
        <v>208.62</v>
      </c>
      <c r="O1188" s="4">
        <v>130.87</v>
      </c>
      <c r="P1188" s="4">
        <v>7.17</v>
      </c>
      <c r="Q1188" s="4">
        <v>3.91</v>
      </c>
      <c r="R1188" s="4">
        <v>5.66</v>
      </c>
      <c r="S1188" s="4">
        <v>0</v>
      </c>
      <c r="T1188" s="4">
        <v>0</v>
      </c>
      <c r="U1188" s="4">
        <v>147.61000000000001</v>
      </c>
      <c r="V1188" s="4">
        <v>61.01</v>
      </c>
      <c r="W1188" t="s">
        <v>21</v>
      </c>
      <c r="X1188" t="s">
        <v>36</v>
      </c>
      <c r="Y1188" s="4">
        <v>18</v>
      </c>
      <c r="Z1188" s="4">
        <v>7</v>
      </c>
      <c r="AA1188" t="s">
        <v>52</v>
      </c>
      <c r="AB1188" t="s">
        <v>38</v>
      </c>
      <c r="AC1188" s="7">
        <v>0</v>
      </c>
      <c r="AD1188" t="s">
        <v>39</v>
      </c>
      <c r="AE1188">
        <f t="shared" si="18"/>
        <v>0</v>
      </c>
    </row>
    <row r="1189" spans="1:31" x14ac:dyDescent="0.35">
      <c r="A1189">
        <v>101188</v>
      </c>
      <c r="B1189" s="3">
        <v>46022</v>
      </c>
      <c r="C1189">
        <v>1030</v>
      </c>
      <c r="D1189" t="s">
        <v>47</v>
      </c>
      <c r="E1189" t="s">
        <v>56</v>
      </c>
      <c r="F1189" t="s">
        <v>61</v>
      </c>
      <c r="G1189" t="s">
        <v>50</v>
      </c>
      <c r="H1189" t="s">
        <v>51</v>
      </c>
      <c r="I1189" t="s">
        <v>54</v>
      </c>
      <c r="J1189" s="4">
        <v>20.440000000000001</v>
      </c>
      <c r="K1189" s="4">
        <v>17.46</v>
      </c>
      <c r="L1189">
        <v>5</v>
      </c>
      <c r="M1189" s="4">
        <v>17.84</v>
      </c>
      <c r="N1189" s="4">
        <v>339.04</v>
      </c>
      <c r="O1189" s="4">
        <v>134.49</v>
      </c>
      <c r="P1189" s="4">
        <v>9.01</v>
      </c>
      <c r="Q1189" s="4">
        <v>4.28</v>
      </c>
      <c r="R1189" s="4">
        <v>1.59</v>
      </c>
      <c r="S1189" s="4">
        <v>0</v>
      </c>
      <c r="T1189" s="4">
        <v>0</v>
      </c>
      <c r="U1189" s="4">
        <v>149.37</v>
      </c>
      <c r="V1189" s="4">
        <v>189.67</v>
      </c>
      <c r="W1189" t="s">
        <v>21</v>
      </c>
      <c r="X1189" t="s">
        <v>36</v>
      </c>
      <c r="Y1189" s="4">
        <v>7</v>
      </c>
      <c r="Z1189" s="4">
        <v>5</v>
      </c>
      <c r="AA1189" t="s">
        <v>37</v>
      </c>
      <c r="AB1189" t="s">
        <v>38</v>
      </c>
      <c r="AC1189" s="7">
        <v>0</v>
      </c>
      <c r="AD1189" t="s">
        <v>39</v>
      </c>
      <c r="AE1189">
        <f t="shared" si="18"/>
        <v>0</v>
      </c>
    </row>
    <row r="1190" spans="1:31" x14ac:dyDescent="0.35">
      <c r="A1190">
        <v>101189</v>
      </c>
      <c r="B1190" s="3">
        <v>45955</v>
      </c>
      <c r="C1190">
        <v>1018</v>
      </c>
      <c r="D1190" t="s">
        <v>30</v>
      </c>
      <c r="E1190" t="s">
        <v>62</v>
      </c>
      <c r="F1190" t="s">
        <v>41</v>
      </c>
      <c r="G1190" t="s">
        <v>63</v>
      </c>
      <c r="H1190" t="s">
        <v>51</v>
      </c>
      <c r="I1190" t="s">
        <v>54</v>
      </c>
      <c r="J1190" s="4">
        <v>28.19</v>
      </c>
      <c r="K1190" s="4">
        <v>13.04</v>
      </c>
      <c r="L1190">
        <v>0</v>
      </c>
      <c r="M1190" s="4">
        <v>0</v>
      </c>
      <c r="N1190" s="4">
        <v>367.6</v>
      </c>
      <c r="O1190" s="4">
        <v>241.15</v>
      </c>
      <c r="P1190" s="4">
        <v>12.12</v>
      </c>
      <c r="Q1190" s="4">
        <v>4.41</v>
      </c>
      <c r="R1190" s="4">
        <v>5.16</v>
      </c>
      <c r="S1190" s="4">
        <v>0</v>
      </c>
      <c r="T1190" s="4">
        <v>0</v>
      </c>
      <c r="U1190" s="4">
        <v>262.83999999999997</v>
      </c>
      <c r="V1190" s="4">
        <v>104.76</v>
      </c>
      <c r="W1190" t="s">
        <v>21</v>
      </c>
      <c r="X1190" t="s">
        <v>36</v>
      </c>
      <c r="Y1190" s="4">
        <v>2</v>
      </c>
      <c r="Z1190" s="4">
        <v>0</v>
      </c>
      <c r="AA1190" t="s">
        <v>37</v>
      </c>
      <c r="AB1190" t="s">
        <v>38</v>
      </c>
      <c r="AC1190" s="7">
        <v>0</v>
      </c>
      <c r="AD1190" t="s">
        <v>39</v>
      </c>
      <c r="AE1190">
        <f t="shared" si="18"/>
        <v>0</v>
      </c>
    </row>
    <row r="1191" spans="1:31" x14ac:dyDescent="0.35">
      <c r="A1191">
        <v>101190</v>
      </c>
      <c r="B1191" s="3">
        <v>45987</v>
      </c>
      <c r="C1191">
        <v>1086</v>
      </c>
      <c r="D1191" t="s">
        <v>64</v>
      </c>
      <c r="E1191" t="s">
        <v>75</v>
      </c>
      <c r="F1191" t="s">
        <v>49</v>
      </c>
      <c r="G1191" t="s">
        <v>46</v>
      </c>
      <c r="H1191" t="s">
        <v>34</v>
      </c>
      <c r="I1191" t="s">
        <v>35</v>
      </c>
      <c r="J1191" s="4">
        <v>37.56</v>
      </c>
      <c r="K1191" s="4">
        <v>15.17</v>
      </c>
      <c r="L1191">
        <v>0</v>
      </c>
      <c r="M1191" s="4">
        <v>0</v>
      </c>
      <c r="N1191" s="4">
        <v>569.79</v>
      </c>
      <c r="O1191" s="4">
        <v>267.07</v>
      </c>
      <c r="P1191" s="4">
        <v>7.92</v>
      </c>
      <c r="Q1191" s="4">
        <v>3.99</v>
      </c>
      <c r="R1191" s="4">
        <v>4.4000000000000004</v>
      </c>
      <c r="S1191" s="4">
        <v>384.17</v>
      </c>
      <c r="T1191" s="4">
        <v>0</v>
      </c>
      <c r="U1191" s="4">
        <v>667.55</v>
      </c>
      <c r="V1191" s="4">
        <v>-97.76</v>
      </c>
      <c r="W1191" t="s">
        <v>58</v>
      </c>
      <c r="X1191" t="s">
        <v>55</v>
      </c>
      <c r="Y1191" s="4">
        <v>0</v>
      </c>
      <c r="Z1191" s="4">
        <v>0</v>
      </c>
      <c r="AA1191" t="s">
        <v>37</v>
      </c>
      <c r="AB1191" t="s">
        <v>44</v>
      </c>
      <c r="AC1191" s="7">
        <v>1</v>
      </c>
      <c r="AD1191" t="s">
        <v>45</v>
      </c>
      <c r="AE1191">
        <f t="shared" si="18"/>
        <v>1</v>
      </c>
    </row>
    <row r="1192" spans="1:31" x14ac:dyDescent="0.35">
      <c r="A1192">
        <v>101191</v>
      </c>
      <c r="B1192" s="3">
        <v>46018</v>
      </c>
      <c r="C1192">
        <v>1003</v>
      </c>
      <c r="D1192" t="s">
        <v>59</v>
      </c>
      <c r="E1192" t="s">
        <v>68</v>
      </c>
      <c r="F1192" t="s">
        <v>32</v>
      </c>
      <c r="G1192" t="s">
        <v>46</v>
      </c>
      <c r="H1192" t="s">
        <v>57</v>
      </c>
      <c r="I1192" t="s">
        <v>35</v>
      </c>
      <c r="J1192" s="4">
        <v>20.55</v>
      </c>
      <c r="K1192" s="4">
        <v>16.670000000000002</v>
      </c>
      <c r="L1192">
        <v>15</v>
      </c>
      <c r="M1192" s="4">
        <v>51.39</v>
      </c>
      <c r="N1192" s="4">
        <v>291.18</v>
      </c>
      <c r="O1192" s="4">
        <v>147.22</v>
      </c>
      <c r="P1192" s="4">
        <v>7.51</v>
      </c>
      <c r="Q1192" s="4">
        <v>2.4</v>
      </c>
      <c r="R1192" s="4">
        <v>9.39</v>
      </c>
      <c r="S1192" s="4">
        <v>201.78</v>
      </c>
      <c r="T1192" s="4">
        <v>19.440000000000001</v>
      </c>
      <c r="U1192" s="4">
        <v>387.74</v>
      </c>
      <c r="V1192" s="4">
        <v>-96.56</v>
      </c>
      <c r="W1192" t="s">
        <v>58</v>
      </c>
      <c r="X1192" t="s">
        <v>66</v>
      </c>
      <c r="Y1192" s="4">
        <v>1</v>
      </c>
      <c r="Z1192" s="4">
        <v>3</v>
      </c>
      <c r="AA1192" t="s">
        <v>37</v>
      </c>
      <c r="AB1192" t="s">
        <v>38</v>
      </c>
      <c r="AC1192" s="7">
        <v>1</v>
      </c>
      <c r="AD1192" t="s">
        <v>45</v>
      </c>
      <c r="AE1192">
        <f t="shared" si="18"/>
        <v>0</v>
      </c>
    </row>
    <row r="1193" spans="1:31" x14ac:dyDescent="0.35">
      <c r="A1193">
        <v>101192</v>
      </c>
      <c r="B1193" s="3">
        <v>45937</v>
      </c>
      <c r="C1193">
        <v>1081</v>
      </c>
      <c r="D1193" t="s">
        <v>47</v>
      </c>
      <c r="E1193" t="s">
        <v>53</v>
      </c>
      <c r="F1193" t="s">
        <v>49</v>
      </c>
      <c r="G1193" t="s">
        <v>50</v>
      </c>
      <c r="H1193" t="s">
        <v>34</v>
      </c>
      <c r="I1193" t="s">
        <v>35</v>
      </c>
      <c r="J1193" s="4">
        <v>35.64</v>
      </c>
      <c r="K1193" s="4">
        <v>18.309999999999999</v>
      </c>
      <c r="L1193">
        <v>0</v>
      </c>
      <c r="M1193" s="4">
        <v>0</v>
      </c>
      <c r="N1193" s="4">
        <v>652.57000000000005</v>
      </c>
      <c r="O1193" s="4">
        <v>231.94</v>
      </c>
      <c r="P1193" s="4">
        <v>9.2799999999999994</v>
      </c>
      <c r="Q1193" s="4">
        <v>4.57</v>
      </c>
      <c r="R1193" s="4">
        <v>8.5299999999999994</v>
      </c>
      <c r="S1193" s="4">
        <v>0</v>
      </c>
      <c r="T1193" s="4">
        <v>0</v>
      </c>
      <c r="U1193" s="4">
        <v>254.32</v>
      </c>
      <c r="V1193" s="4">
        <v>398.25</v>
      </c>
      <c r="W1193" t="s">
        <v>21</v>
      </c>
      <c r="X1193" t="s">
        <v>36</v>
      </c>
      <c r="Y1193" s="4">
        <v>0</v>
      </c>
      <c r="Z1193" s="4">
        <v>5</v>
      </c>
      <c r="AA1193" t="s">
        <v>37</v>
      </c>
      <c r="AB1193" t="s">
        <v>38</v>
      </c>
      <c r="AC1193" s="7">
        <v>0</v>
      </c>
      <c r="AD1193" t="s">
        <v>39</v>
      </c>
      <c r="AE1193">
        <f t="shared" si="18"/>
        <v>0</v>
      </c>
    </row>
    <row r="1194" spans="1:31" x14ac:dyDescent="0.35">
      <c r="A1194">
        <v>101193</v>
      </c>
      <c r="B1194" s="3">
        <v>45993</v>
      </c>
      <c r="C1194">
        <v>1077</v>
      </c>
      <c r="D1194" t="s">
        <v>47</v>
      </c>
      <c r="E1194" t="s">
        <v>48</v>
      </c>
      <c r="F1194" t="s">
        <v>71</v>
      </c>
      <c r="G1194" t="s">
        <v>63</v>
      </c>
      <c r="H1194" t="s">
        <v>34</v>
      </c>
      <c r="I1194" t="s">
        <v>54</v>
      </c>
      <c r="J1194" s="4">
        <v>14.69</v>
      </c>
      <c r="K1194" s="4">
        <v>10.74</v>
      </c>
      <c r="L1194">
        <v>15</v>
      </c>
      <c r="M1194" s="4">
        <v>23.67</v>
      </c>
      <c r="N1194" s="4">
        <v>134.1</v>
      </c>
      <c r="O1194" s="4">
        <v>100.33</v>
      </c>
      <c r="P1194" s="4">
        <v>9.33</v>
      </c>
      <c r="Q1194" s="4">
        <v>1.89</v>
      </c>
      <c r="R1194" s="4">
        <v>8.89</v>
      </c>
      <c r="S1194" s="4">
        <v>0</v>
      </c>
      <c r="T1194" s="4">
        <v>0</v>
      </c>
      <c r="U1194" s="4">
        <v>120.44</v>
      </c>
      <c r="V1194" s="4">
        <v>13.66</v>
      </c>
      <c r="W1194" t="s">
        <v>21</v>
      </c>
      <c r="X1194" t="s">
        <v>36</v>
      </c>
      <c r="Y1194" s="4">
        <v>10</v>
      </c>
      <c r="Z1194" s="4">
        <v>4</v>
      </c>
      <c r="AA1194" t="s">
        <v>37</v>
      </c>
      <c r="AB1194" t="s">
        <v>38</v>
      </c>
      <c r="AC1194" s="7">
        <v>0</v>
      </c>
      <c r="AD1194" t="s">
        <v>39</v>
      </c>
      <c r="AE1194">
        <f t="shared" si="18"/>
        <v>0</v>
      </c>
    </row>
    <row r="1195" spans="1:31" x14ac:dyDescent="0.35">
      <c r="A1195">
        <v>101194</v>
      </c>
      <c r="B1195" s="3">
        <v>45960</v>
      </c>
      <c r="C1195">
        <v>1140</v>
      </c>
      <c r="D1195" t="s">
        <v>30</v>
      </c>
      <c r="E1195" t="s">
        <v>40</v>
      </c>
      <c r="F1195" t="s">
        <v>71</v>
      </c>
      <c r="G1195" t="s">
        <v>50</v>
      </c>
      <c r="H1195" t="s">
        <v>57</v>
      </c>
      <c r="I1195" t="s">
        <v>69</v>
      </c>
      <c r="J1195" s="4">
        <v>20.399999999999999</v>
      </c>
      <c r="K1195" s="4">
        <v>17.510000000000002</v>
      </c>
      <c r="L1195">
        <v>5</v>
      </c>
      <c r="M1195" s="4">
        <v>17.86</v>
      </c>
      <c r="N1195" s="4">
        <v>339.34</v>
      </c>
      <c r="O1195" s="4">
        <v>161.22</v>
      </c>
      <c r="P1195" s="4">
        <v>8.0299999999999994</v>
      </c>
      <c r="Q1195" s="4">
        <v>1.43</v>
      </c>
      <c r="R1195" s="4">
        <v>0</v>
      </c>
      <c r="S1195" s="4">
        <v>0</v>
      </c>
      <c r="T1195" s="4">
        <v>0</v>
      </c>
      <c r="U1195" s="4">
        <v>170.68</v>
      </c>
      <c r="V1195" s="4">
        <v>168.66</v>
      </c>
      <c r="W1195" t="s">
        <v>21</v>
      </c>
      <c r="X1195" t="s">
        <v>36</v>
      </c>
      <c r="Y1195" s="4">
        <v>2</v>
      </c>
      <c r="Z1195" s="4">
        <v>16</v>
      </c>
      <c r="AA1195" t="s">
        <v>37</v>
      </c>
      <c r="AB1195" t="s">
        <v>44</v>
      </c>
      <c r="AC1195" s="7">
        <v>1</v>
      </c>
      <c r="AD1195" t="s">
        <v>45</v>
      </c>
      <c r="AE1195">
        <f t="shared" si="18"/>
        <v>1</v>
      </c>
    </row>
    <row r="1196" spans="1:31" x14ac:dyDescent="0.35">
      <c r="A1196">
        <v>101195</v>
      </c>
      <c r="B1196" s="3">
        <v>46016</v>
      </c>
      <c r="C1196">
        <v>1103</v>
      </c>
      <c r="D1196" t="s">
        <v>30</v>
      </c>
      <c r="E1196" t="s">
        <v>40</v>
      </c>
      <c r="F1196" t="s">
        <v>32</v>
      </c>
      <c r="G1196" t="s">
        <v>46</v>
      </c>
      <c r="H1196" t="s">
        <v>34</v>
      </c>
      <c r="I1196" t="s">
        <v>35</v>
      </c>
      <c r="J1196" s="4">
        <v>29.01</v>
      </c>
      <c r="K1196" s="4">
        <v>14.78</v>
      </c>
      <c r="L1196">
        <v>0</v>
      </c>
      <c r="M1196" s="4">
        <v>0</v>
      </c>
      <c r="N1196" s="4">
        <v>428.77</v>
      </c>
      <c r="O1196" s="4">
        <v>202.33</v>
      </c>
      <c r="P1196" s="4">
        <v>9.32</v>
      </c>
      <c r="Q1196" s="4">
        <v>3</v>
      </c>
      <c r="R1196" s="4">
        <v>0.16</v>
      </c>
      <c r="S1196" s="4">
        <v>0</v>
      </c>
      <c r="T1196" s="4">
        <v>0</v>
      </c>
      <c r="U1196" s="4">
        <v>214.81</v>
      </c>
      <c r="V1196" s="4">
        <v>213.96</v>
      </c>
      <c r="W1196" t="s">
        <v>21</v>
      </c>
      <c r="X1196" t="s">
        <v>36</v>
      </c>
      <c r="Y1196" s="4">
        <v>17</v>
      </c>
      <c r="Z1196" s="4">
        <v>0</v>
      </c>
      <c r="AA1196" t="s">
        <v>52</v>
      </c>
      <c r="AB1196" t="s">
        <v>38</v>
      </c>
      <c r="AC1196" s="7">
        <v>0</v>
      </c>
      <c r="AD1196" t="s">
        <v>39</v>
      </c>
      <c r="AE1196">
        <f t="shared" si="18"/>
        <v>0</v>
      </c>
    </row>
    <row r="1197" spans="1:31" x14ac:dyDescent="0.35">
      <c r="A1197">
        <v>101196</v>
      </c>
      <c r="B1197" s="3">
        <v>45960</v>
      </c>
      <c r="C1197">
        <v>1149</v>
      </c>
      <c r="D1197" t="s">
        <v>47</v>
      </c>
      <c r="E1197" t="s">
        <v>56</v>
      </c>
      <c r="F1197" t="s">
        <v>71</v>
      </c>
      <c r="G1197" t="s">
        <v>33</v>
      </c>
      <c r="H1197" t="s">
        <v>34</v>
      </c>
      <c r="I1197" t="s">
        <v>42</v>
      </c>
      <c r="J1197" s="4">
        <v>25.89</v>
      </c>
      <c r="K1197" s="4">
        <v>19.239999999999998</v>
      </c>
      <c r="L1197">
        <v>0</v>
      </c>
      <c r="M1197" s="4">
        <v>0</v>
      </c>
      <c r="N1197" s="4">
        <v>498.12</v>
      </c>
      <c r="O1197" s="4">
        <v>200.47</v>
      </c>
      <c r="P1197" s="4">
        <v>5.34</v>
      </c>
      <c r="Q1197" s="4">
        <v>7.47</v>
      </c>
      <c r="R1197" s="4">
        <v>1.1100000000000001</v>
      </c>
      <c r="S1197" s="4">
        <v>284.8</v>
      </c>
      <c r="T1197" s="4">
        <v>0</v>
      </c>
      <c r="U1197" s="4">
        <v>499.19</v>
      </c>
      <c r="V1197" s="4">
        <v>-1.07</v>
      </c>
      <c r="W1197" t="s">
        <v>58</v>
      </c>
      <c r="X1197" t="s">
        <v>55</v>
      </c>
      <c r="Y1197" s="4">
        <v>1</v>
      </c>
      <c r="Z1197" s="4">
        <v>6</v>
      </c>
      <c r="AA1197" t="s">
        <v>37</v>
      </c>
      <c r="AB1197" t="s">
        <v>44</v>
      </c>
      <c r="AC1197" s="7">
        <v>2</v>
      </c>
      <c r="AD1197" t="s">
        <v>45</v>
      </c>
      <c r="AE1197">
        <f t="shared" si="18"/>
        <v>1</v>
      </c>
    </row>
    <row r="1198" spans="1:31" x14ac:dyDescent="0.35">
      <c r="A1198">
        <v>101197</v>
      </c>
      <c r="B1198" s="3">
        <v>45934</v>
      </c>
      <c r="C1198">
        <v>1038</v>
      </c>
      <c r="D1198" t="s">
        <v>59</v>
      </c>
      <c r="E1198" t="s">
        <v>68</v>
      </c>
      <c r="F1198" t="s">
        <v>32</v>
      </c>
      <c r="G1198" t="s">
        <v>63</v>
      </c>
      <c r="H1198" t="s">
        <v>51</v>
      </c>
      <c r="I1198" t="s">
        <v>42</v>
      </c>
      <c r="J1198" s="4">
        <v>33.21</v>
      </c>
      <c r="K1198" s="4">
        <v>13.01</v>
      </c>
      <c r="L1198">
        <v>0</v>
      </c>
      <c r="M1198" s="4">
        <v>0</v>
      </c>
      <c r="N1198" s="4">
        <v>432.06</v>
      </c>
      <c r="O1198" s="4">
        <v>274.73</v>
      </c>
      <c r="P1198" s="4">
        <v>8.0299999999999994</v>
      </c>
      <c r="Q1198" s="4">
        <v>6.48</v>
      </c>
      <c r="R1198" s="4">
        <v>16.88</v>
      </c>
      <c r="S1198" s="4">
        <v>0</v>
      </c>
      <c r="T1198" s="4">
        <v>0</v>
      </c>
      <c r="U1198" s="4">
        <v>306.12</v>
      </c>
      <c r="V1198" s="4">
        <v>125.94</v>
      </c>
      <c r="W1198" t="s">
        <v>21</v>
      </c>
      <c r="X1198" t="s">
        <v>36</v>
      </c>
      <c r="Y1198" s="4">
        <v>3</v>
      </c>
      <c r="Z1198" s="4">
        <v>8</v>
      </c>
      <c r="AA1198" t="s">
        <v>37</v>
      </c>
      <c r="AB1198" t="s">
        <v>38</v>
      </c>
      <c r="AC1198" s="7">
        <v>0</v>
      </c>
      <c r="AD1198" t="s">
        <v>39</v>
      </c>
      <c r="AE1198">
        <f t="shared" si="18"/>
        <v>0</v>
      </c>
    </row>
    <row r="1199" spans="1:31" x14ac:dyDescent="0.35">
      <c r="A1199">
        <v>101198</v>
      </c>
      <c r="B1199" s="3">
        <v>46017</v>
      </c>
      <c r="C1199">
        <v>1149</v>
      </c>
      <c r="D1199" t="s">
        <v>64</v>
      </c>
      <c r="E1199" t="s">
        <v>65</v>
      </c>
      <c r="F1199" t="s">
        <v>61</v>
      </c>
      <c r="G1199" t="s">
        <v>63</v>
      </c>
      <c r="H1199" t="s">
        <v>57</v>
      </c>
      <c r="I1199" t="s">
        <v>35</v>
      </c>
      <c r="J1199" s="4">
        <v>26.82</v>
      </c>
      <c r="K1199" s="4">
        <v>12.8</v>
      </c>
      <c r="L1199">
        <v>0</v>
      </c>
      <c r="M1199" s="4">
        <v>0</v>
      </c>
      <c r="N1199" s="4">
        <v>343.3</v>
      </c>
      <c r="O1199" s="4">
        <v>212.09</v>
      </c>
      <c r="P1199" s="4">
        <v>10.67</v>
      </c>
      <c r="Q1199" s="4">
        <v>2.4</v>
      </c>
      <c r="R1199" s="4">
        <v>8.9700000000000006</v>
      </c>
      <c r="S1199" s="4">
        <v>0</v>
      </c>
      <c r="T1199" s="4">
        <v>0</v>
      </c>
      <c r="U1199" s="4">
        <v>234.13</v>
      </c>
      <c r="V1199" s="4">
        <v>109.17</v>
      </c>
      <c r="W1199" t="s">
        <v>21</v>
      </c>
      <c r="X1199" t="s">
        <v>36</v>
      </c>
      <c r="Y1199" s="4">
        <v>7</v>
      </c>
      <c r="Z1199" s="4">
        <v>36</v>
      </c>
      <c r="AA1199" t="s">
        <v>37</v>
      </c>
      <c r="AB1199" t="s">
        <v>44</v>
      </c>
      <c r="AC1199" s="7">
        <v>3</v>
      </c>
      <c r="AD1199" t="s">
        <v>45</v>
      </c>
      <c r="AE1199">
        <f t="shared" si="18"/>
        <v>1</v>
      </c>
    </row>
    <row r="1200" spans="1:31" x14ac:dyDescent="0.35">
      <c r="A1200">
        <v>101199</v>
      </c>
      <c r="B1200" s="3">
        <v>46014</v>
      </c>
      <c r="C1200">
        <v>1074</v>
      </c>
      <c r="D1200" t="s">
        <v>30</v>
      </c>
      <c r="E1200" t="s">
        <v>40</v>
      </c>
      <c r="F1200" t="s">
        <v>61</v>
      </c>
      <c r="G1200" t="s">
        <v>33</v>
      </c>
      <c r="H1200" t="s">
        <v>34</v>
      </c>
      <c r="I1200" t="s">
        <v>42</v>
      </c>
      <c r="J1200" s="4">
        <v>24.83</v>
      </c>
      <c r="K1200" s="4">
        <v>19.62</v>
      </c>
      <c r="L1200">
        <v>0</v>
      </c>
      <c r="M1200" s="4">
        <v>0</v>
      </c>
      <c r="N1200" s="4">
        <v>487.16</v>
      </c>
      <c r="O1200" s="4">
        <v>189.72</v>
      </c>
      <c r="P1200" s="4">
        <v>9.84</v>
      </c>
      <c r="Q1200" s="4">
        <v>7.31</v>
      </c>
      <c r="R1200" s="4">
        <v>9.59</v>
      </c>
      <c r="S1200" s="4">
        <v>0</v>
      </c>
      <c r="T1200" s="4">
        <v>0</v>
      </c>
      <c r="U1200" s="4">
        <v>216.46</v>
      </c>
      <c r="V1200" s="4">
        <v>270.7</v>
      </c>
      <c r="W1200" t="s">
        <v>21</v>
      </c>
      <c r="X1200" t="s">
        <v>36</v>
      </c>
      <c r="Y1200" s="4">
        <v>7</v>
      </c>
      <c r="Z1200" s="4">
        <v>4</v>
      </c>
      <c r="AA1200" t="s">
        <v>37</v>
      </c>
      <c r="AB1200" t="s">
        <v>38</v>
      </c>
      <c r="AC1200" s="7">
        <v>1</v>
      </c>
      <c r="AD1200" t="s">
        <v>39</v>
      </c>
      <c r="AE1200">
        <f t="shared" si="18"/>
        <v>0</v>
      </c>
    </row>
    <row r="1201" spans="1:31" x14ac:dyDescent="0.35">
      <c r="A1201">
        <v>101200</v>
      </c>
      <c r="B1201" s="3">
        <v>45931</v>
      </c>
      <c r="C1201">
        <v>1115</v>
      </c>
      <c r="D1201" t="s">
        <v>59</v>
      </c>
      <c r="E1201" t="s">
        <v>60</v>
      </c>
      <c r="F1201" t="s">
        <v>49</v>
      </c>
      <c r="G1201" t="s">
        <v>50</v>
      </c>
      <c r="H1201" t="s">
        <v>34</v>
      </c>
      <c r="I1201" t="s">
        <v>35</v>
      </c>
      <c r="J1201" s="4">
        <v>33.130000000000003</v>
      </c>
      <c r="K1201" s="4">
        <v>16.79</v>
      </c>
      <c r="L1201">
        <v>0</v>
      </c>
      <c r="M1201" s="4">
        <v>0</v>
      </c>
      <c r="N1201" s="4">
        <v>556.25</v>
      </c>
      <c r="O1201" s="4">
        <v>251.22</v>
      </c>
      <c r="P1201" s="4">
        <v>7.67</v>
      </c>
      <c r="Q1201" s="4">
        <v>3.89</v>
      </c>
      <c r="R1201" s="4">
        <v>0.96</v>
      </c>
      <c r="S1201" s="4">
        <v>0</v>
      </c>
      <c r="T1201" s="4">
        <v>0</v>
      </c>
      <c r="U1201" s="4">
        <v>263.74</v>
      </c>
      <c r="V1201" s="4">
        <v>292.51</v>
      </c>
      <c r="W1201" t="s">
        <v>21</v>
      </c>
      <c r="X1201" t="s">
        <v>36</v>
      </c>
      <c r="Y1201" s="4">
        <v>24</v>
      </c>
      <c r="Z1201" s="4">
        <v>6</v>
      </c>
      <c r="AA1201" t="s">
        <v>52</v>
      </c>
      <c r="AB1201" t="s">
        <v>44</v>
      </c>
      <c r="AC1201" s="7">
        <v>1</v>
      </c>
      <c r="AD1201" t="s">
        <v>45</v>
      </c>
      <c r="AE1201">
        <f t="shared" si="18"/>
        <v>1</v>
      </c>
    </row>
    <row r="1202" spans="1:31" x14ac:dyDescent="0.35">
      <c r="A1202">
        <v>101201</v>
      </c>
      <c r="B1202" s="3">
        <v>45987</v>
      </c>
      <c r="C1202">
        <v>1038</v>
      </c>
      <c r="D1202" t="s">
        <v>30</v>
      </c>
      <c r="E1202" t="s">
        <v>72</v>
      </c>
      <c r="F1202" t="s">
        <v>71</v>
      </c>
      <c r="G1202" t="s">
        <v>46</v>
      </c>
      <c r="H1202" t="s">
        <v>34</v>
      </c>
      <c r="I1202" t="s">
        <v>54</v>
      </c>
      <c r="J1202" s="4">
        <v>22.95</v>
      </c>
      <c r="K1202" s="4">
        <v>15.24</v>
      </c>
      <c r="L1202">
        <v>10</v>
      </c>
      <c r="M1202" s="4">
        <v>34.979999999999997</v>
      </c>
      <c r="N1202" s="4">
        <v>314.77999999999997</v>
      </c>
      <c r="O1202" s="4">
        <v>168.9</v>
      </c>
      <c r="P1202" s="4">
        <v>4.67</v>
      </c>
      <c r="Q1202" s="4">
        <v>4.2</v>
      </c>
      <c r="R1202" s="4">
        <v>5.35</v>
      </c>
      <c r="S1202" s="4">
        <v>0</v>
      </c>
      <c r="T1202" s="4">
        <v>0</v>
      </c>
      <c r="U1202" s="4">
        <v>183.12</v>
      </c>
      <c r="V1202" s="4">
        <v>131.66</v>
      </c>
      <c r="W1202" t="s">
        <v>21</v>
      </c>
      <c r="X1202" t="s">
        <v>36</v>
      </c>
      <c r="Y1202" s="4">
        <v>23</v>
      </c>
      <c r="Z1202" s="4">
        <v>6</v>
      </c>
      <c r="AA1202" t="s">
        <v>52</v>
      </c>
      <c r="AB1202" t="s">
        <v>44</v>
      </c>
      <c r="AC1202" s="7">
        <v>1</v>
      </c>
      <c r="AD1202" t="s">
        <v>45</v>
      </c>
      <c r="AE1202">
        <f t="shared" si="18"/>
        <v>1</v>
      </c>
    </row>
    <row r="1203" spans="1:31" x14ac:dyDescent="0.35">
      <c r="A1203">
        <v>101202</v>
      </c>
      <c r="B1203" s="3">
        <v>45932</v>
      </c>
      <c r="C1203">
        <v>1021</v>
      </c>
      <c r="D1203" t="s">
        <v>59</v>
      </c>
      <c r="E1203" t="s">
        <v>70</v>
      </c>
      <c r="F1203" t="s">
        <v>41</v>
      </c>
      <c r="G1203" t="s">
        <v>46</v>
      </c>
      <c r="H1203" t="s">
        <v>57</v>
      </c>
      <c r="I1203" t="s">
        <v>54</v>
      </c>
      <c r="J1203" s="4">
        <v>26.01</v>
      </c>
      <c r="K1203" s="4">
        <v>15.02</v>
      </c>
      <c r="L1203">
        <v>0</v>
      </c>
      <c r="M1203" s="4">
        <v>0</v>
      </c>
      <c r="N1203" s="4">
        <v>390.67</v>
      </c>
      <c r="O1203" s="4">
        <v>164.91</v>
      </c>
      <c r="P1203" s="4">
        <v>8.44</v>
      </c>
      <c r="Q1203" s="4">
        <v>4.6900000000000004</v>
      </c>
      <c r="R1203" s="4">
        <v>13.05</v>
      </c>
      <c r="S1203" s="4">
        <v>183.73</v>
      </c>
      <c r="T1203" s="4">
        <v>12.57</v>
      </c>
      <c r="U1203" s="4">
        <v>387.39</v>
      </c>
      <c r="V1203" s="4">
        <v>3.28</v>
      </c>
      <c r="W1203" t="s">
        <v>21</v>
      </c>
      <c r="X1203" t="s">
        <v>55</v>
      </c>
      <c r="Y1203" s="4">
        <v>1</v>
      </c>
      <c r="Z1203" s="4">
        <v>0</v>
      </c>
      <c r="AA1203" t="s">
        <v>37</v>
      </c>
      <c r="AB1203" t="s">
        <v>44</v>
      </c>
      <c r="AC1203" s="7">
        <v>1</v>
      </c>
      <c r="AD1203" t="s">
        <v>45</v>
      </c>
      <c r="AE1203">
        <f t="shared" si="18"/>
        <v>1</v>
      </c>
    </row>
    <row r="1204" spans="1:31" x14ac:dyDescent="0.35">
      <c r="A1204">
        <v>101203</v>
      </c>
      <c r="B1204" s="3">
        <v>45991</v>
      </c>
      <c r="C1204">
        <v>1080</v>
      </c>
      <c r="D1204" t="s">
        <v>59</v>
      </c>
      <c r="E1204" t="s">
        <v>68</v>
      </c>
      <c r="F1204" t="s">
        <v>61</v>
      </c>
      <c r="G1204" t="s">
        <v>46</v>
      </c>
      <c r="H1204" t="s">
        <v>34</v>
      </c>
      <c r="I1204" t="s">
        <v>35</v>
      </c>
      <c r="J1204" s="4">
        <v>19.82</v>
      </c>
      <c r="K1204" s="4">
        <v>16.16</v>
      </c>
      <c r="L1204">
        <v>0</v>
      </c>
      <c r="M1204" s="4">
        <v>0</v>
      </c>
      <c r="N1204" s="4">
        <v>320.29000000000002</v>
      </c>
      <c r="O1204" s="4">
        <v>131.96</v>
      </c>
      <c r="P1204" s="4">
        <v>7.96</v>
      </c>
      <c r="Q1204" s="4">
        <v>2.2400000000000002</v>
      </c>
      <c r="R1204" s="4">
        <v>11.46</v>
      </c>
      <c r="S1204" s="4">
        <v>0</v>
      </c>
      <c r="T1204" s="4">
        <v>0</v>
      </c>
      <c r="U1204" s="4">
        <v>153.62</v>
      </c>
      <c r="V1204" s="4">
        <v>166.67</v>
      </c>
      <c r="W1204" t="s">
        <v>21</v>
      </c>
      <c r="X1204" t="s">
        <v>36</v>
      </c>
      <c r="Y1204" s="4">
        <v>4</v>
      </c>
      <c r="Z1204" s="4">
        <v>4</v>
      </c>
      <c r="AA1204" t="s">
        <v>37</v>
      </c>
      <c r="AB1204" t="s">
        <v>38</v>
      </c>
      <c r="AC1204" s="7">
        <v>0</v>
      </c>
      <c r="AD1204" t="s">
        <v>39</v>
      </c>
      <c r="AE1204">
        <f t="shared" si="18"/>
        <v>0</v>
      </c>
    </row>
    <row r="1205" spans="1:31" x14ac:dyDescent="0.35">
      <c r="A1205">
        <v>101204</v>
      </c>
      <c r="B1205" s="3">
        <v>45967</v>
      </c>
      <c r="C1205">
        <v>1082</v>
      </c>
      <c r="D1205" t="s">
        <v>64</v>
      </c>
      <c r="E1205" t="s">
        <v>76</v>
      </c>
      <c r="F1205" t="s">
        <v>41</v>
      </c>
      <c r="G1205" t="s">
        <v>50</v>
      </c>
      <c r="H1205" t="s">
        <v>51</v>
      </c>
      <c r="I1205" t="s">
        <v>35</v>
      </c>
      <c r="J1205" s="4">
        <v>24.5</v>
      </c>
      <c r="K1205" s="4">
        <v>18.059999999999999</v>
      </c>
      <c r="L1205">
        <v>10</v>
      </c>
      <c r="M1205" s="4">
        <v>44.25</v>
      </c>
      <c r="N1205" s="4">
        <v>398.22</v>
      </c>
      <c r="O1205" s="4">
        <v>184.37</v>
      </c>
      <c r="P1205" s="4">
        <v>12.52</v>
      </c>
      <c r="Q1205" s="4">
        <v>3.1</v>
      </c>
      <c r="R1205" s="4">
        <v>12.4</v>
      </c>
      <c r="S1205" s="4">
        <v>0</v>
      </c>
      <c r="T1205" s="4">
        <v>0</v>
      </c>
      <c r="U1205" s="4">
        <v>212.39</v>
      </c>
      <c r="V1205" s="4">
        <v>185.83</v>
      </c>
      <c r="W1205" t="s">
        <v>21</v>
      </c>
      <c r="X1205" t="s">
        <v>36</v>
      </c>
      <c r="Y1205" s="4">
        <v>0</v>
      </c>
      <c r="Z1205" s="4">
        <v>14</v>
      </c>
      <c r="AA1205" t="s">
        <v>37</v>
      </c>
      <c r="AB1205" t="s">
        <v>38</v>
      </c>
      <c r="AC1205" s="7">
        <v>0</v>
      </c>
      <c r="AD1205" t="s">
        <v>39</v>
      </c>
      <c r="AE1205">
        <f t="shared" si="18"/>
        <v>0</v>
      </c>
    </row>
    <row r="1206" spans="1:31" x14ac:dyDescent="0.35">
      <c r="A1206">
        <v>101205</v>
      </c>
      <c r="B1206" s="3">
        <v>45975</v>
      </c>
      <c r="C1206">
        <v>1037</v>
      </c>
      <c r="D1206" t="s">
        <v>59</v>
      </c>
      <c r="E1206" t="s">
        <v>70</v>
      </c>
      <c r="F1206" t="s">
        <v>49</v>
      </c>
      <c r="G1206" t="s">
        <v>46</v>
      </c>
      <c r="H1206" t="s">
        <v>34</v>
      </c>
      <c r="I1206" t="s">
        <v>35</v>
      </c>
      <c r="J1206" s="4">
        <v>36.28</v>
      </c>
      <c r="K1206" s="4">
        <v>15.66</v>
      </c>
      <c r="L1206">
        <v>20</v>
      </c>
      <c r="M1206" s="4">
        <v>113.63</v>
      </c>
      <c r="N1206" s="4">
        <v>454.51</v>
      </c>
      <c r="O1206" s="4">
        <v>224.55</v>
      </c>
      <c r="P1206" s="4">
        <v>12.94</v>
      </c>
      <c r="Q1206" s="4">
        <v>3.98</v>
      </c>
      <c r="R1206" s="4">
        <v>1.32</v>
      </c>
      <c r="S1206" s="4">
        <v>0</v>
      </c>
      <c r="T1206" s="4">
        <v>0</v>
      </c>
      <c r="U1206" s="4">
        <v>242.79</v>
      </c>
      <c r="V1206" s="4">
        <v>211.72</v>
      </c>
      <c r="W1206" t="s">
        <v>21</v>
      </c>
      <c r="X1206" t="s">
        <v>36</v>
      </c>
      <c r="Y1206" s="4">
        <v>3</v>
      </c>
      <c r="Z1206" s="4">
        <v>9</v>
      </c>
      <c r="AA1206" t="s">
        <v>37</v>
      </c>
      <c r="AB1206" t="s">
        <v>38</v>
      </c>
      <c r="AC1206" s="7">
        <v>0</v>
      </c>
      <c r="AD1206" t="s">
        <v>39</v>
      </c>
      <c r="AE1206">
        <f t="shared" si="18"/>
        <v>0</v>
      </c>
    </row>
    <row r="1207" spans="1:31" x14ac:dyDescent="0.35">
      <c r="A1207">
        <v>101206</v>
      </c>
      <c r="B1207" s="3">
        <v>45948</v>
      </c>
      <c r="C1207">
        <v>1117</v>
      </c>
      <c r="D1207" t="s">
        <v>64</v>
      </c>
      <c r="E1207" t="s">
        <v>75</v>
      </c>
      <c r="F1207" t="s">
        <v>41</v>
      </c>
      <c r="G1207" t="s">
        <v>46</v>
      </c>
      <c r="H1207" t="s">
        <v>34</v>
      </c>
      <c r="I1207" t="s">
        <v>69</v>
      </c>
      <c r="J1207" s="4">
        <v>25.91</v>
      </c>
      <c r="K1207" s="4">
        <v>15.55</v>
      </c>
      <c r="L1207">
        <v>10</v>
      </c>
      <c r="M1207" s="4">
        <v>40.29</v>
      </c>
      <c r="N1207" s="4">
        <v>362.61</v>
      </c>
      <c r="O1207" s="4">
        <v>214.12</v>
      </c>
      <c r="P1207" s="4">
        <v>9.98</v>
      </c>
      <c r="Q1207" s="4">
        <v>1.61</v>
      </c>
      <c r="R1207" s="4">
        <v>7.83</v>
      </c>
      <c r="S1207" s="4">
        <v>0</v>
      </c>
      <c r="T1207" s="4">
        <v>0</v>
      </c>
      <c r="U1207" s="4">
        <v>233.54</v>
      </c>
      <c r="V1207" s="4">
        <v>129.07</v>
      </c>
      <c r="W1207" t="s">
        <v>21</v>
      </c>
      <c r="X1207" t="s">
        <v>36</v>
      </c>
      <c r="Y1207" s="4">
        <v>0</v>
      </c>
      <c r="Z1207" s="4">
        <v>0</v>
      </c>
      <c r="AA1207" t="s">
        <v>37</v>
      </c>
      <c r="AB1207" t="s">
        <v>38</v>
      </c>
      <c r="AC1207" s="7">
        <v>0</v>
      </c>
      <c r="AD1207" t="s">
        <v>39</v>
      </c>
      <c r="AE1207">
        <f t="shared" si="18"/>
        <v>0</v>
      </c>
    </row>
    <row r="1208" spans="1:31" x14ac:dyDescent="0.35">
      <c r="A1208">
        <v>101207</v>
      </c>
      <c r="B1208" s="3">
        <v>46012</v>
      </c>
      <c r="C1208">
        <v>1030</v>
      </c>
      <c r="D1208" t="s">
        <v>47</v>
      </c>
      <c r="E1208" t="s">
        <v>56</v>
      </c>
      <c r="F1208" t="s">
        <v>61</v>
      </c>
      <c r="G1208" t="s">
        <v>63</v>
      </c>
      <c r="H1208" t="s">
        <v>34</v>
      </c>
      <c r="I1208" t="s">
        <v>35</v>
      </c>
      <c r="J1208" s="4">
        <v>15.01</v>
      </c>
      <c r="K1208" s="4">
        <v>14.68</v>
      </c>
      <c r="L1208">
        <v>0</v>
      </c>
      <c r="M1208" s="4">
        <v>0</v>
      </c>
      <c r="N1208" s="4">
        <v>220.35</v>
      </c>
      <c r="O1208" s="4">
        <v>88.31</v>
      </c>
      <c r="P1208" s="4">
        <v>11.24</v>
      </c>
      <c r="Q1208" s="4">
        <v>1.54</v>
      </c>
      <c r="R1208" s="4">
        <v>10.93</v>
      </c>
      <c r="S1208" s="4">
        <v>0</v>
      </c>
      <c r="T1208" s="4">
        <v>0</v>
      </c>
      <c r="U1208" s="4">
        <v>112.02</v>
      </c>
      <c r="V1208" s="4">
        <v>108.33</v>
      </c>
      <c r="W1208" t="s">
        <v>21</v>
      </c>
      <c r="X1208" t="s">
        <v>36</v>
      </c>
      <c r="Y1208" s="4">
        <v>4</v>
      </c>
      <c r="Z1208" s="4">
        <v>16</v>
      </c>
      <c r="AA1208" t="s">
        <v>37</v>
      </c>
      <c r="AB1208" t="s">
        <v>44</v>
      </c>
      <c r="AC1208" s="7">
        <v>3</v>
      </c>
      <c r="AD1208" t="s">
        <v>45</v>
      </c>
      <c r="AE1208">
        <f t="shared" si="18"/>
        <v>1</v>
      </c>
    </row>
    <row r="1209" spans="1:31" x14ac:dyDescent="0.35">
      <c r="A1209">
        <v>101208</v>
      </c>
      <c r="B1209" s="3">
        <v>45934</v>
      </c>
      <c r="C1209">
        <v>1127</v>
      </c>
      <c r="D1209" t="s">
        <v>64</v>
      </c>
      <c r="E1209" t="s">
        <v>75</v>
      </c>
      <c r="F1209" t="s">
        <v>41</v>
      </c>
      <c r="G1209" t="s">
        <v>50</v>
      </c>
      <c r="H1209" t="s">
        <v>34</v>
      </c>
      <c r="I1209" t="s">
        <v>35</v>
      </c>
      <c r="J1209" s="4">
        <v>33.36</v>
      </c>
      <c r="K1209" s="4">
        <v>17.64</v>
      </c>
      <c r="L1209">
        <v>0</v>
      </c>
      <c r="M1209" s="4">
        <v>0</v>
      </c>
      <c r="N1209" s="4">
        <v>588.47</v>
      </c>
      <c r="O1209" s="4">
        <v>227.47</v>
      </c>
      <c r="P1209" s="4">
        <v>5.54</v>
      </c>
      <c r="Q1209" s="4">
        <v>4.12</v>
      </c>
      <c r="R1209" s="4">
        <v>5.59</v>
      </c>
      <c r="S1209" s="4">
        <v>0</v>
      </c>
      <c r="T1209" s="4">
        <v>0</v>
      </c>
      <c r="U1209" s="4">
        <v>242.72</v>
      </c>
      <c r="V1209" s="4">
        <v>345.75</v>
      </c>
      <c r="W1209" t="s">
        <v>21</v>
      </c>
      <c r="X1209" t="s">
        <v>36</v>
      </c>
      <c r="Y1209" s="4">
        <v>8</v>
      </c>
      <c r="Z1209" s="4">
        <v>3</v>
      </c>
      <c r="AA1209" t="s">
        <v>37</v>
      </c>
      <c r="AB1209" t="s">
        <v>38</v>
      </c>
      <c r="AC1209" s="7">
        <v>0</v>
      </c>
      <c r="AD1209" t="s">
        <v>39</v>
      </c>
      <c r="AE1209">
        <f t="shared" si="18"/>
        <v>0</v>
      </c>
    </row>
    <row r="1210" spans="1:31" x14ac:dyDescent="0.35">
      <c r="A1210">
        <v>101209</v>
      </c>
      <c r="B1210" s="3">
        <v>45951</v>
      </c>
      <c r="C1210">
        <v>1026</v>
      </c>
      <c r="D1210" t="s">
        <v>64</v>
      </c>
      <c r="E1210" t="s">
        <v>76</v>
      </c>
      <c r="F1210" t="s">
        <v>32</v>
      </c>
      <c r="G1210" t="s">
        <v>46</v>
      </c>
      <c r="H1210" t="s">
        <v>34</v>
      </c>
      <c r="I1210" t="s">
        <v>69</v>
      </c>
      <c r="J1210" s="4">
        <v>23.44</v>
      </c>
      <c r="K1210" s="4">
        <v>15.19</v>
      </c>
      <c r="L1210">
        <v>10</v>
      </c>
      <c r="M1210" s="4">
        <v>35.61</v>
      </c>
      <c r="N1210" s="4">
        <v>320.44</v>
      </c>
      <c r="O1210" s="4">
        <v>148.81</v>
      </c>
      <c r="P1210" s="4">
        <v>10.210000000000001</v>
      </c>
      <c r="Q1210" s="4">
        <v>1.42</v>
      </c>
      <c r="R1210" s="4">
        <v>6.26</v>
      </c>
      <c r="S1210" s="4">
        <v>0</v>
      </c>
      <c r="T1210" s="4">
        <v>0</v>
      </c>
      <c r="U1210" s="4">
        <v>166.7</v>
      </c>
      <c r="V1210" s="4">
        <v>153.74</v>
      </c>
      <c r="W1210" t="s">
        <v>21</v>
      </c>
      <c r="X1210" t="s">
        <v>36</v>
      </c>
      <c r="Y1210" s="4">
        <v>5</v>
      </c>
      <c r="Z1210" s="4">
        <v>2</v>
      </c>
      <c r="AA1210" t="s">
        <v>37</v>
      </c>
      <c r="AB1210" t="s">
        <v>38</v>
      </c>
      <c r="AC1210" s="7">
        <v>2</v>
      </c>
      <c r="AD1210" t="s">
        <v>39</v>
      </c>
      <c r="AE1210">
        <f t="shared" si="18"/>
        <v>0</v>
      </c>
    </row>
    <row r="1211" spans="1:31" x14ac:dyDescent="0.35">
      <c r="A1211">
        <v>101210</v>
      </c>
      <c r="B1211" s="3">
        <v>45933</v>
      </c>
      <c r="C1211">
        <v>1121</v>
      </c>
      <c r="D1211" t="s">
        <v>64</v>
      </c>
      <c r="E1211" t="s">
        <v>67</v>
      </c>
      <c r="F1211" t="s">
        <v>41</v>
      </c>
      <c r="G1211" t="s">
        <v>33</v>
      </c>
      <c r="H1211" t="s">
        <v>51</v>
      </c>
      <c r="I1211" t="s">
        <v>42</v>
      </c>
      <c r="J1211" s="4">
        <v>31.22</v>
      </c>
      <c r="K1211" s="4">
        <v>17.98</v>
      </c>
      <c r="L1211">
        <v>0</v>
      </c>
      <c r="M1211" s="4">
        <v>0</v>
      </c>
      <c r="N1211" s="4">
        <v>561.34</v>
      </c>
      <c r="O1211" s="4">
        <v>221.04</v>
      </c>
      <c r="P1211" s="4">
        <v>5.47</v>
      </c>
      <c r="Q1211" s="4">
        <v>8.42</v>
      </c>
      <c r="R1211" s="4">
        <v>11.67</v>
      </c>
      <c r="S1211" s="4">
        <v>0</v>
      </c>
      <c r="T1211" s="4">
        <v>0</v>
      </c>
      <c r="U1211" s="4">
        <v>246.6</v>
      </c>
      <c r="V1211" s="4">
        <v>314.74</v>
      </c>
      <c r="W1211" t="s">
        <v>21</v>
      </c>
      <c r="X1211" t="s">
        <v>36</v>
      </c>
      <c r="Y1211" s="4">
        <v>1</v>
      </c>
      <c r="Z1211" s="4">
        <v>16</v>
      </c>
      <c r="AA1211" t="s">
        <v>37</v>
      </c>
      <c r="AB1211" t="s">
        <v>44</v>
      </c>
      <c r="AC1211" s="7">
        <v>1</v>
      </c>
      <c r="AD1211" t="s">
        <v>45</v>
      </c>
      <c r="AE1211">
        <f t="shared" si="18"/>
        <v>1</v>
      </c>
    </row>
    <row r="1212" spans="1:31" x14ac:dyDescent="0.35">
      <c r="A1212">
        <v>101211</v>
      </c>
      <c r="B1212" s="3">
        <v>45990</v>
      </c>
      <c r="C1212">
        <v>1061</v>
      </c>
      <c r="D1212" t="s">
        <v>59</v>
      </c>
      <c r="E1212" t="s">
        <v>68</v>
      </c>
      <c r="F1212" t="s">
        <v>71</v>
      </c>
      <c r="G1212" t="s">
        <v>50</v>
      </c>
      <c r="H1212" t="s">
        <v>34</v>
      </c>
      <c r="I1212" t="s">
        <v>35</v>
      </c>
      <c r="J1212" s="4">
        <v>30.21</v>
      </c>
      <c r="K1212" s="4">
        <v>18.170000000000002</v>
      </c>
      <c r="L1212">
        <v>0</v>
      </c>
      <c r="M1212" s="4">
        <v>0</v>
      </c>
      <c r="N1212" s="4">
        <v>548.91999999999996</v>
      </c>
      <c r="O1212" s="4">
        <v>190.24</v>
      </c>
      <c r="P1212" s="4">
        <v>7.41</v>
      </c>
      <c r="Q1212" s="4">
        <v>3.84</v>
      </c>
      <c r="R1212" s="4">
        <v>6.26</v>
      </c>
      <c r="S1212" s="4">
        <v>0</v>
      </c>
      <c r="T1212" s="4">
        <v>0</v>
      </c>
      <c r="U1212" s="4">
        <v>207.75</v>
      </c>
      <c r="V1212" s="4">
        <v>341.17</v>
      </c>
      <c r="W1212" t="s">
        <v>21</v>
      </c>
      <c r="X1212" t="s">
        <v>36</v>
      </c>
      <c r="Y1212" s="4">
        <v>2</v>
      </c>
      <c r="Z1212" s="4">
        <v>14</v>
      </c>
      <c r="AA1212" t="s">
        <v>37</v>
      </c>
      <c r="AB1212" t="s">
        <v>38</v>
      </c>
      <c r="AC1212" s="7">
        <v>0</v>
      </c>
      <c r="AD1212" t="s">
        <v>39</v>
      </c>
      <c r="AE1212">
        <f t="shared" si="18"/>
        <v>0</v>
      </c>
    </row>
    <row r="1213" spans="1:31" x14ac:dyDescent="0.35">
      <c r="A1213">
        <v>101212</v>
      </c>
      <c r="B1213" s="3">
        <v>46017</v>
      </c>
      <c r="C1213">
        <v>1057</v>
      </c>
      <c r="D1213" t="s">
        <v>47</v>
      </c>
      <c r="E1213" t="s">
        <v>56</v>
      </c>
      <c r="F1213" t="s">
        <v>61</v>
      </c>
      <c r="G1213" t="s">
        <v>50</v>
      </c>
      <c r="H1213" t="s">
        <v>51</v>
      </c>
      <c r="I1213" t="s">
        <v>69</v>
      </c>
      <c r="J1213" s="4">
        <v>24</v>
      </c>
      <c r="K1213" s="4">
        <v>17.86</v>
      </c>
      <c r="L1213">
        <v>15</v>
      </c>
      <c r="M1213" s="4">
        <v>64.3</v>
      </c>
      <c r="N1213" s="4">
        <v>364.34</v>
      </c>
      <c r="O1213" s="4">
        <v>196.8</v>
      </c>
      <c r="P1213" s="4">
        <v>6.33</v>
      </c>
      <c r="Q1213" s="4">
        <v>1.71</v>
      </c>
      <c r="R1213" s="4">
        <v>13.45</v>
      </c>
      <c r="S1213" s="4">
        <v>299.05</v>
      </c>
      <c r="T1213" s="4">
        <v>10.23</v>
      </c>
      <c r="U1213" s="4">
        <v>527.57000000000005</v>
      </c>
      <c r="V1213" s="4">
        <v>-163.22999999999999</v>
      </c>
      <c r="W1213" t="s">
        <v>58</v>
      </c>
      <c r="X1213" t="s">
        <v>55</v>
      </c>
      <c r="Y1213" s="4">
        <v>3</v>
      </c>
      <c r="Z1213" s="4">
        <v>15</v>
      </c>
      <c r="AA1213" t="s">
        <v>37</v>
      </c>
      <c r="AB1213" t="s">
        <v>44</v>
      </c>
      <c r="AC1213" s="7">
        <v>2</v>
      </c>
      <c r="AD1213" t="s">
        <v>45</v>
      </c>
      <c r="AE1213">
        <f t="shared" si="18"/>
        <v>1</v>
      </c>
    </row>
    <row r="1214" spans="1:31" x14ac:dyDescent="0.35">
      <c r="A1214">
        <v>101213</v>
      </c>
      <c r="B1214" s="3">
        <v>45985</v>
      </c>
      <c r="C1214">
        <v>1014</v>
      </c>
      <c r="D1214" t="s">
        <v>30</v>
      </c>
      <c r="E1214" t="s">
        <v>31</v>
      </c>
      <c r="F1214" t="s">
        <v>71</v>
      </c>
      <c r="G1214" t="s">
        <v>63</v>
      </c>
      <c r="H1214" t="s">
        <v>34</v>
      </c>
      <c r="I1214" t="s">
        <v>42</v>
      </c>
      <c r="J1214" s="4">
        <v>16.09</v>
      </c>
      <c r="K1214" s="4">
        <v>13.73</v>
      </c>
      <c r="L1214">
        <v>15</v>
      </c>
      <c r="M1214" s="4">
        <v>33.14</v>
      </c>
      <c r="N1214" s="4">
        <v>187.78</v>
      </c>
      <c r="O1214" s="4">
        <v>107.07</v>
      </c>
      <c r="P1214" s="4">
        <v>9.9499999999999993</v>
      </c>
      <c r="Q1214" s="4">
        <v>3.31</v>
      </c>
      <c r="R1214" s="4">
        <v>4.79</v>
      </c>
      <c r="S1214" s="4">
        <v>0</v>
      </c>
      <c r="T1214" s="4">
        <v>0</v>
      </c>
      <c r="U1214" s="4">
        <v>125.12</v>
      </c>
      <c r="V1214" s="4">
        <v>62.66</v>
      </c>
      <c r="W1214" t="s">
        <v>21</v>
      </c>
      <c r="X1214" t="s">
        <v>36</v>
      </c>
      <c r="Y1214" s="4">
        <v>16</v>
      </c>
      <c r="Z1214" s="4">
        <v>5</v>
      </c>
      <c r="AA1214" t="s">
        <v>52</v>
      </c>
      <c r="AB1214" t="s">
        <v>38</v>
      </c>
      <c r="AC1214" s="7">
        <v>0</v>
      </c>
      <c r="AD1214" t="s">
        <v>39</v>
      </c>
      <c r="AE1214">
        <f t="shared" si="18"/>
        <v>0</v>
      </c>
    </row>
    <row r="1215" spans="1:31" x14ac:dyDescent="0.35">
      <c r="A1215">
        <v>101214</v>
      </c>
      <c r="B1215" s="3">
        <v>46013</v>
      </c>
      <c r="C1215">
        <v>1105</v>
      </c>
      <c r="D1215" t="s">
        <v>47</v>
      </c>
      <c r="E1215" t="s">
        <v>74</v>
      </c>
      <c r="F1215" t="s">
        <v>49</v>
      </c>
      <c r="G1215" t="s">
        <v>63</v>
      </c>
      <c r="H1215" t="s">
        <v>57</v>
      </c>
      <c r="I1215" t="s">
        <v>35</v>
      </c>
      <c r="J1215" s="4">
        <v>30.88</v>
      </c>
      <c r="K1215" s="4">
        <v>13.82</v>
      </c>
      <c r="L1215">
        <v>5</v>
      </c>
      <c r="M1215" s="4">
        <v>21.34</v>
      </c>
      <c r="N1215" s="4">
        <v>405.42</v>
      </c>
      <c r="O1215" s="4">
        <v>237.99</v>
      </c>
      <c r="P1215" s="4">
        <v>6.08</v>
      </c>
      <c r="Q1215" s="4">
        <v>2.99</v>
      </c>
      <c r="R1215" s="4">
        <v>4.6399999999999997</v>
      </c>
      <c r="S1215" s="4">
        <v>149.97</v>
      </c>
      <c r="T1215" s="4">
        <v>1.9</v>
      </c>
      <c r="U1215" s="4">
        <v>403.57</v>
      </c>
      <c r="V1215" s="4">
        <v>1.85</v>
      </c>
      <c r="W1215" t="s">
        <v>21</v>
      </c>
      <c r="X1215" t="s">
        <v>55</v>
      </c>
      <c r="Y1215" s="4">
        <v>3</v>
      </c>
      <c r="Z1215" s="4">
        <v>12</v>
      </c>
      <c r="AA1215" t="s">
        <v>37</v>
      </c>
      <c r="AB1215" t="s">
        <v>44</v>
      </c>
      <c r="AC1215" s="7">
        <v>1</v>
      </c>
      <c r="AD1215" t="s">
        <v>45</v>
      </c>
      <c r="AE1215">
        <f t="shared" si="18"/>
        <v>1</v>
      </c>
    </row>
    <row r="1216" spans="1:31" x14ac:dyDescent="0.35">
      <c r="A1216">
        <v>101215</v>
      </c>
      <c r="B1216" s="3">
        <v>45931</v>
      </c>
      <c r="C1216">
        <v>1038</v>
      </c>
      <c r="D1216" t="s">
        <v>59</v>
      </c>
      <c r="E1216" t="s">
        <v>60</v>
      </c>
      <c r="F1216" t="s">
        <v>49</v>
      </c>
      <c r="G1216" t="s">
        <v>63</v>
      </c>
      <c r="H1216" t="s">
        <v>34</v>
      </c>
      <c r="I1216" t="s">
        <v>35</v>
      </c>
      <c r="J1216" s="4">
        <v>35.99</v>
      </c>
      <c r="K1216" s="4">
        <v>12.78</v>
      </c>
      <c r="L1216">
        <v>0</v>
      </c>
      <c r="M1216" s="4">
        <v>0</v>
      </c>
      <c r="N1216" s="4">
        <v>459.95</v>
      </c>
      <c r="O1216" s="4">
        <v>267.63</v>
      </c>
      <c r="P1216" s="4">
        <v>12.85</v>
      </c>
      <c r="Q1216" s="4">
        <v>3.22</v>
      </c>
      <c r="R1216" s="4">
        <v>10.11</v>
      </c>
      <c r="S1216" s="4">
        <v>0</v>
      </c>
      <c r="T1216" s="4">
        <v>0</v>
      </c>
      <c r="U1216" s="4">
        <v>293.81</v>
      </c>
      <c r="V1216" s="4">
        <v>166.14</v>
      </c>
      <c r="W1216" t="s">
        <v>21</v>
      </c>
      <c r="X1216" t="s">
        <v>36</v>
      </c>
      <c r="Y1216" s="4">
        <v>25</v>
      </c>
      <c r="Z1216" s="4">
        <v>14</v>
      </c>
      <c r="AA1216" t="s">
        <v>52</v>
      </c>
      <c r="AB1216" t="s">
        <v>44</v>
      </c>
      <c r="AC1216" s="7">
        <v>2</v>
      </c>
      <c r="AD1216" t="s">
        <v>45</v>
      </c>
      <c r="AE1216">
        <f t="shared" si="18"/>
        <v>1</v>
      </c>
    </row>
    <row r="1217" spans="1:31" x14ac:dyDescent="0.35">
      <c r="A1217">
        <v>101216</v>
      </c>
      <c r="B1217" s="3">
        <v>46016</v>
      </c>
      <c r="C1217">
        <v>1142</v>
      </c>
      <c r="D1217" t="s">
        <v>30</v>
      </c>
      <c r="E1217" t="s">
        <v>72</v>
      </c>
      <c r="F1217" t="s">
        <v>61</v>
      </c>
      <c r="G1217" t="s">
        <v>33</v>
      </c>
      <c r="H1217" t="s">
        <v>34</v>
      </c>
      <c r="I1217" t="s">
        <v>35</v>
      </c>
      <c r="J1217" s="4">
        <v>34.28</v>
      </c>
      <c r="K1217" s="4">
        <v>18.329999999999998</v>
      </c>
      <c r="L1217">
        <v>5</v>
      </c>
      <c r="M1217" s="4">
        <v>31.42</v>
      </c>
      <c r="N1217" s="4">
        <v>596.92999999999995</v>
      </c>
      <c r="O1217" s="4">
        <v>250.85</v>
      </c>
      <c r="P1217" s="4">
        <v>5.7</v>
      </c>
      <c r="Q1217" s="4">
        <v>4.4000000000000004</v>
      </c>
      <c r="R1217" s="4">
        <v>6.23</v>
      </c>
      <c r="S1217" s="4">
        <v>300.5</v>
      </c>
      <c r="T1217" s="4">
        <v>0</v>
      </c>
      <c r="U1217" s="4">
        <v>567.67999999999995</v>
      </c>
      <c r="V1217" s="4">
        <v>29.25</v>
      </c>
      <c r="W1217" t="s">
        <v>21</v>
      </c>
      <c r="X1217" t="s">
        <v>66</v>
      </c>
      <c r="Y1217" s="4">
        <v>0</v>
      </c>
      <c r="Z1217" s="4">
        <v>11</v>
      </c>
      <c r="AA1217" t="s">
        <v>37</v>
      </c>
      <c r="AB1217" t="s">
        <v>38</v>
      </c>
      <c r="AC1217" s="7">
        <v>1</v>
      </c>
      <c r="AD1217" t="s">
        <v>45</v>
      </c>
      <c r="AE1217">
        <f t="shared" si="18"/>
        <v>0</v>
      </c>
    </row>
    <row r="1218" spans="1:31" x14ac:dyDescent="0.35">
      <c r="A1218">
        <v>101217</v>
      </c>
      <c r="B1218" s="3">
        <v>45958</v>
      </c>
      <c r="C1218">
        <v>1015</v>
      </c>
      <c r="D1218" t="s">
        <v>47</v>
      </c>
      <c r="E1218" t="s">
        <v>74</v>
      </c>
      <c r="F1218" t="s">
        <v>71</v>
      </c>
      <c r="G1218" t="s">
        <v>63</v>
      </c>
      <c r="H1218" t="s">
        <v>34</v>
      </c>
      <c r="I1218" t="s">
        <v>35</v>
      </c>
      <c r="J1218" s="4">
        <v>10.130000000000001</v>
      </c>
      <c r="K1218" s="4">
        <v>12.66</v>
      </c>
      <c r="L1218">
        <v>0</v>
      </c>
      <c r="M1218" s="4">
        <v>0</v>
      </c>
      <c r="N1218" s="4">
        <v>128.25</v>
      </c>
      <c r="O1218" s="4">
        <v>58.09</v>
      </c>
      <c r="P1218" s="4">
        <v>8.36</v>
      </c>
      <c r="Q1218" s="4">
        <v>0.9</v>
      </c>
      <c r="R1218" s="4">
        <v>5.76</v>
      </c>
      <c r="S1218" s="4">
        <v>0</v>
      </c>
      <c r="T1218" s="4">
        <v>0</v>
      </c>
      <c r="U1218" s="4">
        <v>73.11</v>
      </c>
      <c r="V1218" s="4">
        <v>55.14</v>
      </c>
      <c r="W1218" t="s">
        <v>21</v>
      </c>
      <c r="X1218" t="s">
        <v>36</v>
      </c>
      <c r="Y1218" s="4">
        <v>0</v>
      </c>
      <c r="Z1218" s="4">
        <v>3</v>
      </c>
      <c r="AA1218" t="s">
        <v>37</v>
      </c>
      <c r="AB1218" t="s">
        <v>38</v>
      </c>
      <c r="AC1218" s="7">
        <v>0</v>
      </c>
      <c r="AD1218" t="s">
        <v>39</v>
      </c>
      <c r="AE1218">
        <f t="shared" si="18"/>
        <v>0</v>
      </c>
    </row>
    <row r="1219" spans="1:31" x14ac:dyDescent="0.35">
      <c r="A1219">
        <v>101218</v>
      </c>
      <c r="B1219" s="3">
        <v>45994</v>
      </c>
      <c r="C1219">
        <v>1146</v>
      </c>
      <c r="D1219" t="s">
        <v>30</v>
      </c>
      <c r="E1219" t="s">
        <v>40</v>
      </c>
      <c r="F1219" t="s">
        <v>41</v>
      </c>
      <c r="G1219" t="s">
        <v>46</v>
      </c>
      <c r="H1219" t="s">
        <v>57</v>
      </c>
      <c r="I1219" t="s">
        <v>54</v>
      </c>
      <c r="J1219" s="4">
        <v>27.75</v>
      </c>
      <c r="K1219" s="4">
        <v>15.7</v>
      </c>
      <c r="L1219">
        <v>0</v>
      </c>
      <c r="M1219" s="4">
        <v>0</v>
      </c>
      <c r="N1219" s="4">
        <v>435.67</v>
      </c>
      <c r="O1219" s="4">
        <v>178.21</v>
      </c>
      <c r="P1219" s="4">
        <v>12.55</v>
      </c>
      <c r="Q1219" s="4">
        <v>5.23</v>
      </c>
      <c r="R1219" s="4">
        <v>5.8</v>
      </c>
      <c r="S1219" s="4">
        <v>0</v>
      </c>
      <c r="T1219" s="4">
        <v>0</v>
      </c>
      <c r="U1219" s="4">
        <v>201.79</v>
      </c>
      <c r="V1219" s="4">
        <v>233.88</v>
      </c>
      <c r="W1219" t="s">
        <v>21</v>
      </c>
      <c r="X1219" t="s">
        <v>36</v>
      </c>
      <c r="Y1219" s="4">
        <v>29</v>
      </c>
      <c r="Z1219" s="4">
        <v>9</v>
      </c>
      <c r="AA1219" t="s">
        <v>52</v>
      </c>
      <c r="AB1219" t="s">
        <v>44</v>
      </c>
      <c r="AC1219" s="7">
        <v>2</v>
      </c>
      <c r="AD1219" t="s">
        <v>45</v>
      </c>
      <c r="AE1219">
        <f t="shared" ref="AE1219:AE1282" si="19">IF(AB1219="Yes",1,0)</f>
        <v>1</v>
      </c>
    </row>
    <row r="1220" spans="1:31" x14ac:dyDescent="0.35">
      <c r="A1220">
        <v>101219</v>
      </c>
      <c r="B1220" s="3">
        <v>46018</v>
      </c>
      <c r="C1220">
        <v>1054</v>
      </c>
      <c r="D1220" t="s">
        <v>64</v>
      </c>
      <c r="E1220" t="s">
        <v>67</v>
      </c>
      <c r="F1220" t="s">
        <v>32</v>
      </c>
      <c r="G1220" t="s">
        <v>50</v>
      </c>
      <c r="H1220" t="s">
        <v>34</v>
      </c>
      <c r="I1220" t="s">
        <v>35</v>
      </c>
      <c r="J1220" s="4">
        <v>22.62</v>
      </c>
      <c r="K1220" s="4">
        <v>18.14</v>
      </c>
      <c r="L1220">
        <v>0</v>
      </c>
      <c r="M1220" s="4">
        <v>0</v>
      </c>
      <c r="N1220" s="4">
        <v>410.33</v>
      </c>
      <c r="O1220" s="4">
        <v>160.12</v>
      </c>
      <c r="P1220" s="4">
        <v>7.68</v>
      </c>
      <c r="Q1220" s="4">
        <v>2.87</v>
      </c>
      <c r="R1220" s="4">
        <v>6.82</v>
      </c>
      <c r="S1220" s="4">
        <v>0</v>
      </c>
      <c r="T1220" s="4">
        <v>0</v>
      </c>
      <c r="U1220" s="4">
        <v>177.49</v>
      </c>
      <c r="V1220" s="4">
        <v>232.84</v>
      </c>
      <c r="W1220" t="s">
        <v>21</v>
      </c>
      <c r="X1220" t="s">
        <v>36</v>
      </c>
      <c r="Y1220" s="4">
        <v>0</v>
      </c>
      <c r="Z1220" s="4">
        <v>6</v>
      </c>
      <c r="AA1220" t="s">
        <v>37</v>
      </c>
      <c r="AB1220" t="s">
        <v>38</v>
      </c>
      <c r="AC1220" s="7">
        <v>0</v>
      </c>
      <c r="AD1220" t="s">
        <v>39</v>
      </c>
      <c r="AE1220">
        <f t="shared" si="19"/>
        <v>0</v>
      </c>
    </row>
    <row r="1221" spans="1:31" x14ac:dyDescent="0.35">
      <c r="A1221">
        <v>101220</v>
      </c>
      <c r="B1221" s="3">
        <v>45955</v>
      </c>
      <c r="C1221">
        <v>1046</v>
      </c>
      <c r="D1221" t="s">
        <v>30</v>
      </c>
      <c r="E1221" t="s">
        <v>72</v>
      </c>
      <c r="F1221" t="s">
        <v>49</v>
      </c>
      <c r="G1221" t="s">
        <v>33</v>
      </c>
      <c r="H1221" t="s">
        <v>34</v>
      </c>
      <c r="I1221" t="s">
        <v>35</v>
      </c>
      <c r="J1221" s="4">
        <v>31.27</v>
      </c>
      <c r="K1221" s="4">
        <v>21.32</v>
      </c>
      <c r="L1221">
        <v>5</v>
      </c>
      <c r="M1221" s="4">
        <v>33.33</v>
      </c>
      <c r="N1221" s="4">
        <v>633.35</v>
      </c>
      <c r="O1221" s="4">
        <v>220.73</v>
      </c>
      <c r="P1221" s="4">
        <v>8.66</v>
      </c>
      <c r="Q1221" s="4">
        <v>4.67</v>
      </c>
      <c r="R1221" s="4">
        <v>8.8699999999999992</v>
      </c>
      <c r="S1221" s="4">
        <v>0</v>
      </c>
      <c r="T1221" s="4">
        <v>0</v>
      </c>
      <c r="U1221" s="4">
        <v>242.93</v>
      </c>
      <c r="V1221" s="4">
        <v>390.42</v>
      </c>
      <c r="W1221" t="s">
        <v>21</v>
      </c>
      <c r="X1221" t="s">
        <v>36</v>
      </c>
      <c r="Y1221" s="4">
        <v>41</v>
      </c>
      <c r="Z1221" s="4">
        <v>6</v>
      </c>
      <c r="AA1221" t="s">
        <v>43</v>
      </c>
      <c r="AB1221" t="s">
        <v>44</v>
      </c>
      <c r="AC1221" s="7">
        <v>2</v>
      </c>
      <c r="AD1221" t="s">
        <v>45</v>
      </c>
      <c r="AE1221">
        <f t="shared" si="19"/>
        <v>1</v>
      </c>
    </row>
    <row r="1222" spans="1:31" x14ac:dyDescent="0.35">
      <c r="A1222">
        <v>101221</v>
      </c>
      <c r="B1222" s="3">
        <v>45935</v>
      </c>
      <c r="C1222">
        <v>1031</v>
      </c>
      <c r="D1222" t="s">
        <v>30</v>
      </c>
      <c r="E1222" t="s">
        <v>72</v>
      </c>
      <c r="F1222" t="s">
        <v>49</v>
      </c>
      <c r="G1222" t="s">
        <v>46</v>
      </c>
      <c r="H1222" t="s">
        <v>34</v>
      </c>
      <c r="I1222" t="s">
        <v>54</v>
      </c>
      <c r="J1222" s="4">
        <v>26.05</v>
      </c>
      <c r="K1222" s="4">
        <v>14.83</v>
      </c>
      <c r="L1222">
        <v>10</v>
      </c>
      <c r="M1222" s="4">
        <v>38.630000000000003</v>
      </c>
      <c r="N1222" s="4">
        <v>347.69</v>
      </c>
      <c r="O1222" s="4">
        <v>172.87</v>
      </c>
      <c r="P1222" s="4">
        <v>7.69</v>
      </c>
      <c r="Q1222" s="4">
        <v>4.6399999999999997</v>
      </c>
      <c r="R1222" s="4">
        <v>4.8499999999999996</v>
      </c>
      <c r="S1222" s="4">
        <v>0</v>
      </c>
      <c r="T1222" s="4">
        <v>0</v>
      </c>
      <c r="U1222" s="4">
        <v>190.05</v>
      </c>
      <c r="V1222" s="4">
        <v>157.63999999999999</v>
      </c>
      <c r="W1222" t="s">
        <v>21</v>
      </c>
      <c r="X1222" t="s">
        <v>36</v>
      </c>
      <c r="Y1222" s="4">
        <v>5</v>
      </c>
      <c r="Z1222" s="4">
        <v>11</v>
      </c>
      <c r="AA1222" t="s">
        <v>37</v>
      </c>
      <c r="AB1222" t="s">
        <v>38</v>
      </c>
      <c r="AC1222" s="7">
        <v>0</v>
      </c>
      <c r="AD1222" t="s">
        <v>39</v>
      </c>
      <c r="AE1222">
        <f t="shared" si="19"/>
        <v>0</v>
      </c>
    </row>
    <row r="1223" spans="1:31" x14ac:dyDescent="0.35">
      <c r="A1223">
        <v>101222</v>
      </c>
      <c r="B1223" s="3">
        <v>45984</v>
      </c>
      <c r="C1223">
        <v>1109</v>
      </c>
      <c r="D1223" t="s">
        <v>30</v>
      </c>
      <c r="E1223" t="s">
        <v>40</v>
      </c>
      <c r="F1223" t="s">
        <v>61</v>
      </c>
      <c r="G1223" t="s">
        <v>46</v>
      </c>
      <c r="H1223" t="s">
        <v>34</v>
      </c>
      <c r="I1223" t="s">
        <v>42</v>
      </c>
      <c r="J1223" s="4">
        <v>32.32</v>
      </c>
      <c r="K1223" s="4">
        <v>16.329999999999998</v>
      </c>
      <c r="L1223">
        <v>0</v>
      </c>
      <c r="M1223" s="4">
        <v>0</v>
      </c>
      <c r="N1223" s="4">
        <v>527.79</v>
      </c>
      <c r="O1223" s="4">
        <v>232.62</v>
      </c>
      <c r="P1223" s="4">
        <v>6.35</v>
      </c>
      <c r="Q1223" s="4">
        <v>7.92</v>
      </c>
      <c r="R1223" s="4">
        <v>6.76</v>
      </c>
      <c r="S1223" s="4">
        <v>0</v>
      </c>
      <c r="T1223" s="4">
        <v>0</v>
      </c>
      <c r="U1223" s="4">
        <v>253.65</v>
      </c>
      <c r="V1223" s="4">
        <v>274.14</v>
      </c>
      <c r="W1223" t="s">
        <v>21</v>
      </c>
      <c r="X1223" t="s">
        <v>36</v>
      </c>
      <c r="Y1223" s="4">
        <v>1</v>
      </c>
      <c r="Z1223" s="4">
        <v>4</v>
      </c>
      <c r="AA1223" t="s">
        <v>37</v>
      </c>
      <c r="AB1223" t="s">
        <v>38</v>
      </c>
      <c r="AC1223" s="7">
        <v>2</v>
      </c>
      <c r="AD1223" t="s">
        <v>39</v>
      </c>
      <c r="AE1223">
        <f t="shared" si="19"/>
        <v>0</v>
      </c>
    </row>
    <row r="1224" spans="1:31" x14ac:dyDescent="0.35">
      <c r="A1224">
        <v>101223</v>
      </c>
      <c r="B1224" s="3">
        <v>45992</v>
      </c>
      <c r="C1224">
        <v>1119</v>
      </c>
      <c r="D1224" t="s">
        <v>30</v>
      </c>
      <c r="E1224" t="s">
        <v>62</v>
      </c>
      <c r="F1224" t="s">
        <v>71</v>
      </c>
      <c r="G1224" t="s">
        <v>50</v>
      </c>
      <c r="H1224" t="s">
        <v>34</v>
      </c>
      <c r="I1224" t="s">
        <v>35</v>
      </c>
      <c r="J1224" s="4">
        <v>30.1</v>
      </c>
      <c r="K1224" s="4">
        <v>18.28</v>
      </c>
      <c r="L1224">
        <v>0</v>
      </c>
      <c r="M1224" s="4">
        <v>0</v>
      </c>
      <c r="N1224" s="4">
        <v>550.23</v>
      </c>
      <c r="O1224" s="4">
        <v>200.05</v>
      </c>
      <c r="P1224" s="4">
        <v>16.38</v>
      </c>
      <c r="Q1224" s="4">
        <v>3.85</v>
      </c>
      <c r="R1224" s="4">
        <v>8.6999999999999993</v>
      </c>
      <c r="S1224" s="4">
        <v>0</v>
      </c>
      <c r="T1224" s="4">
        <v>0</v>
      </c>
      <c r="U1224" s="4">
        <v>228.98</v>
      </c>
      <c r="V1224" s="4">
        <v>321.25</v>
      </c>
      <c r="W1224" t="s">
        <v>21</v>
      </c>
      <c r="X1224" t="s">
        <v>36</v>
      </c>
      <c r="Y1224" s="4">
        <v>0</v>
      </c>
      <c r="Z1224" s="4">
        <v>13</v>
      </c>
      <c r="AA1224" t="s">
        <v>37</v>
      </c>
      <c r="AB1224" t="s">
        <v>38</v>
      </c>
      <c r="AC1224" s="7">
        <v>0</v>
      </c>
      <c r="AD1224" t="s">
        <v>39</v>
      </c>
      <c r="AE1224">
        <f t="shared" si="19"/>
        <v>0</v>
      </c>
    </row>
    <row r="1225" spans="1:31" x14ac:dyDescent="0.35">
      <c r="A1225">
        <v>101224</v>
      </c>
      <c r="B1225" s="3">
        <v>45975</v>
      </c>
      <c r="C1225">
        <v>1023</v>
      </c>
      <c r="D1225" t="s">
        <v>47</v>
      </c>
      <c r="E1225" t="s">
        <v>48</v>
      </c>
      <c r="F1225" t="s">
        <v>32</v>
      </c>
      <c r="G1225" t="s">
        <v>50</v>
      </c>
      <c r="H1225" t="s">
        <v>34</v>
      </c>
      <c r="I1225" t="s">
        <v>35</v>
      </c>
      <c r="J1225" s="4">
        <v>17.059999999999999</v>
      </c>
      <c r="K1225" s="4">
        <v>18.43</v>
      </c>
      <c r="L1225">
        <v>5</v>
      </c>
      <c r="M1225" s="4">
        <v>15.72</v>
      </c>
      <c r="N1225" s="4">
        <v>298.7</v>
      </c>
      <c r="O1225" s="4">
        <v>115.97</v>
      </c>
      <c r="P1225" s="4">
        <v>4.9800000000000004</v>
      </c>
      <c r="Q1225" s="4">
        <v>2.2000000000000002</v>
      </c>
      <c r="R1225" s="4">
        <v>7.74</v>
      </c>
      <c r="S1225" s="4">
        <v>306.38</v>
      </c>
      <c r="T1225" s="4">
        <v>0</v>
      </c>
      <c r="U1225" s="4">
        <v>437.27</v>
      </c>
      <c r="V1225" s="4">
        <v>-138.57</v>
      </c>
      <c r="W1225" t="s">
        <v>58</v>
      </c>
      <c r="X1225" t="s">
        <v>55</v>
      </c>
      <c r="Y1225" s="4">
        <v>1</v>
      </c>
      <c r="Z1225" s="4">
        <v>7</v>
      </c>
      <c r="AA1225" t="s">
        <v>37</v>
      </c>
      <c r="AB1225" t="s">
        <v>44</v>
      </c>
      <c r="AC1225" s="7">
        <v>1</v>
      </c>
      <c r="AD1225" t="s">
        <v>45</v>
      </c>
      <c r="AE1225">
        <f t="shared" si="19"/>
        <v>1</v>
      </c>
    </row>
    <row r="1226" spans="1:31" x14ac:dyDescent="0.35">
      <c r="A1226">
        <v>101225</v>
      </c>
      <c r="B1226" s="3">
        <v>45939</v>
      </c>
      <c r="C1226">
        <v>1135</v>
      </c>
      <c r="D1226" t="s">
        <v>59</v>
      </c>
      <c r="E1226" t="s">
        <v>70</v>
      </c>
      <c r="F1226" t="s">
        <v>41</v>
      </c>
      <c r="G1226" t="s">
        <v>50</v>
      </c>
      <c r="H1226" t="s">
        <v>34</v>
      </c>
      <c r="I1226" t="s">
        <v>35</v>
      </c>
      <c r="J1226" s="4">
        <v>25.76</v>
      </c>
      <c r="K1226" s="4">
        <v>17.739999999999998</v>
      </c>
      <c r="L1226">
        <v>0</v>
      </c>
      <c r="M1226" s="4">
        <v>0</v>
      </c>
      <c r="N1226" s="4">
        <v>456.98</v>
      </c>
      <c r="O1226" s="4">
        <v>173.47</v>
      </c>
      <c r="P1226" s="4">
        <v>5.44</v>
      </c>
      <c r="Q1226" s="4">
        <v>3.2</v>
      </c>
      <c r="R1226" s="4">
        <v>9.56</v>
      </c>
      <c r="S1226" s="4">
        <v>405.74</v>
      </c>
      <c r="T1226" s="4">
        <v>0</v>
      </c>
      <c r="U1226" s="4">
        <v>597.41</v>
      </c>
      <c r="V1226" s="4">
        <v>-140.43</v>
      </c>
      <c r="W1226" t="s">
        <v>58</v>
      </c>
      <c r="X1226" t="s">
        <v>66</v>
      </c>
      <c r="Y1226" s="4">
        <v>10</v>
      </c>
      <c r="Z1226" s="4">
        <v>0</v>
      </c>
      <c r="AA1226" t="s">
        <v>37</v>
      </c>
      <c r="AB1226" t="s">
        <v>38</v>
      </c>
      <c r="AC1226" s="7">
        <v>2</v>
      </c>
      <c r="AD1226" t="s">
        <v>45</v>
      </c>
      <c r="AE1226">
        <f t="shared" si="19"/>
        <v>0</v>
      </c>
    </row>
    <row r="1227" spans="1:31" x14ac:dyDescent="0.35">
      <c r="A1227">
        <v>101226</v>
      </c>
      <c r="B1227" s="3">
        <v>46001</v>
      </c>
      <c r="C1227">
        <v>1054</v>
      </c>
      <c r="D1227" t="s">
        <v>30</v>
      </c>
      <c r="E1227" t="s">
        <v>40</v>
      </c>
      <c r="F1227" t="s">
        <v>41</v>
      </c>
      <c r="G1227" t="s">
        <v>46</v>
      </c>
      <c r="H1227" t="s">
        <v>51</v>
      </c>
      <c r="I1227" t="s">
        <v>35</v>
      </c>
      <c r="J1227" s="4">
        <v>33.85</v>
      </c>
      <c r="K1227" s="4">
        <v>15.27</v>
      </c>
      <c r="L1227">
        <v>15</v>
      </c>
      <c r="M1227" s="4">
        <v>77.53</v>
      </c>
      <c r="N1227" s="4">
        <v>439.36</v>
      </c>
      <c r="O1227" s="4">
        <v>245.29</v>
      </c>
      <c r="P1227" s="4">
        <v>6.18</v>
      </c>
      <c r="Q1227" s="4">
        <v>3.62</v>
      </c>
      <c r="R1227" s="4">
        <v>8.69</v>
      </c>
      <c r="S1227" s="4">
        <v>0</v>
      </c>
      <c r="T1227" s="4">
        <v>0</v>
      </c>
      <c r="U1227" s="4">
        <v>263.77999999999997</v>
      </c>
      <c r="V1227" s="4">
        <v>175.58</v>
      </c>
      <c r="W1227" t="s">
        <v>21</v>
      </c>
      <c r="X1227" t="s">
        <v>36</v>
      </c>
      <c r="Y1227" s="4">
        <v>16</v>
      </c>
      <c r="Z1227" s="4">
        <v>9</v>
      </c>
      <c r="AA1227" t="s">
        <v>52</v>
      </c>
      <c r="AB1227" t="s">
        <v>38</v>
      </c>
      <c r="AC1227" s="7">
        <v>0</v>
      </c>
      <c r="AD1227" t="s">
        <v>39</v>
      </c>
      <c r="AE1227">
        <f t="shared" si="19"/>
        <v>0</v>
      </c>
    </row>
    <row r="1228" spans="1:31" x14ac:dyDescent="0.35">
      <c r="A1228">
        <v>101227</v>
      </c>
      <c r="B1228" s="3">
        <v>45956</v>
      </c>
      <c r="C1228">
        <v>1139</v>
      </c>
      <c r="D1228" t="s">
        <v>47</v>
      </c>
      <c r="E1228" t="s">
        <v>74</v>
      </c>
      <c r="F1228" t="s">
        <v>41</v>
      </c>
      <c r="G1228" t="s">
        <v>63</v>
      </c>
      <c r="H1228" t="s">
        <v>34</v>
      </c>
      <c r="I1228" t="s">
        <v>69</v>
      </c>
      <c r="J1228" s="4">
        <v>13.71</v>
      </c>
      <c r="K1228" s="4">
        <v>11.93</v>
      </c>
      <c r="L1228">
        <v>15</v>
      </c>
      <c r="M1228" s="4">
        <v>24.53</v>
      </c>
      <c r="N1228" s="4">
        <v>139.03</v>
      </c>
      <c r="O1228" s="4">
        <v>113.31</v>
      </c>
      <c r="P1228" s="4">
        <v>7.74</v>
      </c>
      <c r="Q1228" s="4">
        <v>0.65</v>
      </c>
      <c r="R1228" s="4">
        <v>7.1</v>
      </c>
      <c r="S1228" s="4">
        <v>0</v>
      </c>
      <c r="T1228" s="4">
        <v>0</v>
      </c>
      <c r="U1228" s="4">
        <v>128.80000000000001</v>
      </c>
      <c r="V1228" s="4">
        <v>10.23</v>
      </c>
      <c r="W1228" t="s">
        <v>21</v>
      </c>
      <c r="X1228" t="s">
        <v>36</v>
      </c>
      <c r="Y1228" s="4">
        <v>0</v>
      </c>
      <c r="Z1228" s="4">
        <v>0</v>
      </c>
      <c r="AA1228" t="s">
        <v>37</v>
      </c>
      <c r="AB1228" t="s">
        <v>38</v>
      </c>
      <c r="AC1228" s="7">
        <v>0</v>
      </c>
      <c r="AD1228" t="s">
        <v>39</v>
      </c>
      <c r="AE1228">
        <f t="shared" si="19"/>
        <v>0</v>
      </c>
    </row>
    <row r="1229" spans="1:31" x14ac:dyDescent="0.35">
      <c r="A1229">
        <v>101228</v>
      </c>
      <c r="B1229" s="3">
        <v>46017</v>
      </c>
      <c r="C1229">
        <v>1074</v>
      </c>
      <c r="D1229" t="s">
        <v>30</v>
      </c>
      <c r="E1229" t="s">
        <v>40</v>
      </c>
      <c r="F1229" t="s">
        <v>71</v>
      </c>
      <c r="G1229" t="s">
        <v>46</v>
      </c>
      <c r="H1229" t="s">
        <v>34</v>
      </c>
      <c r="I1229" t="s">
        <v>35</v>
      </c>
      <c r="J1229" s="4">
        <v>28.28</v>
      </c>
      <c r="K1229" s="4">
        <v>14.98</v>
      </c>
      <c r="L1229">
        <v>0</v>
      </c>
      <c r="M1229" s="4">
        <v>0</v>
      </c>
      <c r="N1229" s="4">
        <v>423.63</v>
      </c>
      <c r="O1229" s="4">
        <v>213.28</v>
      </c>
      <c r="P1229" s="4">
        <v>8.9700000000000006</v>
      </c>
      <c r="Q1229" s="4">
        <v>2.97</v>
      </c>
      <c r="R1229" s="4">
        <v>0</v>
      </c>
      <c r="S1229" s="4">
        <v>0</v>
      </c>
      <c r="T1229" s="4">
        <v>0</v>
      </c>
      <c r="U1229" s="4">
        <v>225.22</v>
      </c>
      <c r="V1229" s="4">
        <v>198.41</v>
      </c>
      <c r="W1229" t="s">
        <v>21</v>
      </c>
      <c r="X1229" t="s">
        <v>36</v>
      </c>
      <c r="Y1229" s="4">
        <v>7</v>
      </c>
      <c r="Z1229" s="4">
        <v>38</v>
      </c>
      <c r="AA1229" t="s">
        <v>37</v>
      </c>
      <c r="AB1229" t="s">
        <v>44</v>
      </c>
      <c r="AC1229" s="7">
        <v>1</v>
      </c>
      <c r="AD1229" t="s">
        <v>45</v>
      </c>
      <c r="AE1229">
        <f t="shared" si="19"/>
        <v>1</v>
      </c>
    </row>
    <row r="1230" spans="1:31" x14ac:dyDescent="0.35">
      <c r="A1230">
        <v>101229</v>
      </c>
      <c r="B1230" s="3">
        <v>46022</v>
      </c>
      <c r="C1230">
        <v>1114</v>
      </c>
      <c r="D1230" t="s">
        <v>30</v>
      </c>
      <c r="E1230" t="s">
        <v>31</v>
      </c>
      <c r="F1230" t="s">
        <v>61</v>
      </c>
      <c r="G1230" t="s">
        <v>46</v>
      </c>
      <c r="H1230" t="s">
        <v>34</v>
      </c>
      <c r="I1230" t="s">
        <v>35</v>
      </c>
      <c r="J1230" s="4">
        <v>22.03</v>
      </c>
      <c r="K1230" s="4">
        <v>17.260000000000002</v>
      </c>
      <c r="L1230">
        <v>0</v>
      </c>
      <c r="M1230" s="4">
        <v>0</v>
      </c>
      <c r="N1230" s="4">
        <v>380.24</v>
      </c>
      <c r="O1230" s="4">
        <v>143.22999999999999</v>
      </c>
      <c r="P1230" s="4">
        <v>5.56</v>
      </c>
      <c r="Q1230" s="4">
        <v>2.66</v>
      </c>
      <c r="R1230" s="4">
        <v>3.67</v>
      </c>
      <c r="S1230" s="4">
        <v>0</v>
      </c>
      <c r="T1230" s="4">
        <v>0</v>
      </c>
      <c r="U1230" s="4">
        <v>155.12</v>
      </c>
      <c r="V1230" s="4">
        <v>225.12</v>
      </c>
      <c r="W1230" t="s">
        <v>21</v>
      </c>
      <c r="X1230" t="s">
        <v>36</v>
      </c>
      <c r="Y1230" s="4">
        <v>1</v>
      </c>
      <c r="Z1230" s="4">
        <v>1</v>
      </c>
      <c r="AA1230" t="s">
        <v>37</v>
      </c>
      <c r="AB1230" t="s">
        <v>38</v>
      </c>
      <c r="AC1230" s="7">
        <v>0</v>
      </c>
      <c r="AD1230" t="s">
        <v>39</v>
      </c>
      <c r="AE1230">
        <f t="shared" si="19"/>
        <v>0</v>
      </c>
    </row>
    <row r="1231" spans="1:31" x14ac:dyDescent="0.35">
      <c r="A1231">
        <v>101230</v>
      </c>
      <c r="B1231" s="3">
        <v>45979</v>
      </c>
      <c r="C1231">
        <v>1107</v>
      </c>
      <c r="D1231" t="s">
        <v>59</v>
      </c>
      <c r="E1231" t="s">
        <v>60</v>
      </c>
      <c r="F1231" t="s">
        <v>71</v>
      </c>
      <c r="G1231" t="s">
        <v>50</v>
      </c>
      <c r="H1231" t="s">
        <v>51</v>
      </c>
      <c r="I1231" t="s">
        <v>42</v>
      </c>
      <c r="J1231" s="4">
        <v>20.75</v>
      </c>
      <c r="K1231" s="4">
        <v>17.309999999999999</v>
      </c>
      <c r="L1231">
        <v>10</v>
      </c>
      <c r="M1231" s="4">
        <v>35.92</v>
      </c>
      <c r="N1231" s="4">
        <v>323.26</v>
      </c>
      <c r="O1231" s="4">
        <v>154.51</v>
      </c>
      <c r="P1231" s="4">
        <v>6.56</v>
      </c>
      <c r="Q1231" s="4">
        <v>5.39</v>
      </c>
      <c r="R1231" s="4">
        <v>5.58</v>
      </c>
      <c r="S1231" s="4">
        <v>0</v>
      </c>
      <c r="T1231" s="4">
        <v>0</v>
      </c>
      <c r="U1231" s="4">
        <v>172.04</v>
      </c>
      <c r="V1231" s="4">
        <v>151.22</v>
      </c>
      <c r="W1231" t="s">
        <v>21</v>
      </c>
      <c r="X1231" t="s">
        <v>36</v>
      </c>
      <c r="Y1231" s="4">
        <v>16</v>
      </c>
      <c r="Z1231" s="4">
        <v>16</v>
      </c>
      <c r="AA1231" t="s">
        <v>52</v>
      </c>
      <c r="AB1231" t="s">
        <v>44</v>
      </c>
      <c r="AC1231" s="7">
        <v>2</v>
      </c>
      <c r="AD1231" t="s">
        <v>45</v>
      </c>
      <c r="AE1231">
        <f t="shared" si="19"/>
        <v>1</v>
      </c>
    </row>
    <row r="1232" spans="1:31" x14ac:dyDescent="0.35">
      <c r="A1232">
        <v>101231</v>
      </c>
      <c r="B1232" s="3">
        <v>45947</v>
      </c>
      <c r="C1232">
        <v>1016</v>
      </c>
      <c r="D1232" t="s">
        <v>64</v>
      </c>
      <c r="E1232" t="s">
        <v>67</v>
      </c>
      <c r="F1232" t="s">
        <v>41</v>
      </c>
      <c r="G1232" t="s">
        <v>63</v>
      </c>
      <c r="H1232" t="s">
        <v>34</v>
      </c>
      <c r="I1232" t="s">
        <v>35</v>
      </c>
      <c r="J1232" s="4">
        <v>23.18</v>
      </c>
      <c r="K1232" s="4">
        <v>12.35</v>
      </c>
      <c r="L1232">
        <v>10</v>
      </c>
      <c r="M1232" s="4">
        <v>28.63</v>
      </c>
      <c r="N1232" s="4">
        <v>257.64</v>
      </c>
      <c r="O1232" s="4">
        <v>181.11</v>
      </c>
      <c r="P1232" s="4">
        <v>4.62</v>
      </c>
      <c r="Q1232" s="4">
        <v>2</v>
      </c>
      <c r="R1232" s="4">
        <v>3.52</v>
      </c>
      <c r="S1232" s="4">
        <v>0</v>
      </c>
      <c r="T1232" s="4">
        <v>0</v>
      </c>
      <c r="U1232" s="4">
        <v>191.25</v>
      </c>
      <c r="V1232" s="4">
        <v>66.39</v>
      </c>
      <c r="W1232" t="s">
        <v>21</v>
      </c>
      <c r="X1232" t="s">
        <v>36</v>
      </c>
      <c r="Y1232" s="4">
        <v>9</v>
      </c>
      <c r="Z1232" s="4">
        <v>7</v>
      </c>
      <c r="AA1232" t="s">
        <v>37</v>
      </c>
      <c r="AB1232" t="s">
        <v>38</v>
      </c>
      <c r="AC1232" s="7">
        <v>0</v>
      </c>
      <c r="AD1232" t="s">
        <v>39</v>
      </c>
      <c r="AE1232">
        <f t="shared" si="19"/>
        <v>0</v>
      </c>
    </row>
    <row r="1233" spans="1:31" x14ac:dyDescent="0.35">
      <c r="A1233">
        <v>101232</v>
      </c>
      <c r="B1233" s="3">
        <v>45933</v>
      </c>
      <c r="C1233">
        <v>1140</v>
      </c>
      <c r="D1233" t="s">
        <v>30</v>
      </c>
      <c r="E1233" t="s">
        <v>72</v>
      </c>
      <c r="F1233" t="s">
        <v>32</v>
      </c>
      <c r="G1233" t="s">
        <v>63</v>
      </c>
      <c r="H1233" t="s">
        <v>34</v>
      </c>
      <c r="I1233" t="s">
        <v>42</v>
      </c>
      <c r="J1233" s="4">
        <v>16.88</v>
      </c>
      <c r="K1233" s="4">
        <v>12.3</v>
      </c>
      <c r="L1233">
        <v>0</v>
      </c>
      <c r="M1233" s="4">
        <v>0</v>
      </c>
      <c r="N1233" s="4">
        <v>207.62</v>
      </c>
      <c r="O1233" s="4">
        <v>132.01</v>
      </c>
      <c r="P1233" s="4">
        <v>9.11</v>
      </c>
      <c r="Q1233" s="4">
        <v>3.11</v>
      </c>
      <c r="R1233" s="4">
        <v>9.19</v>
      </c>
      <c r="S1233" s="4">
        <v>153.74</v>
      </c>
      <c r="T1233" s="4">
        <v>0</v>
      </c>
      <c r="U1233" s="4">
        <v>307.16000000000003</v>
      </c>
      <c r="V1233" s="4">
        <v>-99.54</v>
      </c>
      <c r="W1233" t="s">
        <v>58</v>
      </c>
      <c r="X1233" t="s">
        <v>66</v>
      </c>
      <c r="Y1233" s="4">
        <v>15</v>
      </c>
      <c r="Z1233" s="4">
        <v>20</v>
      </c>
      <c r="AA1233" t="s">
        <v>37</v>
      </c>
      <c r="AB1233" t="s">
        <v>44</v>
      </c>
      <c r="AC1233" s="7">
        <v>1</v>
      </c>
      <c r="AD1233" t="s">
        <v>45</v>
      </c>
      <c r="AE1233">
        <f t="shared" si="19"/>
        <v>1</v>
      </c>
    </row>
    <row r="1234" spans="1:31" x14ac:dyDescent="0.35">
      <c r="A1234">
        <v>101233</v>
      </c>
      <c r="B1234" s="3">
        <v>45938</v>
      </c>
      <c r="C1234">
        <v>1069</v>
      </c>
      <c r="D1234" t="s">
        <v>30</v>
      </c>
      <c r="E1234" t="s">
        <v>40</v>
      </c>
      <c r="F1234" t="s">
        <v>71</v>
      </c>
      <c r="G1234" t="s">
        <v>33</v>
      </c>
      <c r="H1234" t="s">
        <v>57</v>
      </c>
      <c r="I1234" t="s">
        <v>35</v>
      </c>
      <c r="J1234" s="4">
        <v>39.520000000000003</v>
      </c>
      <c r="K1234" s="4">
        <v>18.760000000000002</v>
      </c>
      <c r="L1234">
        <v>10</v>
      </c>
      <c r="M1234" s="4">
        <v>74.14</v>
      </c>
      <c r="N1234" s="4">
        <v>667.26</v>
      </c>
      <c r="O1234" s="4">
        <v>238.76</v>
      </c>
      <c r="P1234" s="4">
        <v>6.01</v>
      </c>
      <c r="Q1234" s="4">
        <v>5.19</v>
      </c>
      <c r="R1234" s="4">
        <v>9.57</v>
      </c>
      <c r="S1234" s="4">
        <v>575.21</v>
      </c>
      <c r="T1234" s="4">
        <v>5.65</v>
      </c>
      <c r="U1234" s="4">
        <v>840.39</v>
      </c>
      <c r="V1234" s="4">
        <v>-173.13</v>
      </c>
      <c r="W1234" t="s">
        <v>58</v>
      </c>
      <c r="X1234" t="s">
        <v>66</v>
      </c>
      <c r="Y1234" s="4">
        <v>12</v>
      </c>
      <c r="Z1234" s="4">
        <v>0</v>
      </c>
      <c r="AA1234" t="s">
        <v>37</v>
      </c>
      <c r="AB1234" t="s">
        <v>38</v>
      </c>
      <c r="AC1234" s="7">
        <v>3</v>
      </c>
      <c r="AD1234" t="s">
        <v>45</v>
      </c>
      <c r="AE1234">
        <f t="shared" si="19"/>
        <v>0</v>
      </c>
    </row>
    <row r="1235" spans="1:31" x14ac:dyDescent="0.35">
      <c r="A1235">
        <v>101234</v>
      </c>
      <c r="B1235" s="3">
        <v>46012</v>
      </c>
      <c r="C1235">
        <v>1019</v>
      </c>
      <c r="D1235" t="s">
        <v>59</v>
      </c>
      <c r="E1235" t="s">
        <v>73</v>
      </c>
      <c r="F1235" t="s">
        <v>71</v>
      </c>
      <c r="G1235" t="s">
        <v>46</v>
      </c>
      <c r="H1235" t="s">
        <v>34</v>
      </c>
      <c r="I1235" t="s">
        <v>69</v>
      </c>
      <c r="J1235" s="4">
        <v>18.34</v>
      </c>
      <c r="K1235" s="4">
        <v>15.01</v>
      </c>
      <c r="L1235">
        <v>20</v>
      </c>
      <c r="M1235" s="4">
        <v>55.06</v>
      </c>
      <c r="N1235" s="4">
        <v>220.22</v>
      </c>
      <c r="O1235" s="4">
        <v>140.96</v>
      </c>
      <c r="P1235" s="4">
        <v>7.87</v>
      </c>
      <c r="Q1235" s="4">
        <v>1.1000000000000001</v>
      </c>
      <c r="R1235" s="4">
        <v>4.03</v>
      </c>
      <c r="S1235" s="4">
        <v>0</v>
      </c>
      <c r="T1235" s="4">
        <v>0</v>
      </c>
      <c r="U1235" s="4">
        <v>153.96</v>
      </c>
      <c r="V1235" s="4">
        <v>66.260000000000005</v>
      </c>
      <c r="W1235" t="s">
        <v>21</v>
      </c>
      <c r="X1235" t="s">
        <v>36</v>
      </c>
      <c r="Y1235" s="4">
        <v>6</v>
      </c>
      <c r="Z1235" s="4">
        <v>3</v>
      </c>
      <c r="AA1235" t="s">
        <v>37</v>
      </c>
      <c r="AB1235" t="s">
        <v>38</v>
      </c>
      <c r="AC1235" s="7">
        <v>1</v>
      </c>
      <c r="AD1235" t="s">
        <v>39</v>
      </c>
      <c r="AE1235">
        <f t="shared" si="19"/>
        <v>0</v>
      </c>
    </row>
    <row r="1236" spans="1:31" x14ac:dyDescent="0.35">
      <c r="A1236">
        <v>101235</v>
      </c>
      <c r="B1236" s="3">
        <v>45979</v>
      </c>
      <c r="C1236">
        <v>1052</v>
      </c>
      <c r="D1236" t="s">
        <v>47</v>
      </c>
      <c r="E1236" t="s">
        <v>56</v>
      </c>
      <c r="F1236" t="s">
        <v>49</v>
      </c>
      <c r="G1236" t="s">
        <v>46</v>
      </c>
      <c r="H1236" t="s">
        <v>34</v>
      </c>
      <c r="I1236" t="s">
        <v>42</v>
      </c>
      <c r="J1236" s="4">
        <v>29.37</v>
      </c>
      <c r="K1236" s="4">
        <v>15.26</v>
      </c>
      <c r="L1236">
        <v>20</v>
      </c>
      <c r="M1236" s="4">
        <v>89.64</v>
      </c>
      <c r="N1236" s="4">
        <v>358.55</v>
      </c>
      <c r="O1236" s="4">
        <v>182.37</v>
      </c>
      <c r="P1236" s="4">
        <v>9.24</v>
      </c>
      <c r="Q1236" s="4">
        <v>6.72</v>
      </c>
      <c r="R1236" s="4">
        <v>1.97</v>
      </c>
      <c r="S1236" s="4">
        <v>0</v>
      </c>
      <c r="T1236" s="4">
        <v>0</v>
      </c>
      <c r="U1236" s="4">
        <v>200.3</v>
      </c>
      <c r="V1236" s="4">
        <v>158.25</v>
      </c>
      <c r="W1236" t="s">
        <v>21</v>
      </c>
      <c r="X1236" t="s">
        <v>36</v>
      </c>
      <c r="Y1236" s="4">
        <v>36</v>
      </c>
      <c r="Z1236" s="4">
        <v>17</v>
      </c>
      <c r="AA1236" t="s">
        <v>43</v>
      </c>
      <c r="AB1236" t="s">
        <v>44</v>
      </c>
      <c r="AC1236" s="7">
        <v>4</v>
      </c>
      <c r="AD1236" t="s">
        <v>45</v>
      </c>
      <c r="AE1236">
        <f t="shared" si="19"/>
        <v>1</v>
      </c>
    </row>
    <row r="1237" spans="1:31" x14ac:dyDescent="0.35">
      <c r="A1237">
        <v>101236</v>
      </c>
      <c r="B1237" s="3">
        <v>46010</v>
      </c>
      <c r="C1237">
        <v>1119</v>
      </c>
      <c r="D1237" t="s">
        <v>59</v>
      </c>
      <c r="E1237" t="s">
        <v>68</v>
      </c>
      <c r="F1237" t="s">
        <v>49</v>
      </c>
      <c r="G1237" t="s">
        <v>33</v>
      </c>
      <c r="H1237" t="s">
        <v>34</v>
      </c>
      <c r="I1237" t="s">
        <v>42</v>
      </c>
      <c r="J1237" s="4">
        <v>32.24</v>
      </c>
      <c r="K1237" s="4">
        <v>17.63</v>
      </c>
      <c r="L1237">
        <v>10</v>
      </c>
      <c r="M1237" s="4">
        <v>56.84</v>
      </c>
      <c r="N1237" s="4">
        <v>511.55</v>
      </c>
      <c r="O1237" s="4">
        <v>261.48</v>
      </c>
      <c r="P1237" s="4">
        <v>11.49</v>
      </c>
      <c r="Q1237" s="4">
        <v>8.5299999999999994</v>
      </c>
      <c r="R1237" s="4">
        <v>5.7</v>
      </c>
      <c r="S1237" s="4">
        <v>232.67</v>
      </c>
      <c r="T1237" s="4">
        <v>0</v>
      </c>
      <c r="U1237" s="4">
        <v>519.87</v>
      </c>
      <c r="V1237" s="4">
        <v>-8.32</v>
      </c>
      <c r="W1237" t="s">
        <v>58</v>
      </c>
      <c r="X1237" t="s">
        <v>66</v>
      </c>
      <c r="Y1237" s="4">
        <v>1</v>
      </c>
      <c r="Z1237" s="4">
        <v>18</v>
      </c>
      <c r="AA1237" t="s">
        <v>37</v>
      </c>
      <c r="AB1237" t="s">
        <v>44</v>
      </c>
      <c r="AC1237" s="7">
        <v>3</v>
      </c>
      <c r="AD1237" t="s">
        <v>45</v>
      </c>
      <c r="AE1237">
        <f t="shared" si="19"/>
        <v>1</v>
      </c>
    </row>
    <row r="1238" spans="1:31" x14ac:dyDescent="0.35">
      <c r="A1238">
        <v>101237</v>
      </c>
      <c r="B1238" s="3">
        <v>45943</v>
      </c>
      <c r="C1238">
        <v>1013</v>
      </c>
      <c r="D1238" t="s">
        <v>59</v>
      </c>
      <c r="E1238" t="s">
        <v>68</v>
      </c>
      <c r="F1238" t="s">
        <v>32</v>
      </c>
      <c r="G1238" t="s">
        <v>33</v>
      </c>
      <c r="H1238" t="s">
        <v>34</v>
      </c>
      <c r="I1238" t="s">
        <v>69</v>
      </c>
      <c r="J1238" s="4">
        <v>24.55</v>
      </c>
      <c r="K1238" s="4">
        <v>18.86</v>
      </c>
      <c r="L1238">
        <v>0</v>
      </c>
      <c r="M1238" s="4">
        <v>0</v>
      </c>
      <c r="N1238" s="4">
        <v>463.01</v>
      </c>
      <c r="O1238" s="4">
        <v>172.8</v>
      </c>
      <c r="P1238" s="4">
        <v>8.0399999999999991</v>
      </c>
      <c r="Q1238" s="4">
        <v>1.85</v>
      </c>
      <c r="R1238" s="4">
        <v>8.24</v>
      </c>
      <c r="S1238" s="4">
        <v>447.04</v>
      </c>
      <c r="T1238" s="4">
        <v>0</v>
      </c>
      <c r="U1238" s="4">
        <v>637.97</v>
      </c>
      <c r="V1238" s="4">
        <v>-174.96</v>
      </c>
      <c r="W1238" t="s">
        <v>58</v>
      </c>
      <c r="X1238" t="s">
        <v>55</v>
      </c>
      <c r="Y1238" s="4">
        <v>0</v>
      </c>
      <c r="Z1238" s="4">
        <v>18</v>
      </c>
      <c r="AA1238" t="s">
        <v>37</v>
      </c>
      <c r="AB1238" t="s">
        <v>44</v>
      </c>
      <c r="AC1238" s="7">
        <v>1</v>
      </c>
      <c r="AD1238" t="s">
        <v>45</v>
      </c>
      <c r="AE1238">
        <f t="shared" si="19"/>
        <v>1</v>
      </c>
    </row>
    <row r="1239" spans="1:31" x14ac:dyDescent="0.35">
      <c r="A1239">
        <v>101238</v>
      </c>
      <c r="B1239" s="3">
        <v>45991</v>
      </c>
      <c r="C1239">
        <v>1033</v>
      </c>
      <c r="D1239" t="s">
        <v>30</v>
      </c>
      <c r="E1239" t="s">
        <v>40</v>
      </c>
      <c r="F1239" t="s">
        <v>61</v>
      </c>
      <c r="G1239" t="s">
        <v>63</v>
      </c>
      <c r="H1239" t="s">
        <v>57</v>
      </c>
      <c r="I1239" t="s">
        <v>54</v>
      </c>
      <c r="J1239" s="4">
        <v>3</v>
      </c>
      <c r="K1239" s="4">
        <v>12.82</v>
      </c>
      <c r="L1239">
        <v>0</v>
      </c>
      <c r="M1239" s="4">
        <v>0</v>
      </c>
      <c r="N1239" s="4">
        <v>38.46</v>
      </c>
      <c r="O1239" s="4">
        <v>16.079999999999998</v>
      </c>
      <c r="P1239" s="4">
        <v>7.93</v>
      </c>
      <c r="Q1239" s="4">
        <v>0.46</v>
      </c>
      <c r="R1239" s="4">
        <v>7.67</v>
      </c>
      <c r="S1239" s="4">
        <v>0</v>
      </c>
      <c r="T1239" s="4">
        <v>0</v>
      </c>
      <c r="U1239" s="4">
        <v>32.14</v>
      </c>
      <c r="V1239" s="4">
        <v>6.32</v>
      </c>
      <c r="W1239" t="s">
        <v>21</v>
      </c>
      <c r="X1239" t="s">
        <v>36</v>
      </c>
      <c r="Y1239" s="4">
        <v>15</v>
      </c>
      <c r="Z1239" s="4">
        <v>7</v>
      </c>
      <c r="AA1239" t="s">
        <v>37</v>
      </c>
      <c r="AB1239" t="s">
        <v>38</v>
      </c>
      <c r="AC1239" s="7">
        <v>0</v>
      </c>
      <c r="AD1239" t="s">
        <v>39</v>
      </c>
      <c r="AE1239">
        <f t="shared" si="19"/>
        <v>0</v>
      </c>
    </row>
    <row r="1240" spans="1:31" x14ac:dyDescent="0.35">
      <c r="A1240">
        <v>101239</v>
      </c>
      <c r="B1240" s="3">
        <v>45970</v>
      </c>
      <c r="C1240">
        <v>1096</v>
      </c>
      <c r="D1240" t="s">
        <v>30</v>
      </c>
      <c r="E1240" t="s">
        <v>72</v>
      </c>
      <c r="F1240" t="s">
        <v>61</v>
      </c>
      <c r="G1240" t="s">
        <v>63</v>
      </c>
      <c r="H1240" t="s">
        <v>57</v>
      </c>
      <c r="I1240" t="s">
        <v>35</v>
      </c>
      <c r="J1240" s="4">
        <v>7.09</v>
      </c>
      <c r="K1240" s="4">
        <v>12.85</v>
      </c>
      <c r="L1240">
        <v>0</v>
      </c>
      <c r="M1240" s="4">
        <v>0</v>
      </c>
      <c r="N1240" s="4">
        <v>91.11</v>
      </c>
      <c r="O1240" s="4">
        <v>62.95</v>
      </c>
      <c r="P1240" s="4">
        <v>11.88</v>
      </c>
      <c r="Q1240" s="4">
        <v>0.64</v>
      </c>
      <c r="R1240" s="4">
        <v>6.87</v>
      </c>
      <c r="S1240" s="4">
        <v>0</v>
      </c>
      <c r="T1240" s="4">
        <v>0</v>
      </c>
      <c r="U1240" s="4">
        <v>82.34</v>
      </c>
      <c r="V1240" s="4">
        <v>8.77</v>
      </c>
      <c r="W1240" t="s">
        <v>21</v>
      </c>
      <c r="X1240" t="s">
        <v>36</v>
      </c>
      <c r="Y1240" s="4">
        <v>1</v>
      </c>
      <c r="Z1240" s="4">
        <v>3</v>
      </c>
      <c r="AA1240" t="s">
        <v>37</v>
      </c>
      <c r="AB1240" t="s">
        <v>38</v>
      </c>
      <c r="AC1240" s="7">
        <v>0</v>
      </c>
      <c r="AD1240" t="s">
        <v>39</v>
      </c>
      <c r="AE1240">
        <f t="shared" si="19"/>
        <v>0</v>
      </c>
    </row>
    <row r="1241" spans="1:31" x14ac:dyDescent="0.35">
      <c r="A1241">
        <v>101240</v>
      </c>
      <c r="B1241" s="3">
        <v>45986</v>
      </c>
      <c r="C1241">
        <v>1071</v>
      </c>
      <c r="D1241" t="s">
        <v>30</v>
      </c>
      <c r="E1241" t="s">
        <v>72</v>
      </c>
      <c r="F1241" t="s">
        <v>49</v>
      </c>
      <c r="G1241" t="s">
        <v>46</v>
      </c>
      <c r="H1241" t="s">
        <v>34</v>
      </c>
      <c r="I1241" t="s">
        <v>35</v>
      </c>
      <c r="J1241" s="4">
        <v>29.01</v>
      </c>
      <c r="K1241" s="4">
        <v>15.6</v>
      </c>
      <c r="L1241">
        <v>5</v>
      </c>
      <c r="M1241" s="4">
        <v>22.63</v>
      </c>
      <c r="N1241" s="4">
        <v>429.93</v>
      </c>
      <c r="O1241" s="4">
        <v>201.8</v>
      </c>
      <c r="P1241" s="4">
        <v>9.7899999999999991</v>
      </c>
      <c r="Q1241" s="4">
        <v>3.17</v>
      </c>
      <c r="R1241" s="4">
        <v>4.78</v>
      </c>
      <c r="S1241" s="4">
        <v>0</v>
      </c>
      <c r="T1241" s="4">
        <v>0</v>
      </c>
      <c r="U1241" s="4">
        <v>219.54</v>
      </c>
      <c r="V1241" s="4">
        <v>210.39</v>
      </c>
      <c r="W1241" t="s">
        <v>21</v>
      </c>
      <c r="X1241" t="s">
        <v>36</v>
      </c>
      <c r="Y1241" s="4">
        <v>13</v>
      </c>
      <c r="Z1241" s="4">
        <v>26</v>
      </c>
      <c r="AA1241" t="s">
        <v>37</v>
      </c>
      <c r="AB1241" t="s">
        <v>44</v>
      </c>
      <c r="AC1241" s="7">
        <v>1</v>
      </c>
      <c r="AD1241" t="s">
        <v>45</v>
      </c>
      <c r="AE1241">
        <f t="shared" si="19"/>
        <v>1</v>
      </c>
    </row>
    <row r="1242" spans="1:31" x14ac:dyDescent="0.35">
      <c r="A1242">
        <v>101241</v>
      </c>
      <c r="B1242" s="3">
        <v>45959</v>
      </c>
      <c r="C1242">
        <v>1057</v>
      </c>
      <c r="D1242" t="s">
        <v>47</v>
      </c>
      <c r="E1242" t="s">
        <v>56</v>
      </c>
      <c r="F1242" t="s">
        <v>32</v>
      </c>
      <c r="G1242" t="s">
        <v>63</v>
      </c>
      <c r="H1242" t="s">
        <v>34</v>
      </c>
      <c r="I1242" t="s">
        <v>54</v>
      </c>
      <c r="J1242" s="4">
        <v>4.47</v>
      </c>
      <c r="K1242" s="4">
        <v>13.52</v>
      </c>
      <c r="L1242">
        <v>15</v>
      </c>
      <c r="M1242" s="4">
        <v>9.06</v>
      </c>
      <c r="N1242" s="4">
        <v>51.37</v>
      </c>
      <c r="O1242" s="4">
        <v>31.57</v>
      </c>
      <c r="P1242" s="4">
        <v>7.07</v>
      </c>
      <c r="Q1242" s="4">
        <v>0.73</v>
      </c>
      <c r="R1242" s="4">
        <v>10.67</v>
      </c>
      <c r="S1242" s="4">
        <v>0</v>
      </c>
      <c r="T1242" s="4">
        <v>0</v>
      </c>
      <c r="U1242" s="4">
        <v>50.04</v>
      </c>
      <c r="V1242" s="4">
        <v>1.33</v>
      </c>
      <c r="W1242" t="s">
        <v>21</v>
      </c>
      <c r="X1242" t="s">
        <v>36</v>
      </c>
      <c r="Y1242" s="4">
        <v>6</v>
      </c>
      <c r="Z1242" s="4">
        <v>13</v>
      </c>
      <c r="AA1242" t="s">
        <v>37</v>
      </c>
      <c r="AB1242" t="s">
        <v>38</v>
      </c>
      <c r="AC1242" s="7">
        <v>0</v>
      </c>
      <c r="AD1242" t="s">
        <v>39</v>
      </c>
      <c r="AE1242">
        <f t="shared" si="19"/>
        <v>0</v>
      </c>
    </row>
    <row r="1243" spans="1:31" x14ac:dyDescent="0.35">
      <c r="A1243">
        <v>101242</v>
      </c>
      <c r="B1243" s="3">
        <v>45950</v>
      </c>
      <c r="C1243">
        <v>1046</v>
      </c>
      <c r="D1243" t="s">
        <v>59</v>
      </c>
      <c r="E1243" t="s">
        <v>73</v>
      </c>
      <c r="F1243" t="s">
        <v>32</v>
      </c>
      <c r="G1243" t="s">
        <v>63</v>
      </c>
      <c r="H1243" t="s">
        <v>34</v>
      </c>
      <c r="I1243" t="s">
        <v>35</v>
      </c>
      <c r="J1243" s="4">
        <v>21.95</v>
      </c>
      <c r="K1243" s="4">
        <v>13.26</v>
      </c>
      <c r="L1243">
        <v>0</v>
      </c>
      <c r="M1243" s="4">
        <v>0</v>
      </c>
      <c r="N1243" s="4">
        <v>291.06</v>
      </c>
      <c r="O1243" s="4">
        <v>190.64</v>
      </c>
      <c r="P1243" s="4">
        <v>3.59</v>
      </c>
      <c r="Q1243" s="4">
        <v>2.04</v>
      </c>
      <c r="R1243" s="4">
        <v>1.71</v>
      </c>
      <c r="S1243" s="4">
        <v>0</v>
      </c>
      <c r="T1243" s="4">
        <v>0</v>
      </c>
      <c r="U1243" s="4">
        <v>197.98</v>
      </c>
      <c r="V1243" s="4">
        <v>93.08</v>
      </c>
      <c r="W1243" t="s">
        <v>21</v>
      </c>
      <c r="X1243" t="s">
        <v>36</v>
      </c>
      <c r="Y1243" s="4">
        <v>1</v>
      </c>
      <c r="Z1243" s="4">
        <v>9</v>
      </c>
      <c r="AA1243" t="s">
        <v>37</v>
      </c>
      <c r="AB1243" t="s">
        <v>38</v>
      </c>
      <c r="AC1243" s="7">
        <v>1</v>
      </c>
      <c r="AD1243" t="s">
        <v>39</v>
      </c>
      <c r="AE1243">
        <f t="shared" si="19"/>
        <v>0</v>
      </c>
    </row>
    <row r="1244" spans="1:31" x14ac:dyDescent="0.35">
      <c r="A1244">
        <v>101243</v>
      </c>
      <c r="B1244" s="3">
        <v>45977</v>
      </c>
      <c r="C1244">
        <v>1132</v>
      </c>
      <c r="D1244" t="s">
        <v>59</v>
      </c>
      <c r="E1244" t="s">
        <v>60</v>
      </c>
      <c r="F1244" t="s">
        <v>49</v>
      </c>
      <c r="G1244" t="s">
        <v>63</v>
      </c>
      <c r="H1244" t="s">
        <v>57</v>
      </c>
      <c r="I1244" t="s">
        <v>54</v>
      </c>
      <c r="J1244" s="4">
        <v>36.51</v>
      </c>
      <c r="K1244" s="4">
        <v>13.94</v>
      </c>
      <c r="L1244">
        <v>5</v>
      </c>
      <c r="M1244" s="4">
        <v>25.45</v>
      </c>
      <c r="N1244" s="4">
        <v>483.5</v>
      </c>
      <c r="O1244" s="4">
        <v>220.47</v>
      </c>
      <c r="P1244" s="4">
        <v>11.85</v>
      </c>
      <c r="Q1244" s="4">
        <v>6.11</v>
      </c>
      <c r="R1244" s="4">
        <v>6.56</v>
      </c>
      <c r="S1244" s="4">
        <v>0</v>
      </c>
      <c r="T1244" s="4">
        <v>0</v>
      </c>
      <c r="U1244" s="4">
        <v>244.99</v>
      </c>
      <c r="V1244" s="4">
        <v>238.51</v>
      </c>
      <c r="W1244" t="s">
        <v>21</v>
      </c>
      <c r="X1244" t="s">
        <v>36</v>
      </c>
      <c r="Y1244" s="4">
        <v>27</v>
      </c>
      <c r="Z1244" s="4">
        <v>11</v>
      </c>
      <c r="AA1244" t="s">
        <v>52</v>
      </c>
      <c r="AB1244" t="s">
        <v>44</v>
      </c>
      <c r="AC1244" s="7">
        <v>1</v>
      </c>
      <c r="AD1244" t="s">
        <v>45</v>
      </c>
      <c r="AE1244">
        <f t="shared" si="19"/>
        <v>1</v>
      </c>
    </row>
    <row r="1245" spans="1:31" x14ac:dyDescent="0.35">
      <c r="A1245">
        <v>101244</v>
      </c>
      <c r="B1245" s="3">
        <v>45977</v>
      </c>
      <c r="C1245">
        <v>1119</v>
      </c>
      <c r="D1245" t="s">
        <v>30</v>
      </c>
      <c r="E1245" t="s">
        <v>31</v>
      </c>
      <c r="F1245" t="s">
        <v>32</v>
      </c>
      <c r="G1245" t="s">
        <v>63</v>
      </c>
      <c r="H1245" t="s">
        <v>34</v>
      </c>
      <c r="I1245" t="s">
        <v>54</v>
      </c>
      <c r="J1245" s="4">
        <v>17.13</v>
      </c>
      <c r="K1245" s="4">
        <v>12.35</v>
      </c>
      <c r="L1245">
        <v>0</v>
      </c>
      <c r="M1245" s="4">
        <v>0</v>
      </c>
      <c r="N1245" s="4">
        <v>211.56</v>
      </c>
      <c r="O1245" s="4">
        <v>127.64</v>
      </c>
      <c r="P1245" s="4">
        <v>3.25</v>
      </c>
      <c r="Q1245" s="4">
        <v>2.54</v>
      </c>
      <c r="R1245" s="4">
        <v>3.57</v>
      </c>
      <c r="S1245" s="4">
        <v>0</v>
      </c>
      <c r="T1245" s="4">
        <v>0</v>
      </c>
      <c r="U1245" s="4">
        <v>137</v>
      </c>
      <c r="V1245" s="4">
        <v>74.56</v>
      </c>
      <c r="W1245" t="s">
        <v>21</v>
      </c>
      <c r="X1245" t="s">
        <v>36</v>
      </c>
      <c r="Y1245" s="4">
        <v>14</v>
      </c>
      <c r="Z1245" s="4">
        <v>8</v>
      </c>
      <c r="AA1245" t="s">
        <v>37</v>
      </c>
      <c r="AB1245" t="s">
        <v>38</v>
      </c>
      <c r="AC1245" s="7">
        <v>0</v>
      </c>
      <c r="AD1245" t="s">
        <v>39</v>
      </c>
      <c r="AE1245">
        <f t="shared" si="19"/>
        <v>0</v>
      </c>
    </row>
    <row r="1246" spans="1:31" x14ac:dyDescent="0.35">
      <c r="A1246">
        <v>101245</v>
      </c>
      <c r="B1246" s="3">
        <v>45947</v>
      </c>
      <c r="C1246">
        <v>1125</v>
      </c>
      <c r="D1246" t="s">
        <v>30</v>
      </c>
      <c r="E1246" t="s">
        <v>72</v>
      </c>
      <c r="F1246" t="s">
        <v>61</v>
      </c>
      <c r="G1246" t="s">
        <v>63</v>
      </c>
      <c r="H1246" t="s">
        <v>57</v>
      </c>
      <c r="I1246" t="s">
        <v>54</v>
      </c>
      <c r="J1246" s="4">
        <v>23.29</v>
      </c>
      <c r="K1246" s="4">
        <v>11.99</v>
      </c>
      <c r="L1246">
        <v>15</v>
      </c>
      <c r="M1246" s="4">
        <v>41.89</v>
      </c>
      <c r="N1246" s="4">
        <v>237.36</v>
      </c>
      <c r="O1246" s="4">
        <v>159.26</v>
      </c>
      <c r="P1246" s="4">
        <v>11.95</v>
      </c>
      <c r="Q1246" s="4">
        <v>3.35</v>
      </c>
      <c r="R1246" s="4">
        <v>12.39</v>
      </c>
      <c r="S1246" s="4">
        <v>0</v>
      </c>
      <c r="T1246" s="4">
        <v>0</v>
      </c>
      <c r="U1246" s="4">
        <v>186.95</v>
      </c>
      <c r="V1246" s="4">
        <v>50.41</v>
      </c>
      <c r="W1246" t="s">
        <v>21</v>
      </c>
      <c r="X1246" t="s">
        <v>36</v>
      </c>
      <c r="Y1246" s="4">
        <v>7</v>
      </c>
      <c r="Z1246" s="4">
        <v>21</v>
      </c>
      <c r="AA1246" t="s">
        <v>37</v>
      </c>
      <c r="AB1246" t="s">
        <v>44</v>
      </c>
      <c r="AC1246" s="7">
        <v>1</v>
      </c>
      <c r="AD1246" t="s">
        <v>45</v>
      </c>
      <c r="AE1246">
        <f t="shared" si="19"/>
        <v>1</v>
      </c>
    </row>
    <row r="1247" spans="1:31" x14ac:dyDescent="0.35">
      <c r="A1247">
        <v>101246</v>
      </c>
      <c r="B1247" s="3">
        <v>45995</v>
      </c>
      <c r="C1247">
        <v>1069</v>
      </c>
      <c r="D1247" t="s">
        <v>30</v>
      </c>
      <c r="E1247" t="s">
        <v>31</v>
      </c>
      <c r="F1247" t="s">
        <v>71</v>
      </c>
      <c r="G1247" t="s">
        <v>63</v>
      </c>
      <c r="H1247" t="s">
        <v>51</v>
      </c>
      <c r="I1247" t="s">
        <v>35</v>
      </c>
      <c r="J1247" s="4">
        <v>5.68</v>
      </c>
      <c r="K1247" s="4">
        <v>12.49</v>
      </c>
      <c r="L1247">
        <v>5</v>
      </c>
      <c r="M1247" s="4">
        <v>3.55</v>
      </c>
      <c r="N1247" s="4">
        <v>67.39</v>
      </c>
      <c r="O1247" s="4">
        <v>39.21</v>
      </c>
      <c r="P1247" s="4">
        <v>7.36</v>
      </c>
      <c r="Q1247" s="4">
        <v>0.5</v>
      </c>
      <c r="R1247" s="4">
        <v>6.5</v>
      </c>
      <c r="S1247" s="4">
        <v>0</v>
      </c>
      <c r="T1247" s="4">
        <v>0</v>
      </c>
      <c r="U1247" s="4">
        <v>53.57</v>
      </c>
      <c r="V1247" s="4">
        <v>13.82</v>
      </c>
      <c r="W1247" t="s">
        <v>21</v>
      </c>
      <c r="X1247" t="s">
        <v>36</v>
      </c>
      <c r="Y1247" s="4">
        <v>8</v>
      </c>
      <c r="Z1247" s="4">
        <v>3</v>
      </c>
      <c r="AA1247" t="s">
        <v>37</v>
      </c>
      <c r="AB1247" t="s">
        <v>38</v>
      </c>
      <c r="AC1247" s="7">
        <v>0</v>
      </c>
      <c r="AD1247" t="s">
        <v>39</v>
      </c>
      <c r="AE1247">
        <f t="shared" si="19"/>
        <v>0</v>
      </c>
    </row>
    <row r="1248" spans="1:31" x14ac:dyDescent="0.35">
      <c r="A1248">
        <v>101247</v>
      </c>
      <c r="B1248" s="3">
        <v>46022</v>
      </c>
      <c r="C1248">
        <v>1124</v>
      </c>
      <c r="D1248" t="s">
        <v>64</v>
      </c>
      <c r="E1248" t="s">
        <v>76</v>
      </c>
      <c r="F1248" t="s">
        <v>32</v>
      </c>
      <c r="G1248" t="s">
        <v>46</v>
      </c>
      <c r="H1248" t="s">
        <v>34</v>
      </c>
      <c r="I1248" t="s">
        <v>35</v>
      </c>
      <c r="J1248" s="4">
        <v>35.22</v>
      </c>
      <c r="K1248" s="4">
        <v>16.84</v>
      </c>
      <c r="L1248">
        <v>20</v>
      </c>
      <c r="M1248" s="4">
        <v>118.62</v>
      </c>
      <c r="N1248" s="4">
        <v>474.48</v>
      </c>
      <c r="O1248" s="4">
        <v>277.86</v>
      </c>
      <c r="P1248" s="4">
        <v>9.44</v>
      </c>
      <c r="Q1248" s="4">
        <v>4.1500000000000004</v>
      </c>
      <c r="R1248" s="4">
        <v>7.44</v>
      </c>
      <c r="S1248" s="4">
        <v>0</v>
      </c>
      <c r="T1248" s="4">
        <v>0</v>
      </c>
      <c r="U1248" s="4">
        <v>298.89</v>
      </c>
      <c r="V1248" s="4">
        <v>175.59</v>
      </c>
      <c r="W1248" t="s">
        <v>21</v>
      </c>
      <c r="X1248" t="s">
        <v>36</v>
      </c>
      <c r="Y1248" s="4">
        <v>20</v>
      </c>
      <c r="Z1248" s="4">
        <v>15</v>
      </c>
      <c r="AA1248" t="s">
        <v>52</v>
      </c>
      <c r="AB1248" t="s">
        <v>38</v>
      </c>
      <c r="AC1248" s="7">
        <v>0</v>
      </c>
      <c r="AD1248" t="s">
        <v>39</v>
      </c>
      <c r="AE1248">
        <f t="shared" si="19"/>
        <v>0</v>
      </c>
    </row>
    <row r="1249" spans="1:31" x14ac:dyDescent="0.35">
      <c r="A1249">
        <v>101248</v>
      </c>
      <c r="B1249" s="3">
        <v>45997</v>
      </c>
      <c r="C1249">
        <v>1143</v>
      </c>
      <c r="D1249" t="s">
        <v>47</v>
      </c>
      <c r="E1249" t="s">
        <v>56</v>
      </c>
      <c r="F1249" t="s">
        <v>61</v>
      </c>
      <c r="G1249" t="s">
        <v>50</v>
      </c>
      <c r="H1249" t="s">
        <v>34</v>
      </c>
      <c r="I1249" t="s">
        <v>35</v>
      </c>
      <c r="J1249" s="4">
        <v>28.42</v>
      </c>
      <c r="K1249" s="4">
        <v>18.14</v>
      </c>
      <c r="L1249">
        <v>0</v>
      </c>
      <c r="M1249" s="4">
        <v>0</v>
      </c>
      <c r="N1249" s="4">
        <v>515.54</v>
      </c>
      <c r="O1249" s="4">
        <v>210.77</v>
      </c>
      <c r="P1249" s="4">
        <v>10.85</v>
      </c>
      <c r="Q1249" s="4">
        <v>3.61</v>
      </c>
      <c r="R1249" s="4">
        <v>7.11</v>
      </c>
      <c r="S1249" s="4">
        <v>0</v>
      </c>
      <c r="T1249" s="4">
        <v>0</v>
      </c>
      <c r="U1249" s="4">
        <v>232.34</v>
      </c>
      <c r="V1249" s="4">
        <v>283.2</v>
      </c>
      <c r="W1249" t="s">
        <v>21</v>
      </c>
      <c r="X1249" t="s">
        <v>36</v>
      </c>
      <c r="Y1249" s="4">
        <v>0</v>
      </c>
      <c r="Z1249" s="4">
        <v>1</v>
      </c>
      <c r="AA1249" t="s">
        <v>37</v>
      </c>
      <c r="AB1249" t="s">
        <v>38</v>
      </c>
      <c r="AC1249" s="7">
        <v>0</v>
      </c>
      <c r="AD1249" t="s">
        <v>39</v>
      </c>
      <c r="AE1249">
        <f t="shared" si="19"/>
        <v>0</v>
      </c>
    </row>
    <row r="1250" spans="1:31" x14ac:dyDescent="0.35">
      <c r="A1250">
        <v>101249</v>
      </c>
      <c r="B1250" s="3">
        <v>45974</v>
      </c>
      <c r="C1250">
        <v>1146</v>
      </c>
      <c r="D1250" t="s">
        <v>47</v>
      </c>
      <c r="E1250" t="s">
        <v>56</v>
      </c>
      <c r="F1250" t="s">
        <v>49</v>
      </c>
      <c r="G1250" t="s">
        <v>63</v>
      </c>
      <c r="H1250" t="s">
        <v>34</v>
      </c>
      <c r="I1250" t="s">
        <v>35</v>
      </c>
      <c r="J1250" s="4">
        <v>13.84</v>
      </c>
      <c r="K1250" s="4">
        <v>11.81</v>
      </c>
      <c r="L1250">
        <v>0</v>
      </c>
      <c r="M1250" s="4">
        <v>0</v>
      </c>
      <c r="N1250" s="4">
        <v>163.44999999999999</v>
      </c>
      <c r="O1250" s="4">
        <v>101.48</v>
      </c>
      <c r="P1250" s="4">
        <v>14.43</v>
      </c>
      <c r="Q1250" s="4">
        <v>1.1399999999999999</v>
      </c>
      <c r="R1250" s="4">
        <v>9.44</v>
      </c>
      <c r="S1250" s="4">
        <v>0</v>
      </c>
      <c r="T1250" s="4">
        <v>0</v>
      </c>
      <c r="U1250" s="4">
        <v>126.49</v>
      </c>
      <c r="V1250" s="4">
        <v>36.96</v>
      </c>
      <c r="W1250" t="s">
        <v>21</v>
      </c>
      <c r="X1250" t="s">
        <v>36</v>
      </c>
      <c r="Y1250" s="4">
        <v>35</v>
      </c>
      <c r="Z1250" s="4">
        <v>10</v>
      </c>
      <c r="AA1250" t="s">
        <v>43</v>
      </c>
      <c r="AB1250" t="s">
        <v>44</v>
      </c>
      <c r="AC1250" s="7">
        <v>3</v>
      </c>
      <c r="AD1250" t="s">
        <v>45</v>
      </c>
      <c r="AE1250">
        <f t="shared" si="19"/>
        <v>1</v>
      </c>
    </row>
    <row r="1251" spans="1:31" x14ac:dyDescent="0.35">
      <c r="A1251">
        <v>101250</v>
      </c>
      <c r="B1251" s="3">
        <v>45999</v>
      </c>
      <c r="C1251">
        <v>1053</v>
      </c>
      <c r="D1251" t="s">
        <v>47</v>
      </c>
      <c r="E1251" t="s">
        <v>53</v>
      </c>
      <c r="F1251" t="s">
        <v>49</v>
      </c>
      <c r="G1251" t="s">
        <v>33</v>
      </c>
      <c r="H1251" t="s">
        <v>57</v>
      </c>
      <c r="I1251" t="s">
        <v>35</v>
      </c>
      <c r="J1251" s="4">
        <v>30.68</v>
      </c>
      <c r="K1251" s="4">
        <v>18.68</v>
      </c>
      <c r="L1251">
        <v>0</v>
      </c>
      <c r="M1251" s="4">
        <v>0</v>
      </c>
      <c r="N1251" s="4">
        <v>573.1</v>
      </c>
      <c r="O1251" s="4">
        <v>203.93</v>
      </c>
      <c r="P1251" s="4">
        <v>4.17</v>
      </c>
      <c r="Q1251" s="4">
        <v>4.01</v>
      </c>
      <c r="R1251" s="4">
        <v>3.57</v>
      </c>
      <c r="S1251" s="4">
        <v>0</v>
      </c>
      <c r="T1251" s="4">
        <v>0</v>
      </c>
      <c r="U1251" s="4">
        <v>215.68</v>
      </c>
      <c r="V1251" s="4">
        <v>357.42</v>
      </c>
      <c r="W1251" t="s">
        <v>21</v>
      </c>
      <c r="X1251" t="s">
        <v>36</v>
      </c>
      <c r="Y1251" s="4">
        <v>4</v>
      </c>
      <c r="Z1251" s="4">
        <v>3</v>
      </c>
      <c r="AA1251" t="s">
        <v>37</v>
      </c>
      <c r="AB1251" t="s">
        <v>38</v>
      </c>
      <c r="AC1251" s="7">
        <v>0</v>
      </c>
      <c r="AD1251" t="s">
        <v>39</v>
      </c>
      <c r="AE1251">
        <f t="shared" si="19"/>
        <v>0</v>
      </c>
    </row>
    <row r="1252" spans="1:31" x14ac:dyDescent="0.35">
      <c r="A1252">
        <v>101251</v>
      </c>
      <c r="B1252" s="3">
        <v>45997</v>
      </c>
      <c r="C1252">
        <v>1149</v>
      </c>
      <c r="D1252" t="s">
        <v>30</v>
      </c>
      <c r="E1252" t="s">
        <v>31</v>
      </c>
      <c r="F1252" t="s">
        <v>41</v>
      </c>
      <c r="G1252" t="s">
        <v>50</v>
      </c>
      <c r="H1252" t="s">
        <v>34</v>
      </c>
      <c r="I1252" t="s">
        <v>69</v>
      </c>
      <c r="J1252" s="4">
        <v>45.82</v>
      </c>
      <c r="K1252" s="4">
        <v>18.18</v>
      </c>
      <c r="L1252">
        <v>0</v>
      </c>
      <c r="M1252" s="4">
        <v>0</v>
      </c>
      <c r="N1252" s="4">
        <v>833.01</v>
      </c>
      <c r="O1252" s="4">
        <v>352.86</v>
      </c>
      <c r="P1252" s="4">
        <v>8.59</v>
      </c>
      <c r="Q1252" s="4">
        <v>3.33</v>
      </c>
      <c r="R1252" s="4">
        <v>0.72</v>
      </c>
      <c r="S1252" s="4">
        <v>0</v>
      </c>
      <c r="T1252" s="4">
        <v>0</v>
      </c>
      <c r="U1252" s="4">
        <v>365.5</v>
      </c>
      <c r="V1252" s="4">
        <v>467.51</v>
      </c>
      <c r="W1252" t="s">
        <v>21</v>
      </c>
      <c r="X1252" t="s">
        <v>36</v>
      </c>
      <c r="Y1252" s="4">
        <v>3</v>
      </c>
      <c r="Z1252" s="4">
        <v>8</v>
      </c>
      <c r="AA1252" t="s">
        <v>37</v>
      </c>
      <c r="AB1252" t="s">
        <v>38</v>
      </c>
      <c r="AC1252" s="7">
        <v>0</v>
      </c>
      <c r="AD1252" t="s">
        <v>39</v>
      </c>
      <c r="AE1252">
        <f t="shared" si="19"/>
        <v>0</v>
      </c>
    </row>
    <row r="1253" spans="1:31" x14ac:dyDescent="0.35">
      <c r="A1253">
        <v>101252</v>
      </c>
      <c r="B1253" s="3">
        <v>45998</v>
      </c>
      <c r="C1253">
        <v>1004</v>
      </c>
      <c r="D1253" t="s">
        <v>47</v>
      </c>
      <c r="E1253" t="s">
        <v>74</v>
      </c>
      <c r="F1253" t="s">
        <v>41</v>
      </c>
      <c r="G1253" t="s">
        <v>63</v>
      </c>
      <c r="H1253" t="s">
        <v>51</v>
      </c>
      <c r="I1253" t="s">
        <v>35</v>
      </c>
      <c r="J1253" s="4">
        <v>23.06</v>
      </c>
      <c r="K1253" s="4">
        <v>12.03</v>
      </c>
      <c r="L1253">
        <v>5</v>
      </c>
      <c r="M1253" s="4">
        <v>13.87</v>
      </c>
      <c r="N1253" s="4">
        <v>263.54000000000002</v>
      </c>
      <c r="O1253" s="4">
        <v>187.83</v>
      </c>
      <c r="P1253" s="4">
        <v>7.36</v>
      </c>
      <c r="Q1253" s="4">
        <v>1.94</v>
      </c>
      <c r="R1253" s="4">
        <v>12.03</v>
      </c>
      <c r="S1253" s="4">
        <v>0</v>
      </c>
      <c r="T1253" s="4">
        <v>0</v>
      </c>
      <c r="U1253" s="4">
        <v>209.16</v>
      </c>
      <c r="V1253" s="4">
        <v>54.38</v>
      </c>
      <c r="W1253" t="s">
        <v>21</v>
      </c>
      <c r="X1253" t="s">
        <v>36</v>
      </c>
      <c r="Y1253" s="4">
        <v>6</v>
      </c>
      <c r="Z1253" s="4">
        <v>6</v>
      </c>
      <c r="AA1253" t="s">
        <v>37</v>
      </c>
      <c r="AB1253" t="s">
        <v>38</v>
      </c>
      <c r="AC1253" s="7">
        <v>0</v>
      </c>
      <c r="AD1253" t="s">
        <v>39</v>
      </c>
      <c r="AE1253">
        <f t="shared" si="19"/>
        <v>0</v>
      </c>
    </row>
    <row r="1254" spans="1:31" x14ac:dyDescent="0.35">
      <c r="A1254">
        <v>101253</v>
      </c>
      <c r="B1254" s="3">
        <v>46008</v>
      </c>
      <c r="C1254">
        <v>1026</v>
      </c>
      <c r="D1254" t="s">
        <v>47</v>
      </c>
      <c r="E1254" t="s">
        <v>53</v>
      </c>
      <c r="F1254" t="s">
        <v>61</v>
      </c>
      <c r="G1254" t="s">
        <v>46</v>
      </c>
      <c r="H1254" t="s">
        <v>57</v>
      </c>
      <c r="I1254" t="s">
        <v>42</v>
      </c>
      <c r="J1254" s="4">
        <v>23.26</v>
      </c>
      <c r="K1254" s="4">
        <v>14.55</v>
      </c>
      <c r="L1254">
        <v>0</v>
      </c>
      <c r="M1254" s="4">
        <v>0</v>
      </c>
      <c r="N1254" s="4">
        <v>338.43</v>
      </c>
      <c r="O1254" s="4">
        <v>141.02000000000001</v>
      </c>
      <c r="P1254" s="4">
        <v>5.55</v>
      </c>
      <c r="Q1254" s="4">
        <v>5.08</v>
      </c>
      <c r="R1254" s="4">
        <v>9.86</v>
      </c>
      <c r="S1254" s="4">
        <v>221.62</v>
      </c>
      <c r="T1254" s="4">
        <v>15.94</v>
      </c>
      <c r="U1254" s="4">
        <v>399.07</v>
      </c>
      <c r="V1254" s="4">
        <v>-60.64</v>
      </c>
      <c r="W1254" t="s">
        <v>58</v>
      </c>
      <c r="X1254" t="s">
        <v>55</v>
      </c>
      <c r="Y1254" s="4">
        <v>5</v>
      </c>
      <c r="Z1254" s="4">
        <v>0</v>
      </c>
      <c r="AA1254" t="s">
        <v>37</v>
      </c>
      <c r="AB1254" t="s">
        <v>44</v>
      </c>
      <c r="AC1254" s="7">
        <v>2</v>
      </c>
      <c r="AD1254" t="s">
        <v>45</v>
      </c>
      <c r="AE1254">
        <f t="shared" si="19"/>
        <v>1</v>
      </c>
    </row>
    <row r="1255" spans="1:31" x14ac:dyDescent="0.35">
      <c r="A1255">
        <v>101254</v>
      </c>
      <c r="B1255" s="3">
        <v>46009</v>
      </c>
      <c r="C1255">
        <v>1027</v>
      </c>
      <c r="D1255" t="s">
        <v>30</v>
      </c>
      <c r="E1255" t="s">
        <v>72</v>
      </c>
      <c r="F1255" t="s">
        <v>32</v>
      </c>
      <c r="G1255" t="s">
        <v>33</v>
      </c>
      <c r="H1255" t="s">
        <v>51</v>
      </c>
      <c r="I1255" t="s">
        <v>35</v>
      </c>
      <c r="J1255" s="4">
        <v>20.329999999999998</v>
      </c>
      <c r="K1255" s="4">
        <v>18.989999999999998</v>
      </c>
      <c r="L1255">
        <v>20</v>
      </c>
      <c r="M1255" s="4">
        <v>77.209999999999994</v>
      </c>
      <c r="N1255" s="4">
        <v>308.86</v>
      </c>
      <c r="O1255" s="4">
        <v>153.53</v>
      </c>
      <c r="P1255" s="4">
        <v>5.0599999999999996</v>
      </c>
      <c r="Q1255" s="4">
        <v>2.7</v>
      </c>
      <c r="R1255" s="4">
        <v>7.81</v>
      </c>
      <c r="S1255" s="4">
        <v>0</v>
      </c>
      <c r="T1255" s="4">
        <v>0</v>
      </c>
      <c r="U1255" s="4">
        <v>169.1</v>
      </c>
      <c r="V1255" s="4">
        <v>139.76</v>
      </c>
      <c r="W1255" t="s">
        <v>21</v>
      </c>
      <c r="X1255" t="s">
        <v>36</v>
      </c>
      <c r="Y1255" s="4">
        <v>2</v>
      </c>
      <c r="Z1255" s="4">
        <v>2</v>
      </c>
      <c r="AA1255" t="s">
        <v>37</v>
      </c>
      <c r="AB1255" t="s">
        <v>38</v>
      </c>
      <c r="AC1255" s="7">
        <v>0</v>
      </c>
      <c r="AD1255" t="s">
        <v>39</v>
      </c>
      <c r="AE1255">
        <f t="shared" si="19"/>
        <v>0</v>
      </c>
    </row>
    <row r="1256" spans="1:31" x14ac:dyDescent="0.35">
      <c r="A1256">
        <v>101255</v>
      </c>
      <c r="B1256" s="3">
        <v>45954</v>
      </c>
      <c r="C1256">
        <v>1065</v>
      </c>
      <c r="D1256" t="s">
        <v>30</v>
      </c>
      <c r="E1256" t="s">
        <v>72</v>
      </c>
      <c r="F1256" t="s">
        <v>32</v>
      </c>
      <c r="G1256" t="s">
        <v>63</v>
      </c>
      <c r="H1256" t="s">
        <v>34</v>
      </c>
      <c r="I1256" t="s">
        <v>35</v>
      </c>
      <c r="J1256" s="4">
        <v>27.46</v>
      </c>
      <c r="K1256" s="4">
        <v>13.31</v>
      </c>
      <c r="L1256">
        <v>15</v>
      </c>
      <c r="M1256" s="4">
        <v>54.82</v>
      </c>
      <c r="N1256" s="4">
        <v>310.67</v>
      </c>
      <c r="O1256" s="4">
        <v>193</v>
      </c>
      <c r="P1256" s="4">
        <v>8.24</v>
      </c>
      <c r="Q1256" s="4">
        <v>2.56</v>
      </c>
      <c r="R1256" s="4">
        <v>7.24</v>
      </c>
      <c r="S1256" s="4">
        <v>0</v>
      </c>
      <c r="T1256" s="4">
        <v>0</v>
      </c>
      <c r="U1256" s="4">
        <v>211.04</v>
      </c>
      <c r="V1256" s="4">
        <v>99.63</v>
      </c>
      <c r="W1256" t="s">
        <v>21</v>
      </c>
      <c r="X1256" t="s">
        <v>36</v>
      </c>
      <c r="Y1256" s="4">
        <v>10</v>
      </c>
      <c r="Z1256" s="4">
        <v>14</v>
      </c>
      <c r="AA1256" t="s">
        <v>37</v>
      </c>
      <c r="AB1256" t="s">
        <v>38</v>
      </c>
      <c r="AC1256" s="7">
        <v>0</v>
      </c>
      <c r="AD1256" t="s">
        <v>39</v>
      </c>
      <c r="AE1256">
        <f t="shared" si="19"/>
        <v>0</v>
      </c>
    </row>
    <row r="1257" spans="1:31" x14ac:dyDescent="0.35">
      <c r="A1257">
        <v>101256</v>
      </c>
      <c r="B1257" s="3">
        <v>46016</v>
      </c>
      <c r="C1257">
        <v>1013</v>
      </c>
      <c r="D1257" t="s">
        <v>30</v>
      </c>
      <c r="E1257" t="s">
        <v>62</v>
      </c>
      <c r="F1257" t="s">
        <v>49</v>
      </c>
      <c r="G1257" t="s">
        <v>63</v>
      </c>
      <c r="H1257" t="s">
        <v>51</v>
      </c>
      <c r="I1257" t="s">
        <v>35</v>
      </c>
      <c r="J1257" s="4">
        <v>21.84</v>
      </c>
      <c r="K1257" s="4">
        <v>12.47</v>
      </c>
      <c r="L1257">
        <v>5</v>
      </c>
      <c r="M1257" s="4">
        <v>13.62</v>
      </c>
      <c r="N1257" s="4">
        <v>258.72000000000003</v>
      </c>
      <c r="O1257" s="4">
        <v>154.91</v>
      </c>
      <c r="P1257" s="4">
        <v>9.1999999999999993</v>
      </c>
      <c r="Q1257" s="4">
        <v>1.91</v>
      </c>
      <c r="R1257" s="4">
        <v>7.48</v>
      </c>
      <c r="S1257" s="4">
        <v>0</v>
      </c>
      <c r="T1257" s="4">
        <v>0</v>
      </c>
      <c r="U1257" s="4">
        <v>173.5</v>
      </c>
      <c r="V1257" s="4">
        <v>85.22</v>
      </c>
      <c r="W1257" t="s">
        <v>21</v>
      </c>
      <c r="X1257" t="s">
        <v>36</v>
      </c>
      <c r="Y1257" s="4">
        <v>3</v>
      </c>
      <c r="Z1257" s="4">
        <v>25</v>
      </c>
      <c r="AA1257" t="s">
        <v>37</v>
      </c>
      <c r="AB1257" t="s">
        <v>44</v>
      </c>
      <c r="AC1257" s="7">
        <v>2</v>
      </c>
      <c r="AD1257" t="s">
        <v>45</v>
      </c>
      <c r="AE1257">
        <f t="shared" si="19"/>
        <v>1</v>
      </c>
    </row>
    <row r="1258" spans="1:31" x14ac:dyDescent="0.35">
      <c r="A1258">
        <v>101257</v>
      </c>
      <c r="B1258" s="3">
        <v>45979</v>
      </c>
      <c r="C1258">
        <v>1137</v>
      </c>
      <c r="D1258" t="s">
        <v>47</v>
      </c>
      <c r="E1258" t="s">
        <v>74</v>
      </c>
      <c r="F1258" t="s">
        <v>32</v>
      </c>
      <c r="G1258" t="s">
        <v>50</v>
      </c>
      <c r="H1258" t="s">
        <v>34</v>
      </c>
      <c r="I1258" t="s">
        <v>54</v>
      </c>
      <c r="J1258" s="4">
        <v>33.85</v>
      </c>
      <c r="K1258" s="4">
        <v>17.91</v>
      </c>
      <c r="L1258">
        <v>0</v>
      </c>
      <c r="M1258" s="4">
        <v>0</v>
      </c>
      <c r="N1258" s="4">
        <v>606.25</v>
      </c>
      <c r="O1258" s="4">
        <v>242.82</v>
      </c>
      <c r="P1258" s="4">
        <v>10.37</v>
      </c>
      <c r="Q1258" s="4">
        <v>7.28</v>
      </c>
      <c r="R1258" s="4">
        <v>6.86</v>
      </c>
      <c r="S1258" s="4">
        <v>236.47</v>
      </c>
      <c r="T1258" s="4">
        <v>0</v>
      </c>
      <c r="U1258" s="4">
        <v>503.8</v>
      </c>
      <c r="V1258" s="4">
        <v>102.45</v>
      </c>
      <c r="W1258" t="s">
        <v>21</v>
      </c>
      <c r="X1258" t="s">
        <v>55</v>
      </c>
      <c r="Y1258" s="4">
        <v>0</v>
      </c>
      <c r="Z1258" s="4">
        <v>9</v>
      </c>
      <c r="AA1258" t="s">
        <v>37</v>
      </c>
      <c r="AB1258" t="s">
        <v>44</v>
      </c>
      <c r="AC1258" s="7">
        <v>2</v>
      </c>
      <c r="AD1258" t="s">
        <v>45</v>
      </c>
      <c r="AE1258">
        <f t="shared" si="19"/>
        <v>1</v>
      </c>
    </row>
    <row r="1259" spans="1:31" x14ac:dyDescent="0.35">
      <c r="A1259">
        <v>101258</v>
      </c>
      <c r="B1259" s="3">
        <v>45952</v>
      </c>
      <c r="C1259">
        <v>1124</v>
      </c>
      <c r="D1259" t="s">
        <v>47</v>
      </c>
      <c r="E1259" t="s">
        <v>56</v>
      </c>
      <c r="F1259" t="s">
        <v>41</v>
      </c>
      <c r="G1259" t="s">
        <v>63</v>
      </c>
      <c r="H1259" t="s">
        <v>34</v>
      </c>
      <c r="I1259" t="s">
        <v>35</v>
      </c>
      <c r="J1259" s="4">
        <v>9.73</v>
      </c>
      <c r="K1259" s="4">
        <v>12.13</v>
      </c>
      <c r="L1259">
        <v>0</v>
      </c>
      <c r="M1259" s="4">
        <v>0</v>
      </c>
      <c r="N1259" s="4">
        <v>118.02</v>
      </c>
      <c r="O1259" s="4">
        <v>74.77</v>
      </c>
      <c r="P1259" s="4">
        <v>7.26</v>
      </c>
      <c r="Q1259" s="4">
        <v>0.83</v>
      </c>
      <c r="R1259" s="4">
        <v>2.0299999999999998</v>
      </c>
      <c r="S1259" s="4">
        <v>0</v>
      </c>
      <c r="T1259" s="4">
        <v>0</v>
      </c>
      <c r="U1259" s="4">
        <v>84.89</v>
      </c>
      <c r="V1259" s="4">
        <v>33.130000000000003</v>
      </c>
      <c r="W1259" t="s">
        <v>21</v>
      </c>
      <c r="X1259" t="s">
        <v>36</v>
      </c>
      <c r="Y1259" s="4">
        <v>21</v>
      </c>
      <c r="Z1259" s="4">
        <v>1</v>
      </c>
      <c r="AA1259" t="s">
        <v>52</v>
      </c>
      <c r="AB1259" t="s">
        <v>44</v>
      </c>
      <c r="AC1259" s="7">
        <v>2</v>
      </c>
      <c r="AD1259" t="s">
        <v>45</v>
      </c>
      <c r="AE1259">
        <f t="shared" si="19"/>
        <v>1</v>
      </c>
    </row>
    <row r="1260" spans="1:31" x14ac:dyDescent="0.35">
      <c r="A1260">
        <v>101259</v>
      </c>
      <c r="B1260" s="3">
        <v>46012</v>
      </c>
      <c r="C1260">
        <v>1001</v>
      </c>
      <c r="D1260" t="s">
        <v>47</v>
      </c>
      <c r="E1260" t="s">
        <v>48</v>
      </c>
      <c r="F1260" t="s">
        <v>32</v>
      </c>
      <c r="G1260" t="s">
        <v>50</v>
      </c>
      <c r="H1260" t="s">
        <v>34</v>
      </c>
      <c r="I1260" t="s">
        <v>35</v>
      </c>
      <c r="J1260" s="4">
        <v>40.369999999999997</v>
      </c>
      <c r="K1260" s="4">
        <v>17.13</v>
      </c>
      <c r="L1260">
        <v>5</v>
      </c>
      <c r="M1260" s="4">
        <v>34.58</v>
      </c>
      <c r="N1260" s="4">
        <v>656.96</v>
      </c>
      <c r="O1260" s="4">
        <v>318.38</v>
      </c>
      <c r="P1260" s="4">
        <v>9.8000000000000007</v>
      </c>
      <c r="Q1260" s="4">
        <v>4.84</v>
      </c>
      <c r="R1260" s="4">
        <v>15.16</v>
      </c>
      <c r="S1260" s="4">
        <v>0</v>
      </c>
      <c r="T1260" s="4">
        <v>0</v>
      </c>
      <c r="U1260" s="4">
        <v>348.18</v>
      </c>
      <c r="V1260" s="4">
        <v>308.77999999999997</v>
      </c>
      <c r="W1260" t="s">
        <v>21</v>
      </c>
      <c r="X1260" t="s">
        <v>36</v>
      </c>
      <c r="Y1260" s="4">
        <v>1</v>
      </c>
      <c r="Z1260" s="4">
        <v>3</v>
      </c>
      <c r="AA1260" t="s">
        <v>37</v>
      </c>
      <c r="AB1260" t="s">
        <v>38</v>
      </c>
      <c r="AC1260" s="7">
        <v>0</v>
      </c>
      <c r="AD1260" t="s">
        <v>39</v>
      </c>
      <c r="AE1260">
        <f t="shared" si="19"/>
        <v>0</v>
      </c>
    </row>
    <row r="1261" spans="1:31" x14ac:dyDescent="0.35">
      <c r="A1261">
        <v>101260</v>
      </c>
      <c r="B1261" s="3">
        <v>45993</v>
      </c>
      <c r="C1261">
        <v>1092</v>
      </c>
      <c r="D1261" t="s">
        <v>47</v>
      </c>
      <c r="E1261" t="s">
        <v>48</v>
      </c>
      <c r="F1261" t="s">
        <v>61</v>
      </c>
      <c r="G1261" t="s">
        <v>63</v>
      </c>
      <c r="H1261" t="s">
        <v>57</v>
      </c>
      <c r="I1261" t="s">
        <v>35</v>
      </c>
      <c r="J1261" s="4">
        <v>29.92</v>
      </c>
      <c r="K1261" s="4">
        <v>12.68</v>
      </c>
      <c r="L1261">
        <v>10</v>
      </c>
      <c r="M1261" s="4">
        <v>37.94</v>
      </c>
      <c r="N1261" s="4">
        <v>341.45</v>
      </c>
      <c r="O1261" s="4">
        <v>209.26</v>
      </c>
      <c r="P1261" s="4">
        <v>12.22</v>
      </c>
      <c r="Q1261" s="4">
        <v>2.66</v>
      </c>
      <c r="R1261" s="4">
        <v>7.42</v>
      </c>
      <c r="S1261" s="4">
        <v>0</v>
      </c>
      <c r="T1261" s="4">
        <v>0</v>
      </c>
      <c r="U1261" s="4">
        <v>231.56</v>
      </c>
      <c r="V1261" s="4">
        <v>109.89</v>
      </c>
      <c r="W1261" t="s">
        <v>21</v>
      </c>
      <c r="X1261" t="s">
        <v>36</v>
      </c>
      <c r="Y1261" s="4">
        <v>1</v>
      </c>
      <c r="Z1261" s="4">
        <v>5</v>
      </c>
      <c r="AA1261" t="s">
        <v>37</v>
      </c>
      <c r="AB1261" t="s">
        <v>38</v>
      </c>
      <c r="AC1261" s="7">
        <v>0</v>
      </c>
      <c r="AD1261" t="s">
        <v>39</v>
      </c>
      <c r="AE1261">
        <f t="shared" si="19"/>
        <v>0</v>
      </c>
    </row>
    <row r="1262" spans="1:31" x14ac:dyDescent="0.35">
      <c r="A1262">
        <v>101261</v>
      </c>
      <c r="B1262" s="3">
        <v>45990</v>
      </c>
      <c r="C1262">
        <v>1089</v>
      </c>
      <c r="D1262" t="s">
        <v>47</v>
      </c>
      <c r="E1262" t="s">
        <v>53</v>
      </c>
      <c r="F1262" t="s">
        <v>41</v>
      </c>
      <c r="G1262" t="s">
        <v>46</v>
      </c>
      <c r="H1262" t="s">
        <v>57</v>
      </c>
      <c r="I1262" t="s">
        <v>42</v>
      </c>
      <c r="J1262" s="4">
        <v>33.200000000000003</v>
      </c>
      <c r="K1262" s="4">
        <v>14.79</v>
      </c>
      <c r="L1262">
        <v>0</v>
      </c>
      <c r="M1262" s="4">
        <v>0</v>
      </c>
      <c r="N1262" s="4">
        <v>491.03</v>
      </c>
      <c r="O1262" s="4">
        <v>224.15</v>
      </c>
      <c r="P1262" s="4">
        <v>4.9800000000000004</v>
      </c>
      <c r="Q1262" s="4">
        <v>7.37</v>
      </c>
      <c r="R1262" s="4">
        <v>3.34</v>
      </c>
      <c r="S1262" s="4">
        <v>0</v>
      </c>
      <c r="T1262" s="4">
        <v>0</v>
      </c>
      <c r="U1262" s="4">
        <v>239.84</v>
      </c>
      <c r="V1262" s="4">
        <v>251.19</v>
      </c>
      <c r="W1262" t="s">
        <v>21</v>
      </c>
      <c r="X1262" t="s">
        <v>36</v>
      </c>
      <c r="Y1262" s="4">
        <v>24</v>
      </c>
      <c r="Z1262" s="4">
        <v>2</v>
      </c>
      <c r="AA1262" t="s">
        <v>52</v>
      </c>
      <c r="AB1262" t="s">
        <v>44</v>
      </c>
      <c r="AC1262" s="7">
        <v>2</v>
      </c>
      <c r="AD1262" t="s">
        <v>45</v>
      </c>
      <c r="AE1262">
        <f t="shared" si="19"/>
        <v>1</v>
      </c>
    </row>
    <row r="1263" spans="1:31" x14ac:dyDescent="0.35">
      <c r="A1263">
        <v>101262</v>
      </c>
      <c r="B1263" s="3">
        <v>45988</v>
      </c>
      <c r="C1263">
        <v>1050</v>
      </c>
      <c r="D1263" t="s">
        <v>59</v>
      </c>
      <c r="E1263" t="s">
        <v>68</v>
      </c>
      <c r="F1263" t="s">
        <v>49</v>
      </c>
      <c r="G1263" t="s">
        <v>63</v>
      </c>
      <c r="H1263" t="s">
        <v>34</v>
      </c>
      <c r="I1263" t="s">
        <v>42</v>
      </c>
      <c r="J1263" s="4">
        <v>29.69</v>
      </c>
      <c r="K1263" s="4">
        <v>12.74</v>
      </c>
      <c r="L1263">
        <v>0</v>
      </c>
      <c r="M1263" s="4">
        <v>0</v>
      </c>
      <c r="N1263" s="4">
        <v>378.25</v>
      </c>
      <c r="O1263" s="4">
        <v>197.03</v>
      </c>
      <c r="P1263" s="4">
        <v>6.47</v>
      </c>
      <c r="Q1263" s="4">
        <v>5.67</v>
      </c>
      <c r="R1263" s="4">
        <v>6.36</v>
      </c>
      <c r="S1263" s="4">
        <v>233.18</v>
      </c>
      <c r="T1263" s="4">
        <v>0</v>
      </c>
      <c r="U1263" s="4">
        <v>448.71</v>
      </c>
      <c r="V1263" s="4">
        <v>-70.459999999999994</v>
      </c>
      <c r="W1263" t="s">
        <v>58</v>
      </c>
      <c r="X1263" t="s">
        <v>66</v>
      </c>
      <c r="Y1263" s="4">
        <v>3</v>
      </c>
      <c r="Z1263" s="4">
        <v>8</v>
      </c>
      <c r="AA1263" t="s">
        <v>37</v>
      </c>
      <c r="AB1263" t="s">
        <v>38</v>
      </c>
      <c r="AC1263" s="7">
        <v>1</v>
      </c>
      <c r="AD1263" t="s">
        <v>45</v>
      </c>
      <c r="AE1263">
        <f t="shared" si="19"/>
        <v>0</v>
      </c>
    </row>
    <row r="1264" spans="1:31" x14ac:dyDescent="0.35">
      <c r="A1264">
        <v>101263</v>
      </c>
      <c r="B1264" s="3">
        <v>45991</v>
      </c>
      <c r="C1264">
        <v>1137</v>
      </c>
      <c r="D1264" t="s">
        <v>30</v>
      </c>
      <c r="E1264" t="s">
        <v>40</v>
      </c>
      <c r="F1264" t="s">
        <v>49</v>
      </c>
      <c r="G1264" t="s">
        <v>50</v>
      </c>
      <c r="H1264" t="s">
        <v>57</v>
      </c>
      <c r="I1264" t="s">
        <v>69</v>
      </c>
      <c r="J1264" s="4">
        <v>21.59</v>
      </c>
      <c r="K1264" s="4">
        <v>16.600000000000001</v>
      </c>
      <c r="L1264">
        <v>20</v>
      </c>
      <c r="M1264" s="4">
        <v>71.680000000000007</v>
      </c>
      <c r="N1264" s="4">
        <v>286.70999999999998</v>
      </c>
      <c r="O1264" s="4">
        <v>177.11</v>
      </c>
      <c r="P1264" s="4">
        <v>1.43</v>
      </c>
      <c r="Q1264" s="4">
        <v>1.43</v>
      </c>
      <c r="R1264" s="4">
        <v>4.91</v>
      </c>
      <c r="S1264" s="4">
        <v>265.11</v>
      </c>
      <c r="T1264" s="4">
        <v>21.94</v>
      </c>
      <c r="U1264" s="4">
        <v>471.93</v>
      </c>
      <c r="V1264" s="4">
        <v>-185.22</v>
      </c>
      <c r="W1264" t="s">
        <v>58</v>
      </c>
      <c r="X1264" t="s">
        <v>55</v>
      </c>
      <c r="Y1264" s="4">
        <v>3</v>
      </c>
      <c r="Z1264" s="4">
        <v>3</v>
      </c>
      <c r="AA1264" t="s">
        <v>37</v>
      </c>
      <c r="AB1264" t="s">
        <v>44</v>
      </c>
      <c r="AC1264" s="7">
        <v>4</v>
      </c>
      <c r="AD1264" t="s">
        <v>45</v>
      </c>
      <c r="AE1264">
        <f t="shared" si="19"/>
        <v>1</v>
      </c>
    </row>
    <row r="1265" spans="1:31" x14ac:dyDescent="0.35">
      <c r="A1265">
        <v>101264</v>
      </c>
      <c r="B1265" s="3">
        <v>45942</v>
      </c>
      <c r="C1265">
        <v>1132</v>
      </c>
      <c r="D1265" t="s">
        <v>30</v>
      </c>
      <c r="E1265" t="s">
        <v>40</v>
      </c>
      <c r="F1265" t="s">
        <v>41</v>
      </c>
      <c r="G1265" t="s">
        <v>63</v>
      </c>
      <c r="H1265" t="s">
        <v>34</v>
      </c>
      <c r="I1265" t="s">
        <v>35</v>
      </c>
      <c r="J1265" s="4">
        <v>16.23</v>
      </c>
      <c r="K1265" s="4">
        <v>11.72</v>
      </c>
      <c r="L1265">
        <v>20</v>
      </c>
      <c r="M1265" s="4">
        <v>38.04</v>
      </c>
      <c r="N1265" s="4">
        <v>152.18</v>
      </c>
      <c r="O1265" s="4">
        <v>113.2</v>
      </c>
      <c r="P1265" s="4">
        <v>15.67</v>
      </c>
      <c r="Q1265" s="4">
        <v>1.33</v>
      </c>
      <c r="R1265" s="4">
        <v>0</v>
      </c>
      <c r="S1265" s="4">
        <v>0</v>
      </c>
      <c r="T1265" s="4">
        <v>0</v>
      </c>
      <c r="U1265" s="4">
        <v>130.19999999999999</v>
      </c>
      <c r="V1265" s="4">
        <v>21.98</v>
      </c>
      <c r="W1265" t="s">
        <v>21</v>
      </c>
      <c r="X1265" t="s">
        <v>36</v>
      </c>
      <c r="Y1265" s="4">
        <v>37</v>
      </c>
      <c r="Z1265" s="4">
        <v>10</v>
      </c>
      <c r="AA1265" t="s">
        <v>43</v>
      </c>
      <c r="AB1265" t="s">
        <v>44</v>
      </c>
      <c r="AC1265" s="7">
        <v>3</v>
      </c>
      <c r="AD1265" t="s">
        <v>45</v>
      </c>
      <c r="AE1265">
        <f t="shared" si="19"/>
        <v>1</v>
      </c>
    </row>
    <row r="1266" spans="1:31" x14ac:dyDescent="0.35">
      <c r="A1266">
        <v>101265</v>
      </c>
      <c r="B1266" s="3">
        <v>46003</v>
      </c>
      <c r="C1266">
        <v>1094</v>
      </c>
      <c r="D1266" t="s">
        <v>47</v>
      </c>
      <c r="E1266" t="s">
        <v>56</v>
      </c>
      <c r="F1266" t="s">
        <v>71</v>
      </c>
      <c r="G1266" t="s">
        <v>63</v>
      </c>
      <c r="H1266" t="s">
        <v>34</v>
      </c>
      <c r="I1266" t="s">
        <v>54</v>
      </c>
      <c r="J1266" s="4">
        <v>24.74</v>
      </c>
      <c r="K1266" s="4">
        <v>14.34</v>
      </c>
      <c r="L1266">
        <v>5</v>
      </c>
      <c r="M1266" s="4">
        <v>17.739999999999998</v>
      </c>
      <c r="N1266" s="4">
        <v>337.03</v>
      </c>
      <c r="O1266" s="4">
        <v>155.27000000000001</v>
      </c>
      <c r="P1266" s="4">
        <v>9.15</v>
      </c>
      <c r="Q1266" s="4">
        <v>4.26</v>
      </c>
      <c r="R1266" s="4">
        <v>5.97</v>
      </c>
      <c r="S1266" s="4">
        <v>0</v>
      </c>
      <c r="T1266" s="4">
        <v>0</v>
      </c>
      <c r="U1266" s="4">
        <v>174.65</v>
      </c>
      <c r="V1266" s="4">
        <v>162.38</v>
      </c>
      <c r="W1266" t="s">
        <v>21</v>
      </c>
      <c r="X1266" t="s">
        <v>36</v>
      </c>
      <c r="Y1266" s="4">
        <v>1</v>
      </c>
      <c r="Z1266" s="4">
        <v>13</v>
      </c>
      <c r="AA1266" t="s">
        <v>37</v>
      </c>
      <c r="AB1266" t="s">
        <v>38</v>
      </c>
      <c r="AC1266" s="7">
        <v>0</v>
      </c>
      <c r="AD1266" t="s">
        <v>39</v>
      </c>
      <c r="AE1266">
        <f t="shared" si="19"/>
        <v>0</v>
      </c>
    </row>
    <row r="1267" spans="1:31" x14ac:dyDescent="0.35">
      <c r="A1267">
        <v>101266</v>
      </c>
      <c r="B1267" s="3">
        <v>46020</v>
      </c>
      <c r="C1267">
        <v>1012</v>
      </c>
      <c r="D1267" t="s">
        <v>30</v>
      </c>
      <c r="E1267" t="s">
        <v>40</v>
      </c>
      <c r="F1267" t="s">
        <v>49</v>
      </c>
      <c r="G1267" t="s">
        <v>46</v>
      </c>
      <c r="H1267" t="s">
        <v>57</v>
      </c>
      <c r="I1267" t="s">
        <v>35</v>
      </c>
      <c r="J1267" s="4">
        <v>39.39</v>
      </c>
      <c r="K1267" s="4">
        <v>16.989999999999998</v>
      </c>
      <c r="L1267">
        <v>10</v>
      </c>
      <c r="M1267" s="4">
        <v>66.92</v>
      </c>
      <c r="N1267" s="4">
        <v>602.32000000000005</v>
      </c>
      <c r="O1267" s="4">
        <v>277.14</v>
      </c>
      <c r="P1267" s="4">
        <v>8.2799999999999994</v>
      </c>
      <c r="Q1267" s="4">
        <v>4.68</v>
      </c>
      <c r="R1267" s="4">
        <v>5.0599999999999996</v>
      </c>
      <c r="S1267" s="4">
        <v>0</v>
      </c>
      <c r="T1267" s="4">
        <v>0</v>
      </c>
      <c r="U1267" s="4">
        <v>295.16000000000003</v>
      </c>
      <c r="V1267" s="4">
        <v>307.16000000000003</v>
      </c>
      <c r="W1267" t="s">
        <v>21</v>
      </c>
      <c r="X1267" t="s">
        <v>36</v>
      </c>
      <c r="Y1267" s="4">
        <v>14</v>
      </c>
      <c r="Z1267" s="4">
        <v>0</v>
      </c>
      <c r="AA1267" t="s">
        <v>37</v>
      </c>
      <c r="AB1267" t="s">
        <v>38</v>
      </c>
      <c r="AC1267" s="7">
        <v>0</v>
      </c>
      <c r="AD1267" t="s">
        <v>39</v>
      </c>
      <c r="AE1267">
        <f t="shared" si="19"/>
        <v>0</v>
      </c>
    </row>
    <row r="1268" spans="1:31" x14ac:dyDescent="0.35">
      <c r="A1268">
        <v>101267</v>
      </c>
      <c r="B1268" s="3">
        <v>45995</v>
      </c>
      <c r="C1268">
        <v>1083</v>
      </c>
      <c r="D1268" t="s">
        <v>64</v>
      </c>
      <c r="E1268" t="s">
        <v>65</v>
      </c>
      <c r="F1268" t="s">
        <v>61</v>
      </c>
      <c r="G1268" t="s">
        <v>63</v>
      </c>
      <c r="H1268" t="s">
        <v>34</v>
      </c>
      <c r="I1268" t="s">
        <v>35</v>
      </c>
      <c r="J1268" s="4">
        <v>17.91</v>
      </c>
      <c r="K1268" s="4">
        <v>12.77</v>
      </c>
      <c r="L1268">
        <v>15</v>
      </c>
      <c r="M1268" s="4">
        <v>34.31</v>
      </c>
      <c r="N1268" s="4">
        <v>194.4</v>
      </c>
      <c r="O1268" s="4">
        <v>128.15</v>
      </c>
      <c r="P1268" s="4">
        <v>4.4800000000000004</v>
      </c>
      <c r="Q1268" s="4">
        <v>1.6</v>
      </c>
      <c r="R1268" s="4">
        <v>1.58</v>
      </c>
      <c r="S1268" s="4">
        <v>0</v>
      </c>
      <c r="T1268" s="4">
        <v>0</v>
      </c>
      <c r="U1268" s="4">
        <v>135.81</v>
      </c>
      <c r="V1268" s="4">
        <v>58.59</v>
      </c>
      <c r="W1268" t="s">
        <v>21</v>
      </c>
      <c r="X1268" t="s">
        <v>36</v>
      </c>
      <c r="Y1268" s="4">
        <v>63</v>
      </c>
      <c r="Z1268" s="4">
        <v>1</v>
      </c>
      <c r="AA1268" t="s">
        <v>43</v>
      </c>
      <c r="AB1268" t="s">
        <v>44</v>
      </c>
      <c r="AC1268" s="7">
        <v>2</v>
      </c>
      <c r="AD1268" t="s">
        <v>45</v>
      </c>
      <c r="AE1268">
        <f t="shared" si="19"/>
        <v>1</v>
      </c>
    </row>
    <row r="1269" spans="1:31" x14ac:dyDescent="0.35">
      <c r="A1269">
        <v>101268</v>
      </c>
      <c r="B1269" s="3">
        <v>46015</v>
      </c>
      <c r="C1269">
        <v>1030</v>
      </c>
      <c r="D1269" t="s">
        <v>59</v>
      </c>
      <c r="E1269" t="s">
        <v>70</v>
      </c>
      <c r="F1269" t="s">
        <v>41</v>
      </c>
      <c r="G1269" t="s">
        <v>33</v>
      </c>
      <c r="H1269" t="s">
        <v>34</v>
      </c>
      <c r="I1269" t="s">
        <v>42</v>
      </c>
      <c r="J1269" s="4">
        <v>17.09</v>
      </c>
      <c r="K1269" s="4">
        <v>18.739999999999998</v>
      </c>
      <c r="L1269">
        <v>0</v>
      </c>
      <c r="M1269" s="4">
        <v>0</v>
      </c>
      <c r="N1269" s="4">
        <v>320.27</v>
      </c>
      <c r="O1269" s="4">
        <v>115.1</v>
      </c>
      <c r="P1269" s="4">
        <v>1</v>
      </c>
      <c r="Q1269" s="4">
        <v>4.8</v>
      </c>
      <c r="R1269" s="4">
        <v>13.99</v>
      </c>
      <c r="S1269" s="4">
        <v>0</v>
      </c>
      <c r="T1269" s="4">
        <v>0</v>
      </c>
      <c r="U1269" s="4">
        <v>134.88999999999999</v>
      </c>
      <c r="V1269" s="4">
        <v>185.38</v>
      </c>
      <c r="W1269" t="s">
        <v>21</v>
      </c>
      <c r="X1269" t="s">
        <v>36</v>
      </c>
      <c r="Y1269" s="4">
        <v>32</v>
      </c>
      <c r="Z1269" s="4">
        <v>2</v>
      </c>
      <c r="AA1269" t="s">
        <v>43</v>
      </c>
      <c r="AB1269" t="s">
        <v>44</v>
      </c>
      <c r="AC1269" s="7">
        <v>2</v>
      </c>
      <c r="AD1269" t="s">
        <v>45</v>
      </c>
      <c r="AE1269">
        <f t="shared" si="19"/>
        <v>1</v>
      </c>
    </row>
    <row r="1270" spans="1:31" x14ac:dyDescent="0.35">
      <c r="A1270">
        <v>101269</v>
      </c>
      <c r="B1270" s="3">
        <v>45983</v>
      </c>
      <c r="C1270">
        <v>1029</v>
      </c>
      <c r="D1270" t="s">
        <v>30</v>
      </c>
      <c r="E1270" t="s">
        <v>62</v>
      </c>
      <c r="F1270" t="s">
        <v>49</v>
      </c>
      <c r="G1270" t="s">
        <v>63</v>
      </c>
      <c r="H1270" t="s">
        <v>57</v>
      </c>
      <c r="I1270" t="s">
        <v>54</v>
      </c>
      <c r="J1270" s="4">
        <v>7.23</v>
      </c>
      <c r="K1270" s="4">
        <v>13</v>
      </c>
      <c r="L1270">
        <v>15</v>
      </c>
      <c r="M1270" s="4">
        <v>14.1</v>
      </c>
      <c r="N1270" s="4">
        <v>79.89</v>
      </c>
      <c r="O1270" s="4">
        <v>54.22</v>
      </c>
      <c r="P1270" s="4">
        <v>9.5</v>
      </c>
      <c r="Q1270" s="4">
        <v>1.1299999999999999</v>
      </c>
      <c r="R1270" s="4">
        <v>7.53</v>
      </c>
      <c r="S1270" s="4">
        <v>0</v>
      </c>
      <c r="T1270" s="4">
        <v>0</v>
      </c>
      <c r="U1270" s="4">
        <v>72.38</v>
      </c>
      <c r="V1270" s="4">
        <v>7.51</v>
      </c>
      <c r="W1270" t="s">
        <v>21</v>
      </c>
      <c r="X1270" t="s">
        <v>36</v>
      </c>
      <c r="Y1270" s="4">
        <v>22</v>
      </c>
      <c r="Z1270" s="4">
        <v>1</v>
      </c>
      <c r="AA1270" t="s">
        <v>52</v>
      </c>
      <c r="AB1270" t="s">
        <v>44</v>
      </c>
      <c r="AC1270" s="7">
        <v>1</v>
      </c>
      <c r="AD1270" t="s">
        <v>45</v>
      </c>
      <c r="AE1270">
        <f t="shared" si="19"/>
        <v>1</v>
      </c>
    </row>
    <row r="1271" spans="1:31" x14ac:dyDescent="0.35">
      <c r="A1271">
        <v>101270</v>
      </c>
      <c r="B1271" s="3">
        <v>46001</v>
      </c>
      <c r="C1271">
        <v>1027</v>
      </c>
      <c r="D1271" t="s">
        <v>59</v>
      </c>
      <c r="E1271" t="s">
        <v>60</v>
      </c>
      <c r="F1271" t="s">
        <v>49</v>
      </c>
      <c r="G1271" t="s">
        <v>63</v>
      </c>
      <c r="H1271" t="s">
        <v>34</v>
      </c>
      <c r="I1271" t="s">
        <v>54</v>
      </c>
      <c r="J1271" s="4">
        <v>7.25</v>
      </c>
      <c r="K1271" s="4">
        <v>12.6</v>
      </c>
      <c r="L1271">
        <v>5</v>
      </c>
      <c r="M1271" s="4">
        <v>4.57</v>
      </c>
      <c r="N1271" s="4">
        <v>86.78</v>
      </c>
      <c r="O1271" s="4">
        <v>53.31</v>
      </c>
      <c r="P1271" s="4">
        <v>14.63</v>
      </c>
      <c r="Q1271" s="4">
        <v>1.1000000000000001</v>
      </c>
      <c r="R1271" s="4">
        <v>1.93</v>
      </c>
      <c r="S1271" s="4">
        <v>0</v>
      </c>
      <c r="T1271" s="4">
        <v>0</v>
      </c>
      <c r="U1271" s="4">
        <v>70.97</v>
      </c>
      <c r="V1271" s="4">
        <v>15.81</v>
      </c>
      <c r="W1271" t="s">
        <v>21</v>
      </c>
      <c r="X1271" t="s">
        <v>36</v>
      </c>
      <c r="Y1271" s="4">
        <v>6</v>
      </c>
      <c r="Z1271" s="4">
        <v>6</v>
      </c>
      <c r="AA1271" t="s">
        <v>37</v>
      </c>
      <c r="AB1271" t="s">
        <v>38</v>
      </c>
      <c r="AC1271" s="7">
        <v>0</v>
      </c>
      <c r="AD1271" t="s">
        <v>39</v>
      </c>
      <c r="AE1271">
        <f t="shared" si="19"/>
        <v>0</v>
      </c>
    </row>
    <row r="1272" spans="1:31" x14ac:dyDescent="0.35">
      <c r="A1272">
        <v>101271</v>
      </c>
      <c r="B1272" s="3">
        <v>45972</v>
      </c>
      <c r="C1272">
        <v>1091</v>
      </c>
      <c r="D1272" t="s">
        <v>47</v>
      </c>
      <c r="E1272" t="s">
        <v>53</v>
      </c>
      <c r="F1272" t="s">
        <v>32</v>
      </c>
      <c r="G1272" t="s">
        <v>63</v>
      </c>
      <c r="H1272" t="s">
        <v>57</v>
      </c>
      <c r="I1272" t="s">
        <v>42</v>
      </c>
      <c r="J1272" s="4">
        <v>20.51</v>
      </c>
      <c r="K1272" s="4">
        <v>13.15</v>
      </c>
      <c r="L1272">
        <v>0</v>
      </c>
      <c r="M1272" s="4">
        <v>0</v>
      </c>
      <c r="N1272" s="4">
        <v>269.70999999999998</v>
      </c>
      <c r="O1272" s="4">
        <v>138.33000000000001</v>
      </c>
      <c r="P1272" s="4">
        <v>13.39</v>
      </c>
      <c r="Q1272" s="4">
        <v>4.05</v>
      </c>
      <c r="R1272" s="4">
        <v>15.77</v>
      </c>
      <c r="S1272" s="4">
        <v>0</v>
      </c>
      <c r="T1272" s="4">
        <v>0</v>
      </c>
      <c r="U1272" s="4">
        <v>171.54</v>
      </c>
      <c r="V1272" s="4">
        <v>98.17</v>
      </c>
      <c r="W1272" t="s">
        <v>21</v>
      </c>
      <c r="X1272" t="s">
        <v>36</v>
      </c>
      <c r="Y1272" s="4">
        <v>0</v>
      </c>
      <c r="Z1272" s="4">
        <v>10</v>
      </c>
      <c r="AA1272" t="s">
        <v>37</v>
      </c>
      <c r="AB1272" t="s">
        <v>38</v>
      </c>
      <c r="AC1272" s="7">
        <v>0</v>
      </c>
      <c r="AD1272" t="s">
        <v>39</v>
      </c>
      <c r="AE1272">
        <f t="shared" si="19"/>
        <v>0</v>
      </c>
    </row>
    <row r="1273" spans="1:31" x14ac:dyDescent="0.35">
      <c r="A1273">
        <v>101272</v>
      </c>
      <c r="B1273" s="3">
        <v>45931</v>
      </c>
      <c r="C1273">
        <v>1102</v>
      </c>
      <c r="D1273" t="s">
        <v>47</v>
      </c>
      <c r="E1273" t="s">
        <v>53</v>
      </c>
      <c r="F1273" t="s">
        <v>49</v>
      </c>
      <c r="G1273" t="s">
        <v>63</v>
      </c>
      <c r="H1273" t="s">
        <v>34</v>
      </c>
      <c r="I1273" t="s">
        <v>42</v>
      </c>
      <c r="J1273" s="4">
        <v>28.87</v>
      </c>
      <c r="K1273" s="4">
        <v>12.96</v>
      </c>
      <c r="L1273">
        <v>5</v>
      </c>
      <c r="M1273" s="4">
        <v>18.71</v>
      </c>
      <c r="N1273" s="4">
        <v>355.45</v>
      </c>
      <c r="O1273" s="4">
        <v>216.35</v>
      </c>
      <c r="P1273" s="4">
        <v>8.9</v>
      </c>
      <c r="Q1273" s="4">
        <v>5.61</v>
      </c>
      <c r="R1273" s="4">
        <v>4.2</v>
      </c>
      <c r="S1273" s="4">
        <v>0</v>
      </c>
      <c r="T1273" s="4">
        <v>0</v>
      </c>
      <c r="U1273" s="4">
        <v>235.06</v>
      </c>
      <c r="V1273" s="4">
        <v>120.39</v>
      </c>
      <c r="W1273" t="s">
        <v>21</v>
      </c>
      <c r="X1273" t="s">
        <v>36</v>
      </c>
      <c r="Y1273" s="4">
        <v>19</v>
      </c>
      <c r="Z1273" s="4">
        <v>17</v>
      </c>
      <c r="AA1273" t="s">
        <v>52</v>
      </c>
      <c r="AB1273" t="s">
        <v>44</v>
      </c>
      <c r="AC1273" s="7">
        <v>2</v>
      </c>
      <c r="AD1273" t="s">
        <v>45</v>
      </c>
      <c r="AE1273">
        <f t="shared" si="19"/>
        <v>1</v>
      </c>
    </row>
    <row r="1274" spans="1:31" x14ac:dyDescent="0.35">
      <c r="A1274">
        <v>101273</v>
      </c>
      <c r="B1274" s="3">
        <v>45993</v>
      </c>
      <c r="C1274">
        <v>1111</v>
      </c>
      <c r="D1274" t="s">
        <v>64</v>
      </c>
      <c r="E1274" t="s">
        <v>65</v>
      </c>
      <c r="F1274" t="s">
        <v>61</v>
      </c>
      <c r="G1274" t="s">
        <v>63</v>
      </c>
      <c r="H1274" t="s">
        <v>57</v>
      </c>
      <c r="I1274" t="s">
        <v>54</v>
      </c>
      <c r="J1274" s="4">
        <v>21.42</v>
      </c>
      <c r="K1274" s="4">
        <v>12.32</v>
      </c>
      <c r="L1274">
        <v>15</v>
      </c>
      <c r="M1274" s="4">
        <v>39.58</v>
      </c>
      <c r="N1274" s="4">
        <v>224.31</v>
      </c>
      <c r="O1274" s="4">
        <v>150.97999999999999</v>
      </c>
      <c r="P1274" s="4">
        <v>7.11</v>
      </c>
      <c r="Q1274" s="4">
        <v>3.17</v>
      </c>
      <c r="R1274" s="4">
        <v>8.07</v>
      </c>
      <c r="S1274" s="4">
        <v>0</v>
      </c>
      <c r="T1274" s="4">
        <v>0</v>
      </c>
      <c r="U1274" s="4">
        <v>169.33</v>
      </c>
      <c r="V1274" s="4">
        <v>54.98</v>
      </c>
      <c r="W1274" t="s">
        <v>21</v>
      </c>
      <c r="X1274" t="s">
        <v>36</v>
      </c>
      <c r="Y1274" s="4">
        <v>26</v>
      </c>
      <c r="Z1274" s="4">
        <v>7</v>
      </c>
      <c r="AA1274" t="s">
        <v>52</v>
      </c>
      <c r="AB1274" t="s">
        <v>44</v>
      </c>
      <c r="AC1274" s="7">
        <v>2</v>
      </c>
      <c r="AD1274" t="s">
        <v>45</v>
      </c>
      <c r="AE1274">
        <f t="shared" si="19"/>
        <v>1</v>
      </c>
    </row>
    <row r="1275" spans="1:31" x14ac:dyDescent="0.35">
      <c r="A1275">
        <v>101274</v>
      </c>
      <c r="B1275" s="3">
        <v>45953</v>
      </c>
      <c r="C1275">
        <v>1018</v>
      </c>
      <c r="D1275" t="s">
        <v>30</v>
      </c>
      <c r="E1275" t="s">
        <v>31</v>
      </c>
      <c r="F1275" t="s">
        <v>49</v>
      </c>
      <c r="G1275" t="s">
        <v>63</v>
      </c>
      <c r="H1275" t="s">
        <v>34</v>
      </c>
      <c r="I1275" t="s">
        <v>54</v>
      </c>
      <c r="J1275" s="4">
        <v>29.17</v>
      </c>
      <c r="K1275" s="4">
        <v>13.15</v>
      </c>
      <c r="L1275">
        <v>5</v>
      </c>
      <c r="M1275" s="4">
        <v>19.18</v>
      </c>
      <c r="N1275" s="4">
        <v>364.41</v>
      </c>
      <c r="O1275" s="4">
        <v>211.75</v>
      </c>
      <c r="P1275" s="4">
        <v>2.4900000000000002</v>
      </c>
      <c r="Q1275" s="4">
        <v>4.5999999999999996</v>
      </c>
      <c r="R1275" s="4">
        <v>4.18</v>
      </c>
      <c r="S1275" s="4">
        <v>0</v>
      </c>
      <c r="T1275" s="4">
        <v>0</v>
      </c>
      <c r="U1275" s="4">
        <v>223.02</v>
      </c>
      <c r="V1275" s="4">
        <v>141.38999999999999</v>
      </c>
      <c r="W1275" t="s">
        <v>21</v>
      </c>
      <c r="X1275" t="s">
        <v>36</v>
      </c>
      <c r="Y1275" s="4">
        <v>14</v>
      </c>
      <c r="Z1275" s="4">
        <v>16</v>
      </c>
      <c r="AA1275" t="s">
        <v>37</v>
      </c>
      <c r="AB1275" t="s">
        <v>44</v>
      </c>
      <c r="AC1275" s="7">
        <v>3</v>
      </c>
      <c r="AD1275" t="s">
        <v>45</v>
      </c>
      <c r="AE1275">
        <f t="shared" si="19"/>
        <v>1</v>
      </c>
    </row>
    <row r="1276" spans="1:31" x14ac:dyDescent="0.35">
      <c r="A1276">
        <v>101275</v>
      </c>
      <c r="B1276" s="3">
        <v>45994</v>
      </c>
      <c r="C1276">
        <v>1056</v>
      </c>
      <c r="D1276" t="s">
        <v>30</v>
      </c>
      <c r="E1276" t="s">
        <v>62</v>
      </c>
      <c r="F1276" t="s">
        <v>49</v>
      </c>
      <c r="G1276" t="s">
        <v>63</v>
      </c>
      <c r="H1276" t="s">
        <v>57</v>
      </c>
      <c r="I1276" t="s">
        <v>54</v>
      </c>
      <c r="J1276" s="4">
        <v>16.8</v>
      </c>
      <c r="K1276" s="4">
        <v>11.64</v>
      </c>
      <c r="L1276">
        <v>5</v>
      </c>
      <c r="M1276" s="4">
        <v>9.7799999999999994</v>
      </c>
      <c r="N1276" s="4">
        <v>185.77</v>
      </c>
      <c r="O1276" s="4">
        <v>143.85</v>
      </c>
      <c r="P1276" s="4">
        <v>4.9000000000000004</v>
      </c>
      <c r="Q1276" s="4">
        <v>2.35</v>
      </c>
      <c r="R1276" s="4">
        <v>4.7</v>
      </c>
      <c r="S1276" s="4">
        <v>0</v>
      </c>
      <c r="T1276" s="4">
        <v>0</v>
      </c>
      <c r="U1276" s="4">
        <v>155.80000000000001</v>
      </c>
      <c r="V1276" s="4">
        <v>29.97</v>
      </c>
      <c r="W1276" t="s">
        <v>21</v>
      </c>
      <c r="X1276" t="s">
        <v>36</v>
      </c>
      <c r="Y1276" s="4">
        <v>1</v>
      </c>
      <c r="Z1276" s="4">
        <v>3</v>
      </c>
      <c r="AA1276" t="s">
        <v>37</v>
      </c>
      <c r="AB1276" t="s">
        <v>38</v>
      </c>
      <c r="AC1276" s="7">
        <v>0</v>
      </c>
      <c r="AD1276" t="s">
        <v>39</v>
      </c>
      <c r="AE1276">
        <f t="shared" si="19"/>
        <v>0</v>
      </c>
    </row>
    <row r="1277" spans="1:31" x14ac:dyDescent="0.35">
      <c r="A1277">
        <v>101276</v>
      </c>
      <c r="B1277" s="3">
        <v>45937</v>
      </c>
      <c r="C1277">
        <v>1067</v>
      </c>
      <c r="D1277" t="s">
        <v>59</v>
      </c>
      <c r="E1277" t="s">
        <v>60</v>
      </c>
      <c r="F1277" t="s">
        <v>49</v>
      </c>
      <c r="G1277" t="s">
        <v>63</v>
      </c>
      <c r="H1277" t="s">
        <v>34</v>
      </c>
      <c r="I1277" t="s">
        <v>42</v>
      </c>
      <c r="J1277" s="4">
        <v>34.450000000000003</v>
      </c>
      <c r="K1277" s="4">
        <v>13.41</v>
      </c>
      <c r="L1277">
        <v>0</v>
      </c>
      <c r="M1277" s="4">
        <v>0</v>
      </c>
      <c r="N1277" s="4">
        <v>461.97</v>
      </c>
      <c r="O1277" s="4">
        <v>251.49</v>
      </c>
      <c r="P1277" s="4">
        <v>8.2100000000000009</v>
      </c>
      <c r="Q1277" s="4">
        <v>6.93</v>
      </c>
      <c r="R1277" s="4">
        <v>6.32</v>
      </c>
      <c r="S1277" s="4">
        <v>0</v>
      </c>
      <c r="T1277" s="4">
        <v>0</v>
      </c>
      <c r="U1277" s="4">
        <v>272.95</v>
      </c>
      <c r="V1277" s="4">
        <v>189.02</v>
      </c>
      <c r="W1277" t="s">
        <v>21</v>
      </c>
      <c r="X1277" t="s">
        <v>36</v>
      </c>
      <c r="Y1277" s="4">
        <v>5</v>
      </c>
      <c r="Z1277" s="4">
        <v>3</v>
      </c>
      <c r="AA1277" t="s">
        <v>37</v>
      </c>
      <c r="AB1277" t="s">
        <v>38</v>
      </c>
      <c r="AC1277" s="7">
        <v>0</v>
      </c>
      <c r="AD1277" t="s">
        <v>39</v>
      </c>
      <c r="AE1277">
        <f t="shared" si="19"/>
        <v>0</v>
      </c>
    </row>
    <row r="1278" spans="1:31" x14ac:dyDescent="0.35">
      <c r="A1278">
        <v>101277</v>
      </c>
      <c r="B1278" s="3">
        <v>46002</v>
      </c>
      <c r="C1278">
        <v>1069</v>
      </c>
      <c r="D1278" t="s">
        <v>64</v>
      </c>
      <c r="E1278" t="s">
        <v>76</v>
      </c>
      <c r="F1278" t="s">
        <v>41</v>
      </c>
      <c r="G1278" t="s">
        <v>33</v>
      </c>
      <c r="H1278" t="s">
        <v>34</v>
      </c>
      <c r="I1278" t="s">
        <v>35</v>
      </c>
      <c r="J1278" s="4">
        <v>19.18</v>
      </c>
      <c r="K1278" s="4">
        <v>20.48</v>
      </c>
      <c r="L1278">
        <v>5</v>
      </c>
      <c r="M1278" s="4">
        <v>19.64</v>
      </c>
      <c r="N1278" s="4">
        <v>373.17</v>
      </c>
      <c r="O1278" s="4">
        <v>134.05000000000001</v>
      </c>
      <c r="P1278" s="4">
        <v>6.64</v>
      </c>
      <c r="Q1278" s="4">
        <v>2.75</v>
      </c>
      <c r="R1278" s="4">
        <v>5.41</v>
      </c>
      <c r="S1278" s="4">
        <v>0</v>
      </c>
      <c r="T1278" s="4">
        <v>0</v>
      </c>
      <c r="U1278" s="4">
        <v>148.85</v>
      </c>
      <c r="V1278" s="4">
        <v>224.32</v>
      </c>
      <c r="W1278" t="s">
        <v>21</v>
      </c>
      <c r="X1278" t="s">
        <v>36</v>
      </c>
      <c r="Y1278" s="4">
        <v>9</v>
      </c>
      <c r="Z1278" s="4">
        <v>7</v>
      </c>
      <c r="AA1278" t="s">
        <v>37</v>
      </c>
      <c r="AB1278" t="s">
        <v>38</v>
      </c>
      <c r="AC1278" s="7">
        <v>0</v>
      </c>
      <c r="AD1278" t="s">
        <v>39</v>
      </c>
      <c r="AE1278">
        <f t="shared" si="19"/>
        <v>0</v>
      </c>
    </row>
    <row r="1279" spans="1:31" x14ac:dyDescent="0.35">
      <c r="A1279">
        <v>101278</v>
      </c>
      <c r="B1279" s="3">
        <v>45991</v>
      </c>
      <c r="C1279">
        <v>1135</v>
      </c>
      <c r="D1279" t="s">
        <v>47</v>
      </c>
      <c r="E1279" t="s">
        <v>56</v>
      </c>
      <c r="F1279" t="s">
        <v>32</v>
      </c>
      <c r="G1279" t="s">
        <v>33</v>
      </c>
      <c r="H1279" t="s">
        <v>34</v>
      </c>
      <c r="I1279" t="s">
        <v>54</v>
      </c>
      <c r="J1279" s="4">
        <v>25.47</v>
      </c>
      <c r="K1279" s="4">
        <v>19.48</v>
      </c>
      <c r="L1279">
        <v>0</v>
      </c>
      <c r="M1279" s="4">
        <v>0</v>
      </c>
      <c r="N1279" s="4">
        <v>496.16</v>
      </c>
      <c r="O1279" s="4">
        <v>175.06</v>
      </c>
      <c r="P1279" s="4">
        <v>5.01</v>
      </c>
      <c r="Q1279" s="4">
        <v>5.95</v>
      </c>
      <c r="R1279" s="4">
        <v>3.7</v>
      </c>
      <c r="S1279" s="4">
        <v>0</v>
      </c>
      <c r="T1279" s="4">
        <v>0</v>
      </c>
      <c r="U1279" s="4">
        <v>189.72</v>
      </c>
      <c r="V1279" s="4">
        <v>306.44</v>
      </c>
      <c r="W1279" t="s">
        <v>21</v>
      </c>
      <c r="X1279" t="s">
        <v>36</v>
      </c>
      <c r="Y1279" s="4">
        <v>51</v>
      </c>
      <c r="Z1279" s="4">
        <v>10</v>
      </c>
      <c r="AA1279" t="s">
        <v>43</v>
      </c>
      <c r="AB1279" t="s">
        <v>44</v>
      </c>
      <c r="AC1279" s="7">
        <v>1</v>
      </c>
      <c r="AD1279" t="s">
        <v>45</v>
      </c>
      <c r="AE1279">
        <f t="shared" si="19"/>
        <v>1</v>
      </c>
    </row>
    <row r="1280" spans="1:31" x14ac:dyDescent="0.35">
      <c r="A1280">
        <v>101279</v>
      </c>
      <c r="B1280" s="3">
        <v>46015</v>
      </c>
      <c r="C1280">
        <v>1112</v>
      </c>
      <c r="D1280" t="s">
        <v>59</v>
      </c>
      <c r="E1280" t="s">
        <v>70</v>
      </c>
      <c r="F1280" t="s">
        <v>71</v>
      </c>
      <c r="G1280" t="s">
        <v>46</v>
      </c>
      <c r="H1280" t="s">
        <v>57</v>
      </c>
      <c r="I1280" t="s">
        <v>69</v>
      </c>
      <c r="J1280" s="4">
        <v>33.340000000000003</v>
      </c>
      <c r="K1280" s="4">
        <v>16.170000000000002</v>
      </c>
      <c r="L1280">
        <v>0</v>
      </c>
      <c r="M1280" s="4">
        <v>0</v>
      </c>
      <c r="N1280" s="4">
        <v>539.11</v>
      </c>
      <c r="O1280" s="4">
        <v>239.48</v>
      </c>
      <c r="P1280" s="4">
        <v>9.65</v>
      </c>
      <c r="Q1280" s="4">
        <v>2.16</v>
      </c>
      <c r="R1280" s="4">
        <v>5.67</v>
      </c>
      <c r="S1280" s="4">
        <v>0</v>
      </c>
      <c r="T1280" s="4">
        <v>0</v>
      </c>
      <c r="U1280" s="4">
        <v>256.95999999999998</v>
      </c>
      <c r="V1280" s="4">
        <v>282.14999999999998</v>
      </c>
      <c r="W1280" t="s">
        <v>21</v>
      </c>
      <c r="X1280" t="s">
        <v>36</v>
      </c>
      <c r="Y1280" s="4">
        <v>33</v>
      </c>
      <c r="Z1280" s="4">
        <v>17</v>
      </c>
      <c r="AA1280" t="s">
        <v>43</v>
      </c>
      <c r="AB1280" t="s">
        <v>44</v>
      </c>
      <c r="AC1280" s="7">
        <v>4</v>
      </c>
      <c r="AD1280" t="s">
        <v>45</v>
      </c>
      <c r="AE1280">
        <f t="shared" si="19"/>
        <v>1</v>
      </c>
    </row>
    <row r="1281" spans="1:31" x14ac:dyDescent="0.35">
      <c r="A1281">
        <v>101280</v>
      </c>
      <c r="B1281" s="3">
        <v>45936</v>
      </c>
      <c r="C1281">
        <v>1107</v>
      </c>
      <c r="D1281" t="s">
        <v>59</v>
      </c>
      <c r="E1281" t="s">
        <v>73</v>
      </c>
      <c r="F1281" t="s">
        <v>32</v>
      </c>
      <c r="G1281" t="s">
        <v>46</v>
      </c>
      <c r="H1281" t="s">
        <v>34</v>
      </c>
      <c r="I1281" t="s">
        <v>69</v>
      </c>
      <c r="J1281" s="4">
        <v>30.14</v>
      </c>
      <c r="K1281" s="4">
        <v>15.23</v>
      </c>
      <c r="L1281">
        <v>15</v>
      </c>
      <c r="M1281" s="4">
        <v>68.849999999999994</v>
      </c>
      <c r="N1281" s="4">
        <v>390.18</v>
      </c>
      <c r="O1281" s="4">
        <v>193.3</v>
      </c>
      <c r="P1281" s="4">
        <v>4.12</v>
      </c>
      <c r="Q1281" s="4">
        <v>1.84</v>
      </c>
      <c r="R1281" s="4">
        <v>11.17</v>
      </c>
      <c r="S1281" s="4">
        <v>0</v>
      </c>
      <c r="T1281" s="4">
        <v>0</v>
      </c>
      <c r="U1281" s="4">
        <v>210.43</v>
      </c>
      <c r="V1281" s="4">
        <v>179.75</v>
      </c>
      <c r="W1281" t="s">
        <v>21</v>
      </c>
      <c r="X1281" t="s">
        <v>36</v>
      </c>
      <c r="Y1281" s="4">
        <v>0</v>
      </c>
      <c r="Z1281" s="4">
        <v>17</v>
      </c>
      <c r="AA1281" t="s">
        <v>37</v>
      </c>
      <c r="AB1281" t="s">
        <v>44</v>
      </c>
      <c r="AC1281" s="7">
        <v>1</v>
      </c>
      <c r="AD1281" t="s">
        <v>45</v>
      </c>
      <c r="AE1281">
        <f t="shared" si="19"/>
        <v>1</v>
      </c>
    </row>
    <row r="1282" spans="1:31" x14ac:dyDescent="0.35">
      <c r="A1282">
        <v>101281</v>
      </c>
      <c r="B1282" s="3">
        <v>45953</v>
      </c>
      <c r="C1282">
        <v>1108</v>
      </c>
      <c r="D1282" t="s">
        <v>30</v>
      </c>
      <c r="E1282" t="s">
        <v>31</v>
      </c>
      <c r="F1282" t="s">
        <v>71</v>
      </c>
      <c r="G1282" t="s">
        <v>33</v>
      </c>
      <c r="H1282" t="s">
        <v>34</v>
      </c>
      <c r="I1282" t="s">
        <v>69</v>
      </c>
      <c r="J1282" s="4">
        <v>16.579999999999998</v>
      </c>
      <c r="K1282" s="4">
        <v>18.66</v>
      </c>
      <c r="L1282">
        <v>5</v>
      </c>
      <c r="M1282" s="4">
        <v>15.47</v>
      </c>
      <c r="N1282" s="4">
        <v>293.91000000000003</v>
      </c>
      <c r="O1282" s="4">
        <v>136.08000000000001</v>
      </c>
      <c r="P1282" s="4">
        <v>7.15</v>
      </c>
      <c r="Q1282" s="4">
        <v>1.24</v>
      </c>
      <c r="R1282" s="4">
        <v>1.36</v>
      </c>
      <c r="S1282" s="4">
        <v>292.91000000000003</v>
      </c>
      <c r="T1282" s="4">
        <v>0</v>
      </c>
      <c r="U1282" s="4">
        <v>438.74</v>
      </c>
      <c r="V1282" s="4">
        <v>-144.83000000000001</v>
      </c>
      <c r="W1282" t="s">
        <v>58</v>
      </c>
      <c r="X1282" t="s">
        <v>66</v>
      </c>
      <c r="Y1282" s="4">
        <v>11</v>
      </c>
      <c r="Z1282" s="4">
        <v>0</v>
      </c>
      <c r="AA1282" t="s">
        <v>37</v>
      </c>
      <c r="AB1282" t="s">
        <v>38</v>
      </c>
      <c r="AC1282" s="7">
        <v>1</v>
      </c>
      <c r="AD1282" t="s">
        <v>45</v>
      </c>
      <c r="AE1282">
        <f t="shared" si="19"/>
        <v>0</v>
      </c>
    </row>
    <row r="1283" spans="1:31" x14ac:dyDescent="0.35">
      <c r="A1283">
        <v>101282</v>
      </c>
      <c r="B1283" s="3">
        <v>45935</v>
      </c>
      <c r="C1283">
        <v>1033</v>
      </c>
      <c r="D1283" t="s">
        <v>47</v>
      </c>
      <c r="E1283" t="s">
        <v>48</v>
      </c>
      <c r="F1283" t="s">
        <v>71</v>
      </c>
      <c r="G1283" t="s">
        <v>46</v>
      </c>
      <c r="H1283" t="s">
        <v>34</v>
      </c>
      <c r="I1283" t="s">
        <v>42</v>
      </c>
      <c r="J1283" s="4">
        <v>34.880000000000003</v>
      </c>
      <c r="K1283" s="4">
        <v>15.61</v>
      </c>
      <c r="L1283">
        <v>0</v>
      </c>
      <c r="M1283" s="4">
        <v>0</v>
      </c>
      <c r="N1283" s="4">
        <v>544.48</v>
      </c>
      <c r="O1283" s="4">
        <v>214.82</v>
      </c>
      <c r="P1283" s="4">
        <v>9.7100000000000009</v>
      </c>
      <c r="Q1283" s="4">
        <v>8.17</v>
      </c>
      <c r="R1283" s="4">
        <v>10.09</v>
      </c>
      <c r="S1283" s="4">
        <v>0</v>
      </c>
      <c r="T1283" s="4">
        <v>0</v>
      </c>
      <c r="U1283" s="4">
        <v>242.79</v>
      </c>
      <c r="V1283" s="4">
        <v>301.69</v>
      </c>
      <c r="W1283" t="s">
        <v>21</v>
      </c>
      <c r="X1283" t="s">
        <v>36</v>
      </c>
      <c r="Y1283" s="4">
        <v>2</v>
      </c>
      <c r="Z1283" s="4">
        <v>1</v>
      </c>
      <c r="AA1283" t="s">
        <v>37</v>
      </c>
      <c r="AB1283" t="s">
        <v>38</v>
      </c>
      <c r="AC1283" s="7">
        <v>0</v>
      </c>
      <c r="AD1283" t="s">
        <v>39</v>
      </c>
      <c r="AE1283">
        <f t="shared" ref="AE1283:AE1346" si="20">IF(AB1283="Yes",1,0)</f>
        <v>0</v>
      </c>
    </row>
    <row r="1284" spans="1:31" x14ac:dyDescent="0.35">
      <c r="A1284">
        <v>101283</v>
      </c>
      <c r="B1284" s="3">
        <v>45949</v>
      </c>
      <c r="C1284">
        <v>1149</v>
      </c>
      <c r="D1284" t="s">
        <v>47</v>
      </c>
      <c r="E1284" t="s">
        <v>74</v>
      </c>
      <c r="F1284" t="s">
        <v>71</v>
      </c>
      <c r="G1284" t="s">
        <v>50</v>
      </c>
      <c r="H1284" t="s">
        <v>34</v>
      </c>
      <c r="I1284" t="s">
        <v>35</v>
      </c>
      <c r="J1284" s="4">
        <v>29.34</v>
      </c>
      <c r="K1284" s="4">
        <v>16.57</v>
      </c>
      <c r="L1284">
        <v>5</v>
      </c>
      <c r="M1284" s="4">
        <v>24.31</v>
      </c>
      <c r="N1284" s="4">
        <v>461.85</v>
      </c>
      <c r="O1284" s="4">
        <v>195.97</v>
      </c>
      <c r="P1284" s="4">
        <v>8.7200000000000006</v>
      </c>
      <c r="Q1284" s="4">
        <v>3.4</v>
      </c>
      <c r="R1284" s="4">
        <v>4.7699999999999996</v>
      </c>
      <c r="S1284" s="4">
        <v>0</v>
      </c>
      <c r="T1284" s="4">
        <v>0</v>
      </c>
      <c r="U1284" s="4">
        <v>212.86</v>
      </c>
      <c r="V1284" s="4">
        <v>248.99</v>
      </c>
      <c r="W1284" t="s">
        <v>21</v>
      </c>
      <c r="X1284" t="s">
        <v>36</v>
      </c>
      <c r="Y1284" s="4">
        <v>5</v>
      </c>
      <c r="Z1284" s="4">
        <v>4</v>
      </c>
      <c r="AA1284" t="s">
        <v>37</v>
      </c>
      <c r="AB1284" t="s">
        <v>38</v>
      </c>
      <c r="AC1284" s="7">
        <v>0</v>
      </c>
      <c r="AD1284" t="s">
        <v>39</v>
      </c>
      <c r="AE1284">
        <f t="shared" si="20"/>
        <v>0</v>
      </c>
    </row>
    <row r="1285" spans="1:31" x14ac:dyDescent="0.35">
      <c r="A1285">
        <v>101284</v>
      </c>
      <c r="B1285" s="3">
        <v>46018</v>
      </c>
      <c r="C1285">
        <v>1131</v>
      </c>
      <c r="D1285" t="s">
        <v>30</v>
      </c>
      <c r="E1285" t="s">
        <v>40</v>
      </c>
      <c r="F1285" t="s">
        <v>61</v>
      </c>
      <c r="G1285" t="s">
        <v>46</v>
      </c>
      <c r="H1285" t="s">
        <v>34</v>
      </c>
      <c r="I1285" t="s">
        <v>42</v>
      </c>
      <c r="J1285" s="4">
        <v>27.6</v>
      </c>
      <c r="K1285" s="4">
        <v>17.34</v>
      </c>
      <c r="L1285">
        <v>5</v>
      </c>
      <c r="M1285" s="4">
        <v>23.93</v>
      </c>
      <c r="N1285" s="4">
        <v>454.65</v>
      </c>
      <c r="O1285" s="4">
        <v>202.18</v>
      </c>
      <c r="P1285" s="4">
        <v>7.87</v>
      </c>
      <c r="Q1285" s="4">
        <v>7.18</v>
      </c>
      <c r="R1285" s="4">
        <v>7.99</v>
      </c>
      <c r="S1285" s="4">
        <v>0</v>
      </c>
      <c r="T1285" s="4">
        <v>0</v>
      </c>
      <c r="U1285" s="4">
        <v>225.22</v>
      </c>
      <c r="V1285" s="4">
        <v>229.43</v>
      </c>
      <c r="W1285" t="s">
        <v>21</v>
      </c>
      <c r="X1285" t="s">
        <v>36</v>
      </c>
      <c r="Y1285" s="4">
        <v>13</v>
      </c>
      <c r="Z1285" s="4">
        <v>1</v>
      </c>
      <c r="AA1285" t="s">
        <v>37</v>
      </c>
      <c r="AB1285" t="s">
        <v>38</v>
      </c>
      <c r="AC1285" s="7">
        <v>0</v>
      </c>
      <c r="AD1285" t="s">
        <v>39</v>
      </c>
      <c r="AE1285">
        <f t="shared" si="20"/>
        <v>0</v>
      </c>
    </row>
    <row r="1286" spans="1:31" x14ac:dyDescent="0.35">
      <c r="A1286">
        <v>101285</v>
      </c>
      <c r="B1286" s="3">
        <v>45988</v>
      </c>
      <c r="C1286">
        <v>1072</v>
      </c>
      <c r="D1286" t="s">
        <v>47</v>
      </c>
      <c r="E1286" t="s">
        <v>56</v>
      </c>
      <c r="F1286" t="s">
        <v>71</v>
      </c>
      <c r="G1286" t="s">
        <v>63</v>
      </c>
      <c r="H1286" t="s">
        <v>34</v>
      </c>
      <c r="I1286" t="s">
        <v>35</v>
      </c>
      <c r="J1286" s="4">
        <v>25.38</v>
      </c>
      <c r="K1286" s="4">
        <v>12.84</v>
      </c>
      <c r="L1286">
        <v>0</v>
      </c>
      <c r="M1286" s="4">
        <v>0</v>
      </c>
      <c r="N1286" s="4">
        <v>325.88</v>
      </c>
      <c r="O1286" s="4">
        <v>147.69</v>
      </c>
      <c r="P1286" s="4">
        <v>5.41</v>
      </c>
      <c r="Q1286" s="4">
        <v>2.2799999999999998</v>
      </c>
      <c r="R1286" s="4">
        <v>1.1000000000000001</v>
      </c>
      <c r="S1286" s="4">
        <v>0</v>
      </c>
      <c r="T1286" s="4">
        <v>0</v>
      </c>
      <c r="U1286" s="4">
        <v>156.47999999999999</v>
      </c>
      <c r="V1286" s="4">
        <v>169.4</v>
      </c>
      <c r="W1286" t="s">
        <v>21</v>
      </c>
      <c r="X1286" t="s">
        <v>36</v>
      </c>
      <c r="Y1286" s="4">
        <v>43</v>
      </c>
      <c r="Z1286" s="4">
        <v>25</v>
      </c>
      <c r="AA1286" t="s">
        <v>43</v>
      </c>
      <c r="AB1286" t="s">
        <v>44</v>
      </c>
      <c r="AC1286" s="7">
        <v>3</v>
      </c>
      <c r="AD1286" t="s">
        <v>45</v>
      </c>
      <c r="AE1286">
        <f t="shared" si="20"/>
        <v>1</v>
      </c>
    </row>
    <row r="1287" spans="1:31" x14ac:dyDescent="0.35">
      <c r="A1287">
        <v>101286</v>
      </c>
      <c r="B1287" s="3">
        <v>45969</v>
      </c>
      <c r="C1287">
        <v>1104</v>
      </c>
      <c r="D1287" t="s">
        <v>30</v>
      </c>
      <c r="E1287" t="s">
        <v>62</v>
      </c>
      <c r="F1287" t="s">
        <v>61</v>
      </c>
      <c r="G1287" t="s">
        <v>46</v>
      </c>
      <c r="H1287" t="s">
        <v>34</v>
      </c>
      <c r="I1287" t="s">
        <v>42</v>
      </c>
      <c r="J1287" s="4">
        <v>29.28</v>
      </c>
      <c r="K1287" s="4">
        <v>15.18</v>
      </c>
      <c r="L1287">
        <v>0</v>
      </c>
      <c r="M1287" s="4">
        <v>0</v>
      </c>
      <c r="N1287" s="4">
        <v>444.47</v>
      </c>
      <c r="O1287" s="4">
        <v>187.3</v>
      </c>
      <c r="P1287" s="4">
        <v>7.27</v>
      </c>
      <c r="Q1287" s="4">
        <v>6.67</v>
      </c>
      <c r="R1287" s="4">
        <v>10.96</v>
      </c>
      <c r="S1287" s="4">
        <v>0</v>
      </c>
      <c r="T1287" s="4">
        <v>0</v>
      </c>
      <c r="U1287" s="4">
        <v>212.2</v>
      </c>
      <c r="V1287" s="4">
        <v>232.27</v>
      </c>
      <c r="W1287" t="s">
        <v>21</v>
      </c>
      <c r="X1287" t="s">
        <v>36</v>
      </c>
      <c r="Y1287" s="4">
        <v>8</v>
      </c>
      <c r="Z1287" s="4">
        <v>3</v>
      </c>
      <c r="AA1287" t="s">
        <v>37</v>
      </c>
      <c r="AB1287" t="s">
        <v>38</v>
      </c>
      <c r="AC1287" s="7">
        <v>0</v>
      </c>
      <c r="AD1287" t="s">
        <v>39</v>
      </c>
      <c r="AE1287">
        <f t="shared" si="20"/>
        <v>0</v>
      </c>
    </row>
    <row r="1288" spans="1:31" x14ac:dyDescent="0.35">
      <c r="A1288">
        <v>101287</v>
      </c>
      <c r="B1288" s="3">
        <v>45939</v>
      </c>
      <c r="C1288">
        <v>1072</v>
      </c>
      <c r="D1288" t="s">
        <v>59</v>
      </c>
      <c r="E1288" t="s">
        <v>60</v>
      </c>
      <c r="F1288" t="s">
        <v>41</v>
      </c>
      <c r="G1288" t="s">
        <v>46</v>
      </c>
      <c r="H1288" t="s">
        <v>51</v>
      </c>
      <c r="I1288" t="s">
        <v>35</v>
      </c>
      <c r="J1288" s="4">
        <v>33.869999999999997</v>
      </c>
      <c r="K1288" s="4">
        <v>15.93</v>
      </c>
      <c r="L1288">
        <v>5</v>
      </c>
      <c r="M1288" s="4">
        <v>26.98</v>
      </c>
      <c r="N1288" s="4">
        <v>512.57000000000005</v>
      </c>
      <c r="O1288" s="4">
        <v>273.83999999999997</v>
      </c>
      <c r="P1288" s="4">
        <v>13.55</v>
      </c>
      <c r="Q1288" s="4">
        <v>3.78</v>
      </c>
      <c r="R1288" s="4">
        <v>10.57</v>
      </c>
      <c r="S1288" s="4">
        <v>0</v>
      </c>
      <c r="T1288" s="4">
        <v>0</v>
      </c>
      <c r="U1288" s="4">
        <v>301.74</v>
      </c>
      <c r="V1288" s="4">
        <v>210.83</v>
      </c>
      <c r="W1288" t="s">
        <v>21</v>
      </c>
      <c r="X1288" t="s">
        <v>36</v>
      </c>
      <c r="Y1288" s="4">
        <v>0</v>
      </c>
      <c r="Z1288" s="4">
        <v>4</v>
      </c>
      <c r="AA1288" t="s">
        <v>37</v>
      </c>
      <c r="AB1288" t="s">
        <v>38</v>
      </c>
      <c r="AC1288" s="7">
        <v>0</v>
      </c>
      <c r="AD1288" t="s">
        <v>39</v>
      </c>
      <c r="AE1288">
        <f t="shared" si="20"/>
        <v>0</v>
      </c>
    </row>
    <row r="1289" spans="1:31" x14ac:dyDescent="0.35">
      <c r="A1289">
        <v>101288</v>
      </c>
      <c r="B1289" s="3">
        <v>45989</v>
      </c>
      <c r="C1289">
        <v>1145</v>
      </c>
      <c r="D1289" t="s">
        <v>47</v>
      </c>
      <c r="E1289" t="s">
        <v>74</v>
      </c>
      <c r="F1289" t="s">
        <v>32</v>
      </c>
      <c r="G1289" t="s">
        <v>63</v>
      </c>
      <c r="H1289" t="s">
        <v>57</v>
      </c>
      <c r="I1289" t="s">
        <v>35</v>
      </c>
      <c r="J1289" s="4">
        <v>27.69</v>
      </c>
      <c r="K1289" s="4">
        <v>12.81</v>
      </c>
      <c r="L1289">
        <v>5</v>
      </c>
      <c r="M1289" s="4">
        <v>17.739999999999998</v>
      </c>
      <c r="N1289" s="4">
        <v>336.97</v>
      </c>
      <c r="O1289" s="4">
        <v>231.39</v>
      </c>
      <c r="P1289" s="4">
        <v>7.82</v>
      </c>
      <c r="Q1289" s="4">
        <v>2.48</v>
      </c>
      <c r="R1289" s="4">
        <v>5.63</v>
      </c>
      <c r="S1289" s="4">
        <v>233.57</v>
      </c>
      <c r="T1289" s="4">
        <v>19.84</v>
      </c>
      <c r="U1289" s="4">
        <v>500.73</v>
      </c>
      <c r="V1289" s="4">
        <v>-163.76</v>
      </c>
      <c r="W1289" t="s">
        <v>58</v>
      </c>
      <c r="X1289" t="s">
        <v>66</v>
      </c>
      <c r="Y1289" s="4">
        <v>10</v>
      </c>
      <c r="Z1289" s="4">
        <v>1</v>
      </c>
      <c r="AA1289" t="s">
        <v>37</v>
      </c>
      <c r="AB1289" t="s">
        <v>38</v>
      </c>
      <c r="AC1289" s="7">
        <v>1</v>
      </c>
      <c r="AD1289" t="s">
        <v>45</v>
      </c>
      <c r="AE1289">
        <f t="shared" si="20"/>
        <v>0</v>
      </c>
    </row>
    <row r="1290" spans="1:31" x14ac:dyDescent="0.35">
      <c r="A1290">
        <v>101289</v>
      </c>
      <c r="B1290" s="3">
        <v>46021</v>
      </c>
      <c r="C1290">
        <v>1009</v>
      </c>
      <c r="D1290" t="s">
        <v>47</v>
      </c>
      <c r="E1290" t="s">
        <v>53</v>
      </c>
      <c r="F1290" t="s">
        <v>61</v>
      </c>
      <c r="G1290" t="s">
        <v>63</v>
      </c>
      <c r="H1290" t="s">
        <v>34</v>
      </c>
      <c r="I1290" t="s">
        <v>35</v>
      </c>
      <c r="J1290" s="4">
        <v>18.760000000000002</v>
      </c>
      <c r="K1290" s="4">
        <v>14.6</v>
      </c>
      <c r="L1290">
        <v>15</v>
      </c>
      <c r="M1290" s="4">
        <v>41.08</v>
      </c>
      <c r="N1290" s="4">
        <v>232.82</v>
      </c>
      <c r="O1290" s="4">
        <v>142.94</v>
      </c>
      <c r="P1290" s="4">
        <v>5.56</v>
      </c>
      <c r="Q1290" s="4">
        <v>1.92</v>
      </c>
      <c r="R1290" s="4">
        <v>8.81</v>
      </c>
      <c r="S1290" s="4">
        <v>0</v>
      </c>
      <c r="T1290" s="4">
        <v>0</v>
      </c>
      <c r="U1290" s="4">
        <v>159.22999999999999</v>
      </c>
      <c r="V1290" s="4">
        <v>73.59</v>
      </c>
      <c r="W1290" t="s">
        <v>21</v>
      </c>
      <c r="X1290" t="s">
        <v>36</v>
      </c>
      <c r="Y1290" s="4">
        <v>5</v>
      </c>
      <c r="Z1290" s="4">
        <v>4</v>
      </c>
      <c r="AA1290" t="s">
        <v>37</v>
      </c>
      <c r="AB1290" t="s">
        <v>38</v>
      </c>
      <c r="AC1290" s="7">
        <v>0</v>
      </c>
      <c r="AD1290" t="s">
        <v>39</v>
      </c>
      <c r="AE1290">
        <f t="shared" si="20"/>
        <v>0</v>
      </c>
    </row>
    <row r="1291" spans="1:31" x14ac:dyDescent="0.35">
      <c r="A1291">
        <v>101290</v>
      </c>
      <c r="B1291" s="3">
        <v>46005</v>
      </c>
      <c r="C1291">
        <v>1066</v>
      </c>
      <c r="D1291" t="s">
        <v>47</v>
      </c>
      <c r="E1291" t="s">
        <v>74</v>
      </c>
      <c r="F1291" t="s">
        <v>61</v>
      </c>
      <c r="G1291" t="s">
        <v>46</v>
      </c>
      <c r="H1291" t="s">
        <v>57</v>
      </c>
      <c r="I1291" t="s">
        <v>35</v>
      </c>
      <c r="J1291" s="4">
        <v>42.6</v>
      </c>
      <c r="K1291" s="4">
        <v>17.72</v>
      </c>
      <c r="L1291">
        <v>20</v>
      </c>
      <c r="M1291" s="4">
        <v>150.97</v>
      </c>
      <c r="N1291" s="4">
        <v>603.9</v>
      </c>
      <c r="O1291" s="4">
        <v>334.77</v>
      </c>
      <c r="P1291" s="4">
        <v>8.84</v>
      </c>
      <c r="Q1291" s="4">
        <v>5.28</v>
      </c>
      <c r="R1291" s="4">
        <v>0</v>
      </c>
      <c r="S1291" s="4">
        <v>0</v>
      </c>
      <c r="T1291" s="4">
        <v>0</v>
      </c>
      <c r="U1291" s="4">
        <v>348.89</v>
      </c>
      <c r="V1291" s="4">
        <v>255.01</v>
      </c>
      <c r="W1291" t="s">
        <v>21</v>
      </c>
      <c r="X1291" t="s">
        <v>36</v>
      </c>
      <c r="Y1291" s="4">
        <v>1</v>
      </c>
      <c r="Z1291" s="4">
        <v>8</v>
      </c>
      <c r="AA1291" t="s">
        <v>37</v>
      </c>
      <c r="AB1291" t="s">
        <v>38</v>
      </c>
      <c r="AC1291" s="7">
        <v>0</v>
      </c>
      <c r="AD1291" t="s">
        <v>39</v>
      </c>
      <c r="AE1291">
        <f t="shared" si="20"/>
        <v>0</v>
      </c>
    </row>
    <row r="1292" spans="1:31" x14ac:dyDescent="0.35">
      <c r="A1292">
        <v>101291</v>
      </c>
      <c r="B1292" s="3">
        <v>45981</v>
      </c>
      <c r="C1292">
        <v>1078</v>
      </c>
      <c r="D1292" t="s">
        <v>59</v>
      </c>
      <c r="E1292" t="s">
        <v>68</v>
      </c>
      <c r="F1292" t="s">
        <v>49</v>
      </c>
      <c r="G1292" t="s">
        <v>63</v>
      </c>
      <c r="H1292" t="s">
        <v>51</v>
      </c>
      <c r="I1292" t="s">
        <v>35</v>
      </c>
      <c r="J1292" s="4">
        <v>7.47</v>
      </c>
      <c r="K1292" s="4">
        <v>13.94</v>
      </c>
      <c r="L1292">
        <v>0</v>
      </c>
      <c r="M1292" s="4">
        <v>0</v>
      </c>
      <c r="N1292" s="4">
        <v>104.13</v>
      </c>
      <c r="O1292" s="4">
        <v>56.71</v>
      </c>
      <c r="P1292" s="4">
        <v>7.25</v>
      </c>
      <c r="Q1292" s="4">
        <v>0.73</v>
      </c>
      <c r="R1292" s="4">
        <v>5.88</v>
      </c>
      <c r="S1292" s="4">
        <v>0</v>
      </c>
      <c r="T1292" s="4">
        <v>0</v>
      </c>
      <c r="U1292" s="4">
        <v>70.569999999999993</v>
      </c>
      <c r="V1292" s="4">
        <v>33.56</v>
      </c>
      <c r="W1292" t="s">
        <v>21</v>
      </c>
      <c r="X1292" t="s">
        <v>36</v>
      </c>
      <c r="Y1292" s="4">
        <v>0</v>
      </c>
      <c r="Z1292" s="4">
        <v>5</v>
      </c>
      <c r="AA1292" t="s">
        <v>37</v>
      </c>
      <c r="AB1292" t="s">
        <v>38</v>
      </c>
      <c r="AC1292" s="7">
        <v>0</v>
      </c>
      <c r="AD1292" t="s">
        <v>39</v>
      </c>
      <c r="AE1292">
        <f t="shared" si="20"/>
        <v>0</v>
      </c>
    </row>
    <row r="1293" spans="1:31" x14ac:dyDescent="0.35">
      <c r="A1293">
        <v>101292</v>
      </c>
      <c r="B1293" s="3">
        <v>45972</v>
      </c>
      <c r="C1293">
        <v>1113</v>
      </c>
      <c r="D1293" t="s">
        <v>64</v>
      </c>
      <c r="E1293" t="s">
        <v>67</v>
      </c>
      <c r="F1293" t="s">
        <v>32</v>
      </c>
      <c r="G1293" t="s">
        <v>46</v>
      </c>
      <c r="H1293" t="s">
        <v>34</v>
      </c>
      <c r="I1293" t="s">
        <v>42</v>
      </c>
      <c r="J1293" s="4">
        <v>23.86</v>
      </c>
      <c r="K1293" s="4">
        <v>14.79</v>
      </c>
      <c r="L1293">
        <v>5</v>
      </c>
      <c r="M1293" s="4">
        <v>17.64</v>
      </c>
      <c r="N1293" s="4">
        <v>335.25</v>
      </c>
      <c r="O1293" s="4">
        <v>183.33</v>
      </c>
      <c r="P1293" s="4">
        <v>5.7</v>
      </c>
      <c r="Q1293" s="4">
        <v>5.29</v>
      </c>
      <c r="R1293" s="4">
        <v>9.8699999999999992</v>
      </c>
      <c r="S1293" s="4">
        <v>0</v>
      </c>
      <c r="T1293" s="4">
        <v>0</v>
      </c>
      <c r="U1293" s="4">
        <v>204.19</v>
      </c>
      <c r="V1293" s="4">
        <v>131.06</v>
      </c>
      <c r="W1293" t="s">
        <v>21</v>
      </c>
      <c r="X1293" t="s">
        <v>36</v>
      </c>
      <c r="Y1293" s="4">
        <v>11</v>
      </c>
      <c r="Z1293" s="4">
        <v>52</v>
      </c>
      <c r="AA1293" t="s">
        <v>37</v>
      </c>
      <c r="AB1293" t="s">
        <v>44</v>
      </c>
      <c r="AC1293" s="7">
        <v>1</v>
      </c>
      <c r="AD1293" t="s">
        <v>45</v>
      </c>
      <c r="AE1293">
        <f t="shared" si="20"/>
        <v>1</v>
      </c>
    </row>
    <row r="1294" spans="1:31" x14ac:dyDescent="0.35">
      <c r="A1294">
        <v>101293</v>
      </c>
      <c r="B1294" s="3">
        <v>45950</v>
      </c>
      <c r="C1294">
        <v>1010</v>
      </c>
      <c r="D1294" t="s">
        <v>47</v>
      </c>
      <c r="E1294" t="s">
        <v>56</v>
      </c>
      <c r="F1294" t="s">
        <v>71</v>
      </c>
      <c r="G1294" t="s">
        <v>33</v>
      </c>
      <c r="H1294" t="s">
        <v>34</v>
      </c>
      <c r="I1294" t="s">
        <v>54</v>
      </c>
      <c r="J1294" s="4">
        <v>26.46</v>
      </c>
      <c r="K1294" s="4">
        <v>18.38</v>
      </c>
      <c r="L1294">
        <v>0</v>
      </c>
      <c r="M1294" s="4">
        <v>0</v>
      </c>
      <c r="N1294" s="4">
        <v>486.33</v>
      </c>
      <c r="O1294" s="4">
        <v>199.18</v>
      </c>
      <c r="P1294" s="4">
        <v>9.06</v>
      </c>
      <c r="Q1294" s="4">
        <v>5.84</v>
      </c>
      <c r="R1294" s="4">
        <v>7.65</v>
      </c>
      <c r="S1294" s="4">
        <v>0</v>
      </c>
      <c r="T1294" s="4">
        <v>0</v>
      </c>
      <c r="U1294" s="4">
        <v>221.73</v>
      </c>
      <c r="V1294" s="4">
        <v>264.60000000000002</v>
      </c>
      <c r="W1294" t="s">
        <v>21</v>
      </c>
      <c r="X1294" t="s">
        <v>36</v>
      </c>
      <c r="Y1294" s="4">
        <v>2</v>
      </c>
      <c r="Z1294" s="4">
        <v>2</v>
      </c>
      <c r="AA1294" t="s">
        <v>37</v>
      </c>
      <c r="AB1294" t="s">
        <v>38</v>
      </c>
      <c r="AC1294" s="7">
        <v>0</v>
      </c>
      <c r="AD1294" t="s">
        <v>39</v>
      </c>
      <c r="AE1294">
        <f t="shared" si="20"/>
        <v>0</v>
      </c>
    </row>
    <row r="1295" spans="1:31" x14ac:dyDescent="0.35">
      <c r="A1295">
        <v>101294</v>
      </c>
      <c r="B1295" s="3">
        <v>45998</v>
      </c>
      <c r="C1295">
        <v>1068</v>
      </c>
      <c r="D1295" t="s">
        <v>59</v>
      </c>
      <c r="E1295" t="s">
        <v>70</v>
      </c>
      <c r="F1295" t="s">
        <v>41</v>
      </c>
      <c r="G1295" t="s">
        <v>50</v>
      </c>
      <c r="H1295" t="s">
        <v>34</v>
      </c>
      <c r="I1295" t="s">
        <v>35</v>
      </c>
      <c r="J1295" s="4">
        <v>22.68</v>
      </c>
      <c r="K1295" s="4">
        <v>16.940000000000001</v>
      </c>
      <c r="L1295">
        <v>0</v>
      </c>
      <c r="M1295" s="4">
        <v>0</v>
      </c>
      <c r="N1295" s="4">
        <v>384.2</v>
      </c>
      <c r="O1295" s="4">
        <v>151.32</v>
      </c>
      <c r="P1295" s="4">
        <v>4.55</v>
      </c>
      <c r="Q1295" s="4">
        <v>2.69</v>
      </c>
      <c r="R1295" s="4">
        <v>0</v>
      </c>
      <c r="S1295" s="4">
        <v>0</v>
      </c>
      <c r="T1295" s="4">
        <v>0</v>
      </c>
      <c r="U1295" s="4">
        <v>158.56</v>
      </c>
      <c r="V1295" s="4">
        <v>225.64</v>
      </c>
      <c r="W1295" t="s">
        <v>21</v>
      </c>
      <c r="X1295" t="s">
        <v>36</v>
      </c>
      <c r="Y1295" s="4">
        <v>16</v>
      </c>
      <c r="Z1295" s="4">
        <v>2</v>
      </c>
      <c r="AA1295" t="s">
        <v>52</v>
      </c>
      <c r="AB1295" t="s">
        <v>38</v>
      </c>
      <c r="AC1295" s="7">
        <v>0</v>
      </c>
      <c r="AD1295" t="s">
        <v>39</v>
      </c>
      <c r="AE1295">
        <f t="shared" si="20"/>
        <v>0</v>
      </c>
    </row>
    <row r="1296" spans="1:31" x14ac:dyDescent="0.35">
      <c r="A1296">
        <v>101295</v>
      </c>
      <c r="B1296" s="3">
        <v>46008</v>
      </c>
      <c r="C1296">
        <v>1013</v>
      </c>
      <c r="D1296" t="s">
        <v>64</v>
      </c>
      <c r="E1296" t="s">
        <v>76</v>
      </c>
      <c r="F1296" t="s">
        <v>41</v>
      </c>
      <c r="G1296" t="s">
        <v>46</v>
      </c>
      <c r="H1296" t="s">
        <v>57</v>
      </c>
      <c r="I1296" t="s">
        <v>69</v>
      </c>
      <c r="J1296" s="4">
        <v>20.75</v>
      </c>
      <c r="K1296" s="4">
        <v>15.64</v>
      </c>
      <c r="L1296">
        <v>0</v>
      </c>
      <c r="M1296" s="4">
        <v>0</v>
      </c>
      <c r="N1296" s="4">
        <v>324.52999999999997</v>
      </c>
      <c r="O1296" s="4">
        <v>128.82</v>
      </c>
      <c r="P1296" s="4">
        <v>11.16</v>
      </c>
      <c r="Q1296" s="4">
        <v>1.3</v>
      </c>
      <c r="R1296" s="4">
        <v>0</v>
      </c>
      <c r="S1296" s="4">
        <v>263.17</v>
      </c>
      <c r="T1296" s="4">
        <v>7.81</v>
      </c>
      <c r="U1296" s="4">
        <v>412.26</v>
      </c>
      <c r="V1296" s="4">
        <v>-87.73</v>
      </c>
      <c r="W1296" t="s">
        <v>58</v>
      </c>
      <c r="X1296" t="s">
        <v>66</v>
      </c>
      <c r="Y1296" s="4">
        <v>19</v>
      </c>
      <c r="Z1296" s="4">
        <v>22</v>
      </c>
      <c r="AA1296" t="s">
        <v>52</v>
      </c>
      <c r="AB1296" t="s">
        <v>44</v>
      </c>
      <c r="AC1296" s="7">
        <v>1</v>
      </c>
      <c r="AD1296" t="s">
        <v>45</v>
      </c>
      <c r="AE1296">
        <f t="shared" si="20"/>
        <v>1</v>
      </c>
    </row>
    <row r="1297" spans="1:31" x14ac:dyDescent="0.35">
      <c r="A1297">
        <v>101296</v>
      </c>
      <c r="B1297" s="3">
        <v>45970</v>
      </c>
      <c r="C1297">
        <v>1058</v>
      </c>
      <c r="D1297" t="s">
        <v>47</v>
      </c>
      <c r="E1297" t="s">
        <v>48</v>
      </c>
      <c r="F1297" t="s">
        <v>61</v>
      </c>
      <c r="G1297" t="s">
        <v>63</v>
      </c>
      <c r="H1297" t="s">
        <v>51</v>
      </c>
      <c r="I1297" t="s">
        <v>54</v>
      </c>
      <c r="J1297" s="4">
        <v>16.82</v>
      </c>
      <c r="K1297" s="4">
        <v>12.64</v>
      </c>
      <c r="L1297">
        <v>5</v>
      </c>
      <c r="M1297" s="4">
        <v>10.63</v>
      </c>
      <c r="N1297" s="4">
        <v>201.97</v>
      </c>
      <c r="O1297" s="4">
        <v>99.01</v>
      </c>
      <c r="P1297" s="4">
        <v>7.05</v>
      </c>
      <c r="Q1297" s="4">
        <v>2.5499999999999998</v>
      </c>
      <c r="R1297" s="4">
        <v>11.05</v>
      </c>
      <c r="S1297" s="4">
        <v>143.11000000000001</v>
      </c>
      <c r="T1297" s="4">
        <v>7.16</v>
      </c>
      <c r="U1297" s="4">
        <v>269.93</v>
      </c>
      <c r="V1297" s="4">
        <v>-67.959999999999994</v>
      </c>
      <c r="W1297" t="s">
        <v>58</v>
      </c>
      <c r="X1297" t="s">
        <v>55</v>
      </c>
      <c r="Y1297" s="4">
        <v>1</v>
      </c>
      <c r="Z1297" s="4">
        <v>30</v>
      </c>
      <c r="AA1297" t="s">
        <v>37</v>
      </c>
      <c r="AB1297" t="s">
        <v>44</v>
      </c>
      <c r="AC1297" s="7">
        <v>2</v>
      </c>
      <c r="AD1297" t="s">
        <v>45</v>
      </c>
      <c r="AE1297">
        <f t="shared" si="20"/>
        <v>1</v>
      </c>
    </row>
    <row r="1298" spans="1:31" x14ac:dyDescent="0.35">
      <c r="A1298">
        <v>101297</v>
      </c>
      <c r="B1298" s="3">
        <v>45966</v>
      </c>
      <c r="C1298">
        <v>1013</v>
      </c>
      <c r="D1298" t="s">
        <v>47</v>
      </c>
      <c r="E1298" t="s">
        <v>48</v>
      </c>
      <c r="F1298" t="s">
        <v>71</v>
      </c>
      <c r="G1298" t="s">
        <v>46</v>
      </c>
      <c r="H1298" t="s">
        <v>34</v>
      </c>
      <c r="I1298" t="s">
        <v>69</v>
      </c>
      <c r="J1298" s="4">
        <v>18.7</v>
      </c>
      <c r="K1298" s="4">
        <v>16.89</v>
      </c>
      <c r="L1298">
        <v>10</v>
      </c>
      <c r="M1298" s="4">
        <v>31.58</v>
      </c>
      <c r="N1298" s="4">
        <v>284.26</v>
      </c>
      <c r="O1298" s="4">
        <v>110.19</v>
      </c>
      <c r="P1298" s="4">
        <v>6.31</v>
      </c>
      <c r="Q1298" s="4">
        <v>1.26</v>
      </c>
      <c r="R1298" s="4">
        <v>1.55</v>
      </c>
      <c r="S1298" s="4">
        <v>0</v>
      </c>
      <c r="T1298" s="4">
        <v>0</v>
      </c>
      <c r="U1298" s="4">
        <v>119.31</v>
      </c>
      <c r="V1298" s="4">
        <v>164.95</v>
      </c>
      <c r="W1298" t="s">
        <v>21</v>
      </c>
      <c r="X1298" t="s">
        <v>36</v>
      </c>
      <c r="Y1298" s="4">
        <v>19</v>
      </c>
      <c r="Z1298" s="4">
        <v>9</v>
      </c>
      <c r="AA1298" t="s">
        <v>52</v>
      </c>
      <c r="AB1298" t="s">
        <v>38</v>
      </c>
      <c r="AC1298" s="7">
        <v>0</v>
      </c>
      <c r="AD1298" t="s">
        <v>39</v>
      </c>
      <c r="AE1298">
        <f t="shared" si="20"/>
        <v>0</v>
      </c>
    </row>
    <row r="1299" spans="1:31" x14ac:dyDescent="0.35">
      <c r="A1299">
        <v>101298</v>
      </c>
      <c r="B1299" s="3">
        <v>45997</v>
      </c>
      <c r="C1299">
        <v>1088</v>
      </c>
      <c r="D1299" t="s">
        <v>64</v>
      </c>
      <c r="E1299" t="s">
        <v>67</v>
      </c>
      <c r="F1299" t="s">
        <v>71</v>
      </c>
      <c r="G1299" t="s">
        <v>63</v>
      </c>
      <c r="H1299" t="s">
        <v>51</v>
      </c>
      <c r="I1299" t="s">
        <v>35</v>
      </c>
      <c r="J1299" s="4">
        <v>8.7899999999999991</v>
      </c>
      <c r="K1299" s="4">
        <v>12.6</v>
      </c>
      <c r="L1299">
        <v>10</v>
      </c>
      <c r="M1299" s="4">
        <v>11.08</v>
      </c>
      <c r="N1299" s="4">
        <v>99.67</v>
      </c>
      <c r="O1299" s="4">
        <v>62.54</v>
      </c>
      <c r="P1299" s="4">
        <v>3.22</v>
      </c>
      <c r="Q1299" s="4">
        <v>0.78</v>
      </c>
      <c r="R1299" s="4">
        <v>5.04</v>
      </c>
      <c r="S1299" s="4">
        <v>0</v>
      </c>
      <c r="T1299" s="4">
        <v>0</v>
      </c>
      <c r="U1299" s="4">
        <v>71.58</v>
      </c>
      <c r="V1299" s="4">
        <v>28.09</v>
      </c>
      <c r="W1299" t="s">
        <v>21</v>
      </c>
      <c r="X1299" t="s">
        <v>36</v>
      </c>
      <c r="Y1299" s="4">
        <v>4</v>
      </c>
      <c r="Z1299" s="4">
        <v>15</v>
      </c>
      <c r="AA1299" t="s">
        <v>37</v>
      </c>
      <c r="AB1299" t="s">
        <v>38</v>
      </c>
      <c r="AC1299" s="7">
        <v>0</v>
      </c>
      <c r="AD1299" t="s">
        <v>39</v>
      </c>
      <c r="AE1299">
        <f t="shared" si="20"/>
        <v>0</v>
      </c>
    </row>
    <row r="1300" spans="1:31" x14ac:dyDescent="0.35">
      <c r="A1300">
        <v>101299</v>
      </c>
      <c r="B1300" s="3">
        <v>46003</v>
      </c>
      <c r="C1300">
        <v>1040</v>
      </c>
      <c r="D1300" t="s">
        <v>47</v>
      </c>
      <c r="E1300" t="s">
        <v>53</v>
      </c>
      <c r="F1300" t="s">
        <v>41</v>
      </c>
      <c r="G1300" t="s">
        <v>33</v>
      </c>
      <c r="H1300" t="s">
        <v>34</v>
      </c>
      <c r="I1300" t="s">
        <v>42</v>
      </c>
      <c r="J1300" s="4">
        <v>13.56</v>
      </c>
      <c r="K1300" s="4">
        <v>19.100000000000001</v>
      </c>
      <c r="L1300">
        <v>10</v>
      </c>
      <c r="M1300" s="4">
        <v>25.9</v>
      </c>
      <c r="N1300" s="4">
        <v>233.1</v>
      </c>
      <c r="O1300" s="4">
        <v>94.14</v>
      </c>
      <c r="P1300" s="4">
        <v>12.76</v>
      </c>
      <c r="Q1300" s="4">
        <v>3.88</v>
      </c>
      <c r="R1300" s="4">
        <v>4.5</v>
      </c>
      <c r="S1300" s="4">
        <v>0</v>
      </c>
      <c r="T1300" s="4">
        <v>0</v>
      </c>
      <c r="U1300" s="4">
        <v>115.28</v>
      </c>
      <c r="V1300" s="4">
        <v>117.82</v>
      </c>
      <c r="W1300" t="s">
        <v>21</v>
      </c>
      <c r="X1300" t="s">
        <v>36</v>
      </c>
      <c r="Y1300" s="4">
        <v>2</v>
      </c>
      <c r="Z1300" s="4">
        <v>8</v>
      </c>
      <c r="AA1300" t="s">
        <v>37</v>
      </c>
      <c r="AB1300" t="s">
        <v>38</v>
      </c>
      <c r="AC1300" s="7">
        <v>0</v>
      </c>
      <c r="AD1300" t="s">
        <v>39</v>
      </c>
      <c r="AE1300">
        <f t="shared" si="20"/>
        <v>0</v>
      </c>
    </row>
    <row r="1301" spans="1:31" x14ac:dyDescent="0.35">
      <c r="A1301">
        <v>101300</v>
      </c>
      <c r="B1301" s="3">
        <v>46005</v>
      </c>
      <c r="C1301">
        <v>1009</v>
      </c>
      <c r="D1301" t="s">
        <v>47</v>
      </c>
      <c r="E1301" t="s">
        <v>53</v>
      </c>
      <c r="F1301" t="s">
        <v>49</v>
      </c>
      <c r="G1301" t="s">
        <v>33</v>
      </c>
      <c r="H1301" t="s">
        <v>34</v>
      </c>
      <c r="I1301" t="s">
        <v>35</v>
      </c>
      <c r="J1301" s="4">
        <v>19.420000000000002</v>
      </c>
      <c r="K1301" s="4">
        <v>19.16</v>
      </c>
      <c r="L1301">
        <v>5</v>
      </c>
      <c r="M1301" s="4">
        <v>18.600000000000001</v>
      </c>
      <c r="N1301" s="4">
        <v>353.49</v>
      </c>
      <c r="O1301" s="4">
        <v>153.32</v>
      </c>
      <c r="P1301" s="4">
        <v>10.6</v>
      </c>
      <c r="Q1301" s="4">
        <v>2.6</v>
      </c>
      <c r="R1301" s="4">
        <v>4.68</v>
      </c>
      <c r="S1301" s="4">
        <v>0</v>
      </c>
      <c r="T1301" s="4">
        <v>0</v>
      </c>
      <c r="U1301" s="4">
        <v>171.2</v>
      </c>
      <c r="V1301" s="4">
        <v>182.29</v>
      </c>
      <c r="W1301" t="s">
        <v>21</v>
      </c>
      <c r="X1301" t="s">
        <v>36</v>
      </c>
      <c r="Y1301" s="4">
        <v>12</v>
      </c>
      <c r="Z1301" s="4">
        <v>11</v>
      </c>
      <c r="AA1301" t="s">
        <v>37</v>
      </c>
      <c r="AB1301" t="s">
        <v>38</v>
      </c>
      <c r="AC1301" s="7">
        <v>0</v>
      </c>
      <c r="AD1301" t="s">
        <v>39</v>
      </c>
      <c r="AE1301">
        <f t="shared" si="20"/>
        <v>0</v>
      </c>
    </row>
    <row r="1302" spans="1:31" x14ac:dyDescent="0.35">
      <c r="A1302">
        <v>101301</v>
      </c>
      <c r="B1302" s="3">
        <v>45969</v>
      </c>
      <c r="C1302">
        <v>1071</v>
      </c>
      <c r="D1302" t="s">
        <v>59</v>
      </c>
      <c r="E1302" t="s">
        <v>70</v>
      </c>
      <c r="F1302" t="s">
        <v>41</v>
      </c>
      <c r="G1302" t="s">
        <v>46</v>
      </c>
      <c r="H1302" t="s">
        <v>51</v>
      </c>
      <c r="I1302" t="s">
        <v>42</v>
      </c>
      <c r="J1302" s="4">
        <v>28.6</v>
      </c>
      <c r="K1302" s="4">
        <v>15.47</v>
      </c>
      <c r="L1302">
        <v>20</v>
      </c>
      <c r="M1302" s="4">
        <v>88.49</v>
      </c>
      <c r="N1302" s="4">
        <v>353.95</v>
      </c>
      <c r="O1302" s="4">
        <v>225.99</v>
      </c>
      <c r="P1302" s="4">
        <v>9.7200000000000006</v>
      </c>
      <c r="Q1302" s="4">
        <v>6.64</v>
      </c>
      <c r="R1302" s="4">
        <v>8.17</v>
      </c>
      <c r="S1302" s="4">
        <v>0</v>
      </c>
      <c r="T1302" s="4">
        <v>0</v>
      </c>
      <c r="U1302" s="4">
        <v>250.52</v>
      </c>
      <c r="V1302" s="4">
        <v>103.43</v>
      </c>
      <c r="W1302" t="s">
        <v>21</v>
      </c>
      <c r="X1302" t="s">
        <v>36</v>
      </c>
      <c r="Y1302" s="4">
        <v>17</v>
      </c>
      <c r="Z1302" s="4">
        <v>6</v>
      </c>
      <c r="AA1302" t="s">
        <v>52</v>
      </c>
      <c r="AB1302" t="s">
        <v>38</v>
      </c>
      <c r="AC1302" s="7">
        <v>0</v>
      </c>
      <c r="AD1302" t="s">
        <v>39</v>
      </c>
      <c r="AE1302">
        <f t="shared" si="20"/>
        <v>0</v>
      </c>
    </row>
    <row r="1303" spans="1:31" x14ac:dyDescent="0.35">
      <c r="A1303">
        <v>101302</v>
      </c>
      <c r="B1303" s="3">
        <v>45961</v>
      </c>
      <c r="C1303">
        <v>1123</v>
      </c>
      <c r="D1303" t="s">
        <v>59</v>
      </c>
      <c r="E1303" t="s">
        <v>68</v>
      </c>
      <c r="F1303" t="s">
        <v>41</v>
      </c>
      <c r="G1303" t="s">
        <v>63</v>
      </c>
      <c r="H1303" t="s">
        <v>34</v>
      </c>
      <c r="I1303" t="s">
        <v>42</v>
      </c>
      <c r="J1303" s="4">
        <v>28.55</v>
      </c>
      <c r="K1303" s="4">
        <v>14.63</v>
      </c>
      <c r="L1303">
        <v>0</v>
      </c>
      <c r="M1303" s="4">
        <v>0</v>
      </c>
      <c r="N1303" s="4">
        <v>417.69</v>
      </c>
      <c r="O1303" s="4">
        <v>200.91</v>
      </c>
      <c r="P1303" s="4">
        <v>5.77</v>
      </c>
      <c r="Q1303" s="4">
        <v>6.27</v>
      </c>
      <c r="R1303" s="4">
        <v>10.130000000000001</v>
      </c>
      <c r="S1303" s="4">
        <v>0</v>
      </c>
      <c r="T1303" s="4">
        <v>0</v>
      </c>
      <c r="U1303" s="4">
        <v>223.08</v>
      </c>
      <c r="V1303" s="4">
        <v>194.61</v>
      </c>
      <c r="W1303" t="s">
        <v>21</v>
      </c>
      <c r="X1303" t="s">
        <v>36</v>
      </c>
      <c r="Y1303" s="4">
        <v>1</v>
      </c>
      <c r="Z1303" s="4">
        <v>28</v>
      </c>
      <c r="AA1303" t="s">
        <v>37</v>
      </c>
      <c r="AB1303" t="s">
        <v>44</v>
      </c>
      <c r="AC1303" s="7">
        <v>1</v>
      </c>
      <c r="AD1303" t="s">
        <v>45</v>
      </c>
      <c r="AE1303">
        <f t="shared" si="20"/>
        <v>1</v>
      </c>
    </row>
    <row r="1304" spans="1:31" x14ac:dyDescent="0.35">
      <c r="A1304">
        <v>101303</v>
      </c>
      <c r="B1304" s="3">
        <v>45968</v>
      </c>
      <c r="C1304">
        <v>1120</v>
      </c>
      <c r="D1304" t="s">
        <v>64</v>
      </c>
      <c r="E1304" t="s">
        <v>65</v>
      </c>
      <c r="F1304" t="s">
        <v>71</v>
      </c>
      <c r="G1304" t="s">
        <v>46</v>
      </c>
      <c r="H1304" t="s">
        <v>51</v>
      </c>
      <c r="I1304" t="s">
        <v>54</v>
      </c>
      <c r="J1304" s="4">
        <v>28</v>
      </c>
      <c r="K1304" s="4">
        <v>15.24</v>
      </c>
      <c r="L1304">
        <v>0</v>
      </c>
      <c r="M1304" s="4">
        <v>0</v>
      </c>
      <c r="N1304" s="4">
        <v>426.72</v>
      </c>
      <c r="O1304" s="4">
        <v>206.77</v>
      </c>
      <c r="P1304" s="4">
        <v>6.53</v>
      </c>
      <c r="Q1304" s="4">
        <v>5.12</v>
      </c>
      <c r="R1304" s="4">
        <v>1.18</v>
      </c>
      <c r="S1304" s="4">
        <v>0</v>
      </c>
      <c r="T1304" s="4">
        <v>0</v>
      </c>
      <c r="U1304" s="4">
        <v>219.6</v>
      </c>
      <c r="V1304" s="4">
        <v>207.12</v>
      </c>
      <c r="W1304" t="s">
        <v>21</v>
      </c>
      <c r="X1304" t="s">
        <v>36</v>
      </c>
      <c r="Y1304" s="4">
        <v>16</v>
      </c>
      <c r="Z1304" s="4">
        <v>2</v>
      </c>
      <c r="AA1304" t="s">
        <v>52</v>
      </c>
      <c r="AB1304" t="s">
        <v>38</v>
      </c>
      <c r="AC1304" s="7">
        <v>0</v>
      </c>
      <c r="AD1304" t="s">
        <v>39</v>
      </c>
      <c r="AE1304">
        <f t="shared" si="20"/>
        <v>0</v>
      </c>
    </row>
    <row r="1305" spans="1:31" x14ac:dyDescent="0.35">
      <c r="A1305">
        <v>101304</v>
      </c>
      <c r="B1305" s="3">
        <v>46010</v>
      </c>
      <c r="C1305">
        <v>1020</v>
      </c>
      <c r="D1305" t="s">
        <v>59</v>
      </c>
      <c r="E1305" t="s">
        <v>73</v>
      </c>
      <c r="F1305" t="s">
        <v>41</v>
      </c>
      <c r="G1305" t="s">
        <v>33</v>
      </c>
      <c r="H1305" t="s">
        <v>57</v>
      </c>
      <c r="I1305" t="s">
        <v>35</v>
      </c>
      <c r="J1305" s="4">
        <v>23.39</v>
      </c>
      <c r="K1305" s="4">
        <v>21.55</v>
      </c>
      <c r="L1305">
        <v>5</v>
      </c>
      <c r="M1305" s="4">
        <v>25.2</v>
      </c>
      <c r="N1305" s="4">
        <v>478.85</v>
      </c>
      <c r="O1305" s="4">
        <v>177.52</v>
      </c>
      <c r="P1305" s="4">
        <v>6.65</v>
      </c>
      <c r="Q1305" s="4">
        <v>3.53</v>
      </c>
      <c r="R1305" s="4">
        <v>3.2</v>
      </c>
      <c r="S1305" s="4">
        <v>0</v>
      </c>
      <c r="T1305" s="4">
        <v>0</v>
      </c>
      <c r="U1305" s="4">
        <v>190.9</v>
      </c>
      <c r="V1305" s="4">
        <v>287.95</v>
      </c>
      <c r="W1305" t="s">
        <v>21</v>
      </c>
      <c r="X1305" t="s">
        <v>36</v>
      </c>
      <c r="Y1305" s="4">
        <v>3</v>
      </c>
      <c r="Z1305" s="4">
        <v>8</v>
      </c>
      <c r="AA1305" t="s">
        <v>37</v>
      </c>
      <c r="AB1305" t="s">
        <v>38</v>
      </c>
      <c r="AC1305" s="7">
        <v>0</v>
      </c>
      <c r="AD1305" t="s">
        <v>39</v>
      </c>
      <c r="AE1305">
        <f t="shared" si="20"/>
        <v>0</v>
      </c>
    </row>
    <row r="1306" spans="1:31" x14ac:dyDescent="0.35">
      <c r="A1306">
        <v>101305</v>
      </c>
      <c r="B1306" s="3">
        <v>45991</v>
      </c>
      <c r="C1306">
        <v>1121</v>
      </c>
      <c r="D1306" t="s">
        <v>30</v>
      </c>
      <c r="E1306" t="s">
        <v>40</v>
      </c>
      <c r="F1306" t="s">
        <v>49</v>
      </c>
      <c r="G1306" t="s">
        <v>46</v>
      </c>
      <c r="H1306" t="s">
        <v>51</v>
      </c>
      <c r="I1306" t="s">
        <v>35</v>
      </c>
      <c r="J1306" s="4">
        <v>35.96</v>
      </c>
      <c r="K1306" s="4">
        <v>15.77</v>
      </c>
      <c r="L1306">
        <v>0</v>
      </c>
      <c r="M1306" s="4">
        <v>0</v>
      </c>
      <c r="N1306" s="4">
        <v>567.09</v>
      </c>
      <c r="O1306" s="4">
        <v>246.93</v>
      </c>
      <c r="P1306" s="4">
        <v>7.67</v>
      </c>
      <c r="Q1306" s="4">
        <v>3.97</v>
      </c>
      <c r="R1306" s="4">
        <v>4.9800000000000004</v>
      </c>
      <c r="S1306" s="4">
        <v>0</v>
      </c>
      <c r="T1306" s="4">
        <v>0</v>
      </c>
      <c r="U1306" s="4">
        <v>263.55</v>
      </c>
      <c r="V1306" s="4">
        <v>303.54000000000002</v>
      </c>
      <c r="W1306" t="s">
        <v>21</v>
      </c>
      <c r="X1306" t="s">
        <v>36</v>
      </c>
      <c r="Y1306" s="4">
        <v>2</v>
      </c>
      <c r="Z1306" s="4">
        <v>20</v>
      </c>
      <c r="AA1306" t="s">
        <v>37</v>
      </c>
      <c r="AB1306" t="s">
        <v>44</v>
      </c>
      <c r="AC1306" s="7">
        <v>1</v>
      </c>
      <c r="AD1306" t="s">
        <v>45</v>
      </c>
      <c r="AE1306">
        <f t="shared" si="20"/>
        <v>1</v>
      </c>
    </row>
    <row r="1307" spans="1:31" x14ac:dyDescent="0.35">
      <c r="A1307">
        <v>101306</v>
      </c>
      <c r="B1307" s="3">
        <v>46013</v>
      </c>
      <c r="C1307">
        <v>1127</v>
      </c>
      <c r="D1307" t="s">
        <v>64</v>
      </c>
      <c r="E1307" t="s">
        <v>65</v>
      </c>
      <c r="F1307" t="s">
        <v>49</v>
      </c>
      <c r="G1307" t="s">
        <v>63</v>
      </c>
      <c r="H1307" t="s">
        <v>34</v>
      </c>
      <c r="I1307" t="s">
        <v>54</v>
      </c>
      <c r="J1307" s="4">
        <v>13.63</v>
      </c>
      <c r="K1307" s="4">
        <v>12.11</v>
      </c>
      <c r="L1307">
        <v>15</v>
      </c>
      <c r="M1307" s="4">
        <v>24.76</v>
      </c>
      <c r="N1307" s="4">
        <v>140.30000000000001</v>
      </c>
      <c r="O1307" s="4">
        <v>94.4</v>
      </c>
      <c r="P1307" s="4">
        <v>10.94</v>
      </c>
      <c r="Q1307" s="4">
        <v>1.98</v>
      </c>
      <c r="R1307" s="4">
        <v>7.94</v>
      </c>
      <c r="S1307" s="4">
        <v>0</v>
      </c>
      <c r="T1307" s="4">
        <v>0</v>
      </c>
      <c r="U1307" s="4">
        <v>115.26</v>
      </c>
      <c r="V1307" s="4">
        <v>25.04</v>
      </c>
      <c r="W1307" t="s">
        <v>21</v>
      </c>
      <c r="X1307" t="s">
        <v>36</v>
      </c>
      <c r="Y1307" s="4">
        <v>9</v>
      </c>
      <c r="Z1307" s="4">
        <v>6</v>
      </c>
      <c r="AA1307" t="s">
        <v>37</v>
      </c>
      <c r="AB1307" t="s">
        <v>38</v>
      </c>
      <c r="AC1307" s="7">
        <v>0</v>
      </c>
      <c r="AD1307" t="s">
        <v>39</v>
      </c>
      <c r="AE1307">
        <f t="shared" si="20"/>
        <v>0</v>
      </c>
    </row>
    <row r="1308" spans="1:31" x14ac:dyDescent="0.35">
      <c r="A1308">
        <v>101307</v>
      </c>
      <c r="B1308" s="3">
        <v>46011</v>
      </c>
      <c r="C1308">
        <v>1058</v>
      </c>
      <c r="D1308" t="s">
        <v>30</v>
      </c>
      <c r="E1308" t="s">
        <v>62</v>
      </c>
      <c r="F1308" t="s">
        <v>61</v>
      </c>
      <c r="G1308" t="s">
        <v>46</v>
      </c>
      <c r="H1308" t="s">
        <v>51</v>
      </c>
      <c r="I1308" t="s">
        <v>35</v>
      </c>
      <c r="J1308" s="4">
        <v>19.7</v>
      </c>
      <c r="K1308" s="4">
        <v>15.08</v>
      </c>
      <c r="L1308">
        <v>0</v>
      </c>
      <c r="M1308" s="4">
        <v>0</v>
      </c>
      <c r="N1308" s="4">
        <v>297.08</v>
      </c>
      <c r="O1308" s="4">
        <v>131.29</v>
      </c>
      <c r="P1308" s="4">
        <v>10.07</v>
      </c>
      <c r="Q1308" s="4">
        <v>2.08</v>
      </c>
      <c r="R1308" s="4">
        <v>6.18</v>
      </c>
      <c r="S1308" s="4">
        <v>159.21</v>
      </c>
      <c r="T1308" s="4">
        <v>8.57</v>
      </c>
      <c r="U1308" s="4">
        <v>317.39999999999998</v>
      </c>
      <c r="V1308" s="4">
        <v>-20.32</v>
      </c>
      <c r="W1308" t="s">
        <v>58</v>
      </c>
      <c r="X1308" t="s">
        <v>66</v>
      </c>
      <c r="Y1308" s="4">
        <v>17</v>
      </c>
      <c r="Z1308" s="4">
        <v>0</v>
      </c>
      <c r="AA1308" t="s">
        <v>52</v>
      </c>
      <c r="AB1308" t="s">
        <v>38</v>
      </c>
      <c r="AC1308" s="7">
        <v>2</v>
      </c>
      <c r="AD1308" t="s">
        <v>45</v>
      </c>
      <c r="AE1308">
        <f t="shared" si="20"/>
        <v>0</v>
      </c>
    </row>
    <row r="1309" spans="1:31" x14ac:dyDescent="0.35">
      <c r="A1309">
        <v>101308</v>
      </c>
      <c r="B1309" s="3">
        <v>45982</v>
      </c>
      <c r="C1309">
        <v>1113</v>
      </c>
      <c r="D1309" t="s">
        <v>59</v>
      </c>
      <c r="E1309" t="s">
        <v>73</v>
      </c>
      <c r="F1309" t="s">
        <v>41</v>
      </c>
      <c r="G1309" t="s">
        <v>46</v>
      </c>
      <c r="H1309" t="s">
        <v>57</v>
      </c>
      <c r="I1309" t="s">
        <v>35</v>
      </c>
      <c r="J1309" s="4">
        <v>34.200000000000003</v>
      </c>
      <c r="K1309" s="4">
        <v>15.49</v>
      </c>
      <c r="L1309">
        <v>0</v>
      </c>
      <c r="M1309" s="4">
        <v>0</v>
      </c>
      <c r="N1309" s="4">
        <v>529.76</v>
      </c>
      <c r="O1309" s="4">
        <v>252.88</v>
      </c>
      <c r="P1309" s="4">
        <v>7.71</v>
      </c>
      <c r="Q1309" s="4">
        <v>3.71</v>
      </c>
      <c r="R1309" s="4">
        <v>4.76</v>
      </c>
      <c r="S1309" s="4">
        <v>0</v>
      </c>
      <c r="T1309" s="4">
        <v>0</v>
      </c>
      <c r="U1309" s="4">
        <v>269.06</v>
      </c>
      <c r="V1309" s="4">
        <v>260.7</v>
      </c>
      <c r="W1309" t="s">
        <v>21</v>
      </c>
      <c r="X1309" t="s">
        <v>36</v>
      </c>
      <c r="Y1309" s="4">
        <v>14</v>
      </c>
      <c r="Z1309" s="4">
        <v>9</v>
      </c>
      <c r="AA1309" t="s">
        <v>37</v>
      </c>
      <c r="AB1309" t="s">
        <v>38</v>
      </c>
      <c r="AC1309" s="7">
        <v>0</v>
      </c>
      <c r="AD1309" t="s">
        <v>39</v>
      </c>
      <c r="AE1309">
        <f t="shared" si="20"/>
        <v>0</v>
      </c>
    </row>
    <row r="1310" spans="1:31" x14ac:dyDescent="0.35">
      <c r="A1310">
        <v>101309</v>
      </c>
      <c r="B1310" s="3">
        <v>46004</v>
      </c>
      <c r="C1310">
        <v>1105</v>
      </c>
      <c r="D1310" t="s">
        <v>59</v>
      </c>
      <c r="E1310" t="s">
        <v>60</v>
      </c>
      <c r="F1310" t="s">
        <v>71</v>
      </c>
      <c r="G1310" t="s">
        <v>33</v>
      </c>
      <c r="H1310" t="s">
        <v>51</v>
      </c>
      <c r="I1310" t="s">
        <v>35</v>
      </c>
      <c r="J1310" s="4">
        <v>19.13</v>
      </c>
      <c r="K1310" s="4">
        <v>18.93</v>
      </c>
      <c r="L1310">
        <v>10</v>
      </c>
      <c r="M1310" s="4">
        <v>36.21</v>
      </c>
      <c r="N1310" s="4">
        <v>325.92</v>
      </c>
      <c r="O1310" s="4">
        <v>120.83</v>
      </c>
      <c r="P1310" s="4">
        <v>10.4</v>
      </c>
      <c r="Q1310" s="4">
        <v>2.5299999999999998</v>
      </c>
      <c r="R1310" s="4">
        <v>0.43</v>
      </c>
      <c r="S1310" s="4">
        <v>0</v>
      </c>
      <c r="T1310" s="4">
        <v>0</v>
      </c>
      <c r="U1310" s="4">
        <v>134.19</v>
      </c>
      <c r="V1310" s="4">
        <v>191.73</v>
      </c>
      <c r="W1310" t="s">
        <v>21</v>
      </c>
      <c r="X1310" t="s">
        <v>36</v>
      </c>
      <c r="Y1310" s="4">
        <v>2</v>
      </c>
      <c r="Z1310" s="4">
        <v>8</v>
      </c>
      <c r="AA1310" t="s">
        <v>37</v>
      </c>
      <c r="AB1310" t="s">
        <v>38</v>
      </c>
      <c r="AC1310" s="7">
        <v>0</v>
      </c>
      <c r="AD1310" t="s">
        <v>39</v>
      </c>
      <c r="AE1310">
        <f t="shared" si="20"/>
        <v>0</v>
      </c>
    </row>
    <row r="1311" spans="1:31" x14ac:dyDescent="0.35">
      <c r="A1311">
        <v>101310</v>
      </c>
      <c r="B1311" s="3">
        <v>45932</v>
      </c>
      <c r="C1311">
        <v>1044</v>
      </c>
      <c r="D1311" t="s">
        <v>30</v>
      </c>
      <c r="E1311" t="s">
        <v>31</v>
      </c>
      <c r="F1311" t="s">
        <v>71</v>
      </c>
      <c r="G1311" t="s">
        <v>50</v>
      </c>
      <c r="H1311" t="s">
        <v>34</v>
      </c>
      <c r="I1311" t="s">
        <v>69</v>
      </c>
      <c r="J1311" s="4">
        <v>36</v>
      </c>
      <c r="K1311" s="4">
        <v>17.41</v>
      </c>
      <c r="L1311">
        <v>15</v>
      </c>
      <c r="M1311" s="4">
        <v>94.01</v>
      </c>
      <c r="N1311" s="4">
        <v>532.75</v>
      </c>
      <c r="O1311" s="4">
        <v>222.77</v>
      </c>
      <c r="P1311" s="4">
        <v>7.11</v>
      </c>
      <c r="Q1311" s="4">
        <v>2.5099999999999998</v>
      </c>
      <c r="R1311" s="4">
        <v>8.0399999999999991</v>
      </c>
      <c r="S1311" s="4">
        <v>0</v>
      </c>
      <c r="T1311" s="4">
        <v>0</v>
      </c>
      <c r="U1311" s="4">
        <v>240.43</v>
      </c>
      <c r="V1311" s="4">
        <v>292.32</v>
      </c>
      <c r="W1311" t="s">
        <v>21</v>
      </c>
      <c r="X1311" t="s">
        <v>36</v>
      </c>
      <c r="Y1311" s="4">
        <v>4</v>
      </c>
      <c r="Z1311" s="4">
        <v>2</v>
      </c>
      <c r="AA1311" t="s">
        <v>37</v>
      </c>
      <c r="AB1311" t="s">
        <v>38</v>
      </c>
      <c r="AC1311" s="7">
        <v>1</v>
      </c>
      <c r="AD1311" t="s">
        <v>39</v>
      </c>
      <c r="AE1311">
        <f t="shared" si="20"/>
        <v>0</v>
      </c>
    </row>
    <row r="1312" spans="1:31" x14ac:dyDescent="0.35">
      <c r="A1312">
        <v>101311</v>
      </c>
      <c r="B1312" s="3">
        <v>45947</v>
      </c>
      <c r="C1312">
        <v>1041</v>
      </c>
      <c r="D1312" t="s">
        <v>59</v>
      </c>
      <c r="E1312" t="s">
        <v>70</v>
      </c>
      <c r="F1312" t="s">
        <v>32</v>
      </c>
      <c r="G1312" t="s">
        <v>46</v>
      </c>
      <c r="H1312" t="s">
        <v>34</v>
      </c>
      <c r="I1312" t="s">
        <v>35</v>
      </c>
      <c r="J1312" s="4">
        <v>24.87</v>
      </c>
      <c r="K1312" s="4">
        <v>15.33</v>
      </c>
      <c r="L1312">
        <v>0</v>
      </c>
      <c r="M1312" s="4">
        <v>0</v>
      </c>
      <c r="N1312" s="4">
        <v>381.26</v>
      </c>
      <c r="O1312" s="4">
        <v>150.30000000000001</v>
      </c>
      <c r="P1312" s="4">
        <v>10.51</v>
      </c>
      <c r="Q1312" s="4">
        <v>2.67</v>
      </c>
      <c r="R1312" s="4">
        <v>6.51</v>
      </c>
      <c r="S1312" s="4">
        <v>0</v>
      </c>
      <c r="T1312" s="4">
        <v>0</v>
      </c>
      <c r="U1312" s="4">
        <v>169.99</v>
      </c>
      <c r="V1312" s="4">
        <v>211.27</v>
      </c>
      <c r="W1312" t="s">
        <v>21</v>
      </c>
      <c r="X1312" t="s">
        <v>36</v>
      </c>
      <c r="Y1312" s="4">
        <v>2</v>
      </c>
      <c r="Z1312" s="4">
        <v>0</v>
      </c>
      <c r="AA1312" t="s">
        <v>37</v>
      </c>
      <c r="AB1312" t="s">
        <v>38</v>
      </c>
      <c r="AC1312" s="7">
        <v>0</v>
      </c>
      <c r="AD1312" t="s">
        <v>39</v>
      </c>
      <c r="AE1312">
        <f t="shared" si="20"/>
        <v>0</v>
      </c>
    </row>
    <row r="1313" spans="1:31" x14ac:dyDescent="0.35">
      <c r="A1313">
        <v>101312</v>
      </c>
      <c r="B1313" s="3">
        <v>45950</v>
      </c>
      <c r="C1313">
        <v>1050</v>
      </c>
      <c r="D1313" t="s">
        <v>59</v>
      </c>
      <c r="E1313" t="s">
        <v>70</v>
      </c>
      <c r="F1313" t="s">
        <v>61</v>
      </c>
      <c r="G1313" t="s">
        <v>46</v>
      </c>
      <c r="H1313" t="s">
        <v>34</v>
      </c>
      <c r="I1313" t="s">
        <v>35</v>
      </c>
      <c r="J1313" s="4">
        <v>26.6</v>
      </c>
      <c r="K1313" s="4">
        <v>16.88</v>
      </c>
      <c r="L1313">
        <v>0</v>
      </c>
      <c r="M1313" s="4">
        <v>0</v>
      </c>
      <c r="N1313" s="4">
        <v>449.01</v>
      </c>
      <c r="O1313" s="4">
        <v>221.49</v>
      </c>
      <c r="P1313" s="4">
        <v>10.44</v>
      </c>
      <c r="Q1313" s="4">
        <v>3.14</v>
      </c>
      <c r="R1313" s="4">
        <v>10.18</v>
      </c>
      <c r="S1313" s="4">
        <v>0</v>
      </c>
      <c r="T1313" s="4">
        <v>0</v>
      </c>
      <c r="U1313" s="4">
        <v>245.25</v>
      </c>
      <c r="V1313" s="4">
        <v>203.76</v>
      </c>
      <c r="W1313" t="s">
        <v>21</v>
      </c>
      <c r="X1313" t="s">
        <v>36</v>
      </c>
      <c r="Y1313" s="4">
        <v>22</v>
      </c>
      <c r="Z1313" s="4">
        <v>14</v>
      </c>
      <c r="AA1313" t="s">
        <v>52</v>
      </c>
      <c r="AB1313" t="s">
        <v>44</v>
      </c>
      <c r="AC1313" s="7">
        <v>2</v>
      </c>
      <c r="AD1313" t="s">
        <v>45</v>
      </c>
      <c r="AE1313">
        <f t="shared" si="20"/>
        <v>1</v>
      </c>
    </row>
    <row r="1314" spans="1:31" x14ac:dyDescent="0.35">
      <c r="A1314">
        <v>101313</v>
      </c>
      <c r="B1314" s="3">
        <v>45943</v>
      </c>
      <c r="C1314">
        <v>1137</v>
      </c>
      <c r="D1314" t="s">
        <v>47</v>
      </c>
      <c r="E1314" t="s">
        <v>53</v>
      </c>
      <c r="F1314" t="s">
        <v>41</v>
      </c>
      <c r="G1314" t="s">
        <v>46</v>
      </c>
      <c r="H1314" t="s">
        <v>34</v>
      </c>
      <c r="I1314" t="s">
        <v>35</v>
      </c>
      <c r="J1314" s="4">
        <v>33.450000000000003</v>
      </c>
      <c r="K1314" s="4">
        <v>14.54</v>
      </c>
      <c r="L1314">
        <v>15</v>
      </c>
      <c r="M1314" s="4">
        <v>72.95</v>
      </c>
      <c r="N1314" s="4">
        <v>413.41</v>
      </c>
      <c r="O1314" s="4">
        <v>239</v>
      </c>
      <c r="P1314" s="4">
        <v>11.21</v>
      </c>
      <c r="Q1314" s="4">
        <v>3.4</v>
      </c>
      <c r="R1314" s="4">
        <v>5.6</v>
      </c>
      <c r="S1314" s="4">
        <v>0</v>
      </c>
      <c r="T1314" s="4">
        <v>0</v>
      </c>
      <c r="U1314" s="4">
        <v>259.20999999999998</v>
      </c>
      <c r="V1314" s="4">
        <v>154.19999999999999</v>
      </c>
      <c r="W1314" t="s">
        <v>21</v>
      </c>
      <c r="X1314" t="s">
        <v>36</v>
      </c>
      <c r="Y1314" s="4">
        <v>9</v>
      </c>
      <c r="Z1314" s="4">
        <v>3</v>
      </c>
      <c r="AA1314" t="s">
        <v>37</v>
      </c>
      <c r="AB1314" t="s">
        <v>38</v>
      </c>
      <c r="AC1314" s="7">
        <v>0</v>
      </c>
      <c r="AD1314" t="s">
        <v>39</v>
      </c>
      <c r="AE1314">
        <f t="shared" si="20"/>
        <v>0</v>
      </c>
    </row>
    <row r="1315" spans="1:31" x14ac:dyDescent="0.35">
      <c r="A1315">
        <v>101314</v>
      </c>
      <c r="B1315" s="3">
        <v>46011</v>
      </c>
      <c r="C1315">
        <v>1141</v>
      </c>
      <c r="D1315" t="s">
        <v>47</v>
      </c>
      <c r="E1315" t="s">
        <v>53</v>
      </c>
      <c r="F1315" t="s">
        <v>41</v>
      </c>
      <c r="G1315" t="s">
        <v>33</v>
      </c>
      <c r="H1315" t="s">
        <v>57</v>
      </c>
      <c r="I1315" t="s">
        <v>35</v>
      </c>
      <c r="J1315" s="4">
        <v>26.93</v>
      </c>
      <c r="K1315" s="4">
        <v>19.399999999999999</v>
      </c>
      <c r="L1315">
        <v>0</v>
      </c>
      <c r="M1315" s="4">
        <v>0</v>
      </c>
      <c r="N1315" s="4">
        <v>522.44000000000005</v>
      </c>
      <c r="O1315" s="4">
        <v>208.48</v>
      </c>
      <c r="P1315" s="4">
        <v>10.18</v>
      </c>
      <c r="Q1315" s="4">
        <v>3.66</v>
      </c>
      <c r="R1315" s="4">
        <v>2.58</v>
      </c>
      <c r="S1315" s="4">
        <v>0</v>
      </c>
      <c r="T1315" s="4">
        <v>0</v>
      </c>
      <c r="U1315" s="4">
        <v>224.9</v>
      </c>
      <c r="V1315" s="4">
        <v>297.54000000000002</v>
      </c>
      <c r="W1315" t="s">
        <v>21</v>
      </c>
      <c r="X1315" t="s">
        <v>36</v>
      </c>
      <c r="Y1315" s="4">
        <v>2</v>
      </c>
      <c r="Z1315" s="4">
        <v>4</v>
      </c>
      <c r="AA1315" t="s">
        <v>37</v>
      </c>
      <c r="AB1315" t="s">
        <v>38</v>
      </c>
      <c r="AC1315" s="7">
        <v>0</v>
      </c>
      <c r="AD1315" t="s">
        <v>39</v>
      </c>
      <c r="AE1315">
        <f t="shared" si="20"/>
        <v>0</v>
      </c>
    </row>
    <row r="1316" spans="1:31" x14ac:dyDescent="0.35">
      <c r="A1316">
        <v>101315</v>
      </c>
      <c r="B1316" s="3">
        <v>45966</v>
      </c>
      <c r="C1316">
        <v>1122</v>
      </c>
      <c r="D1316" t="s">
        <v>64</v>
      </c>
      <c r="E1316" t="s">
        <v>67</v>
      </c>
      <c r="F1316" t="s">
        <v>61</v>
      </c>
      <c r="G1316" t="s">
        <v>63</v>
      </c>
      <c r="H1316" t="s">
        <v>57</v>
      </c>
      <c r="I1316" t="s">
        <v>69</v>
      </c>
      <c r="J1316" s="4">
        <v>17.18</v>
      </c>
      <c r="K1316" s="4">
        <v>11.97</v>
      </c>
      <c r="L1316">
        <v>0</v>
      </c>
      <c r="M1316" s="4">
        <v>0</v>
      </c>
      <c r="N1316" s="4">
        <v>205.64</v>
      </c>
      <c r="O1316" s="4">
        <v>98.91</v>
      </c>
      <c r="P1316" s="4">
        <v>9.0399999999999991</v>
      </c>
      <c r="Q1316" s="4">
        <v>0.82</v>
      </c>
      <c r="R1316" s="4">
        <v>6.96</v>
      </c>
      <c r="S1316" s="4">
        <v>0</v>
      </c>
      <c r="T1316" s="4">
        <v>0</v>
      </c>
      <c r="U1316" s="4">
        <v>115.73</v>
      </c>
      <c r="V1316" s="4">
        <v>89.91</v>
      </c>
      <c r="W1316" t="s">
        <v>21</v>
      </c>
      <c r="X1316" t="s">
        <v>36</v>
      </c>
      <c r="Y1316" s="4">
        <v>9</v>
      </c>
      <c r="Z1316" s="4">
        <v>6</v>
      </c>
      <c r="AA1316" t="s">
        <v>37</v>
      </c>
      <c r="AB1316" t="s">
        <v>38</v>
      </c>
      <c r="AC1316" s="7">
        <v>0</v>
      </c>
      <c r="AD1316" t="s">
        <v>39</v>
      </c>
      <c r="AE1316">
        <f t="shared" si="20"/>
        <v>0</v>
      </c>
    </row>
    <row r="1317" spans="1:31" x14ac:dyDescent="0.35">
      <c r="A1317">
        <v>101316</v>
      </c>
      <c r="B1317" s="3">
        <v>46008</v>
      </c>
      <c r="C1317">
        <v>1106</v>
      </c>
      <c r="D1317" t="s">
        <v>47</v>
      </c>
      <c r="E1317" t="s">
        <v>74</v>
      </c>
      <c r="F1317" t="s">
        <v>49</v>
      </c>
      <c r="G1317" t="s">
        <v>63</v>
      </c>
      <c r="H1317" t="s">
        <v>34</v>
      </c>
      <c r="I1317" t="s">
        <v>69</v>
      </c>
      <c r="J1317" s="4">
        <v>26.03</v>
      </c>
      <c r="K1317" s="4">
        <v>12.1</v>
      </c>
      <c r="L1317">
        <v>5</v>
      </c>
      <c r="M1317" s="4">
        <v>15.75</v>
      </c>
      <c r="N1317" s="4">
        <v>299.20999999999998</v>
      </c>
      <c r="O1317" s="4">
        <v>236.62</v>
      </c>
      <c r="P1317" s="4">
        <v>6.03</v>
      </c>
      <c r="Q1317" s="4">
        <v>1.26</v>
      </c>
      <c r="R1317" s="4">
        <v>2.94</v>
      </c>
      <c r="S1317" s="4">
        <v>0</v>
      </c>
      <c r="T1317" s="4">
        <v>0</v>
      </c>
      <c r="U1317" s="4">
        <v>246.85</v>
      </c>
      <c r="V1317" s="4">
        <v>52.36</v>
      </c>
      <c r="W1317" t="s">
        <v>21</v>
      </c>
      <c r="X1317" t="s">
        <v>36</v>
      </c>
      <c r="Y1317" s="4">
        <v>0</v>
      </c>
      <c r="Z1317" s="4">
        <v>0</v>
      </c>
      <c r="AA1317" t="s">
        <v>37</v>
      </c>
      <c r="AB1317" t="s">
        <v>38</v>
      </c>
      <c r="AC1317" s="7">
        <v>1</v>
      </c>
      <c r="AD1317" t="s">
        <v>39</v>
      </c>
      <c r="AE1317">
        <f t="shared" si="20"/>
        <v>0</v>
      </c>
    </row>
    <row r="1318" spans="1:31" x14ac:dyDescent="0.35">
      <c r="A1318">
        <v>101317</v>
      </c>
      <c r="B1318" s="3">
        <v>45934</v>
      </c>
      <c r="C1318">
        <v>1095</v>
      </c>
      <c r="D1318" t="s">
        <v>59</v>
      </c>
      <c r="E1318" t="s">
        <v>70</v>
      </c>
      <c r="F1318" t="s">
        <v>41</v>
      </c>
      <c r="G1318" t="s">
        <v>63</v>
      </c>
      <c r="H1318" t="s">
        <v>57</v>
      </c>
      <c r="I1318" t="s">
        <v>35</v>
      </c>
      <c r="J1318" s="4">
        <v>18</v>
      </c>
      <c r="K1318" s="4">
        <v>12.34</v>
      </c>
      <c r="L1318">
        <v>0</v>
      </c>
      <c r="M1318" s="4">
        <v>0</v>
      </c>
      <c r="N1318" s="4">
        <v>222.12</v>
      </c>
      <c r="O1318" s="4">
        <v>116.46</v>
      </c>
      <c r="P1318" s="4">
        <v>7.66</v>
      </c>
      <c r="Q1318" s="4">
        <v>1.55</v>
      </c>
      <c r="R1318" s="4">
        <v>7.98</v>
      </c>
      <c r="S1318" s="4">
        <v>0</v>
      </c>
      <c r="T1318" s="4">
        <v>0</v>
      </c>
      <c r="U1318" s="4">
        <v>133.65</v>
      </c>
      <c r="V1318" s="4">
        <v>88.47</v>
      </c>
      <c r="W1318" t="s">
        <v>21</v>
      </c>
      <c r="X1318" t="s">
        <v>36</v>
      </c>
      <c r="Y1318" s="4">
        <v>0</v>
      </c>
      <c r="Z1318" s="4">
        <v>3</v>
      </c>
      <c r="AA1318" t="s">
        <v>37</v>
      </c>
      <c r="AB1318" t="s">
        <v>38</v>
      </c>
      <c r="AC1318" s="7">
        <v>0</v>
      </c>
      <c r="AD1318" t="s">
        <v>39</v>
      </c>
      <c r="AE1318">
        <f t="shared" si="20"/>
        <v>0</v>
      </c>
    </row>
    <row r="1319" spans="1:31" x14ac:dyDescent="0.35">
      <c r="A1319">
        <v>101318</v>
      </c>
      <c r="B1319" s="3">
        <v>45939</v>
      </c>
      <c r="C1319">
        <v>1076</v>
      </c>
      <c r="D1319" t="s">
        <v>59</v>
      </c>
      <c r="E1319" t="s">
        <v>73</v>
      </c>
      <c r="F1319" t="s">
        <v>71</v>
      </c>
      <c r="G1319" t="s">
        <v>46</v>
      </c>
      <c r="H1319" t="s">
        <v>51</v>
      </c>
      <c r="I1319" t="s">
        <v>69</v>
      </c>
      <c r="J1319" s="4">
        <v>31.29</v>
      </c>
      <c r="K1319" s="4">
        <v>15.66</v>
      </c>
      <c r="L1319">
        <v>20</v>
      </c>
      <c r="M1319" s="4">
        <v>98</v>
      </c>
      <c r="N1319" s="4">
        <v>392</v>
      </c>
      <c r="O1319" s="4">
        <v>234.77</v>
      </c>
      <c r="P1319" s="4">
        <v>7.7</v>
      </c>
      <c r="Q1319" s="4">
        <v>1.96</v>
      </c>
      <c r="R1319" s="4">
        <v>2.71</v>
      </c>
      <c r="S1319" s="4">
        <v>0</v>
      </c>
      <c r="T1319" s="4">
        <v>0</v>
      </c>
      <c r="U1319" s="4">
        <v>247.14</v>
      </c>
      <c r="V1319" s="4">
        <v>144.86000000000001</v>
      </c>
      <c r="W1319" t="s">
        <v>21</v>
      </c>
      <c r="X1319" t="s">
        <v>36</v>
      </c>
      <c r="Y1319" s="4">
        <v>1</v>
      </c>
      <c r="Z1319" s="4">
        <v>1</v>
      </c>
      <c r="AA1319" t="s">
        <v>37</v>
      </c>
      <c r="AB1319" t="s">
        <v>38</v>
      </c>
      <c r="AC1319" s="7">
        <v>2</v>
      </c>
      <c r="AD1319" t="s">
        <v>39</v>
      </c>
      <c r="AE1319">
        <f t="shared" si="20"/>
        <v>0</v>
      </c>
    </row>
    <row r="1320" spans="1:31" x14ac:dyDescent="0.35">
      <c r="A1320">
        <v>101319</v>
      </c>
      <c r="B1320" s="3">
        <v>45998</v>
      </c>
      <c r="C1320">
        <v>1127</v>
      </c>
      <c r="D1320" t="s">
        <v>64</v>
      </c>
      <c r="E1320" t="s">
        <v>67</v>
      </c>
      <c r="F1320" t="s">
        <v>61</v>
      </c>
      <c r="G1320" t="s">
        <v>50</v>
      </c>
      <c r="H1320" t="s">
        <v>51</v>
      </c>
      <c r="I1320" t="s">
        <v>35</v>
      </c>
      <c r="J1320" s="4">
        <v>26.22</v>
      </c>
      <c r="K1320" s="4">
        <v>18.670000000000002</v>
      </c>
      <c r="L1320">
        <v>15</v>
      </c>
      <c r="M1320" s="4">
        <v>73.430000000000007</v>
      </c>
      <c r="N1320" s="4">
        <v>416.1</v>
      </c>
      <c r="O1320" s="4">
        <v>196.73</v>
      </c>
      <c r="P1320" s="4">
        <v>13.08</v>
      </c>
      <c r="Q1320" s="4">
        <v>3.43</v>
      </c>
      <c r="R1320" s="4">
        <v>4.07</v>
      </c>
      <c r="S1320" s="4">
        <v>0</v>
      </c>
      <c r="T1320" s="4">
        <v>0</v>
      </c>
      <c r="U1320" s="4">
        <v>217.31</v>
      </c>
      <c r="V1320" s="4">
        <v>198.79</v>
      </c>
      <c r="W1320" t="s">
        <v>21</v>
      </c>
      <c r="X1320" t="s">
        <v>36</v>
      </c>
      <c r="Y1320" s="4">
        <v>18</v>
      </c>
      <c r="Z1320" s="4">
        <v>0</v>
      </c>
      <c r="AA1320" t="s">
        <v>52</v>
      </c>
      <c r="AB1320" t="s">
        <v>38</v>
      </c>
      <c r="AC1320" s="7">
        <v>0</v>
      </c>
      <c r="AD1320" t="s">
        <v>39</v>
      </c>
      <c r="AE1320">
        <f t="shared" si="20"/>
        <v>0</v>
      </c>
    </row>
    <row r="1321" spans="1:31" x14ac:dyDescent="0.35">
      <c r="A1321">
        <v>101320</v>
      </c>
      <c r="B1321" s="3">
        <v>46021</v>
      </c>
      <c r="C1321">
        <v>1100</v>
      </c>
      <c r="D1321" t="s">
        <v>30</v>
      </c>
      <c r="E1321" t="s">
        <v>40</v>
      </c>
      <c r="F1321" t="s">
        <v>32</v>
      </c>
      <c r="G1321" t="s">
        <v>46</v>
      </c>
      <c r="H1321" t="s">
        <v>57</v>
      </c>
      <c r="I1321" t="s">
        <v>69</v>
      </c>
      <c r="J1321" s="4">
        <v>14.77</v>
      </c>
      <c r="K1321" s="4">
        <v>16.12</v>
      </c>
      <c r="L1321">
        <v>5</v>
      </c>
      <c r="M1321" s="4">
        <v>11.9</v>
      </c>
      <c r="N1321" s="4">
        <v>226.19</v>
      </c>
      <c r="O1321" s="4">
        <v>117</v>
      </c>
      <c r="P1321" s="4">
        <v>5.25</v>
      </c>
      <c r="Q1321" s="4">
        <v>0.95</v>
      </c>
      <c r="R1321" s="4">
        <v>5.44</v>
      </c>
      <c r="S1321" s="4">
        <v>136.05000000000001</v>
      </c>
      <c r="T1321" s="4">
        <v>15.53</v>
      </c>
      <c r="U1321" s="4">
        <v>280.22000000000003</v>
      </c>
      <c r="V1321" s="4">
        <v>-54.03</v>
      </c>
      <c r="W1321" t="s">
        <v>58</v>
      </c>
      <c r="X1321" t="s">
        <v>55</v>
      </c>
      <c r="Y1321" s="4">
        <v>0</v>
      </c>
      <c r="Z1321" s="4">
        <v>1</v>
      </c>
      <c r="AA1321" t="s">
        <v>37</v>
      </c>
      <c r="AB1321" t="s">
        <v>44</v>
      </c>
      <c r="AC1321" s="7">
        <v>3</v>
      </c>
      <c r="AD1321" t="s">
        <v>45</v>
      </c>
      <c r="AE1321">
        <f t="shared" si="20"/>
        <v>1</v>
      </c>
    </row>
    <row r="1322" spans="1:31" x14ac:dyDescent="0.35">
      <c r="A1322">
        <v>101321</v>
      </c>
      <c r="B1322" s="3">
        <v>46009</v>
      </c>
      <c r="C1322">
        <v>1092</v>
      </c>
      <c r="D1322" t="s">
        <v>64</v>
      </c>
      <c r="E1322" t="s">
        <v>67</v>
      </c>
      <c r="F1322" t="s">
        <v>49</v>
      </c>
      <c r="G1322" t="s">
        <v>46</v>
      </c>
      <c r="H1322" t="s">
        <v>51</v>
      </c>
      <c r="I1322" t="s">
        <v>35</v>
      </c>
      <c r="J1322" s="4">
        <v>29.98</v>
      </c>
      <c r="K1322" s="4">
        <v>15.55</v>
      </c>
      <c r="L1322">
        <v>10</v>
      </c>
      <c r="M1322" s="4">
        <v>46.62</v>
      </c>
      <c r="N1322" s="4">
        <v>419.57</v>
      </c>
      <c r="O1322" s="4">
        <v>205.64</v>
      </c>
      <c r="P1322" s="4">
        <v>9.6199999999999992</v>
      </c>
      <c r="Q1322" s="4">
        <v>3.26</v>
      </c>
      <c r="R1322" s="4">
        <v>2.83</v>
      </c>
      <c r="S1322" s="4">
        <v>0</v>
      </c>
      <c r="T1322" s="4">
        <v>0</v>
      </c>
      <c r="U1322" s="4">
        <v>221.35</v>
      </c>
      <c r="V1322" s="4">
        <v>198.22</v>
      </c>
      <c r="W1322" t="s">
        <v>21</v>
      </c>
      <c r="X1322" t="s">
        <v>36</v>
      </c>
      <c r="Y1322" s="4">
        <v>10</v>
      </c>
      <c r="Z1322" s="4">
        <v>11</v>
      </c>
      <c r="AA1322" t="s">
        <v>37</v>
      </c>
      <c r="AB1322" t="s">
        <v>38</v>
      </c>
      <c r="AC1322" s="7">
        <v>0</v>
      </c>
      <c r="AD1322" t="s">
        <v>39</v>
      </c>
      <c r="AE1322">
        <f t="shared" si="20"/>
        <v>0</v>
      </c>
    </row>
    <row r="1323" spans="1:31" x14ac:dyDescent="0.35">
      <c r="A1323">
        <v>101322</v>
      </c>
      <c r="B1323" s="3">
        <v>45986</v>
      </c>
      <c r="C1323">
        <v>1039</v>
      </c>
      <c r="D1323" t="s">
        <v>30</v>
      </c>
      <c r="E1323" t="s">
        <v>31</v>
      </c>
      <c r="F1323" t="s">
        <v>32</v>
      </c>
      <c r="G1323" t="s">
        <v>46</v>
      </c>
      <c r="H1323" t="s">
        <v>57</v>
      </c>
      <c r="I1323" t="s">
        <v>35</v>
      </c>
      <c r="J1323" s="4">
        <v>20.69</v>
      </c>
      <c r="K1323" s="4">
        <v>14.99</v>
      </c>
      <c r="L1323">
        <v>0</v>
      </c>
      <c r="M1323" s="4">
        <v>0</v>
      </c>
      <c r="N1323" s="4">
        <v>310.14</v>
      </c>
      <c r="O1323" s="4">
        <v>160.44999999999999</v>
      </c>
      <c r="P1323" s="4">
        <v>11.95</v>
      </c>
      <c r="Q1323" s="4">
        <v>2.17</v>
      </c>
      <c r="R1323" s="4">
        <v>9.0399999999999991</v>
      </c>
      <c r="S1323" s="4">
        <v>0</v>
      </c>
      <c r="T1323" s="4">
        <v>0</v>
      </c>
      <c r="U1323" s="4">
        <v>183.61</v>
      </c>
      <c r="V1323" s="4">
        <v>126.53</v>
      </c>
      <c r="W1323" t="s">
        <v>21</v>
      </c>
      <c r="X1323" t="s">
        <v>36</v>
      </c>
      <c r="Y1323" s="4">
        <v>5</v>
      </c>
      <c r="Z1323" s="4">
        <v>6</v>
      </c>
      <c r="AA1323" t="s">
        <v>37</v>
      </c>
      <c r="AB1323" t="s">
        <v>38</v>
      </c>
      <c r="AC1323" s="7">
        <v>0</v>
      </c>
      <c r="AD1323" t="s">
        <v>39</v>
      </c>
      <c r="AE1323">
        <f t="shared" si="20"/>
        <v>0</v>
      </c>
    </row>
    <row r="1324" spans="1:31" x14ac:dyDescent="0.35">
      <c r="A1324">
        <v>101323</v>
      </c>
      <c r="B1324" s="3">
        <v>45940</v>
      </c>
      <c r="C1324">
        <v>1129</v>
      </c>
      <c r="D1324" t="s">
        <v>47</v>
      </c>
      <c r="E1324" t="s">
        <v>56</v>
      </c>
      <c r="F1324" t="s">
        <v>61</v>
      </c>
      <c r="G1324" t="s">
        <v>33</v>
      </c>
      <c r="H1324" t="s">
        <v>34</v>
      </c>
      <c r="I1324" t="s">
        <v>35</v>
      </c>
      <c r="J1324" s="4">
        <v>37.229999999999997</v>
      </c>
      <c r="K1324" s="4">
        <v>18.79</v>
      </c>
      <c r="L1324">
        <v>15</v>
      </c>
      <c r="M1324" s="4">
        <v>104.93</v>
      </c>
      <c r="N1324" s="4">
        <v>594.62</v>
      </c>
      <c r="O1324" s="4">
        <v>286.92</v>
      </c>
      <c r="P1324" s="4">
        <v>7.26</v>
      </c>
      <c r="Q1324" s="4">
        <v>4.9000000000000004</v>
      </c>
      <c r="R1324" s="4">
        <v>5.31</v>
      </c>
      <c r="S1324" s="4">
        <v>0</v>
      </c>
      <c r="T1324" s="4">
        <v>0</v>
      </c>
      <c r="U1324" s="4">
        <v>304.39</v>
      </c>
      <c r="V1324" s="4">
        <v>290.23</v>
      </c>
      <c r="W1324" t="s">
        <v>21</v>
      </c>
      <c r="X1324" t="s">
        <v>36</v>
      </c>
      <c r="Y1324" s="4">
        <v>0</v>
      </c>
      <c r="Z1324" s="4">
        <v>4</v>
      </c>
      <c r="AA1324" t="s">
        <v>37</v>
      </c>
      <c r="AB1324" t="s">
        <v>38</v>
      </c>
      <c r="AC1324" s="7">
        <v>0</v>
      </c>
      <c r="AD1324" t="s">
        <v>39</v>
      </c>
      <c r="AE1324">
        <f t="shared" si="20"/>
        <v>0</v>
      </c>
    </row>
    <row r="1325" spans="1:31" x14ac:dyDescent="0.35">
      <c r="A1325">
        <v>101324</v>
      </c>
      <c r="B1325" s="3">
        <v>46015</v>
      </c>
      <c r="C1325">
        <v>1091</v>
      </c>
      <c r="D1325" t="s">
        <v>47</v>
      </c>
      <c r="E1325" t="s">
        <v>74</v>
      </c>
      <c r="F1325" t="s">
        <v>71</v>
      </c>
      <c r="G1325" t="s">
        <v>46</v>
      </c>
      <c r="H1325" t="s">
        <v>34</v>
      </c>
      <c r="I1325" t="s">
        <v>42</v>
      </c>
      <c r="J1325" s="4">
        <v>27.72</v>
      </c>
      <c r="K1325" s="4">
        <v>15.96</v>
      </c>
      <c r="L1325">
        <v>0</v>
      </c>
      <c r="M1325" s="4">
        <v>0</v>
      </c>
      <c r="N1325" s="4">
        <v>442.41</v>
      </c>
      <c r="O1325" s="4">
        <v>213.26</v>
      </c>
      <c r="P1325" s="4">
        <v>8.68</v>
      </c>
      <c r="Q1325" s="4">
        <v>6.64</v>
      </c>
      <c r="R1325" s="4">
        <v>10.31</v>
      </c>
      <c r="S1325" s="4">
        <v>355.29</v>
      </c>
      <c r="T1325" s="4">
        <v>0</v>
      </c>
      <c r="U1325" s="4">
        <v>594.17999999999995</v>
      </c>
      <c r="V1325" s="4">
        <v>-151.77000000000001</v>
      </c>
      <c r="W1325" t="s">
        <v>58</v>
      </c>
      <c r="X1325" t="s">
        <v>66</v>
      </c>
      <c r="Y1325" s="4">
        <v>14</v>
      </c>
      <c r="Z1325" s="4">
        <v>19</v>
      </c>
      <c r="AA1325" t="s">
        <v>37</v>
      </c>
      <c r="AB1325" t="s">
        <v>44</v>
      </c>
      <c r="AC1325" s="7">
        <v>1</v>
      </c>
      <c r="AD1325" t="s">
        <v>45</v>
      </c>
      <c r="AE1325">
        <f t="shared" si="20"/>
        <v>1</v>
      </c>
    </row>
    <row r="1326" spans="1:31" x14ac:dyDescent="0.35">
      <c r="A1326">
        <v>101325</v>
      </c>
      <c r="B1326" s="3">
        <v>45978</v>
      </c>
      <c r="C1326">
        <v>1018</v>
      </c>
      <c r="D1326" t="s">
        <v>30</v>
      </c>
      <c r="E1326" t="s">
        <v>40</v>
      </c>
      <c r="F1326" t="s">
        <v>49</v>
      </c>
      <c r="G1326" t="s">
        <v>63</v>
      </c>
      <c r="H1326" t="s">
        <v>34</v>
      </c>
      <c r="I1326" t="s">
        <v>35</v>
      </c>
      <c r="J1326" s="4">
        <v>29.91</v>
      </c>
      <c r="K1326" s="4">
        <v>11.88</v>
      </c>
      <c r="L1326">
        <v>0</v>
      </c>
      <c r="M1326" s="4">
        <v>0</v>
      </c>
      <c r="N1326" s="4">
        <v>355.33</v>
      </c>
      <c r="O1326" s="4">
        <v>218.69</v>
      </c>
      <c r="P1326" s="4">
        <v>7.98</v>
      </c>
      <c r="Q1326" s="4">
        <v>2.4900000000000002</v>
      </c>
      <c r="R1326" s="4">
        <v>2.5</v>
      </c>
      <c r="S1326" s="4">
        <v>0</v>
      </c>
      <c r="T1326" s="4">
        <v>0</v>
      </c>
      <c r="U1326" s="4">
        <v>231.66</v>
      </c>
      <c r="V1326" s="4">
        <v>123.67</v>
      </c>
      <c r="W1326" t="s">
        <v>21</v>
      </c>
      <c r="X1326" t="s">
        <v>36</v>
      </c>
      <c r="Y1326" s="4">
        <v>15</v>
      </c>
      <c r="Z1326" s="4">
        <v>33</v>
      </c>
      <c r="AA1326" t="s">
        <v>37</v>
      </c>
      <c r="AB1326" t="s">
        <v>44</v>
      </c>
      <c r="AC1326" s="7">
        <v>4</v>
      </c>
      <c r="AD1326" t="s">
        <v>45</v>
      </c>
      <c r="AE1326">
        <f t="shared" si="20"/>
        <v>1</v>
      </c>
    </row>
    <row r="1327" spans="1:31" x14ac:dyDescent="0.35">
      <c r="A1327">
        <v>101326</v>
      </c>
      <c r="B1327" s="3">
        <v>45945</v>
      </c>
      <c r="C1327">
        <v>1014</v>
      </c>
      <c r="D1327" t="s">
        <v>47</v>
      </c>
      <c r="E1327" t="s">
        <v>53</v>
      </c>
      <c r="F1327" t="s">
        <v>32</v>
      </c>
      <c r="G1327" t="s">
        <v>46</v>
      </c>
      <c r="H1327" t="s">
        <v>51</v>
      </c>
      <c r="I1327" t="s">
        <v>54</v>
      </c>
      <c r="J1327" s="4">
        <v>48.87</v>
      </c>
      <c r="K1327" s="4">
        <v>17.02</v>
      </c>
      <c r="L1327">
        <v>5</v>
      </c>
      <c r="M1327" s="4">
        <v>41.59</v>
      </c>
      <c r="N1327" s="4">
        <v>790.18</v>
      </c>
      <c r="O1327" s="4">
        <v>475.99</v>
      </c>
      <c r="P1327" s="4">
        <v>11.96</v>
      </c>
      <c r="Q1327" s="4">
        <v>9.98</v>
      </c>
      <c r="R1327" s="4">
        <v>6.81</v>
      </c>
      <c r="S1327" s="4">
        <v>0</v>
      </c>
      <c r="T1327" s="4">
        <v>0</v>
      </c>
      <c r="U1327" s="4">
        <v>504.74</v>
      </c>
      <c r="V1327" s="4">
        <v>285.44</v>
      </c>
      <c r="W1327" t="s">
        <v>21</v>
      </c>
      <c r="X1327" t="s">
        <v>36</v>
      </c>
      <c r="Y1327" s="4">
        <v>0</v>
      </c>
      <c r="Z1327" s="4">
        <v>0</v>
      </c>
      <c r="AA1327" t="s">
        <v>37</v>
      </c>
      <c r="AB1327" t="s">
        <v>38</v>
      </c>
      <c r="AC1327" s="7">
        <v>0</v>
      </c>
      <c r="AD1327" t="s">
        <v>39</v>
      </c>
      <c r="AE1327">
        <f t="shared" si="20"/>
        <v>0</v>
      </c>
    </row>
    <row r="1328" spans="1:31" x14ac:dyDescent="0.35">
      <c r="A1328">
        <v>101327</v>
      </c>
      <c r="B1328" s="3">
        <v>45931</v>
      </c>
      <c r="C1328">
        <v>1128</v>
      </c>
      <c r="D1328" t="s">
        <v>59</v>
      </c>
      <c r="E1328" t="s">
        <v>60</v>
      </c>
      <c r="F1328" t="s">
        <v>32</v>
      </c>
      <c r="G1328" t="s">
        <v>50</v>
      </c>
      <c r="H1328" t="s">
        <v>34</v>
      </c>
      <c r="I1328" t="s">
        <v>54</v>
      </c>
      <c r="J1328" s="4">
        <v>35.89</v>
      </c>
      <c r="K1328" s="4">
        <v>19.149999999999999</v>
      </c>
      <c r="L1328">
        <v>0</v>
      </c>
      <c r="M1328" s="4">
        <v>0</v>
      </c>
      <c r="N1328" s="4">
        <v>687.29</v>
      </c>
      <c r="O1328" s="4">
        <v>251.32</v>
      </c>
      <c r="P1328" s="4">
        <v>4.95</v>
      </c>
      <c r="Q1328" s="4">
        <v>8.25</v>
      </c>
      <c r="R1328" s="4">
        <v>0.12</v>
      </c>
      <c r="S1328" s="4">
        <v>0</v>
      </c>
      <c r="T1328" s="4">
        <v>0</v>
      </c>
      <c r="U1328" s="4">
        <v>264.64</v>
      </c>
      <c r="V1328" s="4">
        <v>422.65</v>
      </c>
      <c r="W1328" t="s">
        <v>21</v>
      </c>
      <c r="X1328" t="s">
        <v>36</v>
      </c>
      <c r="Y1328" s="4">
        <v>3</v>
      </c>
      <c r="Z1328" s="4">
        <v>12</v>
      </c>
      <c r="AA1328" t="s">
        <v>37</v>
      </c>
      <c r="AB1328" t="s">
        <v>38</v>
      </c>
      <c r="AC1328" s="7">
        <v>0</v>
      </c>
      <c r="AD1328" t="s">
        <v>39</v>
      </c>
      <c r="AE1328">
        <f t="shared" si="20"/>
        <v>0</v>
      </c>
    </row>
    <row r="1329" spans="1:31" x14ac:dyDescent="0.35">
      <c r="A1329">
        <v>101328</v>
      </c>
      <c r="B1329" s="3">
        <v>46001</v>
      </c>
      <c r="C1329">
        <v>1125</v>
      </c>
      <c r="D1329" t="s">
        <v>64</v>
      </c>
      <c r="E1329" t="s">
        <v>67</v>
      </c>
      <c r="F1329" t="s">
        <v>49</v>
      </c>
      <c r="G1329" t="s">
        <v>63</v>
      </c>
      <c r="H1329" t="s">
        <v>57</v>
      </c>
      <c r="I1329" t="s">
        <v>42</v>
      </c>
      <c r="J1329" s="4">
        <v>4.6900000000000004</v>
      </c>
      <c r="K1329" s="4">
        <v>12.66</v>
      </c>
      <c r="L1329">
        <v>5</v>
      </c>
      <c r="M1329" s="4">
        <v>2.97</v>
      </c>
      <c r="N1329" s="4">
        <v>56.41</v>
      </c>
      <c r="O1329" s="4">
        <v>31.67</v>
      </c>
      <c r="P1329" s="4">
        <v>5.55</v>
      </c>
      <c r="Q1329" s="4">
        <v>0.89</v>
      </c>
      <c r="R1329" s="4">
        <v>0</v>
      </c>
      <c r="S1329" s="4">
        <v>0</v>
      </c>
      <c r="T1329" s="4">
        <v>0</v>
      </c>
      <c r="U1329" s="4">
        <v>38.11</v>
      </c>
      <c r="V1329" s="4">
        <v>18.3</v>
      </c>
      <c r="W1329" t="s">
        <v>21</v>
      </c>
      <c r="X1329" t="s">
        <v>36</v>
      </c>
      <c r="Y1329" s="4">
        <v>3</v>
      </c>
      <c r="Z1329" s="4">
        <v>7</v>
      </c>
      <c r="AA1329" t="s">
        <v>37</v>
      </c>
      <c r="AB1329" t="s">
        <v>38</v>
      </c>
      <c r="AC1329" s="7">
        <v>0</v>
      </c>
      <c r="AD1329" t="s">
        <v>39</v>
      </c>
      <c r="AE1329">
        <f t="shared" si="20"/>
        <v>0</v>
      </c>
    </row>
    <row r="1330" spans="1:31" x14ac:dyDescent="0.35">
      <c r="A1330">
        <v>101329</v>
      </c>
      <c r="B1330" s="3">
        <v>45937</v>
      </c>
      <c r="C1330">
        <v>1056</v>
      </c>
      <c r="D1330" t="s">
        <v>64</v>
      </c>
      <c r="E1330" t="s">
        <v>67</v>
      </c>
      <c r="F1330" t="s">
        <v>71</v>
      </c>
      <c r="G1330" t="s">
        <v>46</v>
      </c>
      <c r="H1330" t="s">
        <v>57</v>
      </c>
      <c r="I1330" t="s">
        <v>69</v>
      </c>
      <c r="J1330" s="4">
        <v>29.93</v>
      </c>
      <c r="K1330" s="4">
        <v>14.41</v>
      </c>
      <c r="L1330">
        <v>0</v>
      </c>
      <c r="M1330" s="4">
        <v>0</v>
      </c>
      <c r="N1330" s="4">
        <v>431.29</v>
      </c>
      <c r="O1330" s="4">
        <v>196.31</v>
      </c>
      <c r="P1330" s="4">
        <v>7.7</v>
      </c>
      <c r="Q1330" s="4">
        <v>1.73</v>
      </c>
      <c r="R1330" s="4">
        <v>8.74</v>
      </c>
      <c r="S1330" s="4">
        <v>422.45</v>
      </c>
      <c r="T1330" s="4">
        <v>12.8</v>
      </c>
      <c r="U1330" s="4">
        <v>649.73</v>
      </c>
      <c r="V1330" s="4">
        <v>-218.44</v>
      </c>
      <c r="W1330" t="s">
        <v>58</v>
      </c>
      <c r="X1330" t="s">
        <v>66</v>
      </c>
      <c r="Y1330" s="4">
        <v>46</v>
      </c>
      <c r="Z1330" s="4">
        <v>1</v>
      </c>
      <c r="AA1330" t="s">
        <v>43</v>
      </c>
      <c r="AB1330" t="s">
        <v>44</v>
      </c>
      <c r="AC1330" s="7">
        <v>1</v>
      </c>
      <c r="AD1330" t="s">
        <v>45</v>
      </c>
      <c r="AE1330">
        <f t="shared" si="20"/>
        <v>1</v>
      </c>
    </row>
    <row r="1331" spans="1:31" x14ac:dyDescent="0.35">
      <c r="A1331">
        <v>101330</v>
      </c>
      <c r="B1331" s="3">
        <v>45961</v>
      </c>
      <c r="C1331">
        <v>1030</v>
      </c>
      <c r="D1331" t="s">
        <v>64</v>
      </c>
      <c r="E1331" t="s">
        <v>76</v>
      </c>
      <c r="F1331" t="s">
        <v>61</v>
      </c>
      <c r="G1331" t="s">
        <v>63</v>
      </c>
      <c r="H1331" t="s">
        <v>34</v>
      </c>
      <c r="I1331" t="s">
        <v>69</v>
      </c>
      <c r="J1331" s="4">
        <v>27.95</v>
      </c>
      <c r="K1331" s="4">
        <v>15.38</v>
      </c>
      <c r="L1331">
        <v>5</v>
      </c>
      <c r="M1331" s="4">
        <v>21.49</v>
      </c>
      <c r="N1331" s="4">
        <v>408.38</v>
      </c>
      <c r="O1331" s="4">
        <v>172.51</v>
      </c>
      <c r="P1331" s="4">
        <v>8.07</v>
      </c>
      <c r="Q1331" s="4">
        <v>1.72</v>
      </c>
      <c r="R1331" s="4">
        <v>2.29</v>
      </c>
      <c r="S1331" s="4">
        <v>0</v>
      </c>
      <c r="T1331" s="4">
        <v>0</v>
      </c>
      <c r="U1331" s="4">
        <v>184.59</v>
      </c>
      <c r="V1331" s="4">
        <v>223.79</v>
      </c>
      <c r="W1331" t="s">
        <v>21</v>
      </c>
      <c r="X1331" t="s">
        <v>36</v>
      </c>
      <c r="Y1331" s="4">
        <v>0</v>
      </c>
      <c r="Z1331" s="4">
        <v>9</v>
      </c>
      <c r="AA1331" t="s">
        <v>37</v>
      </c>
      <c r="AB1331" t="s">
        <v>38</v>
      </c>
      <c r="AC1331" s="7">
        <v>0</v>
      </c>
      <c r="AD1331" t="s">
        <v>39</v>
      </c>
      <c r="AE1331">
        <f t="shared" si="20"/>
        <v>0</v>
      </c>
    </row>
    <row r="1332" spans="1:31" x14ac:dyDescent="0.35">
      <c r="A1332">
        <v>101331</v>
      </c>
      <c r="B1332" s="3">
        <v>45970</v>
      </c>
      <c r="C1332">
        <v>1119</v>
      </c>
      <c r="D1332" t="s">
        <v>47</v>
      </c>
      <c r="E1332" t="s">
        <v>56</v>
      </c>
      <c r="F1332" t="s">
        <v>49</v>
      </c>
      <c r="G1332" t="s">
        <v>63</v>
      </c>
      <c r="H1332" t="s">
        <v>34</v>
      </c>
      <c r="I1332" t="s">
        <v>35</v>
      </c>
      <c r="J1332" s="4">
        <v>25.95</v>
      </c>
      <c r="K1332" s="4">
        <v>12.66</v>
      </c>
      <c r="L1332">
        <v>0</v>
      </c>
      <c r="M1332" s="4">
        <v>0</v>
      </c>
      <c r="N1332" s="4">
        <v>328.53</v>
      </c>
      <c r="O1332" s="4">
        <v>178.02</v>
      </c>
      <c r="P1332" s="4">
        <v>7.32</v>
      </c>
      <c r="Q1332" s="4">
        <v>2.2999999999999998</v>
      </c>
      <c r="R1332" s="4">
        <v>7.36</v>
      </c>
      <c r="S1332" s="4">
        <v>0</v>
      </c>
      <c r="T1332" s="4">
        <v>0</v>
      </c>
      <c r="U1332" s="4">
        <v>195</v>
      </c>
      <c r="V1332" s="4">
        <v>133.53</v>
      </c>
      <c r="W1332" t="s">
        <v>21</v>
      </c>
      <c r="X1332" t="s">
        <v>36</v>
      </c>
      <c r="Y1332" s="4">
        <v>0</v>
      </c>
      <c r="Z1332" s="4">
        <v>14</v>
      </c>
      <c r="AA1332" t="s">
        <v>37</v>
      </c>
      <c r="AB1332" t="s">
        <v>38</v>
      </c>
      <c r="AC1332" s="7">
        <v>0</v>
      </c>
      <c r="AD1332" t="s">
        <v>39</v>
      </c>
      <c r="AE1332">
        <f t="shared" si="20"/>
        <v>0</v>
      </c>
    </row>
    <row r="1333" spans="1:31" x14ac:dyDescent="0.35">
      <c r="A1333">
        <v>101332</v>
      </c>
      <c r="B1333" s="3">
        <v>45986</v>
      </c>
      <c r="C1333">
        <v>1138</v>
      </c>
      <c r="D1333" t="s">
        <v>59</v>
      </c>
      <c r="E1333" t="s">
        <v>70</v>
      </c>
      <c r="F1333" t="s">
        <v>41</v>
      </c>
      <c r="G1333" t="s">
        <v>50</v>
      </c>
      <c r="H1333" t="s">
        <v>34</v>
      </c>
      <c r="I1333" t="s">
        <v>35</v>
      </c>
      <c r="J1333" s="4">
        <v>36.03</v>
      </c>
      <c r="K1333" s="4">
        <v>16.45</v>
      </c>
      <c r="L1333">
        <v>15</v>
      </c>
      <c r="M1333" s="4">
        <v>88.9</v>
      </c>
      <c r="N1333" s="4">
        <v>503.79</v>
      </c>
      <c r="O1333" s="4">
        <v>275.26</v>
      </c>
      <c r="P1333" s="4">
        <v>10.46</v>
      </c>
      <c r="Q1333" s="4">
        <v>4.1500000000000004</v>
      </c>
      <c r="R1333" s="4">
        <v>7.16</v>
      </c>
      <c r="S1333" s="4">
        <v>239.29</v>
      </c>
      <c r="T1333" s="4">
        <v>0</v>
      </c>
      <c r="U1333" s="4">
        <v>536.32000000000005</v>
      </c>
      <c r="V1333" s="4">
        <v>-32.53</v>
      </c>
      <c r="W1333" t="s">
        <v>58</v>
      </c>
      <c r="X1333" t="s">
        <v>55</v>
      </c>
      <c r="Y1333" s="4">
        <v>7</v>
      </c>
      <c r="Z1333" s="4">
        <v>0</v>
      </c>
      <c r="AA1333" t="s">
        <v>37</v>
      </c>
      <c r="AB1333" t="s">
        <v>44</v>
      </c>
      <c r="AC1333" s="7">
        <v>1</v>
      </c>
      <c r="AD1333" t="s">
        <v>45</v>
      </c>
      <c r="AE1333">
        <f t="shared" si="20"/>
        <v>1</v>
      </c>
    </row>
    <row r="1334" spans="1:31" x14ac:dyDescent="0.35">
      <c r="A1334">
        <v>101333</v>
      </c>
      <c r="B1334" s="3">
        <v>46014</v>
      </c>
      <c r="C1334">
        <v>1054</v>
      </c>
      <c r="D1334" t="s">
        <v>30</v>
      </c>
      <c r="E1334" t="s">
        <v>62</v>
      </c>
      <c r="F1334" t="s">
        <v>71</v>
      </c>
      <c r="G1334" t="s">
        <v>63</v>
      </c>
      <c r="H1334" t="s">
        <v>51</v>
      </c>
      <c r="I1334" t="s">
        <v>42</v>
      </c>
      <c r="J1334" s="4">
        <v>16.940000000000001</v>
      </c>
      <c r="K1334" s="4">
        <v>12.59</v>
      </c>
      <c r="L1334">
        <v>0</v>
      </c>
      <c r="M1334" s="4">
        <v>0</v>
      </c>
      <c r="N1334" s="4">
        <v>213.27</v>
      </c>
      <c r="O1334" s="4">
        <v>124.6</v>
      </c>
      <c r="P1334" s="4">
        <v>6.2</v>
      </c>
      <c r="Q1334" s="4">
        <v>3.2</v>
      </c>
      <c r="R1334" s="4">
        <v>4.08</v>
      </c>
      <c r="S1334" s="4">
        <v>0</v>
      </c>
      <c r="T1334" s="4">
        <v>0</v>
      </c>
      <c r="U1334" s="4">
        <v>138.08000000000001</v>
      </c>
      <c r="V1334" s="4">
        <v>75.19</v>
      </c>
      <c r="W1334" t="s">
        <v>21</v>
      </c>
      <c r="X1334" t="s">
        <v>36</v>
      </c>
      <c r="Y1334" s="4">
        <v>2</v>
      </c>
      <c r="Z1334" s="4">
        <v>1</v>
      </c>
      <c r="AA1334" t="s">
        <v>37</v>
      </c>
      <c r="AB1334" t="s">
        <v>38</v>
      </c>
      <c r="AC1334" s="7">
        <v>0</v>
      </c>
      <c r="AD1334" t="s">
        <v>39</v>
      </c>
      <c r="AE1334">
        <f t="shared" si="20"/>
        <v>0</v>
      </c>
    </row>
    <row r="1335" spans="1:31" x14ac:dyDescent="0.35">
      <c r="A1335">
        <v>101334</v>
      </c>
      <c r="B1335" s="3">
        <v>45966</v>
      </c>
      <c r="C1335">
        <v>1098</v>
      </c>
      <c r="D1335" t="s">
        <v>47</v>
      </c>
      <c r="E1335" t="s">
        <v>56</v>
      </c>
      <c r="F1335" t="s">
        <v>49</v>
      </c>
      <c r="G1335" t="s">
        <v>46</v>
      </c>
      <c r="H1335" t="s">
        <v>34</v>
      </c>
      <c r="I1335" t="s">
        <v>35</v>
      </c>
      <c r="J1335" s="4">
        <v>32.18</v>
      </c>
      <c r="K1335" s="4">
        <v>15.48</v>
      </c>
      <c r="L1335">
        <v>10</v>
      </c>
      <c r="M1335" s="4">
        <v>49.82</v>
      </c>
      <c r="N1335" s="4">
        <v>448.33</v>
      </c>
      <c r="O1335" s="4">
        <v>201.93</v>
      </c>
      <c r="P1335" s="4">
        <v>7.57</v>
      </c>
      <c r="Q1335" s="4">
        <v>3.49</v>
      </c>
      <c r="R1335" s="4">
        <v>2.86</v>
      </c>
      <c r="S1335" s="4">
        <v>0</v>
      </c>
      <c r="T1335" s="4">
        <v>0</v>
      </c>
      <c r="U1335" s="4">
        <v>215.85</v>
      </c>
      <c r="V1335" s="4">
        <v>232.48</v>
      </c>
      <c r="W1335" t="s">
        <v>21</v>
      </c>
      <c r="X1335" t="s">
        <v>36</v>
      </c>
      <c r="Y1335" s="4">
        <v>8</v>
      </c>
      <c r="Z1335" s="4">
        <v>40</v>
      </c>
      <c r="AA1335" t="s">
        <v>37</v>
      </c>
      <c r="AB1335" t="s">
        <v>44</v>
      </c>
      <c r="AC1335" s="7">
        <v>1</v>
      </c>
      <c r="AD1335" t="s">
        <v>45</v>
      </c>
      <c r="AE1335">
        <f t="shared" si="20"/>
        <v>1</v>
      </c>
    </row>
    <row r="1336" spans="1:31" x14ac:dyDescent="0.35">
      <c r="A1336">
        <v>101335</v>
      </c>
      <c r="B1336" s="3">
        <v>45958</v>
      </c>
      <c r="C1336">
        <v>1013</v>
      </c>
      <c r="D1336" t="s">
        <v>30</v>
      </c>
      <c r="E1336" t="s">
        <v>72</v>
      </c>
      <c r="F1336" t="s">
        <v>71</v>
      </c>
      <c r="G1336" t="s">
        <v>46</v>
      </c>
      <c r="H1336" t="s">
        <v>57</v>
      </c>
      <c r="I1336" t="s">
        <v>35</v>
      </c>
      <c r="J1336" s="4">
        <v>14.06</v>
      </c>
      <c r="K1336" s="4">
        <v>14.59</v>
      </c>
      <c r="L1336">
        <v>0</v>
      </c>
      <c r="M1336" s="4">
        <v>0</v>
      </c>
      <c r="N1336" s="4">
        <v>205.14</v>
      </c>
      <c r="O1336" s="4">
        <v>106.92</v>
      </c>
      <c r="P1336" s="4">
        <v>8.49</v>
      </c>
      <c r="Q1336" s="4">
        <v>1.44</v>
      </c>
      <c r="R1336" s="4">
        <v>6.43</v>
      </c>
      <c r="S1336" s="4">
        <v>0</v>
      </c>
      <c r="T1336" s="4">
        <v>0</v>
      </c>
      <c r="U1336" s="4">
        <v>123.28</v>
      </c>
      <c r="V1336" s="4">
        <v>81.86</v>
      </c>
      <c r="W1336" t="s">
        <v>21</v>
      </c>
      <c r="X1336" t="s">
        <v>36</v>
      </c>
      <c r="Y1336" s="4">
        <v>3</v>
      </c>
      <c r="Z1336" s="4">
        <v>5</v>
      </c>
      <c r="AA1336" t="s">
        <v>37</v>
      </c>
      <c r="AB1336" t="s">
        <v>38</v>
      </c>
      <c r="AC1336" s="7">
        <v>0</v>
      </c>
      <c r="AD1336" t="s">
        <v>39</v>
      </c>
      <c r="AE1336">
        <f t="shared" si="20"/>
        <v>0</v>
      </c>
    </row>
    <row r="1337" spans="1:31" x14ac:dyDescent="0.35">
      <c r="A1337">
        <v>101336</v>
      </c>
      <c r="B1337" s="3">
        <v>46011</v>
      </c>
      <c r="C1337">
        <v>1052</v>
      </c>
      <c r="D1337" t="s">
        <v>64</v>
      </c>
      <c r="E1337" t="s">
        <v>65</v>
      </c>
      <c r="F1337" t="s">
        <v>41</v>
      </c>
      <c r="G1337" t="s">
        <v>63</v>
      </c>
      <c r="H1337" t="s">
        <v>34</v>
      </c>
      <c r="I1337" t="s">
        <v>35</v>
      </c>
      <c r="J1337" s="4">
        <v>5.1100000000000003</v>
      </c>
      <c r="K1337" s="4">
        <v>12.03</v>
      </c>
      <c r="L1337">
        <v>0</v>
      </c>
      <c r="M1337" s="4">
        <v>0</v>
      </c>
      <c r="N1337" s="4">
        <v>61.47</v>
      </c>
      <c r="O1337" s="4">
        <v>37.950000000000003</v>
      </c>
      <c r="P1337" s="4">
        <v>6.78</v>
      </c>
      <c r="Q1337" s="4">
        <v>0.43</v>
      </c>
      <c r="R1337" s="4">
        <v>11.52</v>
      </c>
      <c r="S1337" s="4">
        <v>0</v>
      </c>
      <c r="T1337" s="4">
        <v>0</v>
      </c>
      <c r="U1337" s="4">
        <v>56.68</v>
      </c>
      <c r="V1337" s="4">
        <v>4.79</v>
      </c>
      <c r="W1337" t="s">
        <v>21</v>
      </c>
      <c r="X1337" t="s">
        <v>36</v>
      </c>
      <c r="Y1337" s="4">
        <v>3</v>
      </c>
      <c r="Z1337" s="4">
        <v>2</v>
      </c>
      <c r="AA1337" t="s">
        <v>37</v>
      </c>
      <c r="AB1337" t="s">
        <v>38</v>
      </c>
      <c r="AC1337" s="7">
        <v>0</v>
      </c>
      <c r="AD1337" t="s">
        <v>39</v>
      </c>
      <c r="AE1337">
        <f t="shared" si="20"/>
        <v>0</v>
      </c>
    </row>
    <row r="1338" spans="1:31" x14ac:dyDescent="0.35">
      <c r="A1338">
        <v>101337</v>
      </c>
      <c r="B1338" s="3">
        <v>45977</v>
      </c>
      <c r="C1338">
        <v>1010</v>
      </c>
      <c r="D1338" t="s">
        <v>47</v>
      </c>
      <c r="E1338" t="s">
        <v>56</v>
      </c>
      <c r="F1338" t="s">
        <v>32</v>
      </c>
      <c r="G1338" t="s">
        <v>46</v>
      </c>
      <c r="H1338" t="s">
        <v>34</v>
      </c>
      <c r="I1338" t="s">
        <v>35</v>
      </c>
      <c r="J1338" s="4">
        <v>34.64</v>
      </c>
      <c r="K1338" s="4">
        <v>14.5</v>
      </c>
      <c r="L1338">
        <v>5</v>
      </c>
      <c r="M1338" s="4">
        <v>25.11</v>
      </c>
      <c r="N1338" s="4">
        <v>477.17</v>
      </c>
      <c r="O1338" s="4">
        <v>288.61</v>
      </c>
      <c r="P1338" s="4">
        <v>4.3600000000000003</v>
      </c>
      <c r="Q1338" s="4">
        <v>3.52</v>
      </c>
      <c r="R1338" s="4">
        <v>5.55</v>
      </c>
      <c r="S1338" s="4">
        <v>432.97</v>
      </c>
      <c r="T1338" s="4">
        <v>0</v>
      </c>
      <c r="U1338" s="4">
        <v>735.01</v>
      </c>
      <c r="V1338" s="4">
        <v>-257.83999999999997</v>
      </c>
      <c r="W1338" t="s">
        <v>58</v>
      </c>
      <c r="X1338" t="s">
        <v>66</v>
      </c>
      <c r="Y1338" s="4">
        <v>29</v>
      </c>
      <c r="Z1338" s="4">
        <v>6</v>
      </c>
      <c r="AA1338" t="s">
        <v>52</v>
      </c>
      <c r="AB1338" t="s">
        <v>44</v>
      </c>
      <c r="AC1338" s="7">
        <v>3</v>
      </c>
      <c r="AD1338" t="s">
        <v>45</v>
      </c>
      <c r="AE1338">
        <f t="shared" si="20"/>
        <v>1</v>
      </c>
    </row>
    <row r="1339" spans="1:31" x14ac:dyDescent="0.35">
      <c r="A1339">
        <v>101338</v>
      </c>
      <c r="B1339" s="3">
        <v>45986</v>
      </c>
      <c r="C1339">
        <v>1004</v>
      </c>
      <c r="D1339" t="s">
        <v>59</v>
      </c>
      <c r="E1339" t="s">
        <v>70</v>
      </c>
      <c r="F1339" t="s">
        <v>61</v>
      </c>
      <c r="G1339" t="s">
        <v>50</v>
      </c>
      <c r="H1339" t="s">
        <v>34</v>
      </c>
      <c r="I1339" t="s">
        <v>42</v>
      </c>
      <c r="J1339" s="4">
        <v>31.82</v>
      </c>
      <c r="K1339" s="4">
        <v>17.059999999999999</v>
      </c>
      <c r="L1339">
        <v>15</v>
      </c>
      <c r="M1339" s="4">
        <v>81.430000000000007</v>
      </c>
      <c r="N1339" s="4">
        <v>461.42</v>
      </c>
      <c r="O1339" s="4">
        <v>191.21</v>
      </c>
      <c r="P1339" s="4">
        <v>11.33</v>
      </c>
      <c r="Q1339" s="4">
        <v>8.14</v>
      </c>
      <c r="R1339" s="4">
        <v>8.41</v>
      </c>
      <c r="S1339" s="4">
        <v>0</v>
      </c>
      <c r="T1339" s="4">
        <v>0</v>
      </c>
      <c r="U1339" s="4">
        <v>219.09</v>
      </c>
      <c r="V1339" s="4">
        <v>242.33</v>
      </c>
      <c r="W1339" t="s">
        <v>21</v>
      </c>
      <c r="X1339" t="s">
        <v>36</v>
      </c>
      <c r="Y1339" s="4">
        <v>10</v>
      </c>
      <c r="Z1339" s="4">
        <v>5</v>
      </c>
      <c r="AA1339" t="s">
        <v>37</v>
      </c>
      <c r="AB1339" t="s">
        <v>38</v>
      </c>
      <c r="AC1339" s="7">
        <v>0</v>
      </c>
      <c r="AD1339" t="s">
        <v>39</v>
      </c>
      <c r="AE1339">
        <f t="shared" si="20"/>
        <v>0</v>
      </c>
    </row>
    <row r="1340" spans="1:31" x14ac:dyDescent="0.35">
      <c r="A1340">
        <v>101339</v>
      </c>
      <c r="B1340" s="3">
        <v>45961</v>
      </c>
      <c r="C1340">
        <v>1018</v>
      </c>
      <c r="D1340" t="s">
        <v>30</v>
      </c>
      <c r="E1340" t="s">
        <v>40</v>
      </c>
      <c r="F1340" t="s">
        <v>71</v>
      </c>
      <c r="G1340" t="s">
        <v>50</v>
      </c>
      <c r="H1340" t="s">
        <v>34</v>
      </c>
      <c r="I1340" t="s">
        <v>69</v>
      </c>
      <c r="J1340" s="4">
        <v>29.69</v>
      </c>
      <c r="K1340" s="4">
        <v>17.77</v>
      </c>
      <c r="L1340">
        <v>20</v>
      </c>
      <c r="M1340" s="4">
        <v>105.52</v>
      </c>
      <c r="N1340" s="4">
        <v>422.07</v>
      </c>
      <c r="O1340" s="4">
        <v>191.31</v>
      </c>
      <c r="P1340" s="4">
        <v>11.88</v>
      </c>
      <c r="Q1340" s="4">
        <v>2.11</v>
      </c>
      <c r="R1340" s="4">
        <v>3.49</v>
      </c>
      <c r="S1340" s="4">
        <v>0</v>
      </c>
      <c r="T1340" s="4">
        <v>0</v>
      </c>
      <c r="U1340" s="4">
        <v>208.79</v>
      </c>
      <c r="V1340" s="4">
        <v>213.28</v>
      </c>
      <c r="W1340" t="s">
        <v>21</v>
      </c>
      <c r="X1340" t="s">
        <v>36</v>
      </c>
      <c r="Y1340" s="4">
        <v>0</v>
      </c>
      <c r="Z1340" s="4">
        <v>46</v>
      </c>
      <c r="AA1340" t="s">
        <v>37</v>
      </c>
      <c r="AB1340" t="s">
        <v>44</v>
      </c>
      <c r="AC1340" s="7">
        <v>1</v>
      </c>
      <c r="AD1340" t="s">
        <v>45</v>
      </c>
      <c r="AE1340">
        <f t="shared" si="20"/>
        <v>1</v>
      </c>
    </row>
    <row r="1341" spans="1:31" x14ac:dyDescent="0.35">
      <c r="A1341">
        <v>101340</v>
      </c>
      <c r="B1341" s="3">
        <v>45952</v>
      </c>
      <c r="C1341">
        <v>1103</v>
      </c>
      <c r="D1341" t="s">
        <v>59</v>
      </c>
      <c r="E1341" t="s">
        <v>60</v>
      </c>
      <c r="F1341" t="s">
        <v>41</v>
      </c>
      <c r="G1341" t="s">
        <v>63</v>
      </c>
      <c r="H1341" t="s">
        <v>34</v>
      </c>
      <c r="I1341" t="s">
        <v>35</v>
      </c>
      <c r="J1341" s="4">
        <v>11.95</v>
      </c>
      <c r="K1341" s="4">
        <v>12.23</v>
      </c>
      <c r="L1341">
        <v>5</v>
      </c>
      <c r="M1341" s="4">
        <v>7.31</v>
      </c>
      <c r="N1341" s="4">
        <v>138.84</v>
      </c>
      <c r="O1341" s="4">
        <v>92.09</v>
      </c>
      <c r="P1341" s="4">
        <v>4.51</v>
      </c>
      <c r="Q1341" s="4">
        <v>1.02</v>
      </c>
      <c r="R1341" s="4">
        <v>14.26</v>
      </c>
      <c r="S1341" s="4">
        <v>0</v>
      </c>
      <c r="T1341" s="4">
        <v>0</v>
      </c>
      <c r="U1341" s="4">
        <v>111.88</v>
      </c>
      <c r="V1341" s="4">
        <v>26.96</v>
      </c>
      <c r="W1341" t="s">
        <v>21</v>
      </c>
      <c r="X1341" t="s">
        <v>36</v>
      </c>
      <c r="Y1341" s="4">
        <v>32</v>
      </c>
      <c r="Z1341" s="4">
        <v>22</v>
      </c>
      <c r="AA1341" t="s">
        <v>43</v>
      </c>
      <c r="AB1341" t="s">
        <v>44</v>
      </c>
      <c r="AC1341" s="7">
        <v>2</v>
      </c>
      <c r="AD1341" t="s">
        <v>45</v>
      </c>
      <c r="AE1341">
        <f t="shared" si="20"/>
        <v>1</v>
      </c>
    </row>
    <row r="1342" spans="1:31" x14ac:dyDescent="0.35">
      <c r="A1342">
        <v>101341</v>
      </c>
      <c r="B1342" s="3">
        <v>45961</v>
      </c>
      <c r="C1342">
        <v>1092</v>
      </c>
      <c r="D1342" t="s">
        <v>30</v>
      </c>
      <c r="E1342" t="s">
        <v>31</v>
      </c>
      <c r="F1342" t="s">
        <v>61</v>
      </c>
      <c r="G1342" t="s">
        <v>33</v>
      </c>
      <c r="H1342" t="s">
        <v>57</v>
      </c>
      <c r="I1342" t="s">
        <v>35</v>
      </c>
      <c r="J1342" s="4">
        <v>25.6</v>
      </c>
      <c r="K1342" s="4">
        <v>18.82</v>
      </c>
      <c r="L1342">
        <v>0</v>
      </c>
      <c r="M1342" s="4">
        <v>0</v>
      </c>
      <c r="N1342" s="4">
        <v>481.79</v>
      </c>
      <c r="O1342" s="4">
        <v>151.78</v>
      </c>
      <c r="P1342" s="4">
        <v>6.37</v>
      </c>
      <c r="Q1342" s="4">
        <v>3.37</v>
      </c>
      <c r="R1342" s="4">
        <v>4.99</v>
      </c>
      <c r="S1342" s="4">
        <v>0</v>
      </c>
      <c r="T1342" s="4">
        <v>0</v>
      </c>
      <c r="U1342" s="4">
        <v>166.51</v>
      </c>
      <c r="V1342" s="4">
        <v>315.27999999999997</v>
      </c>
      <c r="W1342" t="s">
        <v>21</v>
      </c>
      <c r="X1342" t="s">
        <v>36</v>
      </c>
      <c r="Y1342" s="4">
        <v>2</v>
      </c>
      <c r="Z1342" s="4">
        <v>39</v>
      </c>
      <c r="AA1342" t="s">
        <v>37</v>
      </c>
      <c r="AB1342" t="s">
        <v>44</v>
      </c>
      <c r="AC1342" s="7">
        <v>1</v>
      </c>
      <c r="AD1342" t="s">
        <v>45</v>
      </c>
      <c r="AE1342">
        <f t="shared" si="20"/>
        <v>1</v>
      </c>
    </row>
    <row r="1343" spans="1:31" x14ac:dyDescent="0.35">
      <c r="A1343">
        <v>101342</v>
      </c>
      <c r="B1343" s="3">
        <v>46008</v>
      </c>
      <c r="C1343">
        <v>1115</v>
      </c>
      <c r="D1343" t="s">
        <v>59</v>
      </c>
      <c r="E1343" t="s">
        <v>60</v>
      </c>
      <c r="F1343" t="s">
        <v>49</v>
      </c>
      <c r="G1343" t="s">
        <v>46</v>
      </c>
      <c r="H1343" t="s">
        <v>34</v>
      </c>
      <c r="I1343" t="s">
        <v>35</v>
      </c>
      <c r="J1343" s="4">
        <v>26.5</v>
      </c>
      <c r="K1343" s="4">
        <v>14.88</v>
      </c>
      <c r="L1343">
        <v>0</v>
      </c>
      <c r="M1343" s="4">
        <v>0</v>
      </c>
      <c r="N1343" s="4">
        <v>394.32</v>
      </c>
      <c r="O1343" s="4">
        <v>174.93</v>
      </c>
      <c r="P1343" s="4">
        <v>10.8</v>
      </c>
      <c r="Q1343" s="4">
        <v>2.76</v>
      </c>
      <c r="R1343" s="4">
        <v>9.26</v>
      </c>
      <c r="S1343" s="4">
        <v>0</v>
      </c>
      <c r="T1343" s="4">
        <v>0</v>
      </c>
      <c r="U1343" s="4">
        <v>197.75</v>
      </c>
      <c r="V1343" s="4">
        <v>196.57</v>
      </c>
      <c r="W1343" t="s">
        <v>21</v>
      </c>
      <c r="X1343" t="s">
        <v>36</v>
      </c>
      <c r="Y1343" s="4">
        <v>8</v>
      </c>
      <c r="Z1343" s="4">
        <v>10</v>
      </c>
      <c r="AA1343" t="s">
        <v>37</v>
      </c>
      <c r="AB1343" t="s">
        <v>38</v>
      </c>
      <c r="AC1343" s="7">
        <v>0</v>
      </c>
      <c r="AD1343" t="s">
        <v>39</v>
      </c>
      <c r="AE1343">
        <f t="shared" si="20"/>
        <v>0</v>
      </c>
    </row>
    <row r="1344" spans="1:31" x14ac:dyDescent="0.35">
      <c r="A1344">
        <v>101343</v>
      </c>
      <c r="B1344" s="3">
        <v>46000</v>
      </c>
      <c r="C1344">
        <v>1019</v>
      </c>
      <c r="D1344" t="s">
        <v>47</v>
      </c>
      <c r="E1344" t="s">
        <v>74</v>
      </c>
      <c r="F1344" t="s">
        <v>32</v>
      </c>
      <c r="G1344" t="s">
        <v>50</v>
      </c>
      <c r="H1344" t="s">
        <v>34</v>
      </c>
      <c r="I1344" t="s">
        <v>69</v>
      </c>
      <c r="J1344" s="4">
        <v>28.37</v>
      </c>
      <c r="K1344" s="4">
        <v>18.28</v>
      </c>
      <c r="L1344">
        <v>0</v>
      </c>
      <c r="M1344" s="4">
        <v>0</v>
      </c>
      <c r="N1344" s="4">
        <v>518.6</v>
      </c>
      <c r="O1344" s="4">
        <v>202.93</v>
      </c>
      <c r="P1344" s="4">
        <v>4.99</v>
      </c>
      <c r="Q1344" s="4">
        <v>2.0699999999999998</v>
      </c>
      <c r="R1344" s="4">
        <v>8.5500000000000007</v>
      </c>
      <c r="S1344" s="4">
        <v>0</v>
      </c>
      <c r="T1344" s="4">
        <v>0</v>
      </c>
      <c r="U1344" s="4">
        <v>218.54</v>
      </c>
      <c r="V1344" s="4">
        <v>300.06</v>
      </c>
      <c r="W1344" t="s">
        <v>21</v>
      </c>
      <c r="X1344" t="s">
        <v>36</v>
      </c>
      <c r="Y1344" s="4">
        <v>0</v>
      </c>
      <c r="Z1344" s="4">
        <v>14</v>
      </c>
      <c r="AA1344" t="s">
        <v>37</v>
      </c>
      <c r="AB1344" t="s">
        <v>38</v>
      </c>
      <c r="AC1344" s="7">
        <v>0</v>
      </c>
      <c r="AD1344" t="s">
        <v>39</v>
      </c>
      <c r="AE1344">
        <f t="shared" si="20"/>
        <v>0</v>
      </c>
    </row>
    <row r="1345" spans="1:31" x14ac:dyDescent="0.35">
      <c r="A1345">
        <v>101344</v>
      </c>
      <c r="B1345" s="3">
        <v>45981</v>
      </c>
      <c r="C1345">
        <v>1123</v>
      </c>
      <c r="D1345" t="s">
        <v>47</v>
      </c>
      <c r="E1345" t="s">
        <v>56</v>
      </c>
      <c r="F1345" t="s">
        <v>41</v>
      </c>
      <c r="G1345" t="s">
        <v>63</v>
      </c>
      <c r="H1345" t="s">
        <v>34</v>
      </c>
      <c r="I1345" t="s">
        <v>54</v>
      </c>
      <c r="J1345" s="4">
        <v>7.11</v>
      </c>
      <c r="K1345" s="4">
        <v>13.2</v>
      </c>
      <c r="L1345">
        <v>10</v>
      </c>
      <c r="M1345" s="4">
        <v>9.3800000000000008</v>
      </c>
      <c r="N1345" s="4">
        <v>84.47</v>
      </c>
      <c r="O1345" s="4">
        <v>46.23</v>
      </c>
      <c r="P1345" s="4">
        <v>4.88</v>
      </c>
      <c r="Q1345" s="4">
        <v>1.1299999999999999</v>
      </c>
      <c r="R1345" s="4">
        <v>12.97</v>
      </c>
      <c r="S1345" s="4">
        <v>0</v>
      </c>
      <c r="T1345" s="4">
        <v>0</v>
      </c>
      <c r="U1345" s="4">
        <v>65.209999999999994</v>
      </c>
      <c r="V1345" s="4">
        <v>19.260000000000002</v>
      </c>
      <c r="W1345" t="s">
        <v>21</v>
      </c>
      <c r="X1345" t="s">
        <v>36</v>
      </c>
      <c r="Y1345" s="4">
        <v>16</v>
      </c>
      <c r="Z1345" s="4">
        <v>2</v>
      </c>
      <c r="AA1345" t="s">
        <v>52</v>
      </c>
      <c r="AB1345" t="s">
        <v>38</v>
      </c>
      <c r="AC1345" s="7">
        <v>0</v>
      </c>
      <c r="AD1345" t="s">
        <v>39</v>
      </c>
      <c r="AE1345">
        <f t="shared" si="20"/>
        <v>0</v>
      </c>
    </row>
    <row r="1346" spans="1:31" x14ac:dyDescent="0.35">
      <c r="A1346">
        <v>101345</v>
      </c>
      <c r="B1346" s="3">
        <v>45966</v>
      </c>
      <c r="C1346">
        <v>1001</v>
      </c>
      <c r="D1346" t="s">
        <v>30</v>
      </c>
      <c r="E1346" t="s">
        <v>31</v>
      </c>
      <c r="F1346" t="s">
        <v>71</v>
      </c>
      <c r="G1346" t="s">
        <v>46</v>
      </c>
      <c r="H1346" t="s">
        <v>34</v>
      </c>
      <c r="I1346" t="s">
        <v>35</v>
      </c>
      <c r="J1346" s="4">
        <v>20.309999999999999</v>
      </c>
      <c r="K1346" s="4">
        <v>15.12</v>
      </c>
      <c r="L1346">
        <v>0</v>
      </c>
      <c r="M1346" s="4">
        <v>0</v>
      </c>
      <c r="N1346" s="4">
        <v>307.08999999999997</v>
      </c>
      <c r="O1346" s="4">
        <v>160.43</v>
      </c>
      <c r="P1346" s="4">
        <v>9.0500000000000007</v>
      </c>
      <c r="Q1346" s="4">
        <v>2.15</v>
      </c>
      <c r="R1346" s="4">
        <v>0</v>
      </c>
      <c r="S1346" s="4">
        <v>0</v>
      </c>
      <c r="T1346" s="4">
        <v>0</v>
      </c>
      <c r="U1346" s="4">
        <v>171.63</v>
      </c>
      <c r="V1346" s="4">
        <v>135.46</v>
      </c>
      <c r="W1346" t="s">
        <v>21</v>
      </c>
      <c r="X1346" t="s">
        <v>36</v>
      </c>
      <c r="Y1346" s="4">
        <v>0</v>
      </c>
      <c r="Z1346" s="4">
        <v>1</v>
      </c>
      <c r="AA1346" t="s">
        <v>37</v>
      </c>
      <c r="AB1346" t="s">
        <v>38</v>
      </c>
      <c r="AC1346" s="7">
        <v>0</v>
      </c>
      <c r="AD1346" t="s">
        <v>39</v>
      </c>
      <c r="AE1346">
        <f t="shared" si="20"/>
        <v>0</v>
      </c>
    </row>
    <row r="1347" spans="1:31" x14ac:dyDescent="0.35">
      <c r="A1347">
        <v>101346</v>
      </c>
      <c r="B1347" s="3">
        <v>45937</v>
      </c>
      <c r="C1347">
        <v>1130</v>
      </c>
      <c r="D1347" t="s">
        <v>64</v>
      </c>
      <c r="E1347" t="s">
        <v>76</v>
      </c>
      <c r="F1347" t="s">
        <v>41</v>
      </c>
      <c r="G1347" t="s">
        <v>50</v>
      </c>
      <c r="H1347" t="s">
        <v>51</v>
      </c>
      <c r="I1347" t="s">
        <v>35</v>
      </c>
      <c r="J1347" s="4">
        <v>39.200000000000003</v>
      </c>
      <c r="K1347" s="4">
        <v>16.97</v>
      </c>
      <c r="L1347">
        <v>10</v>
      </c>
      <c r="M1347" s="4">
        <v>66.52</v>
      </c>
      <c r="N1347" s="4">
        <v>598.70000000000005</v>
      </c>
      <c r="O1347" s="4">
        <v>257.62</v>
      </c>
      <c r="P1347" s="4">
        <v>5.74</v>
      </c>
      <c r="Q1347" s="4">
        <v>4.66</v>
      </c>
      <c r="R1347" s="4">
        <v>8.16</v>
      </c>
      <c r="S1347" s="4">
        <v>626.96</v>
      </c>
      <c r="T1347" s="4">
        <v>5.19</v>
      </c>
      <c r="U1347" s="4">
        <v>908.33</v>
      </c>
      <c r="V1347" s="4">
        <v>-309.63</v>
      </c>
      <c r="W1347" t="s">
        <v>58</v>
      </c>
      <c r="X1347" t="s">
        <v>55</v>
      </c>
      <c r="Y1347" s="4">
        <v>9</v>
      </c>
      <c r="Z1347" s="4">
        <v>4</v>
      </c>
      <c r="AA1347" t="s">
        <v>37</v>
      </c>
      <c r="AB1347" t="s">
        <v>44</v>
      </c>
      <c r="AC1347" s="7">
        <v>3</v>
      </c>
      <c r="AD1347" t="s">
        <v>45</v>
      </c>
      <c r="AE1347">
        <f t="shared" ref="AE1347:AE1410" si="21">IF(AB1347="Yes",1,0)</f>
        <v>1</v>
      </c>
    </row>
    <row r="1348" spans="1:31" x14ac:dyDescent="0.35">
      <c r="A1348">
        <v>101347</v>
      </c>
      <c r="B1348" s="3">
        <v>45950</v>
      </c>
      <c r="C1348">
        <v>1027</v>
      </c>
      <c r="D1348" t="s">
        <v>59</v>
      </c>
      <c r="E1348" t="s">
        <v>70</v>
      </c>
      <c r="F1348" t="s">
        <v>32</v>
      </c>
      <c r="G1348" t="s">
        <v>33</v>
      </c>
      <c r="H1348" t="s">
        <v>34</v>
      </c>
      <c r="I1348" t="s">
        <v>35</v>
      </c>
      <c r="J1348" s="4">
        <v>19.36</v>
      </c>
      <c r="K1348" s="4">
        <v>18.66</v>
      </c>
      <c r="L1348">
        <v>0</v>
      </c>
      <c r="M1348" s="4">
        <v>0</v>
      </c>
      <c r="N1348" s="4">
        <v>361.26</v>
      </c>
      <c r="O1348" s="4">
        <v>123.02</v>
      </c>
      <c r="P1348" s="4">
        <v>9.4600000000000009</v>
      </c>
      <c r="Q1348" s="4">
        <v>2.5299999999999998</v>
      </c>
      <c r="R1348" s="4">
        <v>8.14</v>
      </c>
      <c r="S1348" s="4">
        <v>0</v>
      </c>
      <c r="T1348" s="4">
        <v>0</v>
      </c>
      <c r="U1348" s="4">
        <v>143.15</v>
      </c>
      <c r="V1348" s="4">
        <v>218.11</v>
      </c>
      <c r="W1348" t="s">
        <v>21</v>
      </c>
      <c r="X1348" t="s">
        <v>36</v>
      </c>
      <c r="Y1348" s="4">
        <v>20</v>
      </c>
      <c r="Z1348" s="4">
        <v>7</v>
      </c>
      <c r="AA1348" t="s">
        <v>52</v>
      </c>
      <c r="AB1348" t="s">
        <v>38</v>
      </c>
      <c r="AC1348" s="7">
        <v>0</v>
      </c>
      <c r="AD1348" t="s">
        <v>39</v>
      </c>
      <c r="AE1348">
        <f t="shared" si="21"/>
        <v>0</v>
      </c>
    </row>
    <row r="1349" spans="1:31" x14ac:dyDescent="0.35">
      <c r="A1349">
        <v>101348</v>
      </c>
      <c r="B1349" s="3">
        <v>45946</v>
      </c>
      <c r="C1349">
        <v>1030</v>
      </c>
      <c r="D1349" t="s">
        <v>59</v>
      </c>
      <c r="E1349" t="s">
        <v>73</v>
      </c>
      <c r="F1349" t="s">
        <v>41</v>
      </c>
      <c r="G1349" t="s">
        <v>46</v>
      </c>
      <c r="H1349" t="s">
        <v>57</v>
      </c>
      <c r="I1349" t="s">
        <v>42</v>
      </c>
      <c r="J1349" s="4">
        <v>5.83</v>
      </c>
      <c r="K1349" s="4">
        <v>15.89</v>
      </c>
      <c r="L1349">
        <v>0</v>
      </c>
      <c r="M1349" s="4">
        <v>0</v>
      </c>
      <c r="N1349" s="4">
        <v>92.64</v>
      </c>
      <c r="O1349" s="4">
        <v>41.22</v>
      </c>
      <c r="P1349" s="4">
        <v>6.39</v>
      </c>
      <c r="Q1349" s="4">
        <v>1.39</v>
      </c>
      <c r="R1349" s="4">
        <v>5.58</v>
      </c>
      <c r="S1349" s="4">
        <v>0</v>
      </c>
      <c r="T1349" s="4">
        <v>0</v>
      </c>
      <c r="U1349" s="4">
        <v>54.58</v>
      </c>
      <c r="V1349" s="4">
        <v>38.06</v>
      </c>
      <c r="W1349" t="s">
        <v>21</v>
      </c>
      <c r="X1349" t="s">
        <v>36</v>
      </c>
      <c r="Y1349" s="4">
        <v>10</v>
      </c>
      <c r="Z1349" s="4">
        <v>14</v>
      </c>
      <c r="AA1349" t="s">
        <v>37</v>
      </c>
      <c r="AB1349" t="s">
        <v>38</v>
      </c>
      <c r="AC1349" s="7">
        <v>0</v>
      </c>
      <c r="AD1349" t="s">
        <v>39</v>
      </c>
      <c r="AE1349">
        <f t="shared" si="21"/>
        <v>0</v>
      </c>
    </row>
    <row r="1350" spans="1:31" x14ac:dyDescent="0.35">
      <c r="A1350">
        <v>101349</v>
      </c>
      <c r="B1350" s="3">
        <v>45931</v>
      </c>
      <c r="C1350">
        <v>1125</v>
      </c>
      <c r="D1350" t="s">
        <v>59</v>
      </c>
      <c r="E1350" t="s">
        <v>60</v>
      </c>
      <c r="F1350" t="s">
        <v>61</v>
      </c>
      <c r="G1350" t="s">
        <v>63</v>
      </c>
      <c r="H1350" t="s">
        <v>57</v>
      </c>
      <c r="I1350" t="s">
        <v>54</v>
      </c>
      <c r="J1350" s="4">
        <v>21.07</v>
      </c>
      <c r="K1350" s="4">
        <v>12.58</v>
      </c>
      <c r="L1350">
        <v>15</v>
      </c>
      <c r="M1350" s="4">
        <v>39.76</v>
      </c>
      <c r="N1350" s="4">
        <v>225.3</v>
      </c>
      <c r="O1350" s="4">
        <v>154.58000000000001</v>
      </c>
      <c r="P1350" s="4">
        <v>8.2799999999999994</v>
      </c>
      <c r="Q1350" s="4">
        <v>3.18</v>
      </c>
      <c r="R1350" s="4">
        <v>12.2</v>
      </c>
      <c r="S1350" s="4">
        <v>248.36</v>
      </c>
      <c r="T1350" s="4">
        <v>15.29</v>
      </c>
      <c r="U1350" s="4">
        <v>441.89</v>
      </c>
      <c r="V1350" s="4">
        <v>-216.59</v>
      </c>
      <c r="W1350" t="s">
        <v>58</v>
      </c>
      <c r="X1350" t="s">
        <v>55</v>
      </c>
      <c r="Y1350" s="4">
        <v>3</v>
      </c>
      <c r="Z1350" s="4">
        <v>4</v>
      </c>
      <c r="AA1350" t="s">
        <v>37</v>
      </c>
      <c r="AB1350" t="s">
        <v>44</v>
      </c>
      <c r="AC1350" s="7">
        <v>1</v>
      </c>
      <c r="AD1350" t="s">
        <v>45</v>
      </c>
      <c r="AE1350">
        <f t="shared" si="21"/>
        <v>1</v>
      </c>
    </row>
    <row r="1351" spans="1:31" x14ac:dyDescent="0.35">
      <c r="A1351">
        <v>101350</v>
      </c>
      <c r="B1351" s="3">
        <v>45967</v>
      </c>
      <c r="C1351">
        <v>1043</v>
      </c>
      <c r="D1351" t="s">
        <v>64</v>
      </c>
      <c r="E1351" t="s">
        <v>76</v>
      </c>
      <c r="F1351" t="s">
        <v>49</v>
      </c>
      <c r="G1351" t="s">
        <v>63</v>
      </c>
      <c r="H1351" t="s">
        <v>34</v>
      </c>
      <c r="I1351" t="s">
        <v>54</v>
      </c>
      <c r="J1351" s="4">
        <v>20.89</v>
      </c>
      <c r="K1351" s="4">
        <v>12.93</v>
      </c>
      <c r="L1351">
        <v>0</v>
      </c>
      <c r="M1351" s="4">
        <v>0</v>
      </c>
      <c r="N1351" s="4">
        <v>270.11</v>
      </c>
      <c r="O1351" s="4">
        <v>141.08000000000001</v>
      </c>
      <c r="P1351" s="4">
        <v>12.59</v>
      </c>
      <c r="Q1351" s="4">
        <v>3.24</v>
      </c>
      <c r="R1351" s="4">
        <v>6.15</v>
      </c>
      <c r="S1351" s="4">
        <v>203.24</v>
      </c>
      <c r="T1351" s="4">
        <v>0</v>
      </c>
      <c r="U1351" s="4">
        <v>366.3</v>
      </c>
      <c r="V1351" s="4">
        <v>-96.19</v>
      </c>
      <c r="W1351" t="s">
        <v>58</v>
      </c>
      <c r="X1351" t="s">
        <v>55</v>
      </c>
      <c r="Y1351" s="4">
        <v>12</v>
      </c>
      <c r="Z1351" s="4">
        <v>7</v>
      </c>
      <c r="AA1351" t="s">
        <v>37</v>
      </c>
      <c r="AB1351" t="s">
        <v>44</v>
      </c>
      <c r="AC1351" s="7">
        <v>1</v>
      </c>
      <c r="AD1351" t="s">
        <v>45</v>
      </c>
      <c r="AE1351">
        <f t="shared" si="21"/>
        <v>1</v>
      </c>
    </row>
    <row r="1352" spans="1:31" x14ac:dyDescent="0.35">
      <c r="A1352">
        <v>101351</v>
      </c>
      <c r="B1352" s="3">
        <v>45949</v>
      </c>
      <c r="C1352">
        <v>1014</v>
      </c>
      <c r="D1352" t="s">
        <v>30</v>
      </c>
      <c r="E1352" t="s">
        <v>72</v>
      </c>
      <c r="F1352" t="s">
        <v>71</v>
      </c>
      <c r="G1352" t="s">
        <v>63</v>
      </c>
      <c r="H1352" t="s">
        <v>34</v>
      </c>
      <c r="I1352" t="s">
        <v>69</v>
      </c>
      <c r="J1352" s="4">
        <v>22.33</v>
      </c>
      <c r="K1352" s="4">
        <v>11.33</v>
      </c>
      <c r="L1352">
        <v>15</v>
      </c>
      <c r="M1352" s="4">
        <v>37.950000000000003</v>
      </c>
      <c r="N1352" s="4">
        <v>215.05</v>
      </c>
      <c r="O1352" s="4">
        <v>124.08</v>
      </c>
      <c r="P1352" s="4">
        <v>8.83</v>
      </c>
      <c r="Q1352" s="4">
        <v>1.01</v>
      </c>
      <c r="R1352" s="4">
        <v>7.73</v>
      </c>
      <c r="S1352" s="4">
        <v>133.11000000000001</v>
      </c>
      <c r="T1352" s="4">
        <v>0</v>
      </c>
      <c r="U1352" s="4">
        <v>274.76</v>
      </c>
      <c r="V1352" s="4">
        <v>-59.71</v>
      </c>
      <c r="W1352" t="s">
        <v>58</v>
      </c>
      <c r="X1352" t="s">
        <v>55</v>
      </c>
      <c r="Y1352" s="4">
        <v>2</v>
      </c>
      <c r="Z1352" s="4">
        <v>6</v>
      </c>
      <c r="AA1352" t="s">
        <v>37</v>
      </c>
      <c r="AB1352" t="s">
        <v>44</v>
      </c>
      <c r="AC1352" s="7">
        <v>2</v>
      </c>
      <c r="AD1352" t="s">
        <v>45</v>
      </c>
      <c r="AE1352">
        <f t="shared" si="21"/>
        <v>1</v>
      </c>
    </row>
    <row r="1353" spans="1:31" x14ac:dyDescent="0.35">
      <c r="A1353">
        <v>101352</v>
      </c>
      <c r="B1353" s="3">
        <v>46011</v>
      </c>
      <c r="C1353">
        <v>1113</v>
      </c>
      <c r="D1353" t="s">
        <v>59</v>
      </c>
      <c r="E1353" t="s">
        <v>60</v>
      </c>
      <c r="F1353" t="s">
        <v>61</v>
      </c>
      <c r="G1353" t="s">
        <v>46</v>
      </c>
      <c r="H1353" t="s">
        <v>34</v>
      </c>
      <c r="I1353" t="s">
        <v>54</v>
      </c>
      <c r="J1353" s="4">
        <v>32.53</v>
      </c>
      <c r="K1353" s="4">
        <v>15.77</v>
      </c>
      <c r="L1353">
        <v>0</v>
      </c>
      <c r="M1353" s="4">
        <v>0</v>
      </c>
      <c r="N1353" s="4">
        <v>513</v>
      </c>
      <c r="O1353" s="4">
        <v>215.36</v>
      </c>
      <c r="P1353" s="4">
        <v>7.47</v>
      </c>
      <c r="Q1353" s="4">
        <v>6.16</v>
      </c>
      <c r="R1353" s="4">
        <v>0.91</v>
      </c>
      <c r="S1353" s="4">
        <v>0</v>
      </c>
      <c r="T1353" s="4">
        <v>0</v>
      </c>
      <c r="U1353" s="4">
        <v>229.9</v>
      </c>
      <c r="V1353" s="4">
        <v>283.10000000000002</v>
      </c>
      <c r="W1353" t="s">
        <v>21</v>
      </c>
      <c r="X1353" t="s">
        <v>36</v>
      </c>
      <c r="Y1353" s="4">
        <v>1</v>
      </c>
      <c r="Z1353" s="4">
        <v>10</v>
      </c>
      <c r="AA1353" t="s">
        <v>37</v>
      </c>
      <c r="AB1353" t="s">
        <v>38</v>
      </c>
      <c r="AC1353" s="7">
        <v>0</v>
      </c>
      <c r="AD1353" t="s">
        <v>39</v>
      </c>
      <c r="AE1353">
        <f t="shared" si="21"/>
        <v>0</v>
      </c>
    </row>
    <row r="1354" spans="1:31" x14ac:dyDescent="0.35">
      <c r="A1354">
        <v>101353</v>
      </c>
      <c r="B1354" s="3">
        <v>46007</v>
      </c>
      <c r="C1354">
        <v>1107</v>
      </c>
      <c r="D1354" t="s">
        <v>64</v>
      </c>
      <c r="E1354" t="s">
        <v>76</v>
      </c>
      <c r="F1354" t="s">
        <v>41</v>
      </c>
      <c r="G1354" t="s">
        <v>46</v>
      </c>
      <c r="H1354" t="s">
        <v>34</v>
      </c>
      <c r="I1354" t="s">
        <v>35</v>
      </c>
      <c r="J1354" s="4">
        <v>32.54</v>
      </c>
      <c r="K1354" s="4">
        <v>15.03</v>
      </c>
      <c r="L1354">
        <v>0</v>
      </c>
      <c r="M1354" s="4">
        <v>0</v>
      </c>
      <c r="N1354" s="4">
        <v>489.08</v>
      </c>
      <c r="O1354" s="4">
        <v>229.06</v>
      </c>
      <c r="P1354" s="4">
        <v>9.9700000000000006</v>
      </c>
      <c r="Q1354" s="4">
        <v>3.42</v>
      </c>
      <c r="R1354" s="4">
        <v>6.18</v>
      </c>
      <c r="S1354" s="4">
        <v>0</v>
      </c>
      <c r="T1354" s="4">
        <v>0</v>
      </c>
      <c r="U1354" s="4">
        <v>248.63</v>
      </c>
      <c r="V1354" s="4">
        <v>240.45</v>
      </c>
      <c r="W1354" t="s">
        <v>21</v>
      </c>
      <c r="X1354" t="s">
        <v>36</v>
      </c>
      <c r="Y1354" s="4">
        <v>0</v>
      </c>
      <c r="Z1354" s="4">
        <v>0</v>
      </c>
      <c r="AA1354" t="s">
        <v>37</v>
      </c>
      <c r="AB1354" t="s">
        <v>38</v>
      </c>
      <c r="AC1354" s="7">
        <v>0</v>
      </c>
      <c r="AD1354" t="s">
        <v>39</v>
      </c>
      <c r="AE1354">
        <f t="shared" si="21"/>
        <v>0</v>
      </c>
    </row>
    <row r="1355" spans="1:31" x14ac:dyDescent="0.35">
      <c r="A1355">
        <v>101354</v>
      </c>
      <c r="B1355" s="3">
        <v>45991</v>
      </c>
      <c r="C1355">
        <v>1071</v>
      </c>
      <c r="D1355" t="s">
        <v>47</v>
      </c>
      <c r="E1355" t="s">
        <v>56</v>
      </c>
      <c r="F1355" t="s">
        <v>71</v>
      </c>
      <c r="G1355" t="s">
        <v>46</v>
      </c>
      <c r="H1355" t="s">
        <v>57</v>
      </c>
      <c r="I1355" t="s">
        <v>35</v>
      </c>
      <c r="J1355" s="4">
        <v>27.02</v>
      </c>
      <c r="K1355" s="4">
        <v>16.89</v>
      </c>
      <c r="L1355">
        <v>0</v>
      </c>
      <c r="M1355" s="4">
        <v>0</v>
      </c>
      <c r="N1355" s="4">
        <v>456.37</v>
      </c>
      <c r="O1355" s="4">
        <v>207.4</v>
      </c>
      <c r="P1355" s="4">
        <v>5.23</v>
      </c>
      <c r="Q1355" s="4">
        <v>3.19</v>
      </c>
      <c r="R1355" s="4">
        <v>8.1</v>
      </c>
      <c r="S1355" s="4">
        <v>0</v>
      </c>
      <c r="T1355" s="4">
        <v>0</v>
      </c>
      <c r="U1355" s="4">
        <v>223.92</v>
      </c>
      <c r="V1355" s="4">
        <v>232.45</v>
      </c>
      <c r="W1355" t="s">
        <v>21</v>
      </c>
      <c r="X1355" t="s">
        <v>36</v>
      </c>
      <c r="Y1355" s="4">
        <v>7</v>
      </c>
      <c r="Z1355" s="4">
        <v>10</v>
      </c>
      <c r="AA1355" t="s">
        <v>37</v>
      </c>
      <c r="AB1355" t="s">
        <v>38</v>
      </c>
      <c r="AC1355" s="7">
        <v>0</v>
      </c>
      <c r="AD1355" t="s">
        <v>39</v>
      </c>
      <c r="AE1355">
        <f t="shared" si="21"/>
        <v>0</v>
      </c>
    </row>
    <row r="1356" spans="1:31" x14ac:dyDescent="0.35">
      <c r="A1356">
        <v>101355</v>
      </c>
      <c r="B1356" s="3">
        <v>45963</v>
      </c>
      <c r="C1356">
        <v>1016</v>
      </c>
      <c r="D1356" t="s">
        <v>64</v>
      </c>
      <c r="E1356" t="s">
        <v>65</v>
      </c>
      <c r="F1356" t="s">
        <v>32</v>
      </c>
      <c r="G1356" t="s">
        <v>46</v>
      </c>
      <c r="H1356" t="s">
        <v>51</v>
      </c>
      <c r="I1356" t="s">
        <v>35</v>
      </c>
      <c r="J1356" s="4">
        <v>37.630000000000003</v>
      </c>
      <c r="K1356" s="4">
        <v>15.52</v>
      </c>
      <c r="L1356">
        <v>0</v>
      </c>
      <c r="M1356" s="4">
        <v>0</v>
      </c>
      <c r="N1356" s="4">
        <v>584.02</v>
      </c>
      <c r="O1356" s="4">
        <v>239.24</v>
      </c>
      <c r="P1356" s="4">
        <v>5.03</v>
      </c>
      <c r="Q1356" s="4">
        <v>4.09</v>
      </c>
      <c r="R1356" s="4">
        <v>6.21</v>
      </c>
      <c r="S1356" s="4">
        <v>416.93</v>
      </c>
      <c r="T1356" s="4">
        <v>14.53</v>
      </c>
      <c r="U1356" s="4">
        <v>686.03</v>
      </c>
      <c r="V1356" s="4">
        <v>-102.01</v>
      </c>
      <c r="W1356" t="s">
        <v>58</v>
      </c>
      <c r="X1356" t="s">
        <v>66</v>
      </c>
      <c r="Y1356" s="4">
        <v>5</v>
      </c>
      <c r="Z1356" s="4">
        <v>17</v>
      </c>
      <c r="AA1356" t="s">
        <v>37</v>
      </c>
      <c r="AB1356" t="s">
        <v>44</v>
      </c>
      <c r="AC1356" s="7">
        <v>1</v>
      </c>
      <c r="AD1356" t="s">
        <v>45</v>
      </c>
      <c r="AE1356">
        <f t="shared" si="21"/>
        <v>1</v>
      </c>
    </row>
    <row r="1357" spans="1:31" x14ac:dyDescent="0.35">
      <c r="A1357">
        <v>101356</v>
      </c>
      <c r="B1357" s="3">
        <v>45959</v>
      </c>
      <c r="C1357">
        <v>1034</v>
      </c>
      <c r="D1357" t="s">
        <v>47</v>
      </c>
      <c r="E1357" t="s">
        <v>56</v>
      </c>
      <c r="F1357" t="s">
        <v>61</v>
      </c>
      <c r="G1357" t="s">
        <v>46</v>
      </c>
      <c r="H1357" t="s">
        <v>34</v>
      </c>
      <c r="I1357" t="s">
        <v>42</v>
      </c>
      <c r="J1357" s="4">
        <v>5.77</v>
      </c>
      <c r="K1357" s="4">
        <v>15.11</v>
      </c>
      <c r="L1357">
        <v>0</v>
      </c>
      <c r="M1357" s="4">
        <v>0</v>
      </c>
      <c r="N1357" s="4">
        <v>87.18</v>
      </c>
      <c r="O1357" s="4">
        <v>43.59</v>
      </c>
      <c r="P1357" s="4">
        <v>3.78</v>
      </c>
      <c r="Q1357" s="4">
        <v>1.31</v>
      </c>
      <c r="R1357" s="4">
        <v>1.72</v>
      </c>
      <c r="S1357" s="4">
        <v>0</v>
      </c>
      <c r="T1357" s="4">
        <v>0</v>
      </c>
      <c r="U1357" s="4">
        <v>50.4</v>
      </c>
      <c r="V1357" s="4">
        <v>36.78</v>
      </c>
      <c r="W1357" t="s">
        <v>21</v>
      </c>
      <c r="X1357" t="s">
        <v>36</v>
      </c>
      <c r="Y1357" s="4">
        <v>2</v>
      </c>
      <c r="Z1357" s="4">
        <v>2</v>
      </c>
      <c r="AA1357" t="s">
        <v>37</v>
      </c>
      <c r="AB1357" t="s">
        <v>38</v>
      </c>
      <c r="AC1357" s="7">
        <v>0</v>
      </c>
      <c r="AD1357" t="s">
        <v>39</v>
      </c>
      <c r="AE1357">
        <f t="shared" si="21"/>
        <v>0</v>
      </c>
    </row>
    <row r="1358" spans="1:31" x14ac:dyDescent="0.35">
      <c r="A1358">
        <v>101357</v>
      </c>
      <c r="B1358" s="3">
        <v>45991</v>
      </c>
      <c r="C1358">
        <v>1103</v>
      </c>
      <c r="D1358" t="s">
        <v>59</v>
      </c>
      <c r="E1358" t="s">
        <v>68</v>
      </c>
      <c r="F1358" t="s">
        <v>41</v>
      </c>
      <c r="G1358" t="s">
        <v>63</v>
      </c>
      <c r="H1358" t="s">
        <v>34</v>
      </c>
      <c r="I1358" t="s">
        <v>54</v>
      </c>
      <c r="J1358" s="4">
        <v>28.54</v>
      </c>
      <c r="K1358" s="4">
        <v>11.45</v>
      </c>
      <c r="L1358">
        <v>15</v>
      </c>
      <c r="M1358" s="4">
        <v>49.02</v>
      </c>
      <c r="N1358" s="4">
        <v>277.76</v>
      </c>
      <c r="O1358" s="4">
        <v>211.29</v>
      </c>
      <c r="P1358" s="4">
        <v>4.76</v>
      </c>
      <c r="Q1358" s="4">
        <v>3.92</v>
      </c>
      <c r="R1358" s="4">
        <v>7.09</v>
      </c>
      <c r="S1358" s="4">
        <v>0</v>
      </c>
      <c r="T1358" s="4">
        <v>0</v>
      </c>
      <c r="U1358" s="4">
        <v>227.06</v>
      </c>
      <c r="V1358" s="4">
        <v>50.7</v>
      </c>
      <c r="W1358" t="s">
        <v>21</v>
      </c>
      <c r="X1358" t="s">
        <v>36</v>
      </c>
      <c r="Y1358" s="4">
        <v>8</v>
      </c>
      <c r="Z1358" s="4">
        <v>4</v>
      </c>
      <c r="AA1358" t="s">
        <v>37</v>
      </c>
      <c r="AB1358" t="s">
        <v>38</v>
      </c>
      <c r="AC1358" s="7">
        <v>0</v>
      </c>
      <c r="AD1358" t="s">
        <v>39</v>
      </c>
      <c r="AE1358">
        <f t="shared" si="21"/>
        <v>0</v>
      </c>
    </row>
    <row r="1359" spans="1:31" x14ac:dyDescent="0.35">
      <c r="A1359">
        <v>101358</v>
      </c>
      <c r="B1359" s="3">
        <v>45935</v>
      </c>
      <c r="C1359">
        <v>1066</v>
      </c>
      <c r="D1359" t="s">
        <v>64</v>
      </c>
      <c r="E1359" t="s">
        <v>65</v>
      </c>
      <c r="F1359" t="s">
        <v>49</v>
      </c>
      <c r="G1359" t="s">
        <v>63</v>
      </c>
      <c r="H1359" t="s">
        <v>51</v>
      </c>
      <c r="I1359" t="s">
        <v>42</v>
      </c>
      <c r="J1359" s="4">
        <v>30.71</v>
      </c>
      <c r="K1359" s="4">
        <v>12.66</v>
      </c>
      <c r="L1359">
        <v>0</v>
      </c>
      <c r="M1359" s="4">
        <v>0</v>
      </c>
      <c r="N1359" s="4">
        <v>388.79</v>
      </c>
      <c r="O1359" s="4">
        <v>217.64</v>
      </c>
      <c r="P1359" s="4">
        <v>2.48</v>
      </c>
      <c r="Q1359" s="4">
        <v>5.83</v>
      </c>
      <c r="R1359" s="4">
        <v>11.41</v>
      </c>
      <c r="S1359" s="4">
        <v>0</v>
      </c>
      <c r="T1359" s="4">
        <v>0</v>
      </c>
      <c r="U1359" s="4">
        <v>237.36</v>
      </c>
      <c r="V1359" s="4">
        <v>151.43</v>
      </c>
      <c r="W1359" t="s">
        <v>21</v>
      </c>
      <c r="X1359" t="s">
        <v>36</v>
      </c>
      <c r="Y1359" s="4">
        <v>8</v>
      </c>
      <c r="Z1359" s="4">
        <v>8</v>
      </c>
      <c r="AA1359" t="s">
        <v>37</v>
      </c>
      <c r="AB1359" t="s">
        <v>38</v>
      </c>
      <c r="AC1359" s="7">
        <v>0</v>
      </c>
      <c r="AD1359" t="s">
        <v>39</v>
      </c>
      <c r="AE1359">
        <f t="shared" si="21"/>
        <v>0</v>
      </c>
    </row>
    <row r="1360" spans="1:31" x14ac:dyDescent="0.35">
      <c r="A1360">
        <v>101359</v>
      </c>
      <c r="B1360" s="3">
        <v>46012</v>
      </c>
      <c r="C1360">
        <v>1103</v>
      </c>
      <c r="D1360" t="s">
        <v>30</v>
      </c>
      <c r="E1360" t="s">
        <v>72</v>
      </c>
      <c r="F1360" t="s">
        <v>61</v>
      </c>
      <c r="G1360" t="s">
        <v>63</v>
      </c>
      <c r="H1360" t="s">
        <v>34</v>
      </c>
      <c r="I1360" t="s">
        <v>35</v>
      </c>
      <c r="J1360" s="4">
        <v>19.25</v>
      </c>
      <c r="K1360" s="4">
        <v>13.16</v>
      </c>
      <c r="L1360">
        <v>0</v>
      </c>
      <c r="M1360" s="4">
        <v>0</v>
      </c>
      <c r="N1360" s="4">
        <v>253.33</v>
      </c>
      <c r="O1360" s="4">
        <v>137.21</v>
      </c>
      <c r="P1360" s="4">
        <v>8.4</v>
      </c>
      <c r="Q1360" s="4">
        <v>1.77</v>
      </c>
      <c r="R1360" s="4">
        <v>6.19</v>
      </c>
      <c r="S1360" s="4">
        <v>93.21</v>
      </c>
      <c r="T1360" s="4">
        <v>0</v>
      </c>
      <c r="U1360" s="4">
        <v>246.78</v>
      </c>
      <c r="V1360" s="4">
        <v>6.55</v>
      </c>
      <c r="W1360" t="s">
        <v>21</v>
      </c>
      <c r="X1360" t="s">
        <v>55</v>
      </c>
      <c r="Y1360" s="4">
        <v>3</v>
      </c>
      <c r="Z1360" s="4">
        <v>10</v>
      </c>
      <c r="AA1360" t="s">
        <v>37</v>
      </c>
      <c r="AB1360" t="s">
        <v>44</v>
      </c>
      <c r="AC1360" s="7">
        <v>2</v>
      </c>
      <c r="AD1360" t="s">
        <v>45</v>
      </c>
      <c r="AE1360">
        <f t="shared" si="21"/>
        <v>1</v>
      </c>
    </row>
    <row r="1361" spans="1:31" x14ac:dyDescent="0.35">
      <c r="A1361">
        <v>101360</v>
      </c>
      <c r="B1361" s="3">
        <v>46018</v>
      </c>
      <c r="C1361">
        <v>1069</v>
      </c>
      <c r="D1361" t="s">
        <v>47</v>
      </c>
      <c r="E1361" t="s">
        <v>74</v>
      </c>
      <c r="F1361" t="s">
        <v>61</v>
      </c>
      <c r="G1361" t="s">
        <v>33</v>
      </c>
      <c r="H1361" t="s">
        <v>51</v>
      </c>
      <c r="I1361" t="s">
        <v>54</v>
      </c>
      <c r="J1361" s="4">
        <v>28.04</v>
      </c>
      <c r="K1361" s="4">
        <v>19.670000000000002</v>
      </c>
      <c r="L1361">
        <v>10</v>
      </c>
      <c r="M1361" s="4">
        <v>55.16</v>
      </c>
      <c r="N1361" s="4">
        <v>496.39</v>
      </c>
      <c r="O1361" s="4">
        <v>169.91</v>
      </c>
      <c r="P1361" s="4">
        <v>10.18</v>
      </c>
      <c r="Q1361" s="4">
        <v>6.62</v>
      </c>
      <c r="R1361" s="4">
        <v>8.31</v>
      </c>
      <c r="S1361" s="4">
        <v>0</v>
      </c>
      <c r="T1361" s="4">
        <v>0</v>
      </c>
      <c r="U1361" s="4">
        <v>195.02</v>
      </c>
      <c r="V1361" s="4">
        <v>301.37</v>
      </c>
      <c r="W1361" t="s">
        <v>21</v>
      </c>
      <c r="X1361" t="s">
        <v>36</v>
      </c>
      <c r="Y1361" s="4">
        <v>13</v>
      </c>
      <c r="Z1361" s="4">
        <v>3</v>
      </c>
      <c r="AA1361" t="s">
        <v>37</v>
      </c>
      <c r="AB1361" t="s">
        <v>38</v>
      </c>
      <c r="AC1361" s="7">
        <v>1</v>
      </c>
      <c r="AD1361" t="s">
        <v>39</v>
      </c>
      <c r="AE1361">
        <f t="shared" si="21"/>
        <v>0</v>
      </c>
    </row>
    <row r="1362" spans="1:31" x14ac:dyDescent="0.35">
      <c r="A1362">
        <v>101361</v>
      </c>
      <c r="B1362" s="3">
        <v>45938</v>
      </c>
      <c r="C1362">
        <v>1086</v>
      </c>
      <c r="D1362" t="s">
        <v>59</v>
      </c>
      <c r="E1362" t="s">
        <v>68</v>
      </c>
      <c r="F1362" t="s">
        <v>41</v>
      </c>
      <c r="G1362" t="s">
        <v>63</v>
      </c>
      <c r="H1362" t="s">
        <v>51</v>
      </c>
      <c r="I1362" t="s">
        <v>35</v>
      </c>
      <c r="J1362" s="4">
        <v>7.71</v>
      </c>
      <c r="K1362" s="4">
        <v>12.47</v>
      </c>
      <c r="L1362">
        <v>10</v>
      </c>
      <c r="M1362" s="4">
        <v>9.61</v>
      </c>
      <c r="N1362" s="4">
        <v>86.53</v>
      </c>
      <c r="O1362" s="4">
        <v>59.1</v>
      </c>
      <c r="P1362" s="4">
        <v>8.43</v>
      </c>
      <c r="Q1362" s="4">
        <v>0.67</v>
      </c>
      <c r="R1362" s="4">
        <v>4.0999999999999996</v>
      </c>
      <c r="S1362" s="4">
        <v>88.98</v>
      </c>
      <c r="T1362" s="4">
        <v>19.510000000000002</v>
      </c>
      <c r="U1362" s="4">
        <v>180.79</v>
      </c>
      <c r="V1362" s="4">
        <v>-94.26</v>
      </c>
      <c r="W1362" t="s">
        <v>58</v>
      </c>
      <c r="X1362" t="s">
        <v>55</v>
      </c>
      <c r="Y1362" s="4">
        <v>10</v>
      </c>
      <c r="Z1362" s="4">
        <v>4</v>
      </c>
      <c r="AA1362" t="s">
        <v>37</v>
      </c>
      <c r="AB1362" t="s">
        <v>44</v>
      </c>
      <c r="AC1362" s="7">
        <v>1</v>
      </c>
      <c r="AD1362" t="s">
        <v>45</v>
      </c>
      <c r="AE1362">
        <f t="shared" si="21"/>
        <v>1</v>
      </c>
    </row>
    <row r="1363" spans="1:31" x14ac:dyDescent="0.35">
      <c r="A1363">
        <v>101362</v>
      </c>
      <c r="B1363" s="3">
        <v>45967</v>
      </c>
      <c r="C1363">
        <v>1099</v>
      </c>
      <c r="D1363" t="s">
        <v>47</v>
      </c>
      <c r="E1363" t="s">
        <v>74</v>
      </c>
      <c r="F1363" t="s">
        <v>32</v>
      </c>
      <c r="G1363" t="s">
        <v>46</v>
      </c>
      <c r="H1363" t="s">
        <v>34</v>
      </c>
      <c r="I1363" t="s">
        <v>54</v>
      </c>
      <c r="J1363" s="4">
        <v>27.69</v>
      </c>
      <c r="K1363" s="4">
        <v>16.16</v>
      </c>
      <c r="L1363">
        <v>10</v>
      </c>
      <c r="M1363" s="4">
        <v>44.75</v>
      </c>
      <c r="N1363" s="4">
        <v>402.72</v>
      </c>
      <c r="O1363" s="4">
        <v>202.58</v>
      </c>
      <c r="P1363" s="4">
        <v>12</v>
      </c>
      <c r="Q1363" s="4">
        <v>5.37</v>
      </c>
      <c r="R1363" s="4">
        <v>3.15</v>
      </c>
      <c r="S1363" s="4">
        <v>0</v>
      </c>
      <c r="T1363" s="4">
        <v>0</v>
      </c>
      <c r="U1363" s="4">
        <v>223.1</v>
      </c>
      <c r="V1363" s="4">
        <v>179.62</v>
      </c>
      <c r="W1363" t="s">
        <v>21</v>
      </c>
      <c r="X1363" t="s">
        <v>36</v>
      </c>
      <c r="Y1363" s="4">
        <v>7</v>
      </c>
      <c r="Z1363" s="4">
        <v>8</v>
      </c>
      <c r="AA1363" t="s">
        <v>37</v>
      </c>
      <c r="AB1363" t="s">
        <v>38</v>
      </c>
      <c r="AC1363" s="7">
        <v>0</v>
      </c>
      <c r="AD1363" t="s">
        <v>39</v>
      </c>
      <c r="AE1363">
        <f t="shared" si="21"/>
        <v>0</v>
      </c>
    </row>
    <row r="1364" spans="1:31" x14ac:dyDescent="0.35">
      <c r="A1364">
        <v>101363</v>
      </c>
      <c r="B1364" s="3">
        <v>45985</v>
      </c>
      <c r="C1364">
        <v>1027</v>
      </c>
      <c r="D1364" t="s">
        <v>30</v>
      </c>
      <c r="E1364" t="s">
        <v>40</v>
      </c>
      <c r="F1364" t="s">
        <v>41</v>
      </c>
      <c r="G1364" t="s">
        <v>33</v>
      </c>
      <c r="H1364" t="s">
        <v>57</v>
      </c>
      <c r="I1364" t="s">
        <v>69</v>
      </c>
      <c r="J1364" s="4">
        <v>35.659999999999997</v>
      </c>
      <c r="K1364" s="4">
        <v>18.73</v>
      </c>
      <c r="L1364">
        <v>10</v>
      </c>
      <c r="M1364" s="4">
        <v>66.790000000000006</v>
      </c>
      <c r="N1364" s="4">
        <v>601.12</v>
      </c>
      <c r="O1364" s="4">
        <v>204.52</v>
      </c>
      <c r="P1364" s="4">
        <v>1</v>
      </c>
      <c r="Q1364" s="4">
        <v>2.67</v>
      </c>
      <c r="R1364" s="4">
        <v>5.49</v>
      </c>
      <c r="S1364" s="4">
        <v>0</v>
      </c>
      <c r="T1364" s="4">
        <v>0</v>
      </c>
      <c r="U1364" s="4">
        <v>213.68</v>
      </c>
      <c r="V1364" s="4">
        <v>387.44</v>
      </c>
      <c r="W1364" t="s">
        <v>21</v>
      </c>
      <c r="X1364" t="s">
        <v>36</v>
      </c>
      <c r="Y1364" s="4">
        <v>0</v>
      </c>
      <c r="Z1364" s="4">
        <v>2</v>
      </c>
      <c r="AA1364" t="s">
        <v>37</v>
      </c>
      <c r="AB1364" t="s">
        <v>38</v>
      </c>
      <c r="AC1364" s="7">
        <v>0</v>
      </c>
      <c r="AD1364" t="s">
        <v>39</v>
      </c>
      <c r="AE1364">
        <f t="shared" si="21"/>
        <v>0</v>
      </c>
    </row>
    <row r="1365" spans="1:31" x14ac:dyDescent="0.35">
      <c r="A1365">
        <v>101364</v>
      </c>
      <c r="B1365" s="3">
        <v>45988</v>
      </c>
      <c r="C1365">
        <v>1008</v>
      </c>
      <c r="D1365" t="s">
        <v>30</v>
      </c>
      <c r="E1365" t="s">
        <v>40</v>
      </c>
      <c r="F1365" t="s">
        <v>49</v>
      </c>
      <c r="G1365" t="s">
        <v>63</v>
      </c>
      <c r="H1365" t="s">
        <v>34</v>
      </c>
      <c r="I1365" t="s">
        <v>35</v>
      </c>
      <c r="J1365" s="4">
        <v>12.01</v>
      </c>
      <c r="K1365" s="4">
        <v>13.15</v>
      </c>
      <c r="L1365">
        <v>5</v>
      </c>
      <c r="M1365" s="4">
        <v>7.9</v>
      </c>
      <c r="N1365" s="4">
        <v>150.03</v>
      </c>
      <c r="O1365" s="4">
        <v>87.9</v>
      </c>
      <c r="P1365" s="4">
        <v>8.93</v>
      </c>
      <c r="Q1365" s="4">
        <v>1.1100000000000001</v>
      </c>
      <c r="R1365" s="4">
        <v>12.42</v>
      </c>
      <c r="S1365" s="4">
        <v>0</v>
      </c>
      <c r="T1365" s="4">
        <v>0</v>
      </c>
      <c r="U1365" s="4">
        <v>110.36</v>
      </c>
      <c r="V1365" s="4">
        <v>39.67</v>
      </c>
      <c r="W1365" t="s">
        <v>21</v>
      </c>
      <c r="X1365" t="s">
        <v>36</v>
      </c>
      <c r="Y1365" s="4">
        <v>3</v>
      </c>
      <c r="Z1365" s="4">
        <v>14</v>
      </c>
      <c r="AA1365" t="s">
        <v>37</v>
      </c>
      <c r="AB1365" t="s">
        <v>38</v>
      </c>
      <c r="AC1365" s="7">
        <v>0</v>
      </c>
      <c r="AD1365" t="s">
        <v>39</v>
      </c>
      <c r="AE1365">
        <f t="shared" si="21"/>
        <v>0</v>
      </c>
    </row>
    <row r="1366" spans="1:31" x14ac:dyDescent="0.35">
      <c r="A1366">
        <v>101365</v>
      </c>
      <c r="B1366" s="3">
        <v>46020</v>
      </c>
      <c r="C1366">
        <v>1130</v>
      </c>
      <c r="D1366" t="s">
        <v>47</v>
      </c>
      <c r="E1366" t="s">
        <v>48</v>
      </c>
      <c r="F1366" t="s">
        <v>61</v>
      </c>
      <c r="G1366" t="s">
        <v>46</v>
      </c>
      <c r="H1366" t="s">
        <v>57</v>
      </c>
      <c r="I1366" t="s">
        <v>54</v>
      </c>
      <c r="J1366" s="4">
        <v>41.59</v>
      </c>
      <c r="K1366" s="4">
        <v>15.19</v>
      </c>
      <c r="L1366">
        <v>15</v>
      </c>
      <c r="M1366" s="4">
        <v>94.76</v>
      </c>
      <c r="N1366" s="4">
        <v>536.99</v>
      </c>
      <c r="O1366" s="4">
        <v>297.69</v>
      </c>
      <c r="P1366" s="4">
        <v>7.71</v>
      </c>
      <c r="Q1366" s="4">
        <v>7.58</v>
      </c>
      <c r="R1366" s="4">
        <v>5.68</v>
      </c>
      <c r="S1366" s="4">
        <v>0</v>
      </c>
      <c r="T1366" s="4">
        <v>0</v>
      </c>
      <c r="U1366" s="4">
        <v>318.66000000000003</v>
      </c>
      <c r="V1366" s="4">
        <v>218.33</v>
      </c>
      <c r="W1366" t="s">
        <v>21</v>
      </c>
      <c r="X1366" t="s">
        <v>36</v>
      </c>
      <c r="Y1366" s="4">
        <v>19</v>
      </c>
      <c r="Z1366" s="4">
        <v>14</v>
      </c>
      <c r="AA1366" t="s">
        <v>52</v>
      </c>
      <c r="AB1366" t="s">
        <v>38</v>
      </c>
      <c r="AC1366" s="7">
        <v>0</v>
      </c>
      <c r="AD1366" t="s">
        <v>39</v>
      </c>
      <c r="AE1366">
        <f t="shared" si="21"/>
        <v>0</v>
      </c>
    </row>
    <row r="1367" spans="1:31" x14ac:dyDescent="0.35">
      <c r="A1367">
        <v>101366</v>
      </c>
      <c r="B1367" s="3">
        <v>46016</v>
      </c>
      <c r="C1367">
        <v>1120</v>
      </c>
      <c r="D1367" t="s">
        <v>47</v>
      </c>
      <c r="E1367" t="s">
        <v>74</v>
      </c>
      <c r="F1367" t="s">
        <v>32</v>
      </c>
      <c r="G1367" t="s">
        <v>46</v>
      </c>
      <c r="H1367" t="s">
        <v>51</v>
      </c>
      <c r="I1367" t="s">
        <v>54</v>
      </c>
      <c r="J1367" s="4">
        <v>27.68</v>
      </c>
      <c r="K1367" s="4">
        <v>17.03</v>
      </c>
      <c r="L1367">
        <v>5</v>
      </c>
      <c r="M1367" s="4">
        <v>23.57</v>
      </c>
      <c r="N1367" s="4">
        <v>447.82</v>
      </c>
      <c r="O1367" s="4">
        <v>182.24</v>
      </c>
      <c r="P1367" s="4">
        <v>7.57</v>
      </c>
      <c r="Q1367" s="4">
        <v>5.66</v>
      </c>
      <c r="R1367" s="4">
        <v>7.86</v>
      </c>
      <c r="S1367" s="4">
        <v>436.34</v>
      </c>
      <c r="T1367" s="4">
        <v>2.38</v>
      </c>
      <c r="U1367" s="4">
        <v>642.04999999999995</v>
      </c>
      <c r="V1367" s="4">
        <v>-194.23</v>
      </c>
      <c r="W1367" t="s">
        <v>58</v>
      </c>
      <c r="X1367" t="s">
        <v>66</v>
      </c>
      <c r="Y1367" s="4">
        <v>9</v>
      </c>
      <c r="Z1367" s="4">
        <v>5</v>
      </c>
      <c r="AA1367" t="s">
        <v>37</v>
      </c>
      <c r="AB1367" t="s">
        <v>38</v>
      </c>
      <c r="AC1367" s="7">
        <v>4</v>
      </c>
      <c r="AD1367" t="s">
        <v>45</v>
      </c>
      <c r="AE1367">
        <f t="shared" si="21"/>
        <v>0</v>
      </c>
    </row>
    <row r="1368" spans="1:31" x14ac:dyDescent="0.35">
      <c r="A1368">
        <v>101367</v>
      </c>
      <c r="B1368" s="3">
        <v>46005</v>
      </c>
      <c r="C1368">
        <v>1110</v>
      </c>
      <c r="D1368" t="s">
        <v>30</v>
      </c>
      <c r="E1368" t="s">
        <v>62</v>
      </c>
      <c r="F1368" t="s">
        <v>32</v>
      </c>
      <c r="G1368" t="s">
        <v>63</v>
      </c>
      <c r="H1368" t="s">
        <v>34</v>
      </c>
      <c r="I1368" t="s">
        <v>42</v>
      </c>
      <c r="J1368" s="4">
        <v>10.73</v>
      </c>
      <c r="K1368" s="4">
        <v>11.72</v>
      </c>
      <c r="L1368">
        <v>15</v>
      </c>
      <c r="M1368" s="4">
        <v>18.86</v>
      </c>
      <c r="N1368" s="4">
        <v>106.9</v>
      </c>
      <c r="O1368" s="4">
        <v>85.5</v>
      </c>
      <c r="P1368" s="4">
        <v>1</v>
      </c>
      <c r="Q1368" s="4">
        <v>1.89</v>
      </c>
      <c r="R1368" s="4">
        <v>11.52</v>
      </c>
      <c r="S1368" s="4">
        <v>95.5</v>
      </c>
      <c r="T1368" s="4">
        <v>0</v>
      </c>
      <c r="U1368" s="4">
        <v>195.41</v>
      </c>
      <c r="V1368" s="4">
        <v>-88.51</v>
      </c>
      <c r="W1368" t="s">
        <v>58</v>
      </c>
      <c r="X1368" t="s">
        <v>55</v>
      </c>
      <c r="Y1368" s="4">
        <v>9</v>
      </c>
      <c r="Z1368" s="4">
        <v>20</v>
      </c>
      <c r="AA1368" t="s">
        <v>37</v>
      </c>
      <c r="AB1368" t="s">
        <v>44</v>
      </c>
      <c r="AC1368" s="7">
        <v>1</v>
      </c>
      <c r="AD1368" t="s">
        <v>45</v>
      </c>
      <c r="AE1368">
        <f t="shared" si="21"/>
        <v>1</v>
      </c>
    </row>
    <row r="1369" spans="1:31" x14ac:dyDescent="0.35">
      <c r="A1369">
        <v>101368</v>
      </c>
      <c r="B1369" s="3">
        <v>45986</v>
      </c>
      <c r="C1369">
        <v>1145</v>
      </c>
      <c r="D1369" t="s">
        <v>59</v>
      </c>
      <c r="E1369" t="s">
        <v>68</v>
      </c>
      <c r="F1369" t="s">
        <v>32</v>
      </c>
      <c r="G1369" t="s">
        <v>63</v>
      </c>
      <c r="H1369" t="s">
        <v>34</v>
      </c>
      <c r="I1369" t="s">
        <v>35</v>
      </c>
      <c r="J1369" s="4">
        <v>17.52</v>
      </c>
      <c r="K1369" s="4">
        <v>12.92</v>
      </c>
      <c r="L1369">
        <v>0</v>
      </c>
      <c r="M1369" s="4">
        <v>0</v>
      </c>
      <c r="N1369" s="4">
        <v>226.36</v>
      </c>
      <c r="O1369" s="4">
        <v>101.47</v>
      </c>
      <c r="P1369" s="4">
        <v>3.7</v>
      </c>
      <c r="Q1369" s="4">
        <v>1.58</v>
      </c>
      <c r="R1369" s="4">
        <v>6.76</v>
      </c>
      <c r="S1369" s="4">
        <v>0</v>
      </c>
      <c r="T1369" s="4">
        <v>0</v>
      </c>
      <c r="U1369" s="4">
        <v>113.51</v>
      </c>
      <c r="V1369" s="4">
        <v>112.85</v>
      </c>
      <c r="W1369" t="s">
        <v>21</v>
      </c>
      <c r="X1369" t="s">
        <v>36</v>
      </c>
      <c r="Y1369" s="4">
        <v>22</v>
      </c>
      <c r="Z1369" s="4">
        <v>10</v>
      </c>
      <c r="AA1369" t="s">
        <v>52</v>
      </c>
      <c r="AB1369" t="s">
        <v>44</v>
      </c>
      <c r="AC1369" s="7">
        <v>2</v>
      </c>
      <c r="AD1369" t="s">
        <v>45</v>
      </c>
      <c r="AE1369">
        <f t="shared" si="21"/>
        <v>1</v>
      </c>
    </row>
    <row r="1370" spans="1:31" x14ac:dyDescent="0.35">
      <c r="A1370">
        <v>101369</v>
      </c>
      <c r="B1370" s="3">
        <v>45959</v>
      </c>
      <c r="C1370">
        <v>1033</v>
      </c>
      <c r="D1370" t="s">
        <v>64</v>
      </c>
      <c r="E1370" t="s">
        <v>75</v>
      </c>
      <c r="F1370" t="s">
        <v>41</v>
      </c>
      <c r="G1370" t="s">
        <v>33</v>
      </c>
      <c r="H1370" t="s">
        <v>57</v>
      </c>
      <c r="I1370" t="s">
        <v>35</v>
      </c>
      <c r="J1370" s="4">
        <v>31.86</v>
      </c>
      <c r="K1370" s="4">
        <v>18.940000000000001</v>
      </c>
      <c r="L1370">
        <v>0</v>
      </c>
      <c r="M1370" s="4">
        <v>0</v>
      </c>
      <c r="N1370" s="4">
        <v>603.42999999999995</v>
      </c>
      <c r="O1370" s="4">
        <v>217.38</v>
      </c>
      <c r="P1370" s="4">
        <v>6.05</v>
      </c>
      <c r="Q1370" s="4">
        <v>4.22</v>
      </c>
      <c r="R1370" s="4">
        <v>7.37</v>
      </c>
      <c r="S1370" s="4">
        <v>0</v>
      </c>
      <c r="T1370" s="4">
        <v>0</v>
      </c>
      <c r="U1370" s="4">
        <v>235.02</v>
      </c>
      <c r="V1370" s="4">
        <v>368.41</v>
      </c>
      <c r="W1370" t="s">
        <v>21</v>
      </c>
      <c r="X1370" t="s">
        <v>36</v>
      </c>
      <c r="Y1370" s="4">
        <v>2</v>
      </c>
      <c r="Z1370" s="4">
        <v>11</v>
      </c>
      <c r="AA1370" t="s">
        <v>37</v>
      </c>
      <c r="AB1370" t="s">
        <v>38</v>
      </c>
      <c r="AC1370" s="7">
        <v>0</v>
      </c>
      <c r="AD1370" t="s">
        <v>39</v>
      </c>
      <c r="AE1370">
        <f t="shared" si="21"/>
        <v>0</v>
      </c>
    </row>
    <row r="1371" spans="1:31" x14ac:dyDescent="0.35">
      <c r="A1371">
        <v>101370</v>
      </c>
      <c r="B1371" s="3">
        <v>46003</v>
      </c>
      <c r="C1371">
        <v>1115</v>
      </c>
      <c r="D1371" t="s">
        <v>30</v>
      </c>
      <c r="E1371" t="s">
        <v>62</v>
      </c>
      <c r="F1371" t="s">
        <v>32</v>
      </c>
      <c r="G1371" t="s">
        <v>46</v>
      </c>
      <c r="H1371" t="s">
        <v>34</v>
      </c>
      <c r="I1371" t="s">
        <v>35</v>
      </c>
      <c r="J1371" s="4">
        <v>32.17</v>
      </c>
      <c r="K1371" s="4">
        <v>14.95</v>
      </c>
      <c r="L1371">
        <v>0</v>
      </c>
      <c r="M1371" s="4">
        <v>0</v>
      </c>
      <c r="N1371" s="4">
        <v>480.94</v>
      </c>
      <c r="O1371" s="4">
        <v>186.68</v>
      </c>
      <c r="P1371" s="4">
        <v>6.97</v>
      </c>
      <c r="Q1371" s="4">
        <v>3.37</v>
      </c>
      <c r="R1371" s="4">
        <v>6.88</v>
      </c>
      <c r="S1371" s="4">
        <v>0</v>
      </c>
      <c r="T1371" s="4">
        <v>0</v>
      </c>
      <c r="U1371" s="4">
        <v>203.9</v>
      </c>
      <c r="V1371" s="4">
        <v>277.04000000000002</v>
      </c>
      <c r="W1371" t="s">
        <v>21</v>
      </c>
      <c r="X1371" t="s">
        <v>36</v>
      </c>
      <c r="Y1371" s="4">
        <v>10</v>
      </c>
      <c r="Z1371" s="4">
        <v>1</v>
      </c>
      <c r="AA1371" t="s">
        <v>37</v>
      </c>
      <c r="AB1371" t="s">
        <v>38</v>
      </c>
      <c r="AC1371" s="7">
        <v>0</v>
      </c>
      <c r="AD1371" t="s">
        <v>39</v>
      </c>
      <c r="AE1371">
        <f t="shared" si="21"/>
        <v>0</v>
      </c>
    </row>
    <row r="1372" spans="1:31" x14ac:dyDescent="0.35">
      <c r="A1372">
        <v>101371</v>
      </c>
      <c r="B1372" s="3">
        <v>45985</v>
      </c>
      <c r="C1372">
        <v>1085</v>
      </c>
      <c r="D1372" t="s">
        <v>47</v>
      </c>
      <c r="E1372" t="s">
        <v>56</v>
      </c>
      <c r="F1372" t="s">
        <v>49</v>
      </c>
      <c r="G1372" t="s">
        <v>46</v>
      </c>
      <c r="H1372" t="s">
        <v>34</v>
      </c>
      <c r="I1372" t="s">
        <v>35</v>
      </c>
      <c r="J1372" s="4">
        <v>32.39</v>
      </c>
      <c r="K1372" s="4">
        <v>16.239999999999998</v>
      </c>
      <c r="L1372">
        <v>5</v>
      </c>
      <c r="M1372" s="4">
        <v>26.3</v>
      </c>
      <c r="N1372" s="4">
        <v>499.71</v>
      </c>
      <c r="O1372" s="4">
        <v>262.2</v>
      </c>
      <c r="P1372" s="4">
        <v>6.38</v>
      </c>
      <c r="Q1372" s="4">
        <v>3.68</v>
      </c>
      <c r="R1372" s="4">
        <v>4.8099999999999996</v>
      </c>
      <c r="S1372" s="4">
        <v>0</v>
      </c>
      <c r="T1372" s="4">
        <v>0</v>
      </c>
      <c r="U1372" s="4">
        <v>277.07</v>
      </c>
      <c r="V1372" s="4">
        <v>222.64</v>
      </c>
      <c r="W1372" t="s">
        <v>21</v>
      </c>
      <c r="X1372" t="s">
        <v>36</v>
      </c>
      <c r="Y1372" s="4">
        <v>3</v>
      </c>
      <c r="Z1372" s="4">
        <v>38</v>
      </c>
      <c r="AA1372" t="s">
        <v>37</v>
      </c>
      <c r="AB1372" t="s">
        <v>44</v>
      </c>
      <c r="AC1372" s="7">
        <v>2</v>
      </c>
      <c r="AD1372" t="s">
        <v>45</v>
      </c>
      <c r="AE1372">
        <f t="shared" si="21"/>
        <v>1</v>
      </c>
    </row>
    <row r="1373" spans="1:31" x14ac:dyDescent="0.35">
      <c r="A1373">
        <v>101372</v>
      </c>
      <c r="B1373" s="3">
        <v>45940</v>
      </c>
      <c r="C1373">
        <v>1041</v>
      </c>
      <c r="D1373" t="s">
        <v>64</v>
      </c>
      <c r="E1373" t="s">
        <v>75</v>
      </c>
      <c r="F1373" t="s">
        <v>61</v>
      </c>
      <c r="G1373" t="s">
        <v>63</v>
      </c>
      <c r="H1373" t="s">
        <v>34</v>
      </c>
      <c r="I1373" t="s">
        <v>35</v>
      </c>
      <c r="J1373" s="4">
        <v>12.79</v>
      </c>
      <c r="K1373" s="4">
        <v>13.92</v>
      </c>
      <c r="L1373">
        <v>5</v>
      </c>
      <c r="M1373" s="4">
        <v>8.9</v>
      </c>
      <c r="N1373" s="4">
        <v>169.14</v>
      </c>
      <c r="O1373" s="4">
        <v>78.150000000000006</v>
      </c>
      <c r="P1373" s="4">
        <v>6.02</v>
      </c>
      <c r="Q1373" s="4">
        <v>1.25</v>
      </c>
      <c r="R1373" s="4">
        <v>10.88</v>
      </c>
      <c r="S1373" s="4">
        <v>0</v>
      </c>
      <c r="T1373" s="4">
        <v>0</v>
      </c>
      <c r="U1373" s="4">
        <v>96.3</v>
      </c>
      <c r="V1373" s="4">
        <v>72.84</v>
      </c>
      <c r="W1373" t="s">
        <v>21</v>
      </c>
      <c r="X1373" t="s">
        <v>36</v>
      </c>
      <c r="Y1373" s="4">
        <v>27</v>
      </c>
      <c r="Z1373" s="4">
        <v>20</v>
      </c>
      <c r="AA1373" t="s">
        <v>52</v>
      </c>
      <c r="AB1373" t="s">
        <v>44</v>
      </c>
      <c r="AC1373" s="7">
        <v>2</v>
      </c>
      <c r="AD1373" t="s">
        <v>45</v>
      </c>
      <c r="AE1373">
        <f t="shared" si="21"/>
        <v>1</v>
      </c>
    </row>
    <row r="1374" spans="1:31" x14ac:dyDescent="0.35">
      <c r="A1374">
        <v>101373</v>
      </c>
      <c r="B1374" s="3">
        <v>45938</v>
      </c>
      <c r="C1374">
        <v>1116</v>
      </c>
      <c r="D1374" t="s">
        <v>59</v>
      </c>
      <c r="E1374" t="s">
        <v>70</v>
      </c>
      <c r="F1374" t="s">
        <v>32</v>
      </c>
      <c r="G1374" t="s">
        <v>46</v>
      </c>
      <c r="H1374" t="s">
        <v>34</v>
      </c>
      <c r="I1374" t="s">
        <v>69</v>
      </c>
      <c r="J1374" s="4">
        <v>35.119999999999997</v>
      </c>
      <c r="K1374" s="4">
        <v>15.81</v>
      </c>
      <c r="L1374">
        <v>10</v>
      </c>
      <c r="M1374" s="4">
        <v>55.53</v>
      </c>
      <c r="N1374" s="4">
        <v>499.72</v>
      </c>
      <c r="O1374" s="4">
        <v>187.59</v>
      </c>
      <c r="P1374" s="4">
        <v>8.75</v>
      </c>
      <c r="Q1374" s="4">
        <v>2.2200000000000002</v>
      </c>
      <c r="R1374" s="4">
        <v>12.1</v>
      </c>
      <c r="S1374" s="4">
        <v>0</v>
      </c>
      <c r="T1374" s="4">
        <v>0</v>
      </c>
      <c r="U1374" s="4">
        <v>210.66</v>
      </c>
      <c r="V1374" s="4">
        <v>289.06</v>
      </c>
      <c r="W1374" t="s">
        <v>21</v>
      </c>
      <c r="X1374" t="s">
        <v>36</v>
      </c>
      <c r="Y1374" s="4">
        <v>18</v>
      </c>
      <c r="Z1374" s="4">
        <v>15</v>
      </c>
      <c r="AA1374" t="s">
        <v>52</v>
      </c>
      <c r="AB1374" t="s">
        <v>38</v>
      </c>
      <c r="AC1374" s="7">
        <v>0</v>
      </c>
      <c r="AD1374" t="s">
        <v>39</v>
      </c>
      <c r="AE1374">
        <f t="shared" si="21"/>
        <v>0</v>
      </c>
    </row>
    <row r="1375" spans="1:31" x14ac:dyDescent="0.35">
      <c r="A1375">
        <v>101374</v>
      </c>
      <c r="B1375" s="3">
        <v>45979</v>
      </c>
      <c r="C1375">
        <v>1044</v>
      </c>
      <c r="D1375" t="s">
        <v>30</v>
      </c>
      <c r="E1375" t="s">
        <v>40</v>
      </c>
      <c r="F1375" t="s">
        <v>71</v>
      </c>
      <c r="G1375" t="s">
        <v>46</v>
      </c>
      <c r="H1375" t="s">
        <v>34</v>
      </c>
      <c r="I1375" t="s">
        <v>42</v>
      </c>
      <c r="J1375" s="4">
        <v>16.91</v>
      </c>
      <c r="K1375" s="4">
        <v>16.190000000000001</v>
      </c>
      <c r="L1375">
        <v>10</v>
      </c>
      <c r="M1375" s="4">
        <v>27.38</v>
      </c>
      <c r="N1375" s="4">
        <v>246.39</v>
      </c>
      <c r="O1375" s="4">
        <v>138.68</v>
      </c>
      <c r="P1375" s="4">
        <v>11.98</v>
      </c>
      <c r="Q1375" s="4">
        <v>4.1100000000000003</v>
      </c>
      <c r="R1375" s="4">
        <v>4.2699999999999996</v>
      </c>
      <c r="S1375" s="4">
        <v>0</v>
      </c>
      <c r="T1375" s="4">
        <v>0</v>
      </c>
      <c r="U1375" s="4">
        <v>159.04</v>
      </c>
      <c r="V1375" s="4">
        <v>87.35</v>
      </c>
      <c r="W1375" t="s">
        <v>21</v>
      </c>
      <c r="X1375" t="s">
        <v>36</v>
      </c>
      <c r="Y1375" s="4">
        <v>18</v>
      </c>
      <c r="Z1375" s="4">
        <v>3</v>
      </c>
      <c r="AA1375" t="s">
        <v>52</v>
      </c>
      <c r="AB1375" t="s">
        <v>38</v>
      </c>
      <c r="AC1375" s="7">
        <v>0</v>
      </c>
      <c r="AD1375" t="s">
        <v>39</v>
      </c>
      <c r="AE1375">
        <f t="shared" si="21"/>
        <v>0</v>
      </c>
    </row>
    <row r="1376" spans="1:31" x14ac:dyDescent="0.35">
      <c r="A1376">
        <v>101375</v>
      </c>
      <c r="B1376" s="3">
        <v>45959</v>
      </c>
      <c r="C1376">
        <v>1045</v>
      </c>
      <c r="D1376" t="s">
        <v>59</v>
      </c>
      <c r="E1376" t="s">
        <v>60</v>
      </c>
      <c r="F1376" t="s">
        <v>32</v>
      </c>
      <c r="G1376" t="s">
        <v>50</v>
      </c>
      <c r="H1376" t="s">
        <v>57</v>
      </c>
      <c r="I1376" t="s">
        <v>35</v>
      </c>
      <c r="J1376" s="4">
        <v>24.13</v>
      </c>
      <c r="K1376" s="4">
        <v>17.18</v>
      </c>
      <c r="L1376">
        <v>10</v>
      </c>
      <c r="M1376" s="4">
        <v>41.46</v>
      </c>
      <c r="N1376" s="4">
        <v>373.09</v>
      </c>
      <c r="O1376" s="4">
        <v>168.81</v>
      </c>
      <c r="P1376" s="4">
        <v>5.72</v>
      </c>
      <c r="Q1376" s="4">
        <v>2.9</v>
      </c>
      <c r="R1376" s="4">
        <v>4.49</v>
      </c>
      <c r="S1376" s="4">
        <v>0</v>
      </c>
      <c r="T1376" s="4">
        <v>0</v>
      </c>
      <c r="U1376" s="4">
        <v>181.92</v>
      </c>
      <c r="V1376" s="4">
        <v>191.17</v>
      </c>
      <c r="W1376" t="s">
        <v>21</v>
      </c>
      <c r="X1376" t="s">
        <v>36</v>
      </c>
      <c r="Y1376" s="4">
        <v>23</v>
      </c>
      <c r="Z1376" s="4">
        <v>14</v>
      </c>
      <c r="AA1376" t="s">
        <v>52</v>
      </c>
      <c r="AB1376" t="s">
        <v>44</v>
      </c>
      <c r="AC1376" s="7">
        <v>3</v>
      </c>
      <c r="AD1376" t="s">
        <v>45</v>
      </c>
      <c r="AE1376">
        <f t="shared" si="21"/>
        <v>1</v>
      </c>
    </row>
    <row r="1377" spans="1:31" x14ac:dyDescent="0.35">
      <c r="A1377">
        <v>101376</v>
      </c>
      <c r="B1377" s="3">
        <v>45939</v>
      </c>
      <c r="C1377">
        <v>1137</v>
      </c>
      <c r="D1377" t="s">
        <v>59</v>
      </c>
      <c r="E1377" t="s">
        <v>70</v>
      </c>
      <c r="F1377" t="s">
        <v>61</v>
      </c>
      <c r="G1377" t="s">
        <v>33</v>
      </c>
      <c r="H1377" t="s">
        <v>34</v>
      </c>
      <c r="I1377" t="s">
        <v>35</v>
      </c>
      <c r="J1377" s="4">
        <v>25.28</v>
      </c>
      <c r="K1377" s="4">
        <v>19.07</v>
      </c>
      <c r="L1377">
        <v>15</v>
      </c>
      <c r="M1377" s="4">
        <v>72.31</v>
      </c>
      <c r="N1377" s="4">
        <v>409.78</v>
      </c>
      <c r="O1377" s="4">
        <v>188.14</v>
      </c>
      <c r="P1377" s="4">
        <v>9.0299999999999994</v>
      </c>
      <c r="Q1377" s="4">
        <v>3.37</v>
      </c>
      <c r="R1377" s="4">
        <v>10.28</v>
      </c>
      <c r="S1377" s="4">
        <v>0</v>
      </c>
      <c r="T1377" s="4">
        <v>0</v>
      </c>
      <c r="U1377" s="4">
        <v>210.82</v>
      </c>
      <c r="V1377" s="4">
        <v>198.96</v>
      </c>
      <c r="W1377" t="s">
        <v>21</v>
      </c>
      <c r="X1377" t="s">
        <v>36</v>
      </c>
      <c r="Y1377" s="4">
        <v>3</v>
      </c>
      <c r="Z1377" s="4">
        <v>7</v>
      </c>
      <c r="AA1377" t="s">
        <v>37</v>
      </c>
      <c r="AB1377" t="s">
        <v>38</v>
      </c>
      <c r="AC1377" s="7">
        <v>2</v>
      </c>
      <c r="AD1377" t="s">
        <v>39</v>
      </c>
      <c r="AE1377">
        <f t="shared" si="21"/>
        <v>0</v>
      </c>
    </row>
    <row r="1378" spans="1:31" x14ac:dyDescent="0.35">
      <c r="A1378">
        <v>101377</v>
      </c>
      <c r="B1378" s="3">
        <v>46012</v>
      </c>
      <c r="C1378">
        <v>1017</v>
      </c>
      <c r="D1378" t="s">
        <v>59</v>
      </c>
      <c r="E1378" t="s">
        <v>60</v>
      </c>
      <c r="F1378" t="s">
        <v>61</v>
      </c>
      <c r="G1378" t="s">
        <v>63</v>
      </c>
      <c r="H1378" t="s">
        <v>57</v>
      </c>
      <c r="I1378" t="s">
        <v>35</v>
      </c>
      <c r="J1378" s="4">
        <v>16.55</v>
      </c>
      <c r="K1378" s="4">
        <v>13.16</v>
      </c>
      <c r="L1378">
        <v>15</v>
      </c>
      <c r="M1378" s="4">
        <v>32.67</v>
      </c>
      <c r="N1378" s="4">
        <v>185.13</v>
      </c>
      <c r="O1378" s="4">
        <v>97.49</v>
      </c>
      <c r="P1378" s="4">
        <v>7.95</v>
      </c>
      <c r="Q1378" s="4">
        <v>1.52</v>
      </c>
      <c r="R1378" s="4">
        <v>13.32</v>
      </c>
      <c r="S1378" s="4">
        <v>0</v>
      </c>
      <c r="T1378" s="4">
        <v>0</v>
      </c>
      <c r="U1378" s="4">
        <v>120.28</v>
      </c>
      <c r="V1378" s="4">
        <v>64.849999999999994</v>
      </c>
      <c r="W1378" t="s">
        <v>21</v>
      </c>
      <c r="X1378" t="s">
        <v>36</v>
      </c>
      <c r="Y1378" s="4">
        <v>9</v>
      </c>
      <c r="Z1378" s="4">
        <v>8</v>
      </c>
      <c r="AA1378" t="s">
        <v>37</v>
      </c>
      <c r="AB1378" t="s">
        <v>38</v>
      </c>
      <c r="AC1378" s="7">
        <v>0</v>
      </c>
      <c r="AD1378" t="s">
        <v>39</v>
      </c>
      <c r="AE1378">
        <f t="shared" si="21"/>
        <v>0</v>
      </c>
    </row>
    <row r="1379" spans="1:31" x14ac:dyDescent="0.35">
      <c r="A1379">
        <v>101378</v>
      </c>
      <c r="B1379" s="3">
        <v>45992</v>
      </c>
      <c r="C1379">
        <v>1059</v>
      </c>
      <c r="D1379" t="s">
        <v>47</v>
      </c>
      <c r="E1379" t="s">
        <v>56</v>
      </c>
      <c r="F1379" t="s">
        <v>41</v>
      </c>
      <c r="G1379" t="s">
        <v>63</v>
      </c>
      <c r="H1379" t="s">
        <v>34</v>
      </c>
      <c r="I1379" t="s">
        <v>35</v>
      </c>
      <c r="J1379" s="4">
        <v>19.57</v>
      </c>
      <c r="K1379" s="4">
        <v>13.43</v>
      </c>
      <c r="L1379">
        <v>0</v>
      </c>
      <c r="M1379" s="4">
        <v>0</v>
      </c>
      <c r="N1379" s="4">
        <v>262.83</v>
      </c>
      <c r="O1379" s="4">
        <v>143.22999999999999</v>
      </c>
      <c r="P1379" s="4">
        <v>9.18</v>
      </c>
      <c r="Q1379" s="4">
        <v>1.84</v>
      </c>
      <c r="R1379" s="4">
        <v>13.06</v>
      </c>
      <c r="S1379" s="4">
        <v>0</v>
      </c>
      <c r="T1379" s="4">
        <v>0</v>
      </c>
      <c r="U1379" s="4">
        <v>167.31</v>
      </c>
      <c r="V1379" s="4">
        <v>95.52</v>
      </c>
      <c r="W1379" t="s">
        <v>21</v>
      </c>
      <c r="X1379" t="s">
        <v>36</v>
      </c>
      <c r="Y1379" s="4">
        <v>14</v>
      </c>
      <c r="Z1379" s="4">
        <v>2</v>
      </c>
      <c r="AA1379" t="s">
        <v>37</v>
      </c>
      <c r="AB1379" t="s">
        <v>38</v>
      </c>
      <c r="AC1379" s="7">
        <v>0</v>
      </c>
      <c r="AD1379" t="s">
        <v>39</v>
      </c>
      <c r="AE1379">
        <f t="shared" si="21"/>
        <v>0</v>
      </c>
    </row>
    <row r="1380" spans="1:31" x14ac:dyDescent="0.35">
      <c r="A1380">
        <v>101379</v>
      </c>
      <c r="B1380" s="3">
        <v>45974</v>
      </c>
      <c r="C1380">
        <v>1049</v>
      </c>
      <c r="D1380" t="s">
        <v>47</v>
      </c>
      <c r="E1380" t="s">
        <v>56</v>
      </c>
      <c r="F1380" t="s">
        <v>71</v>
      </c>
      <c r="G1380" t="s">
        <v>46</v>
      </c>
      <c r="H1380" t="s">
        <v>34</v>
      </c>
      <c r="I1380" t="s">
        <v>69</v>
      </c>
      <c r="J1380" s="4">
        <v>40.81</v>
      </c>
      <c r="K1380" s="4">
        <v>15.24</v>
      </c>
      <c r="L1380">
        <v>20</v>
      </c>
      <c r="M1380" s="4">
        <v>124.39</v>
      </c>
      <c r="N1380" s="4">
        <v>497.55</v>
      </c>
      <c r="O1380" s="4">
        <v>301.33999999999997</v>
      </c>
      <c r="P1380" s="4">
        <v>2.5499999999999998</v>
      </c>
      <c r="Q1380" s="4">
        <v>2.4900000000000002</v>
      </c>
      <c r="R1380" s="4">
        <v>5.15</v>
      </c>
      <c r="S1380" s="4">
        <v>0</v>
      </c>
      <c r="T1380" s="4">
        <v>0</v>
      </c>
      <c r="U1380" s="4">
        <v>311.52999999999997</v>
      </c>
      <c r="V1380" s="4">
        <v>186.02</v>
      </c>
      <c r="W1380" t="s">
        <v>21</v>
      </c>
      <c r="X1380" t="s">
        <v>36</v>
      </c>
      <c r="Y1380" s="4">
        <v>17</v>
      </c>
      <c r="Z1380" s="4">
        <v>0</v>
      </c>
      <c r="AA1380" t="s">
        <v>52</v>
      </c>
      <c r="AB1380" t="s">
        <v>38</v>
      </c>
      <c r="AC1380" s="7">
        <v>0</v>
      </c>
      <c r="AD1380" t="s">
        <v>39</v>
      </c>
      <c r="AE1380">
        <f t="shared" si="21"/>
        <v>0</v>
      </c>
    </row>
    <row r="1381" spans="1:31" x14ac:dyDescent="0.35">
      <c r="A1381">
        <v>101380</v>
      </c>
      <c r="B1381" s="3">
        <v>45953</v>
      </c>
      <c r="C1381">
        <v>1125</v>
      </c>
      <c r="D1381" t="s">
        <v>47</v>
      </c>
      <c r="E1381" t="s">
        <v>56</v>
      </c>
      <c r="F1381" t="s">
        <v>49</v>
      </c>
      <c r="G1381" t="s">
        <v>46</v>
      </c>
      <c r="H1381" t="s">
        <v>34</v>
      </c>
      <c r="I1381" t="s">
        <v>35</v>
      </c>
      <c r="J1381" s="4">
        <v>31.48</v>
      </c>
      <c r="K1381" s="4">
        <v>14.51</v>
      </c>
      <c r="L1381">
        <v>15</v>
      </c>
      <c r="M1381" s="4">
        <v>68.52</v>
      </c>
      <c r="N1381" s="4">
        <v>388.25</v>
      </c>
      <c r="O1381" s="4">
        <v>245.13</v>
      </c>
      <c r="P1381" s="4">
        <v>8.19</v>
      </c>
      <c r="Q1381" s="4">
        <v>3.2</v>
      </c>
      <c r="R1381" s="4">
        <v>0.9</v>
      </c>
      <c r="S1381" s="4">
        <v>0</v>
      </c>
      <c r="T1381" s="4">
        <v>0</v>
      </c>
      <c r="U1381" s="4">
        <v>257.42</v>
      </c>
      <c r="V1381" s="4">
        <v>130.83000000000001</v>
      </c>
      <c r="W1381" t="s">
        <v>21</v>
      </c>
      <c r="X1381" t="s">
        <v>36</v>
      </c>
      <c r="Y1381" s="4">
        <v>2</v>
      </c>
      <c r="Z1381" s="4">
        <v>3</v>
      </c>
      <c r="AA1381" t="s">
        <v>37</v>
      </c>
      <c r="AB1381" t="s">
        <v>38</v>
      </c>
      <c r="AC1381" s="7">
        <v>2</v>
      </c>
      <c r="AD1381" t="s">
        <v>39</v>
      </c>
      <c r="AE1381">
        <f t="shared" si="21"/>
        <v>0</v>
      </c>
    </row>
    <row r="1382" spans="1:31" x14ac:dyDescent="0.35">
      <c r="A1382">
        <v>101381</v>
      </c>
      <c r="B1382" s="3">
        <v>45939</v>
      </c>
      <c r="C1382">
        <v>1043</v>
      </c>
      <c r="D1382" t="s">
        <v>64</v>
      </c>
      <c r="E1382" t="s">
        <v>75</v>
      </c>
      <c r="F1382" t="s">
        <v>71</v>
      </c>
      <c r="G1382" t="s">
        <v>63</v>
      </c>
      <c r="H1382" t="s">
        <v>57</v>
      </c>
      <c r="I1382" t="s">
        <v>35</v>
      </c>
      <c r="J1382" s="4">
        <v>12.14</v>
      </c>
      <c r="K1382" s="4">
        <v>13.17</v>
      </c>
      <c r="L1382">
        <v>0</v>
      </c>
      <c r="M1382" s="4">
        <v>0</v>
      </c>
      <c r="N1382" s="4">
        <v>159.88</v>
      </c>
      <c r="O1382" s="4">
        <v>93.8</v>
      </c>
      <c r="P1382" s="4">
        <v>7.14</v>
      </c>
      <c r="Q1382" s="4">
        <v>1.1200000000000001</v>
      </c>
      <c r="R1382" s="4">
        <v>12.7</v>
      </c>
      <c r="S1382" s="4">
        <v>0</v>
      </c>
      <c r="T1382" s="4">
        <v>0</v>
      </c>
      <c r="U1382" s="4">
        <v>114.76</v>
      </c>
      <c r="V1382" s="4">
        <v>45.12</v>
      </c>
      <c r="W1382" t="s">
        <v>21</v>
      </c>
      <c r="X1382" t="s">
        <v>36</v>
      </c>
      <c r="Y1382" s="4">
        <v>8</v>
      </c>
      <c r="Z1382" s="4">
        <v>0</v>
      </c>
      <c r="AA1382" t="s">
        <v>37</v>
      </c>
      <c r="AB1382" t="s">
        <v>38</v>
      </c>
      <c r="AC1382" s="7">
        <v>0</v>
      </c>
      <c r="AD1382" t="s">
        <v>39</v>
      </c>
      <c r="AE1382">
        <f t="shared" si="21"/>
        <v>0</v>
      </c>
    </row>
    <row r="1383" spans="1:31" x14ac:dyDescent="0.35">
      <c r="A1383">
        <v>101382</v>
      </c>
      <c r="B1383" s="3">
        <v>45959</v>
      </c>
      <c r="C1383">
        <v>1021</v>
      </c>
      <c r="D1383" t="s">
        <v>47</v>
      </c>
      <c r="E1383" t="s">
        <v>56</v>
      </c>
      <c r="F1383" t="s">
        <v>49</v>
      </c>
      <c r="G1383" t="s">
        <v>46</v>
      </c>
      <c r="H1383" t="s">
        <v>34</v>
      </c>
      <c r="I1383" t="s">
        <v>54</v>
      </c>
      <c r="J1383" s="4">
        <v>31.26</v>
      </c>
      <c r="K1383" s="4">
        <v>15.84</v>
      </c>
      <c r="L1383">
        <v>10</v>
      </c>
      <c r="M1383" s="4">
        <v>49.52</v>
      </c>
      <c r="N1383" s="4">
        <v>445.64</v>
      </c>
      <c r="O1383" s="4">
        <v>247.88</v>
      </c>
      <c r="P1383" s="4">
        <v>13.12</v>
      </c>
      <c r="Q1383" s="4">
        <v>5.94</v>
      </c>
      <c r="R1383" s="4">
        <v>9.36</v>
      </c>
      <c r="S1383" s="4">
        <v>390.4</v>
      </c>
      <c r="T1383" s="4">
        <v>0</v>
      </c>
      <c r="U1383" s="4">
        <v>666.7</v>
      </c>
      <c r="V1383" s="4">
        <v>-221.06</v>
      </c>
      <c r="W1383" t="s">
        <v>58</v>
      </c>
      <c r="X1383" t="s">
        <v>66</v>
      </c>
      <c r="Y1383" s="4">
        <v>1</v>
      </c>
      <c r="Z1383" s="4">
        <v>17</v>
      </c>
      <c r="AA1383" t="s">
        <v>37</v>
      </c>
      <c r="AB1383" t="s">
        <v>44</v>
      </c>
      <c r="AC1383" s="7">
        <v>1</v>
      </c>
      <c r="AD1383" t="s">
        <v>45</v>
      </c>
      <c r="AE1383">
        <f t="shared" si="21"/>
        <v>1</v>
      </c>
    </row>
    <row r="1384" spans="1:31" x14ac:dyDescent="0.35">
      <c r="A1384">
        <v>101383</v>
      </c>
      <c r="B1384" s="3">
        <v>45941</v>
      </c>
      <c r="C1384">
        <v>1113</v>
      </c>
      <c r="D1384" t="s">
        <v>47</v>
      </c>
      <c r="E1384" t="s">
        <v>48</v>
      </c>
      <c r="F1384" t="s">
        <v>71</v>
      </c>
      <c r="G1384" t="s">
        <v>63</v>
      </c>
      <c r="H1384" t="s">
        <v>51</v>
      </c>
      <c r="I1384" t="s">
        <v>54</v>
      </c>
      <c r="J1384" s="4">
        <v>21.97</v>
      </c>
      <c r="K1384" s="4">
        <v>11.49</v>
      </c>
      <c r="L1384">
        <v>10</v>
      </c>
      <c r="M1384" s="4">
        <v>25.24</v>
      </c>
      <c r="N1384" s="4">
        <v>227.2</v>
      </c>
      <c r="O1384" s="4">
        <v>159.44999999999999</v>
      </c>
      <c r="P1384" s="4">
        <v>2.94</v>
      </c>
      <c r="Q1384" s="4">
        <v>3.03</v>
      </c>
      <c r="R1384" s="4">
        <v>8.89</v>
      </c>
      <c r="S1384" s="4">
        <v>0</v>
      </c>
      <c r="T1384" s="4">
        <v>0</v>
      </c>
      <c r="U1384" s="4">
        <v>174.31</v>
      </c>
      <c r="V1384" s="4">
        <v>52.89</v>
      </c>
      <c r="W1384" t="s">
        <v>21</v>
      </c>
      <c r="X1384" t="s">
        <v>36</v>
      </c>
      <c r="Y1384" s="4">
        <v>3</v>
      </c>
      <c r="Z1384" s="4">
        <v>1</v>
      </c>
      <c r="AA1384" t="s">
        <v>37</v>
      </c>
      <c r="AB1384" t="s">
        <v>38</v>
      </c>
      <c r="AC1384" s="7">
        <v>0</v>
      </c>
      <c r="AD1384" t="s">
        <v>39</v>
      </c>
      <c r="AE1384">
        <f t="shared" si="21"/>
        <v>0</v>
      </c>
    </row>
    <row r="1385" spans="1:31" x14ac:dyDescent="0.35">
      <c r="A1385">
        <v>101384</v>
      </c>
      <c r="B1385" s="3">
        <v>46015</v>
      </c>
      <c r="C1385">
        <v>1145</v>
      </c>
      <c r="D1385" t="s">
        <v>30</v>
      </c>
      <c r="E1385" t="s">
        <v>72</v>
      </c>
      <c r="F1385" t="s">
        <v>41</v>
      </c>
      <c r="G1385" t="s">
        <v>46</v>
      </c>
      <c r="H1385" t="s">
        <v>34</v>
      </c>
      <c r="I1385" t="s">
        <v>35</v>
      </c>
      <c r="J1385" s="4">
        <v>39.78</v>
      </c>
      <c r="K1385" s="4">
        <v>16.170000000000002</v>
      </c>
      <c r="L1385">
        <v>15</v>
      </c>
      <c r="M1385" s="4">
        <v>96.49</v>
      </c>
      <c r="N1385" s="4">
        <v>546.75</v>
      </c>
      <c r="O1385" s="4">
        <v>277.05</v>
      </c>
      <c r="P1385" s="4">
        <v>6.14</v>
      </c>
      <c r="Q1385" s="4">
        <v>4.5</v>
      </c>
      <c r="R1385" s="4">
        <v>4.3099999999999996</v>
      </c>
      <c r="S1385" s="4">
        <v>0</v>
      </c>
      <c r="T1385" s="4">
        <v>0</v>
      </c>
      <c r="U1385" s="4">
        <v>292</v>
      </c>
      <c r="V1385" s="4">
        <v>254.75</v>
      </c>
      <c r="W1385" t="s">
        <v>21</v>
      </c>
      <c r="X1385" t="s">
        <v>36</v>
      </c>
      <c r="Y1385" s="4">
        <v>9</v>
      </c>
      <c r="Z1385" s="4">
        <v>3</v>
      </c>
      <c r="AA1385" t="s">
        <v>37</v>
      </c>
      <c r="AB1385" t="s">
        <v>38</v>
      </c>
      <c r="AC1385" s="7">
        <v>0</v>
      </c>
      <c r="AD1385" t="s">
        <v>39</v>
      </c>
      <c r="AE1385">
        <f t="shared" si="21"/>
        <v>0</v>
      </c>
    </row>
    <row r="1386" spans="1:31" x14ac:dyDescent="0.35">
      <c r="A1386">
        <v>101385</v>
      </c>
      <c r="B1386" s="3">
        <v>45973</v>
      </c>
      <c r="C1386">
        <v>1067</v>
      </c>
      <c r="D1386" t="s">
        <v>64</v>
      </c>
      <c r="E1386" t="s">
        <v>76</v>
      </c>
      <c r="F1386" t="s">
        <v>49</v>
      </c>
      <c r="G1386" t="s">
        <v>63</v>
      </c>
      <c r="H1386" t="s">
        <v>34</v>
      </c>
      <c r="I1386" t="s">
        <v>35</v>
      </c>
      <c r="J1386" s="4">
        <v>10.68</v>
      </c>
      <c r="K1386" s="4">
        <v>13.14</v>
      </c>
      <c r="L1386">
        <v>15</v>
      </c>
      <c r="M1386" s="4">
        <v>21.05</v>
      </c>
      <c r="N1386" s="4">
        <v>119.29</v>
      </c>
      <c r="O1386" s="4">
        <v>73.58</v>
      </c>
      <c r="P1386" s="4">
        <v>2.23</v>
      </c>
      <c r="Q1386" s="4">
        <v>0.98</v>
      </c>
      <c r="R1386" s="4">
        <v>5.9</v>
      </c>
      <c r="S1386" s="4">
        <v>0</v>
      </c>
      <c r="T1386" s="4">
        <v>0</v>
      </c>
      <c r="U1386" s="4">
        <v>82.69</v>
      </c>
      <c r="V1386" s="4">
        <v>36.6</v>
      </c>
      <c r="W1386" t="s">
        <v>21</v>
      </c>
      <c r="X1386" t="s">
        <v>36</v>
      </c>
      <c r="Y1386" s="4">
        <v>5</v>
      </c>
      <c r="Z1386" s="4">
        <v>8</v>
      </c>
      <c r="AA1386" t="s">
        <v>37</v>
      </c>
      <c r="AB1386" t="s">
        <v>38</v>
      </c>
      <c r="AC1386" s="7">
        <v>0</v>
      </c>
      <c r="AD1386" t="s">
        <v>39</v>
      </c>
      <c r="AE1386">
        <f t="shared" si="21"/>
        <v>0</v>
      </c>
    </row>
    <row r="1387" spans="1:31" x14ac:dyDescent="0.35">
      <c r="A1387">
        <v>101386</v>
      </c>
      <c r="B1387" s="3">
        <v>46021</v>
      </c>
      <c r="C1387">
        <v>1113</v>
      </c>
      <c r="D1387" t="s">
        <v>30</v>
      </c>
      <c r="E1387" t="s">
        <v>31</v>
      </c>
      <c r="F1387" t="s">
        <v>71</v>
      </c>
      <c r="G1387" t="s">
        <v>46</v>
      </c>
      <c r="H1387" t="s">
        <v>34</v>
      </c>
      <c r="I1387" t="s">
        <v>42</v>
      </c>
      <c r="J1387" s="4">
        <v>30.3</v>
      </c>
      <c r="K1387" s="4">
        <v>15.94</v>
      </c>
      <c r="L1387">
        <v>0</v>
      </c>
      <c r="M1387" s="4">
        <v>0</v>
      </c>
      <c r="N1387" s="4">
        <v>482.98</v>
      </c>
      <c r="O1387" s="4">
        <v>220.24</v>
      </c>
      <c r="P1387" s="4">
        <v>9.8699999999999992</v>
      </c>
      <c r="Q1387" s="4">
        <v>7.24</v>
      </c>
      <c r="R1387" s="4">
        <v>5.68</v>
      </c>
      <c r="S1387" s="4">
        <v>0</v>
      </c>
      <c r="T1387" s="4">
        <v>0</v>
      </c>
      <c r="U1387" s="4">
        <v>243.03</v>
      </c>
      <c r="V1387" s="4">
        <v>239.95</v>
      </c>
      <c r="W1387" t="s">
        <v>21</v>
      </c>
      <c r="X1387" t="s">
        <v>36</v>
      </c>
      <c r="Y1387" s="4">
        <v>0</v>
      </c>
      <c r="Z1387" s="4">
        <v>8</v>
      </c>
      <c r="AA1387" t="s">
        <v>37</v>
      </c>
      <c r="AB1387" t="s">
        <v>38</v>
      </c>
      <c r="AC1387" s="7">
        <v>2</v>
      </c>
      <c r="AD1387" t="s">
        <v>39</v>
      </c>
      <c r="AE1387">
        <f t="shared" si="21"/>
        <v>0</v>
      </c>
    </row>
    <row r="1388" spans="1:31" x14ac:dyDescent="0.35">
      <c r="A1388">
        <v>101387</v>
      </c>
      <c r="B1388" s="3">
        <v>45950</v>
      </c>
      <c r="C1388">
        <v>1135</v>
      </c>
      <c r="D1388" t="s">
        <v>59</v>
      </c>
      <c r="E1388" t="s">
        <v>68</v>
      </c>
      <c r="F1388" t="s">
        <v>61</v>
      </c>
      <c r="G1388" t="s">
        <v>63</v>
      </c>
      <c r="H1388" t="s">
        <v>34</v>
      </c>
      <c r="I1388" t="s">
        <v>42</v>
      </c>
      <c r="J1388" s="4">
        <v>9.51</v>
      </c>
      <c r="K1388" s="4">
        <v>12.17</v>
      </c>
      <c r="L1388">
        <v>0</v>
      </c>
      <c r="M1388" s="4">
        <v>0</v>
      </c>
      <c r="N1388" s="4">
        <v>115.74</v>
      </c>
      <c r="O1388" s="4">
        <v>64.67</v>
      </c>
      <c r="P1388" s="4">
        <v>12.1</v>
      </c>
      <c r="Q1388" s="4">
        <v>1.74</v>
      </c>
      <c r="R1388" s="4">
        <v>0.19</v>
      </c>
      <c r="S1388" s="4">
        <v>0</v>
      </c>
      <c r="T1388" s="4">
        <v>0</v>
      </c>
      <c r="U1388" s="4">
        <v>78.7</v>
      </c>
      <c r="V1388" s="4">
        <v>37.04</v>
      </c>
      <c r="W1388" t="s">
        <v>21</v>
      </c>
      <c r="X1388" t="s">
        <v>36</v>
      </c>
      <c r="Y1388" s="4">
        <v>5</v>
      </c>
      <c r="Z1388" s="4">
        <v>14</v>
      </c>
      <c r="AA1388" t="s">
        <v>37</v>
      </c>
      <c r="AB1388" t="s">
        <v>38</v>
      </c>
      <c r="AC1388" s="7">
        <v>0</v>
      </c>
      <c r="AD1388" t="s">
        <v>39</v>
      </c>
      <c r="AE1388">
        <f t="shared" si="21"/>
        <v>0</v>
      </c>
    </row>
    <row r="1389" spans="1:31" x14ac:dyDescent="0.35">
      <c r="A1389">
        <v>101388</v>
      </c>
      <c r="B1389" s="3">
        <v>46018</v>
      </c>
      <c r="C1389">
        <v>1134</v>
      </c>
      <c r="D1389" t="s">
        <v>59</v>
      </c>
      <c r="E1389" t="s">
        <v>73</v>
      </c>
      <c r="F1389" t="s">
        <v>41</v>
      </c>
      <c r="G1389" t="s">
        <v>46</v>
      </c>
      <c r="H1389" t="s">
        <v>57</v>
      </c>
      <c r="I1389" t="s">
        <v>35</v>
      </c>
      <c r="J1389" s="4">
        <v>32.11</v>
      </c>
      <c r="K1389" s="4">
        <v>15.86</v>
      </c>
      <c r="L1389">
        <v>0</v>
      </c>
      <c r="M1389" s="4">
        <v>0</v>
      </c>
      <c r="N1389" s="4">
        <v>509.26</v>
      </c>
      <c r="O1389" s="4">
        <v>229.73</v>
      </c>
      <c r="P1389" s="4">
        <v>5.14</v>
      </c>
      <c r="Q1389" s="4">
        <v>3.56</v>
      </c>
      <c r="R1389" s="4">
        <v>0.85</v>
      </c>
      <c r="S1389" s="4">
        <v>413.53</v>
      </c>
      <c r="T1389" s="4">
        <v>19.57</v>
      </c>
      <c r="U1389" s="4">
        <v>672.38</v>
      </c>
      <c r="V1389" s="4">
        <v>-163.12</v>
      </c>
      <c r="W1389" t="s">
        <v>58</v>
      </c>
      <c r="X1389" t="s">
        <v>55</v>
      </c>
      <c r="Y1389" s="4">
        <v>20</v>
      </c>
      <c r="Z1389" s="4">
        <v>4</v>
      </c>
      <c r="AA1389" t="s">
        <v>52</v>
      </c>
      <c r="AB1389" t="s">
        <v>44</v>
      </c>
      <c r="AC1389" s="7">
        <v>3</v>
      </c>
      <c r="AD1389" t="s">
        <v>45</v>
      </c>
      <c r="AE1389">
        <f t="shared" si="21"/>
        <v>1</v>
      </c>
    </row>
    <row r="1390" spans="1:31" x14ac:dyDescent="0.35">
      <c r="A1390">
        <v>101389</v>
      </c>
      <c r="B1390" s="3">
        <v>45960</v>
      </c>
      <c r="C1390">
        <v>1035</v>
      </c>
      <c r="D1390" t="s">
        <v>47</v>
      </c>
      <c r="E1390" t="s">
        <v>74</v>
      </c>
      <c r="F1390" t="s">
        <v>32</v>
      </c>
      <c r="G1390" t="s">
        <v>50</v>
      </c>
      <c r="H1390" t="s">
        <v>34</v>
      </c>
      <c r="I1390" t="s">
        <v>35</v>
      </c>
      <c r="J1390" s="4">
        <v>26.26</v>
      </c>
      <c r="K1390" s="4">
        <v>17.78</v>
      </c>
      <c r="L1390">
        <v>10</v>
      </c>
      <c r="M1390" s="4">
        <v>46.69</v>
      </c>
      <c r="N1390" s="4">
        <v>420.21</v>
      </c>
      <c r="O1390" s="4">
        <v>208.28</v>
      </c>
      <c r="P1390" s="4">
        <v>11.16</v>
      </c>
      <c r="Q1390" s="4">
        <v>3.27</v>
      </c>
      <c r="R1390" s="4">
        <v>2.61</v>
      </c>
      <c r="S1390" s="4">
        <v>0</v>
      </c>
      <c r="T1390" s="4">
        <v>0</v>
      </c>
      <c r="U1390" s="4">
        <v>225.32</v>
      </c>
      <c r="V1390" s="4">
        <v>194.89</v>
      </c>
      <c r="W1390" t="s">
        <v>21</v>
      </c>
      <c r="X1390" t="s">
        <v>36</v>
      </c>
      <c r="Y1390" s="4">
        <v>24</v>
      </c>
      <c r="Z1390" s="4">
        <v>14</v>
      </c>
      <c r="AA1390" t="s">
        <v>52</v>
      </c>
      <c r="AB1390" t="s">
        <v>44</v>
      </c>
      <c r="AC1390" s="7">
        <v>2</v>
      </c>
      <c r="AD1390" t="s">
        <v>45</v>
      </c>
      <c r="AE1390">
        <f t="shared" si="21"/>
        <v>1</v>
      </c>
    </row>
    <row r="1391" spans="1:31" x14ac:dyDescent="0.35">
      <c r="A1391">
        <v>101390</v>
      </c>
      <c r="B1391" s="3">
        <v>46014</v>
      </c>
      <c r="C1391">
        <v>1003</v>
      </c>
      <c r="D1391" t="s">
        <v>64</v>
      </c>
      <c r="E1391" t="s">
        <v>76</v>
      </c>
      <c r="F1391" t="s">
        <v>61</v>
      </c>
      <c r="G1391" t="s">
        <v>46</v>
      </c>
      <c r="H1391" t="s">
        <v>34</v>
      </c>
      <c r="I1391" t="s">
        <v>42</v>
      </c>
      <c r="J1391" s="4">
        <v>30.47</v>
      </c>
      <c r="K1391" s="4">
        <v>16.48</v>
      </c>
      <c r="L1391">
        <v>5</v>
      </c>
      <c r="M1391" s="4">
        <v>25.11</v>
      </c>
      <c r="N1391" s="4">
        <v>477.04</v>
      </c>
      <c r="O1391" s="4">
        <v>217.91</v>
      </c>
      <c r="P1391" s="4">
        <v>4.7300000000000004</v>
      </c>
      <c r="Q1391" s="4">
        <v>7.53</v>
      </c>
      <c r="R1391" s="4">
        <v>2.77</v>
      </c>
      <c r="S1391" s="4">
        <v>0</v>
      </c>
      <c r="T1391" s="4">
        <v>0</v>
      </c>
      <c r="U1391" s="4">
        <v>232.94</v>
      </c>
      <c r="V1391" s="4">
        <v>244.1</v>
      </c>
      <c r="W1391" t="s">
        <v>21</v>
      </c>
      <c r="X1391" t="s">
        <v>36</v>
      </c>
      <c r="Y1391" s="4">
        <v>19</v>
      </c>
      <c r="Z1391" s="4">
        <v>10</v>
      </c>
      <c r="AA1391" t="s">
        <v>52</v>
      </c>
      <c r="AB1391" t="s">
        <v>38</v>
      </c>
      <c r="AC1391" s="7">
        <v>2</v>
      </c>
      <c r="AD1391" t="s">
        <v>39</v>
      </c>
      <c r="AE1391">
        <f t="shared" si="21"/>
        <v>0</v>
      </c>
    </row>
    <row r="1392" spans="1:31" x14ac:dyDescent="0.35">
      <c r="A1392">
        <v>101391</v>
      </c>
      <c r="B1392" s="3">
        <v>46001</v>
      </c>
      <c r="C1392">
        <v>1097</v>
      </c>
      <c r="D1392" t="s">
        <v>30</v>
      </c>
      <c r="E1392" t="s">
        <v>62</v>
      </c>
      <c r="F1392" t="s">
        <v>49</v>
      </c>
      <c r="G1392" t="s">
        <v>63</v>
      </c>
      <c r="H1392" t="s">
        <v>51</v>
      </c>
      <c r="I1392" t="s">
        <v>35</v>
      </c>
      <c r="J1392" s="4">
        <v>18.079999999999998</v>
      </c>
      <c r="K1392" s="4">
        <v>13.78</v>
      </c>
      <c r="L1392">
        <v>0</v>
      </c>
      <c r="M1392" s="4">
        <v>0</v>
      </c>
      <c r="N1392" s="4">
        <v>249.14</v>
      </c>
      <c r="O1392" s="4">
        <v>108.39</v>
      </c>
      <c r="P1392" s="4">
        <v>10.44</v>
      </c>
      <c r="Q1392" s="4">
        <v>1.74</v>
      </c>
      <c r="R1392" s="4">
        <v>8.92</v>
      </c>
      <c r="S1392" s="4">
        <v>0</v>
      </c>
      <c r="T1392" s="4">
        <v>0</v>
      </c>
      <c r="U1392" s="4">
        <v>129.49</v>
      </c>
      <c r="V1392" s="4">
        <v>119.65</v>
      </c>
      <c r="W1392" t="s">
        <v>21</v>
      </c>
      <c r="X1392" t="s">
        <v>36</v>
      </c>
      <c r="Y1392" s="4">
        <v>45</v>
      </c>
      <c r="Z1392" s="4">
        <v>15</v>
      </c>
      <c r="AA1392" t="s">
        <v>43</v>
      </c>
      <c r="AB1392" t="s">
        <v>44</v>
      </c>
      <c r="AC1392" s="7">
        <v>3</v>
      </c>
      <c r="AD1392" t="s">
        <v>45</v>
      </c>
      <c r="AE1392">
        <f t="shared" si="21"/>
        <v>1</v>
      </c>
    </row>
    <row r="1393" spans="1:31" x14ac:dyDescent="0.35">
      <c r="A1393">
        <v>101392</v>
      </c>
      <c r="B1393" s="3">
        <v>46008</v>
      </c>
      <c r="C1393">
        <v>1114</v>
      </c>
      <c r="D1393" t="s">
        <v>59</v>
      </c>
      <c r="E1393" t="s">
        <v>60</v>
      </c>
      <c r="F1393" t="s">
        <v>49</v>
      </c>
      <c r="G1393" t="s">
        <v>46</v>
      </c>
      <c r="H1393" t="s">
        <v>34</v>
      </c>
      <c r="I1393" t="s">
        <v>35</v>
      </c>
      <c r="J1393" s="4">
        <v>13.92</v>
      </c>
      <c r="K1393" s="4">
        <v>15.47</v>
      </c>
      <c r="L1393">
        <v>5</v>
      </c>
      <c r="M1393" s="4">
        <v>10.77</v>
      </c>
      <c r="N1393" s="4">
        <v>204.57</v>
      </c>
      <c r="O1393" s="4">
        <v>104.19</v>
      </c>
      <c r="P1393" s="4">
        <v>6.91</v>
      </c>
      <c r="Q1393" s="4">
        <v>1.51</v>
      </c>
      <c r="R1393" s="4">
        <v>7.91</v>
      </c>
      <c r="S1393" s="4">
        <v>0</v>
      </c>
      <c r="T1393" s="4">
        <v>0</v>
      </c>
      <c r="U1393" s="4">
        <v>120.52</v>
      </c>
      <c r="V1393" s="4">
        <v>84.05</v>
      </c>
      <c r="W1393" t="s">
        <v>21</v>
      </c>
      <c r="X1393" t="s">
        <v>36</v>
      </c>
      <c r="Y1393" s="4">
        <v>6</v>
      </c>
      <c r="Z1393" s="4">
        <v>14</v>
      </c>
      <c r="AA1393" t="s">
        <v>37</v>
      </c>
      <c r="AB1393" t="s">
        <v>38</v>
      </c>
      <c r="AC1393" s="7">
        <v>0</v>
      </c>
      <c r="AD1393" t="s">
        <v>39</v>
      </c>
      <c r="AE1393">
        <f t="shared" si="21"/>
        <v>0</v>
      </c>
    </row>
    <row r="1394" spans="1:31" x14ac:dyDescent="0.35">
      <c r="A1394">
        <v>101393</v>
      </c>
      <c r="B1394" s="3">
        <v>45938</v>
      </c>
      <c r="C1394">
        <v>1049</v>
      </c>
      <c r="D1394" t="s">
        <v>30</v>
      </c>
      <c r="E1394" t="s">
        <v>72</v>
      </c>
      <c r="F1394" t="s">
        <v>49</v>
      </c>
      <c r="G1394" t="s">
        <v>63</v>
      </c>
      <c r="H1394" t="s">
        <v>34</v>
      </c>
      <c r="I1394" t="s">
        <v>69</v>
      </c>
      <c r="J1394" s="4">
        <v>18.010000000000002</v>
      </c>
      <c r="K1394" s="4">
        <v>11.82</v>
      </c>
      <c r="L1394">
        <v>10</v>
      </c>
      <c r="M1394" s="4">
        <v>21.29</v>
      </c>
      <c r="N1394" s="4">
        <v>191.59</v>
      </c>
      <c r="O1394" s="4">
        <v>98.97</v>
      </c>
      <c r="P1394" s="4">
        <v>5.52</v>
      </c>
      <c r="Q1394" s="4">
        <v>0.85</v>
      </c>
      <c r="R1394" s="4">
        <v>9.94</v>
      </c>
      <c r="S1394" s="4">
        <v>0</v>
      </c>
      <c r="T1394" s="4">
        <v>0</v>
      </c>
      <c r="U1394" s="4">
        <v>115.28</v>
      </c>
      <c r="V1394" s="4">
        <v>76.31</v>
      </c>
      <c r="W1394" t="s">
        <v>21</v>
      </c>
      <c r="X1394" t="s">
        <v>36</v>
      </c>
      <c r="Y1394" s="4">
        <v>39</v>
      </c>
      <c r="Z1394" s="4">
        <v>5</v>
      </c>
      <c r="AA1394" t="s">
        <v>43</v>
      </c>
      <c r="AB1394" t="s">
        <v>44</v>
      </c>
      <c r="AC1394" s="7">
        <v>2</v>
      </c>
      <c r="AD1394" t="s">
        <v>45</v>
      </c>
      <c r="AE1394">
        <f t="shared" si="21"/>
        <v>1</v>
      </c>
    </row>
    <row r="1395" spans="1:31" x14ac:dyDescent="0.35">
      <c r="A1395">
        <v>101394</v>
      </c>
      <c r="B1395" s="3">
        <v>45950</v>
      </c>
      <c r="C1395">
        <v>1078</v>
      </c>
      <c r="D1395" t="s">
        <v>47</v>
      </c>
      <c r="E1395" t="s">
        <v>48</v>
      </c>
      <c r="F1395" t="s">
        <v>49</v>
      </c>
      <c r="G1395" t="s">
        <v>46</v>
      </c>
      <c r="H1395" t="s">
        <v>34</v>
      </c>
      <c r="I1395" t="s">
        <v>35</v>
      </c>
      <c r="J1395" s="4">
        <v>33.93</v>
      </c>
      <c r="K1395" s="4">
        <v>16.84</v>
      </c>
      <c r="L1395">
        <v>5</v>
      </c>
      <c r="M1395" s="4">
        <v>28.57</v>
      </c>
      <c r="N1395" s="4">
        <v>542.80999999999995</v>
      </c>
      <c r="O1395" s="4">
        <v>176.96</v>
      </c>
      <c r="P1395" s="4">
        <v>1</v>
      </c>
      <c r="Q1395" s="4">
        <v>4</v>
      </c>
      <c r="R1395" s="4">
        <v>4.3600000000000003</v>
      </c>
      <c r="S1395" s="4">
        <v>0</v>
      </c>
      <c r="T1395" s="4">
        <v>0</v>
      </c>
      <c r="U1395" s="4">
        <v>186.32</v>
      </c>
      <c r="V1395" s="4">
        <v>356.49</v>
      </c>
      <c r="W1395" t="s">
        <v>21</v>
      </c>
      <c r="X1395" t="s">
        <v>36</v>
      </c>
      <c r="Y1395" s="4">
        <v>8</v>
      </c>
      <c r="Z1395" s="4">
        <v>2</v>
      </c>
      <c r="AA1395" t="s">
        <v>37</v>
      </c>
      <c r="AB1395" t="s">
        <v>38</v>
      </c>
      <c r="AC1395" s="7">
        <v>0</v>
      </c>
      <c r="AD1395" t="s">
        <v>39</v>
      </c>
      <c r="AE1395">
        <f t="shared" si="21"/>
        <v>0</v>
      </c>
    </row>
    <row r="1396" spans="1:31" x14ac:dyDescent="0.35">
      <c r="A1396">
        <v>101395</v>
      </c>
      <c r="B1396" s="3">
        <v>45956</v>
      </c>
      <c r="C1396">
        <v>1024</v>
      </c>
      <c r="D1396" t="s">
        <v>59</v>
      </c>
      <c r="E1396" t="s">
        <v>73</v>
      </c>
      <c r="F1396" t="s">
        <v>61</v>
      </c>
      <c r="G1396" t="s">
        <v>46</v>
      </c>
      <c r="H1396" t="s">
        <v>34</v>
      </c>
      <c r="I1396" t="s">
        <v>69</v>
      </c>
      <c r="J1396" s="4">
        <v>16.97</v>
      </c>
      <c r="K1396" s="4">
        <v>15.95</v>
      </c>
      <c r="L1396">
        <v>0</v>
      </c>
      <c r="M1396" s="4">
        <v>0</v>
      </c>
      <c r="N1396" s="4">
        <v>270.67</v>
      </c>
      <c r="O1396" s="4">
        <v>131.86000000000001</v>
      </c>
      <c r="P1396" s="4">
        <v>6.77</v>
      </c>
      <c r="Q1396" s="4">
        <v>1.08</v>
      </c>
      <c r="R1396" s="4">
        <v>11.51</v>
      </c>
      <c r="S1396" s="4">
        <v>0</v>
      </c>
      <c r="T1396" s="4">
        <v>0</v>
      </c>
      <c r="U1396" s="4">
        <v>151.22</v>
      </c>
      <c r="V1396" s="4">
        <v>119.45</v>
      </c>
      <c r="W1396" t="s">
        <v>21</v>
      </c>
      <c r="X1396" t="s">
        <v>36</v>
      </c>
      <c r="Y1396" s="4">
        <v>18</v>
      </c>
      <c r="Z1396" s="4">
        <v>0</v>
      </c>
      <c r="AA1396" t="s">
        <v>52</v>
      </c>
      <c r="AB1396" t="s">
        <v>38</v>
      </c>
      <c r="AC1396" s="7">
        <v>0</v>
      </c>
      <c r="AD1396" t="s">
        <v>39</v>
      </c>
      <c r="AE1396">
        <f t="shared" si="21"/>
        <v>0</v>
      </c>
    </row>
    <row r="1397" spans="1:31" x14ac:dyDescent="0.35">
      <c r="A1397">
        <v>101396</v>
      </c>
      <c r="B1397" s="3">
        <v>45985</v>
      </c>
      <c r="C1397">
        <v>1089</v>
      </c>
      <c r="D1397" t="s">
        <v>59</v>
      </c>
      <c r="E1397" t="s">
        <v>68</v>
      </c>
      <c r="F1397" t="s">
        <v>49</v>
      </c>
      <c r="G1397" t="s">
        <v>33</v>
      </c>
      <c r="H1397" t="s">
        <v>34</v>
      </c>
      <c r="I1397" t="s">
        <v>35</v>
      </c>
      <c r="J1397" s="4">
        <v>35.06</v>
      </c>
      <c r="K1397" s="4">
        <v>18.899999999999999</v>
      </c>
      <c r="L1397">
        <v>0</v>
      </c>
      <c r="M1397" s="4">
        <v>0</v>
      </c>
      <c r="N1397" s="4">
        <v>662.63</v>
      </c>
      <c r="O1397" s="4">
        <v>224.16</v>
      </c>
      <c r="P1397" s="4">
        <v>6.6</v>
      </c>
      <c r="Q1397" s="4">
        <v>4.6399999999999997</v>
      </c>
      <c r="R1397" s="4">
        <v>10.119999999999999</v>
      </c>
      <c r="S1397" s="4">
        <v>0</v>
      </c>
      <c r="T1397" s="4">
        <v>0</v>
      </c>
      <c r="U1397" s="4">
        <v>245.52</v>
      </c>
      <c r="V1397" s="4">
        <v>417.11</v>
      </c>
      <c r="W1397" t="s">
        <v>21</v>
      </c>
      <c r="X1397" t="s">
        <v>36</v>
      </c>
      <c r="Y1397" s="4">
        <v>18</v>
      </c>
      <c r="Z1397" s="4">
        <v>10</v>
      </c>
      <c r="AA1397" t="s">
        <v>52</v>
      </c>
      <c r="AB1397" t="s">
        <v>38</v>
      </c>
      <c r="AC1397" s="7">
        <v>0</v>
      </c>
      <c r="AD1397" t="s">
        <v>39</v>
      </c>
      <c r="AE1397">
        <f t="shared" si="21"/>
        <v>0</v>
      </c>
    </row>
    <row r="1398" spans="1:31" x14ac:dyDescent="0.35">
      <c r="A1398">
        <v>101397</v>
      </c>
      <c r="B1398" s="3">
        <v>45941</v>
      </c>
      <c r="C1398">
        <v>1065</v>
      </c>
      <c r="D1398" t="s">
        <v>59</v>
      </c>
      <c r="E1398" t="s">
        <v>73</v>
      </c>
      <c r="F1398" t="s">
        <v>49</v>
      </c>
      <c r="G1398" t="s">
        <v>63</v>
      </c>
      <c r="H1398" t="s">
        <v>57</v>
      </c>
      <c r="I1398" t="s">
        <v>35</v>
      </c>
      <c r="J1398" s="4">
        <v>17.41</v>
      </c>
      <c r="K1398" s="4">
        <v>11.45</v>
      </c>
      <c r="L1398">
        <v>20</v>
      </c>
      <c r="M1398" s="4">
        <v>39.869999999999997</v>
      </c>
      <c r="N1398" s="4">
        <v>159.47</v>
      </c>
      <c r="O1398" s="4">
        <v>104.6</v>
      </c>
      <c r="P1398" s="4">
        <v>10.49</v>
      </c>
      <c r="Q1398" s="4">
        <v>1.4</v>
      </c>
      <c r="R1398" s="4">
        <v>0</v>
      </c>
      <c r="S1398" s="4">
        <v>0</v>
      </c>
      <c r="T1398" s="4">
        <v>0</v>
      </c>
      <c r="U1398" s="4">
        <v>116.49</v>
      </c>
      <c r="V1398" s="4">
        <v>42.98</v>
      </c>
      <c r="W1398" t="s">
        <v>21</v>
      </c>
      <c r="X1398" t="s">
        <v>36</v>
      </c>
      <c r="Y1398" s="4">
        <v>25</v>
      </c>
      <c r="Z1398" s="4">
        <v>23</v>
      </c>
      <c r="AA1398" t="s">
        <v>52</v>
      </c>
      <c r="AB1398" t="s">
        <v>44</v>
      </c>
      <c r="AC1398" s="7">
        <v>1</v>
      </c>
      <c r="AD1398" t="s">
        <v>45</v>
      </c>
      <c r="AE1398">
        <f t="shared" si="21"/>
        <v>1</v>
      </c>
    </row>
    <row r="1399" spans="1:31" x14ac:dyDescent="0.35">
      <c r="A1399">
        <v>101398</v>
      </c>
      <c r="B1399" s="3">
        <v>45949</v>
      </c>
      <c r="C1399">
        <v>1005</v>
      </c>
      <c r="D1399" t="s">
        <v>59</v>
      </c>
      <c r="E1399" t="s">
        <v>70</v>
      </c>
      <c r="F1399" t="s">
        <v>71</v>
      </c>
      <c r="G1399" t="s">
        <v>50</v>
      </c>
      <c r="H1399" t="s">
        <v>34</v>
      </c>
      <c r="I1399" t="s">
        <v>35</v>
      </c>
      <c r="J1399" s="4">
        <v>15.77</v>
      </c>
      <c r="K1399" s="4">
        <v>17.23</v>
      </c>
      <c r="L1399">
        <v>15</v>
      </c>
      <c r="M1399" s="4">
        <v>40.76</v>
      </c>
      <c r="N1399" s="4">
        <v>230.96</v>
      </c>
      <c r="O1399" s="4">
        <v>92.55</v>
      </c>
      <c r="P1399" s="4">
        <v>14.37</v>
      </c>
      <c r="Q1399" s="4">
        <v>1.9</v>
      </c>
      <c r="R1399" s="4">
        <v>0</v>
      </c>
      <c r="S1399" s="4">
        <v>0</v>
      </c>
      <c r="T1399" s="4">
        <v>0</v>
      </c>
      <c r="U1399" s="4">
        <v>108.82</v>
      </c>
      <c r="V1399" s="4">
        <v>122.14</v>
      </c>
      <c r="W1399" t="s">
        <v>21</v>
      </c>
      <c r="X1399" t="s">
        <v>36</v>
      </c>
      <c r="Y1399" s="4">
        <v>3</v>
      </c>
      <c r="Z1399" s="4">
        <v>9</v>
      </c>
      <c r="AA1399" t="s">
        <v>37</v>
      </c>
      <c r="AB1399" t="s">
        <v>38</v>
      </c>
      <c r="AC1399" s="7">
        <v>1</v>
      </c>
      <c r="AD1399" t="s">
        <v>39</v>
      </c>
      <c r="AE1399">
        <f t="shared" si="21"/>
        <v>0</v>
      </c>
    </row>
    <row r="1400" spans="1:31" x14ac:dyDescent="0.35">
      <c r="A1400">
        <v>101399</v>
      </c>
      <c r="B1400" s="3">
        <v>45978</v>
      </c>
      <c r="C1400">
        <v>1025</v>
      </c>
      <c r="D1400" t="s">
        <v>59</v>
      </c>
      <c r="E1400" t="s">
        <v>73</v>
      </c>
      <c r="F1400" t="s">
        <v>41</v>
      </c>
      <c r="G1400" t="s">
        <v>33</v>
      </c>
      <c r="H1400" t="s">
        <v>34</v>
      </c>
      <c r="I1400" t="s">
        <v>54</v>
      </c>
      <c r="J1400" s="4">
        <v>27.65</v>
      </c>
      <c r="K1400" s="4">
        <v>18.98</v>
      </c>
      <c r="L1400">
        <v>0</v>
      </c>
      <c r="M1400" s="4">
        <v>0</v>
      </c>
      <c r="N1400" s="4">
        <v>524.79999999999995</v>
      </c>
      <c r="O1400" s="4">
        <v>202.48</v>
      </c>
      <c r="P1400" s="4">
        <v>6.43</v>
      </c>
      <c r="Q1400" s="4">
        <v>6.3</v>
      </c>
      <c r="R1400" s="4">
        <v>5.91</v>
      </c>
      <c r="S1400" s="4">
        <v>0</v>
      </c>
      <c r="T1400" s="4">
        <v>0</v>
      </c>
      <c r="U1400" s="4">
        <v>221.12</v>
      </c>
      <c r="V1400" s="4">
        <v>303.68</v>
      </c>
      <c r="W1400" t="s">
        <v>21</v>
      </c>
      <c r="X1400" t="s">
        <v>36</v>
      </c>
      <c r="Y1400" s="4">
        <v>6</v>
      </c>
      <c r="Z1400" s="4">
        <v>4</v>
      </c>
      <c r="AA1400" t="s">
        <v>37</v>
      </c>
      <c r="AB1400" t="s">
        <v>38</v>
      </c>
      <c r="AC1400" s="7">
        <v>0</v>
      </c>
      <c r="AD1400" t="s">
        <v>39</v>
      </c>
      <c r="AE1400">
        <f t="shared" si="21"/>
        <v>0</v>
      </c>
    </row>
    <row r="1401" spans="1:31" x14ac:dyDescent="0.35">
      <c r="A1401">
        <v>101400</v>
      </c>
      <c r="B1401" s="3">
        <v>46017</v>
      </c>
      <c r="C1401">
        <v>1077</v>
      </c>
      <c r="D1401" t="s">
        <v>64</v>
      </c>
      <c r="E1401" t="s">
        <v>76</v>
      </c>
      <c r="F1401" t="s">
        <v>71</v>
      </c>
      <c r="G1401" t="s">
        <v>63</v>
      </c>
      <c r="H1401" t="s">
        <v>57</v>
      </c>
      <c r="I1401" t="s">
        <v>35</v>
      </c>
      <c r="J1401" s="4">
        <v>15.16</v>
      </c>
      <c r="K1401" s="4">
        <v>12.51</v>
      </c>
      <c r="L1401">
        <v>5</v>
      </c>
      <c r="M1401" s="4">
        <v>9.48</v>
      </c>
      <c r="N1401" s="4">
        <v>180.17</v>
      </c>
      <c r="O1401" s="4">
        <v>109.56</v>
      </c>
      <c r="P1401" s="4">
        <v>6.05</v>
      </c>
      <c r="Q1401" s="4">
        <v>1.33</v>
      </c>
      <c r="R1401" s="4">
        <v>10.050000000000001</v>
      </c>
      <c r="S1401" s="4">
        <v>0</v>
      </c>
      <c r="T1401" s="4">
        <v>0</v>
      </c>
      <c r="U1401" s="4">
        <v>126.99</v>
      </c>
      <c r="V1401" s="4">
        <v>53.18</v>
      </c>
      <c r="W1401" t="s">
        <v>21</v>
      </c>
      <c r="X1401" t="s">
        <v>36</v>
      </c>
      <c r="Y1401" s="4">
        <v>24</v>
      </c>
      <c r="Z1401" s="4">
        <v>0</v>
      </c>
      <c r="AA1401" t="s">
        <v>52</v>
      </c>
      <c r="AB1401" t="s">
        <v>44</v>
      </c>
      <c r="AC1401" s="7">
        <v>1</v>
      </c>
      <c r="AD1401" t="s">
        <v>45</v>
      </c>
      <c r="AE1401">
        <f t="shared" si="21"/>
        <v>1</v>
      </c>
    </row>
    <row r="1402" spans="1:31" x14ac:dyDescent="0.35">
      <c r="A1402">
        <v>101401</v>
      </c>
      <c r="B1402" s="3">
        <v>46015</v>
      </c>
      <c r="C1402">
        <v>1091</v>
      </c>
      <c r="D1402" t="s">
        <v>47</v>
      </c>
      <c r="E1402" t="s">
        <v>48</v>
      </c>
      <c r="F1402" t="s">
        <v>49</v>
      </c>
      <c r="G1402" t="s">
        <v>50</v>
      </c>
      <c r="H1402" t="s">
        <v>34</v>
      </c>
      <c r="I1402" t="s">
        <v>35</v>
      </c>
      <c r="J1402" s="4">
        <v>31.99</v>
      </c>
      <c r="K1402" s="4">
        <v>17.16</v>
      </c>
      <c r="L1402">
        <v>20</v>
      </c>
      <c r="M1402" s="4">
        <v>109.79</v>
      </c>
      <c r="N1402" s="4">
        <v>439.16</v>
      </c>
      <c r="O1402" s="4">
        <v>248.38</v>
      </c>
      <c r="P1402" s="4">
        <v>10.61</v>
      </c>
      <c r="Q1402" s="4">
        <v>3.84</v>
      </c>
      <c r="R1402" s="4">
        <v>8.49</v>
      </c>
      <c r="S1402" s="4">
        <v>0</v>
      </c>
      <c r="T1402" s="4">
        <v>0</v>
      </c>
      <c r="U1402" s="4">
        <v>271.32</v>
      </c>
      <c r="V1402" s="4">
        <v>167.84</v>
      </c>
      <c r="W1402" t="s">
        <v>21</v>
      </c>
      <c r="X1402" t="s">
        <v>36</v>
      </c>
      <c r="Y1402" s="4">
        <v>1</v>
      </c>
      <c r="Z1402" s="4">
        <v>6</v>
      </c>
      <c r="AA1402" t="s">
        <v>37</v>
      </c>
      <c r="AB1402" t="s">
        <v>38</v>
      </c>
      <c r="AC1402" s="7">
        <v>0</v>
      </c>
      <c r="AD1402" t="s">
        <v>39</v>
      </c>
      <c r="AE1402">
        <f t="shared" si="21"/>
        <v>0</v>
      </c>
    </row>
    <row r="1403" spans="1:31" x14ac:dyDescent="0.35">
      <c r="A1403">
        <v>101402</v>
      </c>
      <c r="B1403" s="3">
        <v>45946</v>
      </c>
      <c r="C1403">
        <v>1124</v>
      </c>
      <c r="D1403" t="s">
        <v>59</v>
      </c>
      <c r="E1403" t="s">
        <v>73</v>
      </c>
      <c r="F1403" t="s">
        <v>61</v>
      </c>
      <c r="G1403" t="s">
        <v>33</v>
      </c>
      <c r="H1403" t="s">
        <v>34</v>
      </c>
      <c r="I1403" t="s">
        <v>35</v>
      </c>
      <c r="J1403" s="4">
        <v>21.23</v>
      </c>
      <c r="K1403" s="4">
        <v>20.12</v>
      </c>
      <c r="L1403">
        <v>0</v>
      </c>
      <c r="M1403" s="4">
        <v>0</v>
      </c>
      <c r="N1403" s="4">
        <v>427.15</v>
      </c>
      <c r="O1403" s="4">
        <v>165.41</v>
      </c>
      <c r="P1403" s="4">
        <v>7.58</v>
      </c>
      <c r="Q1403" s="4">
        <v>2.99</v>
      </c>
      <c r="R1403" s="4">
        <v>4.0199999999999996</v>
      </c>
      <c r="S1403" s="4">
        <v>0</v>
      </c>
      <c r="T1403" s="4">
        <v>0</v>
      </c>
      <c r="U1403" s="4">
        <v>180</v>
      </c>
      <c r="V1403" s="4">
        <v>247.15</v>
      </c>
      <c r="W1403" t="s">
        <v>21</v>
      </c>
      <c r="X1403" t="s">
        <v>36</v>
      </c>
      <c r="Y1403" s="4">
        <v>0</v>
      </c>
      <c r="Z1403" s="4">
        <v>0</v>
      </c>
      <c r="AA1403" t="s">
        <v>37</v>
      </c>
      <c r="AB1403" t="s">
        <v>38</v>
      </c>
      <c r="AC1403" s="7">
        <v>0</v>
      </c>
      <c r="AD1403" t="s">
        <v>39</v>
      </c>
      <c r="AE1403">
        <f t="shared" si="21"/>
        <v>0</v>
      </c>
    </row>
    <row r="1404" spans="1:31" x14ac:dyDescent="0.35">
      <c r="A1404">
        <v>101403</v>
      </c>
      <c r="B1404" s="3">
        <v>45976</v>
      </c>
      <c r="C1404">
        <v>1018</v>
      </c>
      <c r="D1404" t="s">
        <v>47</v>
      </c>
      <c r="E1404" t="s">
        <v>53</v>
      </c>
      <c r="F1404" t="s">
        <v>41</v>
      </c>
      <c r="G1404" t="s">
        <v>46</v>
      </c>
      <c r="H1404" t="s">
        <v>34</v>
      </c>
      <c r="I1404" t="s">
        <v>35</v>
      </c>
      <c r="J1404" s="4">
        <v>17.09</v>
      </c>
      <c r="K1404" s="4">
        <v>15.41</v>
      </c>
      <c r="L1404">
        <v>5</v>
      </c>
      <c r="M1404" s="4">
        <v>13.17</v>
      </c>
      <c r="N1404" s="4">
        <v>250.19</v>
      </c>
      <c r="O1404" s="4">
        <v>135.63999999999999</v>
      </c>
      <c r="P1404" s="4">
        <v>6.25</v>
      </c>
      <c r="Q1404" s="4">
        <v>1.84</v>
      </c>
      <c r="R1404" s="4">
        <v>0</v>
      </c>
      <c r="S1404" s="4">
        <v>0</v>
      </c>
      <c r="T1404" s="4">
        <v>0</v>
      </c>
      <c r="U1404" s="4">
        <v>143.72999999999999</v>
      </c>
      <c r="V1404" s="4">
        <v>106.46</v>
      </c>
      <c r="W1404" t="s">
        <v>21</v>
      </c>
      <c r="X1404" t="s">
        <v>36</v>
      </c>
      <c r="Y1404" s="4">
        <v>1</v>
      </c>
      <c r="Z1404" s="4">
        <v>12</v>
      </c>
      <c r="AA1404" t="s">
        <v>37</v>
      </c>
      <c r="AB1404" t="s">
        <v>38</v>
      </c>
      <c r="AC1404" s="7">
        <v>0</v>
      </c>
      <c r="AD1404" t="s">
        <v>39</v>
      </c>
      <c r="AE1404">
        <f t="shared" si="21"/>
        <v>0</v>
      </c>
    </row>
    <row r="1405" spans="1:31" x14ac:dyDescent="0.35">
      <c r="A1405">
        <v>101404</v>
      </c>
      <c r="B1405" s="3">
        <v>45944</v>
      </c>
      <c r="C1405">
        <v>1027</v>
      </c>
      <c r="D1405" t="s">
        <v>30</v>
      </c>
      <c r="E1405" t="s">
        <v>72</v>
      </c>
      <c r="F1405" t="s">
        <v>61</v>
      </c>
      <c r="G1405" t="s">
        <v>50</v>
      </c>
      <c r="H1405" t="s">
        <v>57</v>
      </c>
      <c r="I1405" t="s">
        <v>42</v>
      </c>
      <c r="J1405" s="4">
        <v>26.81</v>
      </c>
      <c r="K1405" s="4">
        <v>17.79</v>
      </c>
      <c r="L1405">
        <v>5</v>
      </c>
      <c r="M1405" s="4">
        <v>23.85</v>
      </c>
      <c r="N1405" s="4">
        <v>453.1</v>
      </c>
      <c r="O1405" s="4">
        <v>157.26</v>
      </c>
      <c r="P1405" s="4">
        <v>7.69</v>
      </c>
      <c r="Q1405" s="4">
        <v>7.15</v>
      </c>
      <c r="R1405" s="4">
        <v>8.5299999999999994</v>
      </c>
      <c r="S1405" s="4">
        <v>0</v>
      </c>
      <c r="T1405" s="4">
        <v>0</v>
      </c>
      <c r="U1405" s="4">
        <v>180.63</v>
      </c>
      <c r="V1405" s="4">
        <v>272.47000000000003</v>
      </c>
      <c r="W1405" t="s">
        <v>21</v>
      </c>
      <c r="X1405" t="s">
        <v>36</v>
      </c>
      <c r="Y1405" s="4">
        <v>2</v>
      </c>
      <c r="Z1405" s="4">
        <v>10</v>
      </c>
      <c r="AA1405" t="s">
        <v>37</v>
      </c>
      <c r="AB1405" t="s">
        <v>38</v>
      </c>
      <c r="AC1405" s="7">
        <v>0</v>
      </c>
      <c r="AD1405" t="s">
        <v>39</v>
      </c>
      <c r="AE1405">
        <f t="shared" si="21"/>
        <v>0</v>
      </c>
    </row>
    <row r="1406" spans="1:31" x14ac:dyDescent="0.35">
      <c r="A1406">
        <v>101405</v>
      </c>
      <c r="B1406" s="3">
        <v>45955</v>
      </c>
      <c r="C1406">
        <v>1006</v>
      </c>
      <c r="D1406" t="s">
        <v>30</v>
      </c>
      <c r="E1406" t="s">
        <v>31</v>
      </c>
      <c r="F1406" t="s">
        <v>32</v>
      </c>
      <c r="G1406" t="s">
        <v>63</v>
      </c>
      <c r="H1406" t="s">
        <v>51</v>
      </c>
      <c r="I1406" t="s">
        <v>42</v>
      </c>
      <c r="J1406" s="4">
        <v>12.76</v>
      </c>
      <c r="K1406" s="4">
        <v>13.75</v>
      </c>
      <c r="L1406">
        <v>0</v>
      </c>
      <c r="M1406" s="4">
        <v>0</v>
      </c>
      <c r="N1406" s="4">
        <v>175.45</v>
      </c>
      <c r="O1406" s="4">
        <v>84.6</v>
      </c>
      <c r="P1406" s="4">
        <v>11.72</v>
      </c>
      <c r="Q1406" s="4">
        <v>2.63</v>
      </c>
      <c r="R1406" s="4">
        <v>4.16</v>
      </c>
      <c r="S1406" s="4">
        <v>0</v>
      </c>
      <c r="T1406" s="4">
        <v>0</v>
      </c>
      <c r="U1406" s="4">
        <v>103.11</v>
      </c>
      <c r="V1406" s="4">
        <v>72.34</v>
      </c>
      <c r="W1406" t="s">
        <v>21</v>
      </c>
      <c r="X1406" t="s">
        <v>36</v>
      </c>
      <c r="Y1406" s="4">
        <v>17</v>
      </c>
      <c r="Z1406" s="4">
        <v>8</v>
      </c>
      <c r="AA1406" t="s">
        <v>52</v>
      </c>
      <c r="AB1406" t="s">
        <v>38</v>
      </c>
      <c r="AC1406" s="7">
        <v>0</v>
      </c>
      <c r="AD1406" t="s">
        <v>39</v>
      </c>
      <c r="AE1406">
        <f t="shared" si="21"/>
        <v>0</v>
      </c>
    </row>
    <row r="1407" spans="1:31" x14ac:dyDescent="0.35">
      <c r="A1407">
        <v>101406</v>
      </c>
      <c r="B1407" s="3">
        <v>45997</v>
      </c>
      <c r="C1407">
        <v>1101</v>
      </c>
      <c r="D1407" t="s">
        <v>47</v>
      </c>
      <c r="E1407" t="s">
        <v>48</v>
      </c>
      <c r="F1407" t="s">
        <v>49</v>
      </c>
      <c r="G1407" t="s">
        <v>63</v>
      </c>
      <c r="H1407" t="s">
        <v>34</v>
      </c>
      <c r="I1407" t="s">
        <v>35</v>
      </c>
      <c r="J1407" s="4">
        <v>17.920000000000002</v>
      </c>
      <c r="K1407" s="4">
        <v>12.25</v>
      </c>
      <c r="L1407">
        <v>10</v>
      </c>
      <c r="M1407" s="4">
        <v>21.95</v>
      </c>
      <c r="N1407" s="4">
        <v>197.57</v>
      </c>
      <c r="O1407" s="4">
        <v>144.66</v>
      </c>
      <c r="P1407" s="4">
        <v>10.17</v>
      </c>
      <c r="Q1407" s="4">
        <v>1.54</v>
      </c>
      <c r="R1407" s="4">
        <v>2.7</v>
      </c>
      <c r="S1407" s="4">
        <v>0</v>
      </c>
      <c r="T1407" s="4">
        <v>0</v>
      </c>
      <c r="U1407" s="4">
        <v>159.07</v>
      </c>
      <c r="V1407" s="4">
        <v>38.5</v>
      </c>
      <c r="W1407" t="s">
        <v>21</v>
      </c>
      <c r="X1407" t="s">
        <v>36</v>
      </c>
      <c r="Y1407" s="4">
        <v>1</v>
      </c>
      <c r="Z1407" s="4">
        <v>6</v>
      </c>
      <c r="AA1407" t="s">
        <v>37</v>
      </c>
      <c r="AB1407" t="s">
        <v>38</v>
      </c>
      <c r="AC1407" s="7">
        <v>0</v>
      </c>
      <c r="AD1407" t="s">
        <v>39</v>
      </c>
      <c r="AE1407">
        <f t="shared" si="21"/>
        <v>0</v>
      </c>
    </row>
    <row r="1408" spans="1:31" x14ac:dyDescent="0.35">
      <c r="A1408">
        <v>101407</v>
      </c>
      <c r="B1408" s="3">
        <v>45932</v>
      </c>
      <c r="C1408">
        <v>1038</v>
      </c>
      <c r="D1408" t="s">
        <v>59</v>
      </c>
      <c r="E1408" t="s">
        <v>68</v>
      </c>
      <c r="F1408" t="s">
        <v>32</v>
      </c>
      <c r="G1408" t="s">
        <v>50</v>
      </c>
      <c r="H1408" t="s">
        <v>51</v>
      </c>
      <c r="I1408" t="s">
        <v>35</v>
      </c>
      <c r="J1408" s="4">
        <v>36.880000000000003</v>
      </c>
      <c r="K1408" s="4">
        <v>17.559999999999999</v>
      </c>
      <c r="L1408">
        <v>5</v>
      </c>
      <c r="M1408" s="4">
        <v>32.380000000000003</v>
      </c>
      <c r="N1408" s="4">
        <v>615.23</v>
      </c>
      <c r="O1408" s="4">
        <v>242.83</v>
      </c>
      <c r="P1408" s="4">
        <v>6.03</v>
      </c>
      <c r="Q1408" s="4">
        <v>4.53</v>
      </c>
      <c r="R1408" s="4">
        <v>9.59</v>
      </c>
      <c r="S1408" s="4">
        <v>0</v>
      </c>
      <c r="T1408" s="4">
        <v>0</v>
      </c>
      <c r="U1408" s="4">
        <v>262.98</v>
      </c>
      <c r="V1408" s="4">
        <v>352.25</v>
      </c>
      <c r="W1408" t="s">
        <v>21</v>
      </c>
      <c r="X1408" t="s">
        <v>36</v>
      </c>
      <c r="Y1408" s="4">
        <v>4</v>
      </c>
      <c r="Z1408" s="4">
        <v>2</v>
      </c>
      <c r="AA1408" t="s">
        <v>37</v>
      </c>
      <c r="AB1408" t="s">
        <v>38</v>
      </c>
      <c r="AC1408" s="7">
        <v>0</v>
      </c>
      <c r="AD1408" t="s">
        <v>39</v>
      </c>
      <c r="AE1408">
        <f t="shared" si="21"/>
        <v>0</v>
      </c>
    </row>
    <row r="1409" spans="1:31" x14ac:dyDescent="0.35">
      <c r="A1409">
        <v>101408</v>
      </c>
      <c r="B1409" s="3">
        <v>46007</v>
      </c>
      <c r="C1409">
        <v>1030</v>
      </c>
      <c r="D1409" t="s">
        <v>30</v>
      </c>
      <c r="E1409" t="s">
        <v>31</v>
      </c>
      <c r="F1409" t="s">
        <v>49</v>
      </c>
      <c r="G1409" t="s">
        <v>46</v>
      </c>
      <c r="H1409" t="s">
        <v>57</v>
      </c>
      <c r="I1409" t="s">
        <v>54</v>
      </c>
      <c r="J1409" s="4">
        <v>26.39</v>
      </c>
      <c r="K1409" s="4">
        <v>14.91</v>
      </c>
      <c r="L1409">
        <v>5</v>
      </c>
      <c r="M1409" s="4">
        <v>19.670000000000002</v>
      </c>
      <c r="N1409" s="4">
        <v>373.8</v>
      </c>
      <c r="O1409" s="4">
        <v>185.15</v>
      </c>
      <c r="P1409" s="4">
        <v>6.01</v>
      </c>
      <c r="Q1409" s="4">
        <v>4.72</v>
      </c>
      <c r="R1409" s="4">
        <v>7.26</v>
      </c>
      <c r="S1409" s="4">
        <v>0</v>
      </c>
      <c r="T1409" s="4">
        <v>0</v>
      </c>
      <c r="U1409" s="4">
        <v>203.14</v>
      </c>
      <c r="V1409" s="4">
        <v>170.66</v>
      </c>
      <c r="W1409" t="s">
        <v>21</v>
      </c>
      <c r="X1409" t="s">
        <v>36</v>
      </c>
      <c r="Y1409" s="4">
        <v>14</v>
      </c>
      <c r="Z1409" s="4">
        <v>2</v>
      </c>
      <c r="AA1409" t="s">
        <v>37</v>
      </c>
      <c r="AB1409" t="s">
        <v>38</v>
      </c>
      <c r="AC1409" s="7">
        <v>0</v>
      </c>
      <c r="AD1409" t="s">
        <v>39</v>
      </c>
      <c r="AE1409">
        <f t="shared" si="21"/>
        <v>0</v>
      </c>
    </row>
    <row r="1410" spans="1:31" x14ac:dyDescent="0.35">
      <c r="A1410">
        <v>101409</v>
      </c>
      <c r="B1410" s="3">
        <v>45955</v>
      </c>
      <c r="C1410">
        <v>1148</v>
      </c>
      <c r="D1410" t="s">
        <v>59</v>
      </c>
      <c r="E1410" t="s">
        <v>73</v>
      </c>
      <c r="F1410" t="s">
        <v>32</v>
      </c>
      <c r="G1410" t="s">
        <v>46</v>
      </c>
      <c r="H1410" t="s">
        <v>57</v>
      </c>
      <c r="I1410" t="s">
        <v>69</v>
      </c>
      <c r="J1410" s="4">
        <v>27.74</v>
      </c>
      <c r="K1410" s="4">
        <v>16.100000000000001</v>
      </c>
      <c r="L1410">
        <v>5</v>
      </c>
      <c r="M1410" s="4">
        <v>22.33</v>
      </c>
      <c r="N1410" s="4">
        <v>424.28</v>
      </c>
      <c r="O1410" s="4">
        <v>170.9</v>
      </c>
      <c r="P1410" s="4">
        <v>12.91</v>
      </c>
      <c r="Q1410" s="4">
        <v>1.79</v>
      </c>
      <c r="R1410" s="4">
        <v>5.0199999999999996</v>
      </c>
      <c r="S1410" s="4">
        <v>0</v>
      </c>
      <c r="T1410" s="4">
        <v>0</v>
      </c>
      <c r="U1410" s="4">
        <v>190.62</v>
      </c>
      <c r="V1410" s="4">
        <v>233.66</v>
      </c>
      <c r="W1410" t="s">
        <v>21</v>
      </c>
      <c r="X1410" t="s">
        <v>36</v>
      </c>
      <c r="Y1410" s="4">
        <v>7</v>
      </c>
      <c r="Z1410" s="4">
        <v>14</v>
      </c>
      <c r="AA1410" t="s">
        <v>37</v>
      </c>
      <c r="AB1410" t="s">
        <v>38</v>
      </c>
      <c r="AC1410" s="7">
        <v>0</v>
      </c>
      <c r="AD1410" t="s">
        <v>39</v>
      </c>
      <c r="AE1410">
        <f t="shared" si="21"/>
        <v>0</v>
      </c>
    </row>
    <row r="1411" spans="1:31" x14ac:dyDescent="0.35">
      <c r="A1411">
        <v>101410</v>
      </c>
      <c r="B1411" s="3">
        <v>45952</v>
      </c>
      <c r="C1411">
        <v>1076</v>
      </c>
      <c r="D1411" t="s">
        <v>47</v>
      </c>
      <c r="E1411" t="s">
        <v>53</v>
      </c>
      <c r="F1411" t="s">
        <v>41</v>
      </c>
      <c r="G1411" t="s">
        <v>46</v>
      </c>
      <c r="H1411" t="s">
        <v>34</v>
      </c>
      <c r="I1411" t="s">
        <v>35</v>
      </c>
      <c r="J1411" s="4">
        <v>15.7</v>
      </c>
      <c r="K1411" s="4">
        <v>14.99</v>
      </c>
      <c r="L1411">
        <v>0</v>
      </c>
      <c r="M1411" s="4">
        <v>0</v>
      </c>
      <c r="N1411" s="4">
        <v>235.34</v>
      </c>
      <c r="O1411" s="4">
        <v>87.32</v>
      </c>
      <c r="P1411" s="4">
        <v>7.22</v>
      </c>
      <c r="Q1411" s="4">
        <v>1.65</v>
      </c>
      <c r="R1411" s="4">
        <v>2.54</v>
      </c>
      <c r="S1411" s="4">
        <v>0</v>
      </c>
      <c r="T1411" s="4">
        <v>0</v>
      </c>
      <c r="U1411" s="4">
        <v>98.73</v>
      </c>
      <c r="V1411" s="4">
        <v>136.61000000000001</v>
      </c>
      <c r="W1411" t="s">
        <v>21</v>
      </c>
      <c r="X1411" t="s">
        <v>36</v>
      </c>
      <c r="Y1411" s="4">
        <v>34</v>
      </c>
      <c r="Z1411" s="4">
        <v>5</v>
      </c>
      <c r="AA1411" t="s">
        <v>43</v>
      </c>
      <c r="AB1411" t="s">
        <v>44</v>
      </c>
      <c r="AC1411" s="7">
        <v>1</v>
      </c>
      <c r="AD1411" t="s">
        <v>45</v>
      </c>
      <c r="AE1411">
        <f t="shared" ref="AE1411:AE1474" si="22">IF(AB1411="Yes",1,0)</f>
        <v>1</v>
      </c>
    </row>
    <row r="1412" spans="1:31" x14ac:dyDescent="0.35">
      <c r="A1412">
        <v>101411</v>
      </c>
      <c r="B1412" s="3">
        <v>45999</v>
      </c>
      <c r="C1412">
        <v>1120</v>
      </c>
      <c r="D1412" t="s">
        <v>30</v>
      </c>
      <c r="E1412" t="s">
        <v>40</v>
      </c>
      <c r="F1412" t="s">
        <v>41</v>
      </c>
      <c r="G1412" t="s">
        <v>50</v>
      </c>
      <c r="H1412" t="s">
        <v>34</v>
      </c>
      <c r="I1412" t="s">
        <v>42</v>
      </c>
      <c r="J1412" s="4">
        <v>10.98</v>
      </c>
      <c r="K1412" s="4">
        <v>17.84</v>
      </c>
      <c r="L1412">
        <v>15</v>
      </c>
      <c r="M1412" s="4">
        <v>29.38</v>
      </c>
      <c r="N1412" s="4">
        <v>166.5</v>
      </c>
      <c r="O1412" s="4">
        <v>81.25</v>
      </c>
      <c r="P1412" s="4">
        <v>9.17</v>
      </c>
      <c r="Q1412" s="4">
        <v>2.94</v>
      </c>
      <c r="R1412" s="4">
        <v>4.16</v>
      </c>
      <c r="S1412" s="4">
        <v>83.67</v>
      </c>
      <c r="T1412" s="4">
        <v>0</v>
      </c>
      <c r="U1412" s="4">
        <v>181.19</v>
      </c>
      <c r="V1412" s="4">
        <v>-14.69</v>
      </c>
      <c r="W1412" t="s">
        <v>58</v>
      </c>
      <c r="X1412" t="s">
        <v>55</v>
      </c>
      <c r="Y1412" s="4">
        <v>1</v>
      </c>
      <c r="Z1412" s="4">
        <v>16</v>
      </c>
      <c r="AA1412" t="s">
        <v>37</v>
      </c>
      <c r="AB1412" t="s">
        <v>44</v>
      </c>
      <c r="AC1412" s="7">
        <v>2</v>
      </c>
      <c r="AD1412" t="s">
        <v>45</v>
      </c>
      <c r="AE1412">
        <f t="shared" si="22"/>
        <v>1</v>
      </c>
    </row>
    <row r="1413" spans="1:31" x14ac:dyDescent="0.35">
      <c r="A1413">
        <v>101412</v>
      </c>
      <c r="B1413" s="3">
        <v>45936</v>
      </c>
      <c r="C1413">
        <v>1026</v>
      </c>
      <c r="D1413" t="s">
        <v>59</v>
      </c>
      <c r="E1413" t="s">
        <v>60</v>
      </c>
      <c r="F1413" t="s">
        <v>61</v>
      </c>
      <c r="G1413" t="s">
        <v>46</v>
      </c>
      <c r="H1413" t="s">
        <v>57</v>
      </c>
      <c r="I1413" t="s">
        <v>35</v>
      </c>
      <c r="J1413" s="4">
        <v>19.43</v>
      </c>
      <c r="K1413" s="4">
        <v>15.91</v>
      </c>
      <c r="L1413">
        <v>5</v>
      </c>
      <c r="M1413" s="4">
        <v>15.46</v>
      </c>
      <c r="N1413" s="4">
        <v>293.67</v>
      </c>
      <c r="O1413" s="4">
        <v>115.87</v>
      </c>
      <c r="P1413" s="4">
        <v>9.15</v>
      </c>
      <c r="Q1413" s="4">
        <v>2.16</v>
      </c>
      <c r="R1413" s="4">
        <v>5.49</v>
      </c>
      <c r="S1413" s="4">
        <v>0</v>
      </c>
      <c r="T1413" s="4">
        <v>0</v>
      </c>
      <c r="U1413" s="4">
        <v>132.66999999999999</v>
      </c>
      <c r="V1413" s="4">
        <v>161</v>
      </c>
      <c r="W1413" t="s">
        <v>21</v>
      </c>
      <c r="X1413" t="s">
        <v>36</v>
      </c>
      <c r="Y1413" s="4">
        <v>32</v>
      </c>
      <c r="Z1413" s="4">
        <v>1</v>
      </c>
      <c r="AA1413" t="s">
        <v>43</v>
      </c>
      <c r="AB1413" t="s">
        <v>44</v>
      </c>
      <c r="AC1413" s="7">
        <v>4</v>
      </c>
      <c r="AD1413" t="s">
        <v>45</v>
      </c>
      <c r="AE1413">
        <f t="shared" si="22"/>
        <v>1</v>
      </c>
    </row>
    <row r="1414" spans="1:31" x14ac:dyDescent="0.35">
      <c r="A1414">
        <v>101413</v>
      </c>
      <c r="B1414" s="3">
        <v>46008</v>
      </c>
      <c r="C1414">
        <v>1050</v>
      </c>
      <c r="D1414" t="s">
        <v>30</v>
      </c>
      <c r="E1414" t="s">
        <v>62</v>
      </c>
      <c r="F1414" t="s">
        <v>41</v>
      </c>
      <c r="G1414" t="s">
        <v>63</v>
      </c>
      <c r="H1414" t="s">
        <v>34</v>
      </c>
      <c r="I1414" t="s">
        <v>54</v>
      </c>
      <c r="J1414" s="4">
        <v>10.98</v>
      </c>
      <c r="K1414" s="4">
        <v>12.9</v>
      </c>
      <c r="L1414">
        <v>10</v>
      </c>
      <c r="M1414" s="4">
        <v>14.16</v>
      </c>
      <c r="N1414" s="4">
        <v>127.48</v>
      </c>
      <c r="O1414" s="4">
        <v>75.44</v>
      </c>
      <c r="P1414" s="4">
        <v>4.53</v>
      </c>
      <c r="Q1414" s="4">
        <v>1.7</v>
      </c>
      <c r="R1414" s="4">
        <v>9.1</v>
      </c>
      <c r="S1414" s="4">
        <v>0</v>
      </c>
      <c r="T1414" s="4">
        <v>0</v>
      </c>
      <c r="U1414" s="4">
        <v>90.77</v>
      </c>
      <c r="V1414" s="4">
        <v>36.71</v>
      </c>
      <c r="W1414" t="s">
        <v>21</v>
      </c>
      <c r="X1414" t="s">
        <v>36</v>
      </c>
      <c r="Y1414" s="4">
        <v>0</v>
      </c>
      <c r="Z1414" s="4">
        <v>1</v>
      </c>
      <c r="AA1414" t="s">
        <v>37</v>
      </c>
      <c r="AB1414" t="s">
        <v>38</v>
      </c>
      <c r="AC1414" s="7">
        <v>0</v>
      </c>
      <c r="AD1414" t="s">
        <v>39</v>
      </c>
      <c r="AE1414">
        <f t="shared" si="22"/>
        <v>0</v>
      </c>
    </row>
    <row r="1415" spans="1:31" x14ac:dyDescent="0.35">
      <c r="A1415">
        <v>101414</v>
      </c>
      <c r="B1415" s="3">
        <v>45964</v>
      </c>
      <c r="C1415">
        <v>1128</v>
      </c>
      <c r="D1415" t="s">
        <v>59</v>
      </c>
      <c r="E1415" t="s">
        <v>60</v>
      </c>
      <c r="F1415" t="s">
        <v>41</v>
      </c>
      <c r="G1415" t="s">
        <v>33</v>
      </c>
      <c r="H1415" t="s">
        <v>34</v>
      </c>
      <c r="I1415" t="s">
        <v>42</v>
      </c>
      <c r="J1415" s="4">
        <v>24.21</v>
      </c>
      <c r="K1415" s="4">
        <v>20</v>
      </c>
      <c r="L1415">
        <v>5</v>
      </c>
      <c r="M1415" s="4">
        <v>24.21</v>
      </c>
      <c r="N1415" s="4">
        <v>459.99</v>
      </c>
      <c r="O1415" s="4">
        <v>150.79</v>
      </c>
      <c r="P1415" s="4">
        <v>8.7799999999999994</v>
      </c>
      <c r="Q1415" s="4">
        <v>7.26</v>
      </c>
      <c r="R1415" s="4">
        <v>5.22</v>
      </c>
      <c r="S1415" s="4">
        <v>0</v>
      </c>
      <c r="T1415" s="4">
        <v>0</v>
      </c>
      <c r="U1415" s="4">
        <v>172.05</v>
      </c>
      <c r="V1415" s="4">
        <v>287.94</v>
      </c>
      <c r="W1415" t="s">
        <v>21</v>
      </c>
      <c r="X1415" t="s">
        <v>36</v>
      </c>
      <c r="Y1415" s="4">
        <v>8</v>
      </c>
      <c r="Z1415" s="4">
        <v>20</v>
      </c>
      <c r="AA1415" t="s">
        <v>37</v>
      </c>
      <c r="AB1415" t="s">
        <v>44</v>
      </c>
      <c r="AC1415" s="7">
        <v>2</v>
      </c>
      <c r="AD1415" t="s">
        <v>45</v>
      </c>
      <c r="AE1415">
        <f t="shared" si="22"/>
        <v>1</v>
      </c>
    </row>
    <row r="1416" spans="1:31" x14ac:dyDescent="0.35">
      <c r="A1416">
        <v>101415</v>
      </c>
      <c r="B1416" s="3">
        <v>45966</v>
      </c>
      <c r="C1416">
        <v>1020</v>
      </c>
      <c r="D1416" t="s">
        <v>47</v>
      </c>
      <c r="E1416" t="s">
        <v>56</v>
      </c>
      <c r="F1416" t="s">
        <v>32</v>
      </c>
      <c r="G1416" t="s">
        <v>46</v>
      </c>
      <c r="H1416" t="s">
        <v>34</v>
      </c>
      <c r="I1416" t="s">
        <v>35</v>
      </c>
      <c r="J1416" s="4">
        <v>38.72</v>
      </c>
      <c r="K1416" s="4">
        <v>15.06</v>
      </c>
      <c r="L1416">
        <v>10</v>
      </c>
      <c r="M1416" s="4">
        <v>58.31</v>
      </c>
      <c r="N1416" s="4">
        <v>524.80999999999995</v>
      </c>
      <c r="O1416" s="4">
        <v>257.43</v>
      </c>
      <c r="P1416" s="4">
        <v>6.44</v>
      </c>
      <c r="Q1416" s="4">
        <v>4.08</v>
      </c>
      <c r="R1416" s="4">
        <v>11.1</v>
      </c>
      <c r="S1416" s="4">
        <v>0</v>
      </c>
      <c r="T1416" s="4">
        <v>0</v>
      </c>
      <c r="U1416" s="4">
        <v>279.05</v>
      </c>
      <c r="V1416" s="4">
        <v>245.76</v>
      </c>
      <c r="W1416" t="s">
        <v>21</v>
      </c>
      <c r="X1416" t="s">
        <v>36</v>
      </c>
      <c r="Y1416" s="4">
        <v>9</v>
      </c>
      <c r="Z1416" s="4">
        <v>15</v>
      </c>
      <c r="AA1416" t="s">
        <v>37</v>
      </c>
      <c r="AB1416" t="s">
        <v>38</v>
      </c>
      <c r="AC1416" s="7">
        <v>0</v>
      </c>
      <c r="AD1416" t="s">
        <v>39</v>
      </c>
      <c r="AE1416">
        <f t="shared" si="22"/>
        <v>0</v>
      </c>
    </row>
    <row r="1417" spans="1:31" x14ac:dyDescent="0.35">
      <c r="A1417">
        <v>101416</v>
      </c>
      <c r="B1417" s="3">
        <v>46019</v>
      </c>
      <c r="C1417">
        <v>1032</v>
      </c>
      <c r="D1417" t="s">
        <v>30</v>
      </c>
      <c r="E1417" t="s">
        <v>62</v>
      </c>
      <c r="F1417" t="s">
        <v>32</v>
      </c>
      <c r="G1417" t="s">
        <v>46</v>
      </c>
      <c r="H1417" t="s">
        <v>57</v>
      </c>
      <c r="I1417" t="s">
        <v>35</v>
      </c>
      <c r="J1417" s="4">
        <v>20.440000000000001</v>
      </c>
      <c r="K1417" s="4">
        <v>15.51</v>
      </c>
      <c r="L1417">
        <v>0</v>
      </c>
      <c r="M1417" s="4">
        <v>0</v>
      </c>
      <c r="N1417" s="4">
        <v>317.02</v>
      </c>
      <c r="O1417" s="4">
        <v>127.96</v>
      </c>
      <c r="P1417" s="4">
        <v>3.78</v>
      </c>
      <c r="Q1417" s="4">
        <v>2.2200000000000002</v>
      </c>
      <c r="R1417" s="4">
        <v>13.38</v>
      </c>
      <c r="S1417" s="4">
        <v>0</v>
      </c>
      <c r="T1417" s="4">
        <v>0</v>
      </c>
      <c r="U1417" s="4">
        <v>147.34</v>
      </c>
      <c r="V1417" s="4">
        <v>169.68</v>
      </c>
      <c r="W1417" t="s">
        <v>21</v>
      </c>
      <c r="X1417" t="s">
        <v>36</v>
      </c>
      <c r="Y1417" s="4">
        <v>4</v>
      </c>
      <c r="Z1417" s="4">
        <v>7</v>
      </c>
      <c r="AA1417" t="s">
        <v>37</v>
      </c>
      <c r="AB1417" t="s">
        <v>38</v>
      </c>
      <c r="AC1417" s="7">
        <v>0</v>
      </c>
      <c r="AD1417" t="s">
        <v>39</v>
      </c>
      <c r="AE1417">
        <f t="shared" si="22"/>
        <v>0</v>
      </c>
    </row>
    <row r="1418" spans="1:31" x14ac:dyDescent="0.35">
      <c r="A1418">
        <v>101417</v>
      </c>
      <c r="B1418" s="3">
        <v>45970</v>
      </c>
      <c r="C1418">
        <v>1136</v>
      </c>
      <c r="D1418" t="s">
        <v>59</v>
      </c>
      <c r="E1418" t="s">
        <v>70</v>
      </c>
      <c r="F1418" t="s">
        <v>32</v>
      </c>
      <c r="G1418" t="s">
        <v>63</v>
      </c>
      <c r="H1418" t="s">
        <v>34</v>
      </c>
      <c r="I1418" t="s">
        <v>35</v>
      </c>
      <c r="J1418" s="4">
        <v>18.670000000000002</v>
      </c>
      <c r="K1418" s="4">
        <v>12.13</v>
      </c>
      <c r="L1418">
        <v>5</v>
      </c>
      <c r="M1418" s="4">
        <v>11.32</v>
      </c>
      <c r="N1418" s="4">
        <v>215.15</v>
      </c>
      <c r="O1418" s="4">
        <v>127.5</v>
      </c>
      <c r="P1418" s="4">
        <v>3.36</v>
      </c>
      <c r="Q1418" s="4">
        <v>1.59</v>
      </c>
      <c r="R1418" s="4">
        <v>2.14</v>
      </c>
      <c r="S1418" s="4">
        <v>0</v>
      </c>
      <c r="T1418" s="4">
        <v>0</v>
      </c>
      <c r="U1418" s="4">
        <v>134.59</v>
      </c>
      <c r="V1418" s="4">
        <v>80.56</v>
      </c>
      <c r="W1418" t="s">
        <v>21</v>
      </c>
      <c r="X1418" t="s">
        <v>36</v>
      </c>
      <c r="Y1418" s="4">
        <v>6</v>
      </c>
      <c r="Z1418" s="4">
        <v>0</v>
      </c>
      <c r="AA1418" t="s">
        <v>37</v>
      </c>
      <c r="AB1418" t="s">
        <v>38</v>
      </c>
      <c r="AC1418" s="7">
        <v>0</v>
      </c>
      <c r="AD1418" t="s">
        <v>39</v>
      </c>
      <c r="AE1418">
        <f t="shared" si="22"/>
        <v>0</v>
      </c>
    </row>
    <row r="1419" spans="1:31" x14ac:dyDescent="0.35">
      <c r="A1419">
        <v>101418</v>
      </c>
      <c r="B1419" s="3">
        <v>45939</v>
      </c>
      <c r="C1419">
        <v>1135</v>
      </c>
      <c r="D1419" t="s">
        <v>64</v>
      </c>
      <c r="E1419" t="s">
        <v>76</v>
      </c>
      <c r="F1419" t="s">
        <v>32</v>
      </c>
      <c r="G1419" t="s">
        <v>46</v>
      </c>
      <c r="H1419" t="s">
        <v>34</v>
      </c>
      <c r="I1419" t="s">
        <v>35</v>
      </c>
      <c r="J1419" s="4">
        <v>25.62</v>
      </c>
      <c r="K1419" s="4">
        <v>15.58</v>
      </c>
      <c r="L1419">
        <v>0</v>
      </c>
      <c r="M1419" s="4">
        <v>0</v>
      </c>
      <c r="N1419" s="4">
        <v>399.16</v>
      </c>
      <c r="O1419" s="4">
        <v>140.43</v>
      </c>
      <c r="P1419" s="4">
        <v>10.47</v>
      </c>
      <c r="Q1419" s="4">
        <v>2.79</v>
      </c>
      <c r="R1419" s="4">
        <v>5.7</v>
      </c>
      <c r="S1419" s="4">
        <v>0</v>
      </c>
      <c r="T1419" s="4">
        <v>0</v>
      </c>
      <c r="U1419" s="4">
        <v>159.38999999999999</v>
      </c>
      <c r="V1419" s="4">
        <v>239.77</v>
      </c>
      <c r="W1419" t="s">
        <v>21</v>
      </c>
      <c r="X1419" t="s">
        <v>36</v>
      </c>
      <c r="Y1419" s="4">
        <v>1</v>
      </c>
      <c r="Z1419" s="4">
        <v>0</v>
      </c>
      <c r="AA1419" t="s">
        <v>37</v>
      </c>
      <c r="AB1419" t="s">
        <v>38</v>
      </c>
      <c r="AC1419" s="7">
        <v>0</v>
      </c>
      <c r="AD1419" t="s">
        <v>39</v>
      </c>
      <c r="AE1419">
        <f t="shared" si="22"/>
        <v>0</v>
      </c>
    </row>
    <row r="1420" spans="1:31" x14ac:dyDescent="0.35">
      <c r="A1420">
        <v>101419</v>
      </c>
      <c r="B1420" s="3">
        <v>46003</v>
      </c>
      <c r="C1420">
        <v>1065</v>
      </c>
      <c r="D1420" t="s">
        <v>59</v>
      </c>
      <c r="E1420" t="s">
        <v>70</v>
      </c>
      <c r="F1420" t="s">
        <v>32</v>
      </c>
      <c r="G1420" t="s">
        <v>46</v>
      </c>
      <c r="H1420" t="s">
        <v>57</v>
      </c>
      <c r="I1420" t="s">
        <v>35</v>
      </c>
      <c r="J1420" s="4">
        <v>11.86</v>
      </c>
      <c r="K1420" s="4">
        <v>15.22</v>
      </c>
      <c r="L1420">
        <v>5</v>
      </c>
      <c r="M1420" s="4">
        <v>9.0299999999999994</v>
      </c>
      <c r="N1420" s="4">
        <v>171.48</v>
      </c>
      <c r="O1420" s="4">
        <v>94.2</v>
      </c>
      <c r="P1420" s="4">
        <v>3.14</v>
      </c>
      <c r="Q1420" s="4">
        <v>1.26</v>
      </c>
      <c r="R1420" s="4">
        <v>11.52</v>
      </c>
      <c r="S1420" s="4">
        <v>0</v>
      </c>
      <c r="T1420" s="4">
        <v>0</v>
      </c>
      <c r="U1420" s="4">
        <v>110.12</v>
      </c>
      <c r="V1420" s="4">
        <v>61.36</v>
      </c>
      <c r="W1420" t="s">
        <v>21</v>
      </c>
      <c r="X1420" t="s">
        <v>36</v>
      </c>
      <c r="Y1420" s="4">
        <v>22</v>
      </c>
      <c r="Z1420" s="4">
        <v>0</v>
      </c>
      <c r="AA1420" t="s">
        <v>52</v>
      </c>
      <c r="AB1420" t="s">
        <v>44</v>
      </c>
      <c r="AC1420" s="7">
        <v>3</v>
      </c>
      <c r="AD1420" t="s">
        <v>45</v>
      </c>
      <c r="AE1420">
        <f t="shared" si="22"/>
        <v>1</v>
      </c>
    </row>
    <row r="1421" spans="1:31" x14ac:dyDescent="0.35">
      <c r="A1421">
        <v>101420</v>
      </c>
      <c r="B1421" s="3">
        <v>45981</v>
      </c>
      <c r="C1421">
        <v>1102</v>
      </c>
      <c r="D1421" t="s">
        <v>59</v>
      </c>
      <c r="E1421" t="s">
        <v>60</v>
      </c>
      <c r="F1421" t="s">
        <v>71</v>
      </c>
      <c r="G1421" t="s">
        <v>46</v>
      </c>
      <c r="H1421" t="s">
        <v>34</v>
      </c>
      <c r="I1421" t="s">
        <v>35</v>
      </c>
      <c r="J1421" s="4">
        <v>34.14</v>
      </c>
      <c r="K1421" s="4">
        <v>15.98</v>
      </c>
      <c r="L1421">
        <v>0</v>
      </c>
      <c r="M1421" s="4">
        <v>0</v>
      </c>
      <c r="N1421" s="4">
        <v>545.55999999999995</v>
      </c>
      <c r="O1421" s="4">
        <v>253.2</v>
      </c>
      <c r="P1421" s="4">
        <v>11.84</v>
      </c>
      <c r="Q1421" s="4">
        <v>3.82</v>
      </c>
      <c r="R1421" s="4">
        <v>3.13</v>
      </c>
      <c r="S1421" s="4">
        <v>0</v>
      </c>
      <c r="T1421" s="4">
        <v>0</v>
      </c>
      <c r="U1421" s="4">
        <v>271.99</v>
      </c>
      <c r="V1421" s="4">
        <v>273.57</v>
      </c>
      <c r="W1421" t="s">
        <v>21</v>
      </c>
      <c r="X1421" t="s">
        <v>36</v>
      </c>
      <c r="Y1421" s="4">
        <v>5</v>
      </c>
      <c r="Z1421" s="4">
        <v>8</v>
      </c>
      <c r="AA1421" t="s">
        <v>37</v>
      </c>
      <c r="AB1421" t="s">
        <v>38</v>
      </c>
      <c r="AC1421" s="7">
        <v>0</v>
      </c>
      <c r="AD1421" t="s">
        <v>39</v>
      </c>
      <c r="AE1421">
        <f t="shared" si="22"/>
        <v>0</v>
      </c>
    </row>
    <row r="1422" spans="1:31" x14ac:dyDescent="0.35">
      <c r="A1422">
        <v>101421</v>
      </c>
      <c r="B1422" s="3">
        <v>45935</v>
      </c>
      <c r="C1422">
        <v>1058</v>
      </c>
      <c r="D1422" t="s">
        <v>59</v>
      </c>
      <c r="E1422" t="s">
        <v>70</v>
      </c>
      <c r="F1422" t="s">
        <v>32</v>
      </c>
      <c r="G1422" t="s">
        <v>63</v>
      </c>
      <c r="H1422" t="s">
        <v>51</v>
      </c>
      <c r="I1422" t="s">
        <v>35</v>
      </c>
      <c r="J1422" s="4">
        <v>28</v>
      </c>
      <c r="K1422" s="4">
        <v>13.93</v>
      </c>
      <c r="L1422">
        <v>0</v>
      </c>
      <c r="M1422" s="4">
        <v>0</v>
      </c>
      <c r="N1422" s="4">
        <v>390.04</v>
      </c>
      <c r="O1422" s="4">
        <v>187.5</v>
      </c>
      <c r="P1422" s="4">
        <v>9.0399999999999991</v>
      </c>
      <c r="Q1422" s="4">
        <v>2.73</v>
      </c>
      <c r="R1422" s="4">
        <v>2.46</v>
      </c>
      <c r="S1422" s="4">
        <v>266.54000000000002</v>
      </c>
      <c r="T1422" s="4">
        <v>3.81</v>
      </c>
      <c r="U1422" s="4">
        <v>472.08</v>
      </c>
      <c r="V1422" s="4">
        <v>-82.04</v>
      </c>
      <c r="W1422" t="s">
        <v>58</v>
      </c>
      <c r="X1422" t="s">
        <v>66</v>
      </c>
      <c r="Y1422" s="4">
        <v>11</v>
      </c>
      <c r="Z1422" s="4">
        <v>12</v>
      </c>
      <c r="AA1422" t="s">
        <v>37</v>
      </c>
      <c r="AB1422" t="s">
        <v>38</v>
      </c>
      <c r="AC1422" s="7">
        <v>3</v>
      </c>
      <c r="AD1422" t="s">
        <v>45</v>
      </c>
      <c r="AE1422">
        <f t="shared" si="22"/>
        <v>0</v>
      </c>
    </row>
    <row r="1423" spans="1:31" x14ac:dyDescent="0.35">
      <c r="A1423">
        <v>101422</v>
      </c>
      <c r="B1423" s="3">
        <v>46001</v>
      </c>
      <c r="C1423">
        <v>1095</v>
      </c>
      <c r="D1423" t="s">
        <v>47</v>
      </c>
      <c r="E1423" t="s">
        <v>74</v>
      </c>
      <c r="F1423" t="s">
        <v>41</v>
      </c>
      <c r="G1423" t="s">
        <v>63</v>
      </c>
      <c r="H1423" t="s">
        <v>34</v>
      </c>
      <c r="I1423" t="s">
        <v>35</v>
      </c>
      <c r="J1423" s="4">
        <v>25.82</v>
      </c>
      <c r="K1423" s="4">
        <v>12.03</v>
      </c>
      <c r="L1423">
        <v>5</v>
      </c>
      <c r="M1423" s="4">
        <v>15.53</v>
      </c>
      <c r="N1423" s="4">
        <v>295.08</v>
      </c>
      <c r="O1423" s="4">
        <v>152.35</v>
      </c>
      <c r="P1423" s="4">
        <v>10.68</v>
      </c>
      <c r="Q1423" s="4">
        <v>2.17</v>
      </c>
      <c r="R1423" s="4">
        <v>5.27</v>
      </c>
      <c r="S1423" s="4">
        <v>0</v>
      </c>
      <c r="T1423" s="4">
        <v>0</v>
      </c>
      <c r="U1423" s="4">
        <v>170.47</v>
      </c>
      <c r="V1423" s="4">
        <v>124.61</v>
      </c>
      <c r="W1423" t="s">
        <v>21</v>
      </c>
      <c r="X1423" t="s">
        <v>36</v>
      </c>
      <c r="Y1423" s="4">
        <v>0</v>
      </c>
      <c r="Z1423" s="4">
        <v>6</v>
      </c>
      <c r="AA1423" t="s">
        <v>37</v>
      </c>
      <c r="AB1423" t="s">
        <v>38</v>
      </c>
      <c r="AC1423" s="7">
        <v>0</v>
      </c>
      <c r="AD1423" t="s">
        <v>39</v>
      </c>
      <c r="AE1423">
        <f t="shared" si="22"/>
        <v>0</v>
      </c>
    </row>
    <row r="1424" spans="1:31" x14ac:dyDescent="0.35">
      <c r="A1424">
        <v>101423</v>
      </c>
      <c r="B1424" s="3">
        <v>45971</v>
      </c>
      <c r="C1424">
        <v>1009</v>
      </c>
      <c r="D1424" t="s">
        <v>30</v>
      </c>
      <c r="E1424" t="s">
        <v>31</v>
      </c>
      <c r="F1424" t="s">
        <v>61</v>
      </c>
      <c r="G1424" t="s">
        <v>46</v>
      </c>
      <c r="H1424" t="s">
        <v>34</v>
      </c>
      <c r="I1424" t="s">
        <v>35</v>
      </c>
      <c r="J1424" s="4">
        <v>24.43</v>
      </c>
      <c r="K1424" s="4">
        <v>15.43</v>
      </c>
      <c r="L1424">
        <v>0</v>
      </c>
      <c r="M1424" s="4">
        <v>0</v>
      </c>
      <c r="N1424" s="4">
        <v>376.95</v>
      </c>
      <c r="O1424" s="4">
        <v>134.07</v>
      </c>
      <c r="P1424" s="4">
        <v>7.76</v>
      </c>
      <c r="Q1424" s="4">
        <v>2.64</v>
      </c>
      <c r="R1424" s="4">
        <v>4.95</v>
      </c>
      <c r="S1424" s="4">
        <v>0</v>
      </c>
      <c r="T1424" s="4">
        <v>0</v>
      </c>
      <c r="U1424" s="4">
        <v>149.41999999999999</v>
      </c>
      <c r="V1424" s="4">
        <v>227.53</v>
      </c>
      <c r="W1424" t="s">
        <v>21</v>
      </c>
      <c r="X1424" t="s">
        <v>36</v>
      </c>
      <c r="Y1424" s="4">
        <v>15</v>
      </c>
      <c r="Z1424" s="4">
        <v>7</v>
      </c>
      <c r="AA1424" t="s">
        <v>37</v>
      </c>
      <c r="AB1424" t="s">
        <v>38</v>
      </c>
      <c r="AC1424" s="7">
        <v>0</v>
      </c>
      <c r="AD1424" t="s">
        <v>39</v>
      </c>
      <c r="AE1424">
        <f t="shared" si="22"/>
        <v>0</v>
      </c>
    </row>
    <row r="1425" spans="1:31" x14ac:dyDescent="0.35">
      <c r="A1425">
        <v>101424</v>
      </c>
      <c r="B1425" s="3">
        <v>45997</v>
      </c>
      <c r="C1425">
        <v>1076</v>
      </c>
      <c r="D1425" t="s">
        <v>59</v>
      </c>
      <c r="E1425" t="s">
        <v>60</v>
      </c>
      <c r="F1425" t="s">
        <v>71</v>
      </c>
      <c r="G1425" t="s">
        <v>46</v>
      </c>
      <c r="H1425" t="s">
        <v>34</v>
      </c>
      <c r="I1425" t="s">
        <v>54</v>
      </c>
      <c r="J1425" s="4">
        <v>35.21</v>
      </c>
      <c r="K1425" s="4">
        <v>15.68</v>
      </c>
      <c r="L1425">
        <v>10</v>
      </c>
      <c r="M1425" s="4">
        <v>55.21</v>
      </c>
      <c r="N1425" s="4">
        <v>496.88</v>
      </c>
      <c r="O1425" s="4">
        <v>296.32</v>
      </c>
      <c r="P1425" s="4">
        <v>9.11</v>
      </c>
      <c r="Q1425" s="4">
        <v>6.63</v>
      </c>
      <c r="R1425" s="4">
        <v>3.49</v>
      </c>
      <c r="S1425" s="4">
        <v>0</v>
      </c>
      <c r="T1425" s="4">
        <v>0</v>
      </c>
      <c r="U1425" s="4">
        <v>315.55</v>
      </c>
      <c r="V1425" s="4">
        <v>181.33</v>
      </c>
      <c r="W1425" t="s">
        <v>21</v>
      </c>
      <c r="X1425" t="s">
        <v>36</v>
      </c>
      <c r="Y1425" s="4">
        <v>13</v>
      </c>
      <c r="Z1425" s="4">
        <v>8</v>
      </c>
      <c r="AA1425" t="s">
        <v>37</v>
      </c>
      <c r="AB1425" t="s">
        <v>38</v>
      </c>
      <c r="AC1425" s="7">
        <v>1</v>
      </c>
      <c r="AD1425" t="s">
        <v>39</v>
      </c>
      <c r="AE1425">
        <f t="shared" si="22"/>
        <v>0</v>
      </c>
    </row>
    <row r="1426" spans="1:31" x14ac:dyDescent="0.35">
      <c r="A1426">
        <v>101425</v>
      </c>
      <c r="B1426" s="3">
        <v>45961</v>
      </c>
      <c r="C1426">
        <v>1114</v>
      </c>
      <c r="D1426" t="s">
        <v>59</v>
      </c>
      <c r="E1426" t="s">
        <v>60</v>
      </c>
      <c r="F1426" t="s">
        <v>32</v>
      </c>
      <c r="G1426" t="s">
        <v>63</v>
      </c>
      <c r="H1426" t="s">
        <v>34</v>
      </c>
      <c r="I1426" t="s">
        <v>35</v>
      </c>
      <c r="J1426" s="4">
        <v>17.989999999999998</v>
      </c>
      <c r="K1426" s="4">
        <v>12.46</v>
      </c>
      <c r="L1426">
        <v>10</v>
      </c>
      <c r="M1426" s="4">
        <v>22.42</v>
      </c>
      <c r="N1426" s="4">
        <v>201.74</v>
      </c>
      <c r="O1426" s="4">
        <v>136.93</v>
      </c>
      <c r="P1426" s="4">
        <v>10.82</v>
      </c>
      <c r="Q1426" s="4">
        <v>1.57</v>
      </c>
      <c r="R1426" s="4">
        <v>5</v>
      </c>
      <c r="S1426" s="4">
        <v>0</v>
      </c>
      <c r="T1426" s="4">
        <v>0</v>
      </c>
      <c r="U1426" s="4">
        <v>154.32</v>
      </c>
      <c r="V1426" s="4">
        <v>47.42</v>
      </c>
      <c r="W1426" t="s">
        <v>21</v>
      </c>
      <c r="X1426" t="s">
        <v>36</v>
      </c>
      <c r="Y1426" s="4">
        <v>1</v>
      </c>
      <c r="Z1426" s="4">
        <v>5</v>
      </c>
      <c r="AA1426" t="s">
        <v>37</v>
      </c>
      <c r="AB1426" t="s">
        <v>38</v>
      </c>
      <c r="AC1426" s="7">
        <v>0</v>
      </c>
      <c r="AD1426" t="s">
        <v>39</v>
      </c>
      <c r="AE1426">
        <f t="shared" si="22"/>
        <v>0</v>
      </c>
    </row>
    <row r="1427" spans="1:31" x14ac:dyDescent="0.35">
      <c r="A1427">
        <v>101426</v>
      </c>
      <c r="B1427" s="3">
        <v>45959</v>
      </c>
      <c r="C1427">
        <v>1083</v>
      </c>
      <c r="D1427" t="s">
        <v>30</v>
      </c>
      <c r="E1427" t="s">
        <v>62</v>
      </c>
      <c r="F1427" t="s">
        <v>49</v>
      </c>
      <c r="G1427" t="s">
        <v>46</v>
      </c>
      <c r="H1427" t="s">
        <v>57</v>
      </c>
      <c r="I1427" t="s">
        <v>35</v>
      </c>
      <c r="J1427" s="4">
        <v>19.12</v>
      </c>
      <c r="K1427" s="4">
        <v>15.99</v>
      </c>
      <c r="L1427">
        <v>5</v>
      </c>
      <c r="M1427" s="4">
        <v>15.29</v>
      </c>
      <c r="N1427" s="4">
        <v>290.44</v>
      </c>
      <c r="O1427" s="4">
        <v>161.87</v>
      </c>
      <c r="P1427" s="4">
        <v>9.09</v>
      </c>
      <c r="Q1427" s="4">
        <v>2.14</v>
      </c>
      <c r="R1427" s="4">
        <v>4.34</v>
      </c>
      <c r="S1427" s="4">
        <v>0</v>
      </c>
      <c r="T1427" s="4">
        <v>0</v>
      </c>
      <c r="U1427" s="4">
        <v>177.44</v>
      </c>
      <c r="V1427" s="4">
        <v>113</v>
      </c>
      <c r="W1427" t="s">
        <v>21</v>
      </c>
      <c r="X1427" t="s">
        <v>36</v>
      </c>
      <c r="Y1427" s="4">
        <v>1</v>
      </c>
      <c r="Z1427" s="4">
        <v>27</v>
      </c>
      <c r="AA1427" t="s">
        <v>37</v>
      </c>
      <c r="AB1427" t="s">
        <v>44</v>
      </c>
      <c r="AC1427" s="7">
        <v>2</v>
      </c>
      <c r="AD1427" t="s">
        <v>45</v>
      </c>
      <c r="AE1427">
        <f t="shared" si="22"/>
        <v>1</v>
      </c>
    </row>
    <row r="1428" spans="1:31" x14ac:dyDescent="0.35">
      <c r="A1428">
        <v>101427</v>
      </c>
      <c r="B1428" s="3">
        <v>45975</v>
      </c>
      <c r="C1428">
        <v>1147</v>
      </c>
      <c r="D1428" t="s">
        <v>64</v>
      </c>
      <c r="E1428" t="s">
        <v>65</v>
      </c>
      <c r="F1428" t="s">
        <v>41</v>
      </c>
      <c r="G1428" t="s">
        <v>63</v>
      </c>
      <c r="H1428" t="s">
        <v>34</v>
      </c>
      <c r="I1428" t="s">
        <v>54</v>
      </c>
      <c r="J1428" s="4">
        <v>30.31</v>
      </c>
      <c r="K1428" s="4">
        <v>12.68</v>
      </c>
      <c r="L1428">
        <v>0</v>
      </c>
      <c r="M1428" s="4">
        <v>0</v>
      </c>
      <c r="N1428" s="4">
        <v>384.33</v>
      </c>
      <c r="O1428" s="4">
        <v>224.85</v>
      </c>
      <c r="P1428" s="4">
        <v>11.64</v>
      </c>
      <c r="Q1428" s="4">
        <v>4.6100000000000003</v>
      </c>
      <c r="R1428" s="4">
        <v>5.81</v>
      </c>
      <c r="S1428" s="4">
        <v>0</v>
      </c>
      <c r="T1428" s="4">
        <v>0</v>
      </c>
      <c r="U1428" s="4">
        <v>246.91</v>
      </c>
      <c r="V1428" s="4">
        <v>137.41999999999999</v>
      </c>
      <c r="W1428" t="s">
        <v>21</v>
      </c>
      <c r="X1428" t="s">
        <v>36</v>
      </c>
      <c r="Y1428" s="4">
        <v>10</v>
      </c>
      <c r="Z1428" s="4">
        <v>1</v>
      </c>
      <c r="AA1428" t="s">
        <v>37</v>
      </c>
      <c r="AB1428" t="s">
        <v>38</v>
      </c>
      <c r="AC1428" s="7">
        <v>0</v>
      </c>
      <c r="AD1428" t="s">
        <v>39</v>
      </c>
      <c r="AE1428">
        <f t="shared" si="22"/>
        <v>0</v>
      </c>
    </row>
    <row r="1429" spans="1:31" x14ac:dyDescent="0.35">
      <c r="A1429">
        <v>101428</v>
      </c>
      <c r="B1429" s="3">
        <v>45961</v>
      </c>
      <c r="C1429">
        <v>1079</v>
      </c>
      <c r="D1429" t="s">
        <v>47</v>
      </c>
      <c r="E1429" t="s">
        <v>48</v>
      </c>
      <c r="F1429" t="s">
        <v>32</v>
      </c>
      <c r="G1429" t="s">
        <v>63</v>
      </c>
      <c r="H1429" t="s">
        <v>34</v>
      </c>
      <c r="I1429" t="s">
        <v>42</v>
      </c>
      <c r="J1429" s="4">
        <v>14.9</v>
      </c>
      <c r="K1429" s="4">
        <v>14.49</v>
      </c>
      <c r="L1429">
        <v>0</v>
      </c>
      <c r="M1429" s="4">
        <v>0</v>
      </c>
      <c r="N1429" s="4">
        <v>215.9</v>
      </c>
      <c r="O1429" s="4">
        <v>100.91</v>
      </c>
      <c r="P1429" s="4">
        <v>6.86</v>
      </c>
      <c r="Q1429" s="4">
        <v>3.24</v>
      </c>
      <c r="R1429" s="4">
        <v>2.92</v>
      </c>
      <c r="S1429" s="4">
        <v>0</v>
      </c>
      <c r="T1429" s="4">
        <v>0</v>
      </c>
      <c r="U1429" s="4">
        <v>113.93</v>
      </c>
      <c r="V1429" s="4">
        <v>101.97</v>
      </c>
      <c r="W1429" t="s">
        <v>21</v>
      </c>
      <c r="X1429" t="s">
        <v>36</v>
      </c>
      <c r="Y1429" s="4">
        <v>17</v>
      </c>
      <c r="Z1429" s="4">
        <v>15</v>
      </c>
      <c r="AA1429" t="s">
        <v>52</v>
      </c>
      <c r="AB1429" t="s">
        <v>38</v>
      </c>
      <c r="AC1429" s="7">
        <v>0</v>
      </c>
      <c r="AD1429" t="s">
        <v>39</v>
      </c>
      <c r="AE1429">
        <f t="shared" si="22"/>
        <v>0</v>
      </c>
    </row>
    <row r="1430" spans="1:31" x14ac:dyDescent="0.35">
      <c r="A1430">
        <v>101429</v>
      </c>
      <c r="B1430" s="3">
        <v>46010</v>
      </c>
      <c r="C1430">
        <v>1111</v>
      </c>
      <c r="D1430" t="s">
        <v>30</v>
      </c>
      <c r="E1430" t="s">
        <v>62</v>
      </c>
      <c r="F1430" t="s">
        <v>41</v>
      </c>
      <c r="G1430" t="s">
        <v>50</v>
      </c>
      <c r="H1430" t="s">
        <v>57</v>
      </c>
      <c r="I1430" t="s">
        <v>69</v>
      </c>
      <c r="J1430" s="4">
        <v>31.02</v>
      </c>
      <c r="K1430" s="4">
        <v>17.71</v>
      </c>
      <c r="L1430">
        <v>0</v>
      </c>
      <c r="M1430" s="4">
        <v>0</v>
      </c>
      <c r="N1430" s="4">
        <v>549.36</v>
      </c>
      <c r="O1430" s="4">
        <v>182.78</v>
      </c>
      <c r="P1430" s="4">
        <v>7.57</v>
      </c>
      <c r="Q1430" s="4">
        <v>2.2000000000000002</v>
      </c>
      <c r="R1430" s="4">
        <v>6.93</v>
      </c>
      <c r="S1430" s="4">
        <v>0</v>
      </c>
      <c r="T1430" s="4">
        <v>0</v>
      </c>
      <c r="U1430" s="4">
        <v>199.48</v>
      </c>
      <c r="V1430" s="4">
        <v>349.88</v>
      </c>
      <c r="W1430" t="s">
        <v>21</v>
      </c>
      <c r="X1430" t="s">
        <v>36</v>
      </c>
      <c r="Y1430" s="4">
        <v>9</v>
      </c>
      <c r="Z1430" s="4">
        <v>1</v>
      </c>
      <c r="AA1430" t="s">
        <v>37</v>
      </c>
      <c r="AB1430" t="s">
        <v>38</v>
      </c>
      <c r="AC1430" s="7">
        <v>0</v>
      </c>
      <c r="AD1430" t="s">
        <v>39</v>
      </c>
      <c r="AE1430">
        <f t="shared" si="22"/>
        <v>0</v>
      </c>
    </row>
    <row r="1431" spans="1:31" x14ac:dyDescent="0.35">
      <c r="A1431">
        <v>101430</v>
      </c>
      <c r="B1431" s="3">
        <v>45941</v>
      </c>
      <c r="C1431">
        <v>1084</v>
      </c>
      <c r="D1431" t="s">
        <v>30</v>
      </c>
      <c r="E1431" t="s">
        <v>72</v>
      </c>
      <c r="F1431" t="s">
        <v>49</v>
      </c>
      <c r="G1431" t="s">
        <v>63</v>
      </c>
      <c r="H1431" t="s">
        <v>34</v>
      </c>
      <c r="I1431" t="s">
        <v>35</v>
      </c>
      <c r="J1431" s="4">
        <v>20.239999999999998</v>
      </c>
      <c r="K1431" s="4">
        <v>13.72</v>
      </c>
      <c r="L1431">
        <v>0</v>
      </c>
      <c r="M1431" s="4">
        <v>0</v>
      </c>
      <c r="N1431" s="4">
        <v>277.69</v>
      </c>
      <c r="O1431" s="4">
        <v>146.29</v>
      </c>
      <c r="P1431" s="4">
        <v>5.8</v>
      </c>
      <c r="Q1431" s="4">
        <v>1.94</v>
      </c>
      <c r="R1431" s="4">
        <v>12.47</v>
      </c>
      <c r="S1431" s="4">
        <v>0</v>
      </c>
      <c r="T1431" s="4">
        <v>0</v>
      </c>
      <c r="U1431" s="4">
        <v>166.5</v>
      </c>
      <c r="V1431" s="4">
        <v>111.19</v>
      </c>
      <c r="W1431" t="s">
        <v>21</v>
      </c>
      <c r="X1431" t="s">
        <v>36</v>
      </c>
      <c r="Y1431" s="4">
        <v>3</v>
      </c>
      <c r="Z1431" s="4">
        <v>3</v>
      </c>
      <c r="AA1431" t="s">
        <v>37</v>
      </c>
      <c r="AB1431" t="s">
        <v>38</v>
      </c>
      <c r="AC1431" s="7">
        <v>0</v>
      </c>
      <c r="AD1431" t="s">
        <v>39</v>
      </c>
      <c r="AE1431">
        <f t="shared" si="22"/>
        <v>0</v>
      </c>
    </row>
    <row r="1432" spans="1:31" x14ac:dyDescent="0.35">
      <c r="A1432">
        <v>101431</v>
      </c>
      <c r="B1432" s="3">
        <v>45959</v>
      </c>
      <c r="C1432">
        <v>1074</v>
      </c>
      <c r="D1432" t="s">
        <v>30</v>
      </c>
      <c r="E1432" t="s">
        <v>31</v>
      </c>
      <c r="F1432" t="s">
        <v>61</v>
      </c>
      <c r="G1432" t="s">
        <v>63</v>
      </c>
      <c r="H1432" t="s">
        <v>34</v>
      </c>
      <c r="I1432" t="s">
        <v>42</v>
      </c>
      <c r="J1432" s="4">
        <v>24.23</v>
      </c>
      <c r="K1432" s="4">
        <v>12.36</v>
      </c>
      <c r="L1432">
        <v>0</v>
      </c>
      <c r="M1432" s="4">
        <v>0</v>
      </c>
      <c r="N1432" s="4">
        <v>299.48</v>
      </c>
      <c r="O1432" s="4">
        <v>166.44</v>
      </c>
      <c r="P1432" s="4">
        <v>5.35</v>
      </c>
      <c r="Q1432" s="4">
        <v>4.49</v>
      </c>
      <c r="R1432" s="4">
        <v>2.2799999999999998</v>
      </c>
      <c r="S1432" s="4">
        <v>0</v>
      </c>
      <c r="T1432" s="4">
        <v>0</v>
      </c>
      <c r="U1432" s="4">
        <v>178.56</v>
      </c>
      <c r="V1432" s="4">
        <v>120.92</v>
      </c>
      <c r="W1432" t="s">
        <v>21</v>
      </c>
      <c r="X1432" t="s">
        <v>36</v>
      </c>
      <c r="Y1432" s="4">
        <v>12</v>
      </c>
      <c r="Z1432" s="4">
        <v>19</v>
      </c>
      <c r="AA1432" t="s">
        <v>37</v>
      </c>
      <c r="AB1432" t="s">
        <v>44</v>
      </c>
      <c r="AC1432" s="7">
        <v>1</v>
      </c>
      <c r="AD1432" t="s">
        <v>45</v>
      </c>
      <c r="AE1432">
        <f t="shared" si="22"/>
        <v>1</v>
      </c>
    </row>
    <row r="1433" spans="1:31" x14ac:dyDescent="0.35">
      <c r="A1433">
        <v>101432</v>
      </c>
      <c r="B1433" s="3">
        <v>45935</v>
      </c>
      <c r="C1433">
        <v>1088</v>
      </c>
      <c r="D1433" t="s">
        <v>64</v>
      </c>
      <c r="E1433" t="s">
        <v>67</v>
      </c>
      <c r="F1433" t="s">
        <v>41</v>
      </c>
      <c r="G1433" t="s">
        <v>46</v>
      </c>
      <c r="H1433" t="s">
        <v>34</v>
      </c>
      <c r="I1433" t="s">
        <v>69</v>
      </c>
      <c r="J1433" s="4">
        <v>35.53</v>
      </c>
      <c r="K1433" s="4">
        <v>15.95</v>
      </c>
      <c r="L1433">
        <v>0</v>
      </c>
      <c r="M1433" s="4">
        <v>0</v>
      </c>
      <c r="N1433" s="4">
        <v>566.70000000000005</v>
      </c>
      <c r="O1433" s="4">
        <v>268.41000000000003</v>
      </c>
      <c r="P1433" s="4">
        <v>6.64</v>
      </c>
      <c r="Q1433" s="4">
        <v>2.27</v>
      </c>
      <c r="R1433" s="4">
        <v>3.08</v>
      </c>
      <c r="S1433" s="4">
        <v>0</v>
      </c>
      <c r="T1433" s="4">
        <v>0</v>
      </c>
      <c r="U1433" s="4">
        <v>280.39999999999998</v>
      </c>
      <c r="V1433" s="4">
        <v>286.3</v>
      </c>
      <c r="W1433" t="s">
        <v>21</v>
      </c>
      <c r="X1433" t="s">
        <v>36</v>
      </c>
      <c r="Y1433" s="4">
        <v>1</v>
      </c>
      <c r="Z1433" s="4">
        <v>5</v>
      </c>
      <c r="AA1433" t="s">
        <v>37</v>
      </c>
      <c r="AB1433" t="s">
        <v>38</v>
      </c>
      <c r="AC1433" s="7">
        <v>0</v>
      </c>
      <c r="AD1433" t="s">
        <v>39</v>
      </c>
      <c r="AE1433">
        <f t="shared" si="22"/>
        <v>0</v>
      </c>
    </row>
    <row r="1434" spans="1:31" x14ac:dyDescent="0.35">
      <c r="A1434">
        <v>101433</v>
      </c>
      <c r="B1434" s="3">
        <v>46019</v>
      </c>
      <c r="C1434">
        <v>1134</v>
      </c>
      <c r="D1434" t="s">
        <v>59</v>
      </c>
      <c r="E1434" t="s">
        <v>68</v>
      </c>
      <c r="F1434" t="s">
        <v>41</v>
      </c>
      <c r="G1434" t="s">
        <v>33</v>
      </c>
      <c r="H1434" t="s">
        <v>34</v>
      </c>
      <c r="I1434" t="s">
        <v>35</v>
      </c>
      <c r="J1434" s="4">
        <v>31.03</v>
      </c>
      <c r="K1434" s="4">
        <v>17.84</v>
      </c>
      <c r="L1434">
        <v>5</v>
      </c>
      <c r="M1434" s="4">
        <v>27.68</v>
      </c>
      <c r="N1434" s="4">
        <v>525.9</v>
      </c>
      <c r="O1434" s="4">
        <v>249.16</v>
      </c>
      <c r="P1434" s="4">
        <v>7.48</v>
      </c>
      <c r="Q1434" s="4">
        <v>3.88</v>
      </c>
      <c r="R1434" s="4">
        <v>0</v>
      </c>
      <c r="S1434" s="4">
        <v>0</v>
      </c>
      <c r="T1434" s="4">
        <v>0</v>
      </c>
      <c r="U1434" s="4">
        <v>260.52</v>
      </c>
      <c r="V1434" s="4">
        <v>265.38</v>
      </c>
      <c r="W1434" t="s">
        <v>21</v>
      </c>
      <c r="X1434" t="s">
        <v>36</v>
      </c>
      <c r="Y1434" s="4">
        <v>12</v>
      </c>
      <c r="Z1434" s="4">
        <v>10</v>
      </c>
      <c r="AA1434" t="s">
        <v>37</v>
      </c>
      <c r="AB1434" t="s">
        <v>38</v>
      </c>
      <c r="AC1434" s="7">
        <v>0</v>
      </c>
      <c r="AD1434" t="s">
        <v>39</v>
      </c>
      <c r="AE1434">
        <f t="shared" si="22"/>
        <v>0</v>
      </c>
    </row>
    <row r="1435" spans="1:31" x14ac:dyDescent="0.35">
      <c r="A1435">
        <v>101434</v>
      </c>
      <c r="B1435" s="3">
        <v>45994</v>
      </c>
      <c r="C1435">
        <v>1082</v>
      </c>
      <c r="D1435" t="s">
        <v>30</v>
      </c>
      <c r="E1435" t="s">
        <v>31</v>
      </c>
      <c r="F1435" t="s">
        <v>32</v>
      </c>
      <c r="G1435" t="s">
        <v>46</v>
      </c>
      <c r="H1435" t="s">
        <v>57</v>
      </c>
      <c r="I1435" t="s">
        <v>35</v>
      </c>
      <c r="J1435" s="4">
        <v>25.43</v>
      </c>
      <c r="K1435" s="4">
        <v>17.04</v>
      </c>
      <c r="L1435">
        <v>20</v>
      </c>
      <c r="M1435" s="4">
        <v>86.67</v>
      </c>
      <c r="N1435" s="4">
        <v>346.66</v>
      </c>
      <c r="O1435" s="4">
        <v>178.58</v>
      </c>
      <c r="P1435" s="4">
        <v>13.11</v>
      </c>
      <c r="Q1435" s="4">
        <v>3.03</v>
      </c>
      <c r="R1435" s="4">
        <v>10.3</v>
      </c>
      <c r="S1435" s="4">
        <v>0</v>
      </c>
      <c r="T1435" s="4">
        <v>0</v>
      </c>
      <c r="U1435" s="4">
        <v>205.02</v>
      </c>
      <c r="V1435" s="4">
        <v>141.63999999999999</v>
      </c>
      <c r="W1435" t="s">
        <v>21</v>
      </c>
      <c r="X1435" t="s">
        <v>36</v>
      </c>
      <c r="Y1435" s="4">
        <v>3</v>
      </c>
      <c r="Z1435" s="4">
        <v>14</v>
      </c>
      <c r="AA1435" t="s">
        <v>37</v>
      </c>
      <c r="AB1435" t="s">
        <v>38</v>
      </c>
      <c r="AC1435" s="7">
        <v>0</v>
      </c>
      <c r="AD1435" t="s">
        <v>39</v>
      </c>
      <c r="AE1435">
        <f t="shared" si="22"/>
        <v>0</v>
      </c>
    </row>
    <row r="1436" spans="1:31" x14ac:dyDescent="0.35">
      <c r="A1436">
        <v>101435</v>
      </c>
      <c r="B1436" s="3">
        <v>45935</v>
      </c>
      <c r="C1436">
        <v>1145</v>
      </c>
      <c r="D1436" t="s">
        <v>59</v>
      </c>
      <c r="E1436" t="s">
        <v>73</v>
      </c>
      <c r="F1436" t="s">
        <v>32</v>
      </c>
      <c r="G1436" t="s">
        <v>63</v>
      </c>
      <c r="H1436" t="s">
        <v>34</v>
      </c>
      <c r="I1436" t="s">
        <v>35</v>
      </c>
      <c r="J1436" s="4">
        <v>25.21</v>
      </c>
      <c r="K1436" s="4">
        <v>13.24</v>
      </c>
      <c r="L1436">
        <v>0</v>
      </c>
      <c r="M1436" s="4">
        <v>0</v>
      </c>
      <c r="N1436" s="4">
        <v>333.78</v>
      </c>
      <c r="O1436" s="4">
        <v>149.12</v>
      </c>
      <c r="P1436" s="4">
        <v>7.08</v>
      </c>
      <c r="Q1436" s="4">
        <v>2.34</v>
      </c>
      <c r="R1436" s="4">
        <v>0.98</v>
      </c>
      <c r="S1436" s="4">
        <v>0</v>
      </c>
      <c r="T1436" s="4">
        <v>0</v>
      </c>
      <c r="U1436" s="4">
        <v>159.52000000000001</v>
      </c>
      <c r="V1436" s="4">
        <v>174.26</v>
      </c>
      <c r="W1436" t="s">
        <v>21</v>
      </c>
      <c r="X1436" t="s">
        <v>36</v>
      </c>
      <c r="Y1436" s="4">
        <v>10</v>
      </c>
      <c r="Z1436" s="4">
        <v>8</v>
      </c>
      <c r="AA1436" t="s">
        <v>37</v>
      </c>
      <c r="AB1436" t="s">
        <v>38</v>
      </c>
      <c r="AC1436" s="7">
        <v>0</v>
      </c>
      <c r="AD1436" t="s">
        <v>39</v>
      </c>
      <c r="AE1436">
        <f t="shared" si="22"/>
        <v>0</v>
      </c>
    </row>
    <row r="1437" spans="1:31" x14ac:dyDescent="0.35">
      <c r="A1437">
        <v>101436</v>
      </c>
      <c r="B1437" s="3">
        <v>46014</v>
      </c>
      <c r="C1437">
        <v>1087</v>
      </c>
      <c r="D1437" t="s">
        <v>30</v>
      </c>
      <c r="E1437" t="s">
        <v>40</v>
      </c>
      <c r="F1437" t="s">
        <v>41</v>
      </c>
      <c r="G1437" t="s">
        <v>63</v>
      </c>
      <c r="H1437" t="s">
        <v>34</v>
      </c>
      <c r="I1437" t="s">
        <v>35</v>
      </c>
      <c r="J1437" s="4">
        <v>12.7</v>
      </c>
      <c r="K1437" s="4">
        <v>13.11</v>
      </c>
      <c r="L1437">
        <v>10</v>
      </c>
      <c r="M1437" s="4">
        <v>16.649999999999999</v>
      </c>
      <c r="N1437" s="4">
        <v>149.85</v>
      </c>
      <c r="O1437" s="4">
        <v>85.02</v>
      </c>
      <c r="P1437" s="4">
        <v>6.57</v>
      </c>
      <c r="Q1437" s="4">
        <v>1.17</v>
      </c>
      <c r="R1437" s="4">
        <v>12.25</v>
      </c>
      <c r="S1437" s="4">
        <v>0</v>
      </c>
      <c r="T1437" s="4">
        <v>0</v>
      </c>
      <c r="U1437" s="4">
        <v>105.01</v>
      </c>
      <c r="V1437" s="4">
        <v>44.84</v>
      </c>
      <c r="W1437" t="s">
        <v>21</v>
      </c>
      <c r="X1437" t="s">
        <v>36</v>
      </c>
      <c r="Y1437" s="4">
        <v>2</v>
      </c>
      <c r="Z1437" s="4">
        <v>2</v>
      </c>
      <c r="AA1437" t="s">
        <v>37</v>
      </c>
      <c r="AB1437" t="s">
        <v>38</v>
      </c>
      <c r="AC1437" s="7">
        <v>0</v>
      </c>
      <c r="AD1437" t="s">
        <v>39</v>
      </c>
      <c r="AE1437">
        <f t="shared" si="22"/>
        <v>0</v>
      </c>
    </row>
    <row r="1438" spans="1:31" x14ac:dyDescent="0.35">
      <c r="A1438">
        <v>101437</v>
      </c>
      <c r="B1438" s="3">
        <v>45933</v>
      </c>
      <c r="C1438">
        <v>1099</v>
      </c>
      <c r="D1438" t="s">
        <v>30</v>
      </c>
      <c r="E1438" t="s">
        <v>40</v>
      </c>
      <c r="F1438" t="s">
        <v>32</v>
      </c>
      <c r="G1438" t="s">
        <v>46</v>
      </c>
      <c r="H1438" t="s">
        <v>34</v>
      </c>
      <c r="I1438" t="s">
        <v>69</v>
      </c>
      <c r="J1438" s="4">
        <v>27.21</v>
      </c>
      <c r="K1438" s="4">
        <v>15.46</v>
      </c>
      <c r="L1438">
        <v>10</v>
      </c>
      <c r="M1438" s="4">
        <v>42.07</v>
      </c>
      <c r="N1438" s="4">
        <v>378.6</v>
      </c>
      <c r="O1438" s="4">
        <v>192.96</v>
      </c>
      <c r="P1438" s="4">
        <v>5.29</v>
      </c>
      <c r="Q1438" s="4">
        <v>1.68</v>
      </c>
      <c r="R1438" s="4">
        <v>3.3</v>
      </c>
      <c r="S1438" s="4">
        <v>0</v>
      </c>
      <c r="T1438" s="4">
        <v>0</v>
      </c>
      <c r="U1438" s="4">
        <v>203.23</v>
      </c>
      <c r="V1438" s="4">
        <v>175.37</v>
      </c>
      <c r="W1438" t="s">
        <v>21</v>
      </c>
      <c r="X1438" t="s">
        <v>36</v>
      </c>
      <c r="Y1438" s="4">
        <v>2</v>
      </c>
      <c r="Z1438" s="4">
        <v>7</v>
      </c>
      <c r="AA1438" t="s">
        <v>37</v>
      </c>
      <c r="AB1438" t="s">
        <v>38</v>
      </c>
      <c r="AC1438" s="7">
        <v>0</v>
      </c>
      <c r="AD1438" t="s">
        <v>39</v>
      </c>
      <c r="AE1438">
        <f t="shared" si="22"/>
        <v>0</v>
      </c>
    </row>
    <row r="1439" spans="1:31" x14ac:dyDescent="0.35">
      <c r="A1439">
        <v>101438</v>
      </c>
      <c r="B1439" s="3">
        <v>45978</v>
      </c>
      <c r="C1439">
        <v>1033</v>
      </c>
      <c r="D1439" t="s">
        <v>64</v>
      </c>
      <c r="E1439" t="s">
        <v>76</v>
      </c>
      <c r="F1439" t="s">
        <v>61</v>
      </c>
      <c r="G1439" t="s">
        <v>46</v>
      </c>
      <c r="H1439" t="s">
        <v>34</v>
      </c>
      <c r="I1439" t="s">
        <v>35</v>
      </c>
      <c r="J1439" s="4">
        <v>18.100000000000001</v>
      </c>
      <c r="K1439" s="4">
        <v>14.39</v>
      </c>
      <c r="L1439">
        <v>10</v>
      </c>
      <c r="M1439" s="4">
        <v>26.05</v>
      </c>
      <c r="N1439" s="4">
        <v>234.41</v>
      </c>
      <c r="O1439" s="4">
        <v>126.68</v>
      </c>
      <c r="P1439" s="4">
        <v>9.4</v>
      </c>
      <c r="Q1439" s="4">
        <v>1.82</v>
      </c>
      <c r="R1439" s="4">
        <v>0.93</v>
      </c>
      <c r="S1439" s="4">
        <v>0</v>
      </c>
      <c r="T1439" s="4">
        <v>0</v>
      </c>
      <c r="U1439" s="4">
        <v>138.83000000000001</v>
      </c>
      <c r="V1439" s="4">
        <v>95.58</v>
      </c>
      <c r="W1439" t="s">
        <v>21</v>
      </c>
      <c r="X1439" t="s">
        <v>36</v>
      </c>
      <c r="Y1439" s="4">
        <v>13</v>
      </c>
      <c r="Z1439" s="4">
        <v>36</v>
      </c>
      <c r="AA1439" t="s">
        <v>37</v>
      </c>
      <c r="AB1439" t="s">
        <v>44</v>
      </c>
      <c r="AC1439" s="7">
        <v>2</v>
      </c>
      <c r="AD1439" t="s">
        <v>45</v>
      </c>
      <c r="AE1439">
        <f t="shared" si="22"/>
        <v>1</v>
      </c>
    </row>
    <row r="1440" spans="1:31" x14ac:dyDescent="0.35">
      <c r="A1440">
        <v>101439</v>
      </c>
      <c r="B1440" s="3">
        <v>46015</v>
      </c>
      <c r="C1440">
        <v>1107</v>
      </c>
      <c r="D1440" t="s">
        <v>59</v>
      </c>
      <c r="E1440" t="s">
        <v>70</v>
      </c>
      <c r="F1440" t="s">
        <v>49</v>
      </c>
      <c r="G1440" t="s">
        <v>63</v>
      </c>
      <c r="H1440" t="s">
        <v>57</v>
      </c>
      <c r="I1440" t="s">
        <v>42</v>
      </c>
      <c r="J1440" s="4">
        <v>8.49</v>
      </c>
      <c r="K1440" s="4">
        <v>14.45</v>
      </c>
      <c r="L1440">
        <v>0</v>
      </c>
      <c r="M1440" s="4">
        <v>0</v>
      </c>
      <c r="N1440" s="4">
        <v>122.68</v>
      </c>
      <c r="O1440" s="4">
        <v>54.64</v>
      </c>
      <c r="P1440" s="4">
        <v>6.05</v>
      </c>
      <c r="Q1440" s="4">
        <v>1.84</v>
      </c>
      <c r="R1440" s="4">
        <v>2.15</v>
      </c>
      <c r="S1440" s="4">
        <v>0</v>
      </c>
      <c r="T1440" s="4">
        <v>0</v>
      </c>
      <c r="U1440" s="4">
        <v>64.680000000000007</v>
      </c>
      <c r="V1440" s="4">
        <v>58</v>
      </c>
      <c r="W1440" t="s">
        <v>21</v>
      </c>
      <c r="X1440" t="s">
        <v>36</v>
      </c>
      <c r="Y1440" s="4">
        <v>38</v>
      </c>
      <c r="Z1440" s="4">
        <v>16</v>
      </c>
      <c r="AA1440" t="s">
        <v>43</v>
      </c>
      <c r="AB1440" t="s">
        <v>44</v>
      </c>
      <c r="AC1440" s="7">
        <v>1</v>
      </c>
      <c r="AD1440" t="s">
        <v>45</v>
      </c>
      <c r="AE1440">
        <f t="shared" si="22"/>
        <v>1</v>
      </c>
    </row>
    <row r="1441" spans="1:31" x14ac:dyDescent="0.35">
      <c r="A1441">
        <v>101440</v>
      </c>
      <c r="B1441" s="3">
        <v>45976</v>
      </c>
      <c r="C1441">
        <v>1007</v>
      </c>
      <c r="D1441" t="s">
        <v>30</v>
      </c>
      <c r="E1441" t="s">
        <v>62</v>
      </c>
      <c r="F1441" t="s">
        <v>49</v>
      </c>
      <c r="G1441" t="s">
        <v>50</v>
      </c>
      <c r="H1441" t="s">
        <v>57</v>
      </c>
      <c r="I1441" t="s">
        <v>35</v>
      </c>
      <c r="J1441" s="4">
        <v>43.27</v>
      </c>
      <c r="K1441" s="4">
        <v>19.440000000000001</v>
      </c>
      <c r="L1441">
        <v>0</v>
      </c>
      <c r="M1441" s="4">
        <v>0</v>
      </c>
      <c r="N1441" s="4">
        <v>841.17</v>
      </c>
      <c r="O1441" s="4">
        <v>309.14</v>
      </c>
      <c r="P1441" s="4">
        <v>7.14</v>
      </c>
      <c r="Q1441" s="4">
        <v>5.89</v>
      </c>
      <c r="R1441" s="4">
        <v>11.5</v>
      </c>
      <c r="S1441" s="4">
        <v>352.23</v>
      </c>
      <c r="T1441" s="4">
        <v>24.26</v>
      </c>
      <c r="U1441" s="4">
        <v>710.16</v>
      </c>
      <c r="V1441" s="4">
        <v>131.01</v>
      </c>
      <c r="W1441" t="s">
        <v>21</v>
      </c>
      <c r="X1441" t="s">
        <v>66</v>
      </c>
      <c r="Y1441" s="4">
        <v>7</v>
      </c>
      <c r="Z1441" s="4">
        <v>12</v>
      </c>
      <c r="AA1441" t="s">
        <v>37</v>
      </c>
      <c r="AB1441" t="s">
        <v>38</v>
      </c>
      <c r="AC1441" s="7">
        <v>3</v>
      </c>
      <c r="AD1441" t="s">
        <v>45</v>
      </c>
      <c r="AE1441">
        <f t="shared" si="22"/>
        <v>0</v>
      </c>
    </row>
    <row r="1442" spans="1:31" x14ac:dyDescent="0.35">
      <c r="A1442">
        <v>101441</v>
      </c>
      <c r="B1442" s="3">
        <v>45970</v>
      </c>
      <c r="C1442">
        <v>1052</v>
      </c>
      <c r="D1442" t="s">
        <v>47</v>
      </c>
      <c r="E1442" t="s">
        <v>48</v>
      </c>
      <c r="F1442" t="s">
        <v>71</v>
      </c>
      <c r="G1442" t="s">
        <v>50</v>
      </c>
      <c r="H1442" t="s">
        <v>51</v>
      </c>
      <c r="I1442" t="s">
        <v>35</v>
      </c>
      <c r="J1442" s="4">
        <v>35.549999999999997</v>
      </c>
      <c r="K1442" s="4">
        <v>16.43</v>
      </c>
      <c r="L1442">
        <v>20</v>
      </c>
      <c r="M1442" s="4">
        <v>116.82</v>
      </c>
      <c r="N1442" s="4">
        <v>467.27</v>
      </c>
      <c r="O1442" s="4">
        <v>205.71</v>
      </c>
      <c r="P1442" s="4">
        <v>12.15</v>
      </c>
      <c r="Q1442" s="4">
        <v>4.09</v>
      </c>
      <c r="R1442" s="4">
        <v>6.28</v>
      </c>
      <c r="S1442" s="4">
        <v>0</v>
      </c>
      <c r="T1442" s="4">
        <v>0</v>
      </c>
      <c r="U1442" s="4">
        <v>228.23</v>
      </c>
      <c r="V1442" s="4">
        <v>239.04</v>
      </c>
      <c r="W1442" t="s">
        <v>21</v>
      </c>
      <c r="X1442" t="s">
        <v>36</v>
      </c>
      <c r="Y1442" s="4">
        <v>0</v>
      </c>
      <c r="Z1442" s="4">
        <v>8</v>
      </c>
      <c r="AA1442" t="s">
        <v>37</v>
      </c>
      <c r="AB1442" t="s">
        <v>38</v>
      </c>
      <c r="AC1442" s="7">
        <v>0</v>
      </c>
      <c r="AD1442" t="s">
        <v>39</v>
      </c>
      <c r="AE1442">
        <f t="shared" si="22"/>
        <v>0</v>
      </c>
    </row>
    <row r="1443" spans="1:31" x14ac:dyDescent="0.35">
      <c r="A1443">
        <v>101442</v>
      </c>
      <c r="B1443" s="3">
        <v>45943</v>
      </c>
      <c r="C1443">
        <v>1138</v>
      </c>
      <c r="D1443" t="s">
        <v>30</v>
      </c>
      <c r="E1443" t="s">
        <v>62</v>
      </c>
      <c r="F1443" t="s">
        <v>71</v>
      </c>
      <c r="G1443" t="s">
        <v>63</v>
      </c>
      <c r="H1443" t="s">
        <v>34</v>
      </c>
      <c r="I1443" t="s">
        <v>54</v>
      </c>
      <c r="J1443" s="4">
        <v>13.61</v>
      </c>
      <c r="K1443" s="4">
        <v>12.36</v>
      </c>
      <c r="L1443">
        <v>10</v>
      </c>
      <c r="M1443" s="4">
        <v>16.82</v>
      </c>
      <c r="N1443" s="4">
        <v>151.4</v>
      </c>
      <c r="O1443" s="4">
        <v>87.01</v>
      </c>
      <c r="P1443" s="4">
        <v>9.4700000000000006</v>
      </c>
      <c r="Q1443" s="4">
        <v>2.02</v>
      </c>
      <c r="R1443" s="4">
        <v>7.68</v>
      </c>
      <c r="S1443" s="4">
        <v>0</v>
      </c>
      <c r="T1443" s="4">
        <v>0</v>
      </c>
      <c r="U1443" s="4">
        <v>106.18</v>
      </c>
      <c r="V1443" s="4">
        <v>45.22</v>
      </c>
      <c r="W1443" t="s">
        <v>21</v>
      </c>
      <c r="X1443" t="s">
        <v>36</v>
      </c>
      <c r="Y1443" s="4">
        <v>14</v>
      </c>
      <c r="Z1443" s="4">
        <v>3</v>
      </c>
      <c r="AA1443" t="s">
        <v>37</v>
      </c>
      <c r="AB1443" t="s">
        <v>38</v>
      </c>
      <c r="AC1443" s="7">
        <v>0</v>
      </c>
      <c r="AD1443" t="s">
        <v>39</v>
      </c>
      <c r="AE1443">
        <f t="shared" si="22"/>
        <v>0</v>
      </c>
    </row>
    <row r="1444" spans="1:31" x14ac:dyDescent="0.35">
      <c r="A1444">
        <v>101443</v>
      </c>
      <c r="B1444" s="3">
        <v>45939</v>
      </c>
      <c r="C1444">
        <v>1109</v>
      </c>
      <c r="D1444" t="s">
        <v>47</v>
      </c>
      <c r="E1444" t="s">
        <v>53</v>
      </c>
      <c r="F1444" t="s">
        <v>61</v>
      </c>
      <c r="G1444" t="s">
        <v>63</v>
      </c>
      <c r="H1444" t="s">
        <v>34</v>
      </c>
      <c r="I1444" t="s">
        <v>35</v>
      </c>
      <c r="J1444" s="4">
        <v>16.22</v>
      </c>
      <c r="K1444" s="4">
        <v>12.02</v>
      </c>
      <c r="L1444">
        <v>10</v>
      </c>
      <c r="M1444" s="4">
        <v>19.5</v>
      </c>
      <c r="N1444" s="4">
        <v>175.46</v>
      </c>
      <c r="O1444" s="4">
        <v>117.46</v>
      </c>
      <c r="P1444" s="4">
        <v>1.0900000000000001</v>
      </c>
      <c r="Q1444" s="4">
        <v>1.36</v>
      </c>
      <c r="R1444" s="4">
        <v>2.98</v>
      </c>
      <c r="S1444" s="4">
        <v>0</v>
      </c>
      <c r="T1444" s="4">
        <v>0</v>
      </c>
      <c r="U1444" s="4">
        <v>122.89</v>
      </c>
      <c r="V1444" s="4">
        <v>52.57</v>
      </c>
      <c r="W1444" t="s">
        <v>21</v>
      </c>
      <c r="X1444" t="s">
        <v>36</v>
      </c>
      <c r="Y1444" s="4">
        <v>20</v>
      </c>
      <c r="Z1444" s="4">
        <v>8</v>
      </c>
      <c r="AA1444" t="s">
        <v>52</v>
      </c>
      <c r="AB1444" t="s">
        <v>38</v>
      </c>
      <c r="AC1444" s="7">
        <v>0</v>
      </c>
      <c r="AD1444" t="s">
        <v>39</v>
      </c>
      <c r="AE1444">
        <f t="shared" si="22"/>
        <v>0</v>
      </c>
    </row>
    <row r="1445" spans="1:31" x14ac:dyDescent="0.35">
      <c r="A1445">
        <v>101444</v>
      </c>
      <c r="B1445" s="3">
        <v>45953</v>
      </c>
      <c r="C1445">
        <v>1037</v>
      </c>
      <c r="D1445" t="s">
        <v>64</v>
      </c>
      <c r="E1445" t="s">
        <v>75</v>
      </c>
      <c r="F1445" t="s">
        <v>61</v>
      </c>
      <c r="G1445" t="s">
        <v>63</v>
      </c>
      <c r="H1445" t="s">
        <v>34</v>
      </c>
      <c r="I1445" t="s">
        <v>42</v>
      </c>
      <c r="J1445" s="4">
        <v>8.06</v>
      </c>
      <c r="K1445" s="4">
        <v>12.68</v>
      </c>
      <c r="L1445">
        <v>0</v>
      </c>
      <c r="M1445" s="4">
        <v>0</v>
      </c>
      <c r="N1445" s="4">
        <v>102.2</v>
      </c>
      <c r="O1445" s="4">
        <v>56.39</v>
      </c>
      <c r="P1445" s="4">
        <v>9</v>
      </c>
      <c r="Q1445" s="4">
        <v>1.53</v>
      </c>
      <c r="R1445" s="4">
        <v>0</v>
      </c>
      <c r="S1445" s="4">
        <v>0</v>
      </c>
      <c r="T1445" s="4">
        <v>0</v>
      </c>
      <c r="U1445" s="4">
        <v>66.92</v>
      </c>
      <c r="V1445" s="4">
        <v>35.28</v>
      </c>
      <c r="W1445" t="s">
        <v>21</v>
      </c>
      <c r="X1445" t="s">
        <v>36</v>
      </c>
      <c r="Y1445" s="4">
        <v>14</v>
      </c>
      <c r="Z1445" s="4">
        <v>2</v>
      </c>
      <c r="AA1445" t="s">
        <v>37</v>
      </c>
      <c r="AB1445" t="s">
        <v>38</v>
      </c>
      <c r="AC1445" s="7">
        <v>0</v>
      </c>
      <c r="AD1445" t="s">
        <v>39</v>
      </c>
      <c r="AE1445">
        <f t="shared" si="22"/>
        <v>0</v>
      </c>
    </row>
    <row r="1446" spans="1:31" x14ac:dyDescent="0.35">
      <c r="A1446">
        <v>101445</v>
      </c>
      <c r="B1446" s="3">
        <v>45996</v>
      </c>
      <c r="C1446">
        <v>1034</v>
      </c>
      <c r="D1446" t="s">
        <v>30</v>
      </c>
      <c r="E1446" t="s">
        <v>62</v>
      </c>
      <c r="F1446" t="s">
        <v>49</v>
      </c>
      <c r="G1446" t="s">
        <v>46</v>
      </c>
      <c r="H1446" t="s">
        <v>51</v>
      </c>
      <c r="I1446" t="s">
        <v>54</v>
      </c>
      <c r="J1446" s="4">
        <v>25.82</v>
      </c>
      <c r="K1446" s="4">
        <v>14.64</v>
      </c>
      <c r="L1446">
        <v>0</v>
      </c>
      <c r="M1446" s="4">
        <v>0</v>
      </c>
      <c r="N1446" s="4">
        <v>378</v>
      </c>
      <c r="O1446" s="4">
        <v>214.06</v>
      </c>
      <c r="P1446" s="4">
        <v>3.52</v>
      </c>
      <c r="Q1446" s="4">
        <v>4.54</v>
      </c>
      <c r="R1446" s="4">
        <v>5.76</v>
      </c>
      <c r="S1446" s="4">
        <v>267.14</v>
      </c>
      <c r="T1446" s="4">
        <v>4.88</v>
      </c>
      <c r="U1446" s="4">
        <v>499.9</v>
      </c>
      <c r="V1446" s="4">
        <v>-121.9</v>
      </c>
      <c r="W1446" t="s">
        <v>58</v>
      </c>
      <c r="X1446" t="s">
        <v>66</v>
      </c>
      <c r="Y1446" s="4">
        <v>5</v>
      </c>
      <c r="Z1446" s="4">
        <v>0</v>
      </c>
      <c r="AA1446" t="s">
        <v>37</v>
      </c>
      <c r="AB1446" t="s">
        <v>38</v>
      </c>
      <c r="AC1446" s="7">
        <v>1</v>
      </c>
      <c r="AD1446" t="s">
        <v>45</v>
      </c>
      <c r="AE1446">
        <f t="shared" si="22"/>
        <v>0</v>
      </c>
    </row>
    <row r="1447" spans="1:31" x14ac:dyDescent="0.35">
      <c r="A1447">
        <v>101446</v>
      </c>
      <c r="B1447" s="3">
        <v>46022</v>
      </c>
      <c r="C1447">
        <v>1054</v>
      </c>
      <c r="D1447" t="s">
        <v>47</v>
      </c>
      <c r="E1447" t="s">
        <v>56</v>
      </c>
      <c r="F1447" t="s">
        <v>41</v>
      </c>
      <c r="G1447" t="s">
        <v>33</v>
      </c>
      <c r="H1447" t="s">
        <v>51</v>
      </c>
      <c r="I1447" t="s">
        <v>35</v>
      </c>
      <c r="J1447" s="4">
        <v>29.43</v>
      </c>
      <c r="K1447" s="4">
        <v>19.39</v>
      </c>
      <c r="L1447">
        <v>0</v>
      </c>
      <c r="M1447" s="4">
        <v>0</v>
      </c>
      <c r="N1447" s="4">
        <v>570.65</v>
      </c>
      <c r="O1447" s="4">
        <v>260.29000000000002</v>
      </c>
      <c r="P1447" s="4">
        <v>13.54</v>
      </c>
      <c r="Q1447" s="4">
        <v>3.99</v>
      </c>
      <c r="R1447" s="4">
        <v>0.84</v>
      </c>
      <c r="S1447" s="4">
        <v>342.41</v>
      </c>
      <c r="T1447" s="4">
        <v>5.93</v>
      </c>
      <c r="U1447" s="4">
        <v>627</v>
      </c>
      <c r="V1447" s="4">
        <v>-56.35</v>
      </c>
      <c r="W1447" t="s">
        <v>58</v>
      </c>
      <c r="X1447" t="s">
        <v>66</v>
      </c>
      <c r="Y1447" s="4">
        <v>19</v>
      </c>
      <c r="Z1447" s="4">
        <v>3</v>
      </c>
      <c r="AA1447" t="s">
        <v>52</v>
      </c>
      <c r="AB1447" t="s">
        <v>38</v>
      </c>
      <c r="AC1447" s="7">
        <v>2</v>
      </c>
      <c r="AD1447" t="s">
        <v>45</v>
      </c>
      <c r="AE1447">
        <f t="shared" si="22"/>
        <v>0</v>
      </c>
    </row>
    <row r="1448" spans="1:31" x14ac:dyDescent="0.35">
      <c r="A1448">
        <v>101447</v>
      </c>
      <c r="B1448" s="3">
        <v>45994</v>
      </c>
      <c r="C1448">
        <v>1084</v>
      </c>
      <c r="D1448" t="s">
        <v>47</v>
      </c>
      <c r="E1448" t="s">
        <v>53</v>
      </c>
      <c r="F1448" t="s">
        <v>61</v>
      </c>
      <c r="G1448" t="s">
        <v>63</v>
      </c>
      <c r="H1448" t="s">
        <v>34</v>
      </c>
      <c r="I1448" t="s">
        <v>35</v>
      </c>
      <c r="J1448" s="4">
        <v>16.25</v>
      </c>
      <c r="K1448" s="4">
        <v>11.69</v>
      </c>
      <c r="L1448">
        <v>10</v>
      </c>
      <c r="M1448" s="4">
        <v>19</v>
      </c>
      <c r="N1448" s="4">
        <v>170.96</v>
      </c>
      <c r="O1448" s="4">
        <v>108.08</v>
      </c>
      <c r="P1448" s="4">
        <v>7.56</v>
      </c>
      <c r="Q1448" s="4">
        <v>1.33</v>
      </c>
      <c r="R1448" s="4">
        <v>0</v>
      </c>
      <c r="S1448" s="4">
        <v>0</v>
      </c>
      <c r="T1448" s="4">
        <v>0</v>
      </c>
      <c r="U1448" s="4">
        <v>116.97</v>
      </c>
      <c r="V1448" s="4">
        <v>53.99</v>
      </c>
      <c r="W1448" t="s">
        <v>21</v>
      </c>
      <c r="X1448" t="s">
        <v>36</v>
      </c>
      <c r="Y1448" s="4">
        <v>27</v>
      </c>
      <c r="Z1448" s="4">
        <v>3</v>
      </c>
      <c r="AA1448" t="s">
        <v>52</v>
      </c>
      <c r="AB1448" t="s">
        <v>44</v>
      </c>
      <c r="AC1448" s="7">
        <v>2</v>
      </c>
      <c r="AD1448" t="s">
        <v>45</v>
      </c>
      <c r="AE1448">
        <f t="shared" si="22"/>
        <v>1</v>
      </c>
    </row>
    <row r="1449" spans="1:31" x14ac:dyDescent="0.35">
      <c r="A1449">
        <v>101448</v>
      </c>
      <c r="B1449" s="3">
        <v>45982</v>
      </c>
      <c r="C1449">
        <v>1060</v>
      </c>
      <c r="D1449" t="s">
        <v>64</v>
      </c>
      <c r="E1449" t="s">
        <v>67</v>
      </c>
      <c r="F1449" t="s">
        <v>71</v>
      </c>
      <c r="G1449" t="s">
        <v>50</v>
      </c>
      <c r="H1449" t="s">
        <v>57</v>
      </c>
      <c r="I1449" t="s">
        <v>69</v>
      </c>
      <c r="J1449" s="4">
        <v>31.37</v>
      </c>
      <c r="K1449" s="4">
        <v>17.87</v>
      </c>
      <c r="L1449">
        <v>15</v>
      </c>
      <c r="M1449" s="4">
        <v>84.09</v>
      </c>
      <c r="N1449" s="4">
        <v>476.49</v>
      </c>
      <c r="O1449" s="4">
        <v>193.88</v>
      </c>
      <c r="P1449" s="4">
        <v>8.24</v>
      </c>
      <c r="Q1449" s="4">
        <v>2.2400000000000002</v>
      </c>
      <c r="R1449" s="4">
        <v>3.82</v>
      </c>
      <c r="S1449" s="4">
        <v>0</v>
      </c>
      <c r="T1449" s="4">
        <v>0</v>
      </c>
      <c r="U1449" s="4">
        <v>208.18</v>
      </c>
      <c r="V1449" s="4">
        <v>268.31</v>
      </c>
      <c r="W1449" t="s">
        <v>21</v>
      </c>
      <c r="X1449" t="s">
        <v>36</v>
      </c>
      <c r="Y1449" s="4">
        <v>7</v>
      </c>
      <c r="Z1449" s="4">
        <v>1</v>
      </c>
      <c r="AA1449" t="s">
        <v>37</v>
      </c>
      <c r="AB1449" t="s">
        <v>38</v>
      </c>
      <c r="AC1449" s="7">
        <v>0</v>
      </c>
      <c r="AD1449" t="s">
        <v>39</v>
      </c>
      <c r="AE1449">
        <f t="shared" si="22"/>
        <v>0</v>
      </c>
    </row>
    <row r="1450" spans="1:31" x14ac:dyDescent="0.35">
      <c r="A1450">
        <v>101449</v>
      </c>
      <c r="B1450" s="3">
        <v>45992</v>
      </c>
      <c r="C1450">
        <v>1089</v>
      </c>
      <c r="D1450" t="s">
        <v>47</v>
      </c>
      <c r="E1450" t="s">
        <v>56</v>
      </c>
      <c r="F1450" t="s">
        <v>61</v>
      </c>
      <c r="G1450" t="s">
        <v>46</v>
      </c>
      <c r="H1450" t="s">
        <v>57</v>
      </c>
      <c r="I1450" t="s">
        <v>35</v>
      </c>
      <c r="J1450" s="4">
        <v>27.35</v>
      </c>
      <c r="K1450" s="4">
        <v>14.44</v>
      </c>
      <c r="L1450">
        <v>10</v>
      </c>
      <c r="M1450" s="4">
        <v>39.49</v>
      </c>
      <c r="N1450" s="4">
        <v>355.44</v>
      </c>
      <c r="O1450" s="4">
        <v>170.24</v>
      </c>
      <c r="P1450" s="4">
        <v>7.65</v>
      </c>
      <c r="Q1450" s="4">
        <v>2.76</v>
      </c>
      <c r="R1450" s="4">
        <v>4.22</v>
      </c>
      <c r="S1450" s="4">
        <v>0</v>
      </c>
      <c r="T1450" s="4">
        <v>0</v>
      </c>
      <c r="U1450" s="4">
        <v>184.87</v>
      </c>
      <c r="V1450" s="4">
        <v>170.57</v>
      </c>
      <c r="W1450" t="s">
        <v>21</v>
      </c>
      <c r="X1450" t="s">
        <v>36</v>
      </c>
      <c r="Y1450" s="4">
        <v>10</v>
      </c>
      <c r="Z1450" s="4">
        <v>2</v>
      </c>
      <c r="AA1450" t="s">
        <v>37</v>
      </c>
      <c r="AB1450" t="s">
        <v>38</v>
      </c>
      <c r="AC1450" s="7">
        <v>0</v>
      </c>
      <c r="AD1450" t="s">
        <v>39</v>
      </c>
      <c r="AE1450">
        <f t="shared" si="22"/>
        <v>0</v>
      </c>
    </row>
    <row r="1451" spans="1:31" x14ac:dyDescent="0.35">
      <c r="A1451">
        <v>101450</v>
      </c>
      <c r="B1451" s="3">
        <v>46000</v>
      </c>
      <c r="C1451">
        <v>1101</v>
      </c>
      <c r="D1451" t="s">
        <v>47</v>
      </c>
      <c r="E1451" t="s">
        <v>74</v>
      </c>
      <c r="F1451" t="s">
        <v>71</v>
      </c>
      <c r="G1451" t="s">
        <v>50</v>
      </c>
      <c r="H1451" t="s">
        <v>34</v>
      </c>
      <c r="I1451" t="s">
        <v>35</v>
      </c>
      <c r="J1451" s="4">
        <v>33.72</v>
      </c>
      <c r="K1451" s="4">
        <v>18.41</v>
      </c>
      <c r="L1451">
        <v>0</v>
      </c>
      <c r="M1451" s="4">
        <v>0</v>
      </c>
      <c r="N1451" s="4">
        <v>620.79</v>
      </c>
      <c r="O1451" s="4">
        <v>281.05</v>
      </c>
      <c r="P1451" s="4">
        <v>11.54</v>
      </c>
      <c r="Q1451" s="4">
        <v>4.3499999999999996</v>
      </c>
      <c r="R1451" s="4">
        <v>8.5299999999999994</v>
      </c>
      <c r="S1451" s="4">
        <v>0</v>
      </c>
      <c r="T1451" s="4">
        <v>0</v>
      </c>
      <c r="U1451" s="4">
        <v>305.47000000000003</v>
      </c>
      <c r="V1451" s="4">
        <v>315.32</v>
      </c>
      <c r="W1451" t="s">
        <v>21</v>
      </c>
      <c r="X1451" t="s">
        <v>36</v>
      </c>
      <c r="Y1451" s="4">
        <v>22</v>
      </c>
      <c r="Z1451" s="4">
        <v>18</v>
      </c>
      <c r="AA1451" t="s">
        <v>52</v>
      </c>
      <c r="AB1451" t="s">
        <v>44</v>
      </c>
      <c r="AC1451" s="7">
        <v>1</v>
      </c>
      <c r="AD1451" t="s">
        <v>45</v>
      </c>
      <c r="AE1451">
        <f t="shared" si="22"/>
        <v>1</v>
      </c>
    </row>
    <row r="1452" spans="1:31" x14ac:dyDescent="0.35">
      <c r="A1452">
        <v>101451</v>
      </c>
      <c r="B1452" s="3">
        <v>45935</v>
      </c>
      <c r="C1452">
        <v>1051</v>
      </c>
      <c r="D1452" t="s">
        <v>30</v>
      </c>
      <c r="E1452" t="s">
        <v>72</v>
      </c>
      <c r="F1452" t="s">
        <v>61</v>
      </c>
      <c r="G1452" t="s">
        <v>46</v>
      </c>
      <c r="H1452" t="s">
        <v>34</v>
      </c>
      <c r="I1452" t="s">
        <v>54</v>
      </c>
      <c r="J1452" s="4">
        <v>37.57</v>
      </c>
      <c r="K1452" s="4">
        <v>15.92</v>
      </c>
      <c r="L1452">
        <v>0</v>
      </c>
      <c r="M1452" s="4">
        <v>0</v>
      </c>
      <c r="N1452" s="4">
        <v>598.11</v>
      </c>
      <c r="O1452" s="4">
        <v>246.77</v>
      </c>
      <c r="P1452" s="4">
        <v>11.22</v>
      </c>
      <c r="Q1452" s="4">
        <v>7.18</v>
      </c>
      <c r="R1452" s="4">
        <v>1.53</v>
      </c>
      <c r="S1452" s="4">
        <v>0</v>
      </c>
      <c r="T1452" s="4">
        <v>0</v>
      </c>
      <c r="U1452" s="4">
        <v>266.7</v>
      </c>
      <c r="V1452" s="4">
        <v>331.41</v>
      </c>
      <c r="W1452" t="s">
        <v>21</v>
      </c>
      <c r="X1452" t="s">
        <v>36</v>
      </c>
      <c r="Y1452" s="4">
        <v>9</v>
      </c>
      <c r="Z1452" s="4">
        <v>30</v>
      </c>
      <c r="AA1452" t="s">
        <v>37</v>
      </c>
      <c r="AB1452" t="s">
        <v>44</v>
      </c>
      <c r="AC1452" s="7">
        <v>2</v>
      </c>
      <c r="AD1452" t="s">
        <v>45</v>
      </c>
      <c r="AE1452">
        <f t="shared" si="22"/>
        <v>1</v>
      </c>
    </row>
    <row r="1453" spans="1:31" x14ac:dyDescent="0.35">
      <c r="A1453">
        <v>101452</v>
      </c>
      <c r="B1453" s="3">
        <v>45945</v>
      </c>
      <c r="C1453">
        <v>1082</v>
      </c>
      <c r="D1453" t="s">
        <v>30</v>
      </c>
      <c r="E1453" t="s">
        <v>62</v>
      </c>
      <c r="F1453" t="s">
        <v>41</v>
      </c>
      <c r="G1453" t="s">
        <v>63</v>
      </c>
      <c r="H1453" t="s">
        <v>34</v>
      </c>
      <c r="I1453" t="s">
        <v>35</v>
      </c>
      <c r="J1453" s="4">
        <v>3</v>
      </c>
      <c r="K1453" s="4">
        <v>12.6</v>
      </c>
      <c r="L1453">
        <v>0</v>
      </c>
      <c r="M1453" s="4">
        <v>0</v>
      </c>
      <c r="N1453" s="4">
        <v>37.799999999999997</v>
      </c>
      <c r="O1453" s="4">
        <v>23.57</v>
      </c>
      <c r="P1453" s="4">
        <v>7.32</v>
      </c>
      <c r="Q1453" s="4">
        <v>0.26</v>
      </c>
      <c r="R1453" s="4">
        <v>3.03</v>
      </c>
      <c r="S1453" s="4">
        <v>0</v>
      </c>
      <c r="T1453" s="4">
        <v>0</v>
      </c>
      <c r="U1453" s="4">
        <v>34.18</v>
      </c>
      <c r="V1453" s="4">
        <v>3.62</v>
      </c>
      <c r="W1453" t="s">
        <v>21</v>
      </c>
      <c r="X1453" t="s">
        <v>36</v>
      </c>
      <c r="Y1453" s="4">
        <v>4</v>
      </c>
      <c r="Z1453" s="4">
        <v>46</v>
      </c>
      <c r="AA1453" t="s">
        <v>37</v>
      </c>
      <c r="AB1453" t="s">
        <v>44</v>
      </c>
      <c r="AC1453" s="7">
        <v>1</v>
      </c>
      <c r="AD1453" t="s">
        <v>45</v>
      </c>
      <c r="AE1453">
        <f t="shared" si="22"/>
        <v>1</v>
      </c>
    </row>
    <row r="1454" spans="1:31" x14ac:dyDescent="0.35">
      <c r="A1454">
        <v>101453</v>
      </c>
      <c r="B1454" s="3">
        <v>46020</v>
      </c>
      <c r="C1454">
        <v>1030</v>
      </c>
      <c r="D1454" t="s">
        <v>47</v>
      </c>
      <c r="E1454" t="s">
        <v>48</v>
      </c>
      <c r="F1454" t="s">
        <v>49</v>
      </c>
      <c r="G1454" t="s">
        <v>46</v>
      </c>
      <c r="H1454" t="s">
        <v>34</v>
      </c>
      <c r="I1454" t="s">
        <v>69</v>
      </c>
      <c r="J1454" s="4">
        <v>17.88</v>
      </c>
      <c r="K1454" s="4">
        <v>16.09</v>
      </c>
      <c r="L1454">
        <v>5</v>
      </c>
      <c r="M1454" s="4">
        <v>14.38</v>
      </c>
      <c r="N1454" s="4">
        <v>273.31</v>
      </c>
      <c r="O1454" s="4">
        <v>133.19999999999999</v>
      </c>
      <c r="P1454" s="4">
        <v>8.4499999999999993</v>
      </c>
      <c r="Q1454" s="4">
        <v>1.1499999999999999</v>
      </c>
      <c r="R1454" s="4">
        <v>7.01</v>
      </c>
      <c r="S1454" s="4">
        <v>0</v>
      </c>
      <c r="T1454" s="4">
        <v>0</v>
      </c>
      <c r="U1454" s="4">
        <v>149.81</v>
      </c>
      <c r="V1454" s="4">
        <v>123.5</v>
      </c>
      <c r="W1454" t="s">
        <v>21</v>
      </c>
      <c r="X1454" t="s">
        <v>36</v>
      </c>
      <c r="Y1454" s="4">
        <v>5</v>
      </c>
      <c r="Z1454" s="4">
        <v>18</v>
      </c>
      <c r="AA1454" t="s">
        <v>37</v>
      </c>
      <c r="AB1454" t="s">
        <v>44</v>
      </c>
      <c r="AC1454" s="7">
        <v>1</v>
      </c>
      <c r="AD1454" t="s">
        <v>45</v>
      </c>
      <c r="AE1454">
        <f t="shared" si="22"/>
        <v>1</v>
      </c>
    </row>
    <row r="1455" spans="1:31" x14ac:dyDescent="0.35">
      <c r="A1455">
        <v>101454</v>
      </c>
      <c r="B1455" s="3">
        <v>45997</v>
      </c>
      <c r="C1455">
        <v>1020</v>
      </c>
      <c r="D1455" t="s">
        <v>59</v>
      </c>
      <c r="E1455" t="s">
        <v>70</v>
      </c>
      <c r="F1455" t="s">
        <v>32</v>
      </c>
      <c r="G1455" t="s">
        <v>46</v>
      </c>
      <c r="H1455" t="s">
        <v>34</v>
      </c>
      <c r="I1455" t="s">
        <v>54</v>
      </c>
      <c r="J1455" s="4">
        <v>20.67</v>
      </c>
      <c r="K1455" s="4">
        <v>14.53</v>
      </c>
      <c r="L1455">
        <v>0</v>
      </c>
      <c r="M1455" s="4">
        <v>0</v>
      </c>
      <c r="N1455" s="4">
        <v>300.33999999999997</v>
      </c>
      <c r="O1455" s="4">
        <v>161.32</v>
      </c>
      <c r="P1455" s="4">
        <v>10.67</v>
      </c>
      <c r="Q1455" s="4">
        <v>3.6</v>
      </c>
      <c r="R1455" s="4">
        <v>1.18</v>
      </c>
      <c r="S1455" s="4">
        <v>0</v>
      </c>
      <c r="T1455" s="4">
        <v>0</v>
      </c>
      <c r="U1455" s="4">
        <v>176.77</v>
      </c>
      <c r="V1455" s="4">
        <v>123.57</v>
      </c>
      <c r="W1455" t="s">
        <v>21</v>
      </c>
      <c r="X1455" t="s">
        <v>36</v>
      </c>
      <c r="Y1455" s="4">
        <v>7</v>
      </c>
      <c r="Z1455" s="4">
        <v>0</v>
      </c>
      <c r="AA1455" t="s">
        <v>37</v>
      </c>
      <c r="AB1455" t="s">
        <v>38</v>
      </c>
      <c r="AC1455" s="7">
        <v>0</v>
      </c>
      <c r="AD1455" t="s">
        <v>39</v>
      </c>
      <c r="AE1455">
        <f t="shared" si="22"/>
        <v>0</v>
      </c>
    </row>
    <row r="1456" spans="1:31" x14ac:dyDescent="0.35">
      <c r="A1456">
        <v>101455</v>
      </c>
      <c r="B1456" s="3">
        <v>45939</v>
      </c>
      <c r="C1456">
        <v>1148</v>
      </c>
      <c r="D1456" t="s">
        <v>64</v>
      </c>
      <c r="E1456" t="s">
        <v>76</v>
      </c>
      <c r="F1456" t="s">
        <v>61</v>
      </c>
      <c r="G1456" t="s">
        <v>63</v>
      </c>
      <c r="H1456" t="s">
        <v>34</v>
      </c>
      <c r="I1456" t="s">
        <v>35</v>
      </c>
      <c r="J1456" s="4">
        <v>18.79</v>
      </c>
      <c r="K1456" s="4">
        <v>12.31</v>
      </c>
      <c r="L1456">
        <v>15</v>
      </c>
      <c r="M1456" s="4">
        <v>34.700000000000003</v>
      </c>
      <c r="N1456" s="4">
        <v>196.6</v>
      </c>
      <c r="O1456" s="4">
        <v>134.18</v>
      </c>
      <c r="P1456" s="4">
        <v>9.48</v>
      </c>
      <c r="Q1456" s="4">
        <v>1.62</v>
      </c>
      <c r="R1456" s="4">
        <v>4.18</v>
      </c>
      <c r="S1456" s="4">
        <v>0</v>
      </c>
      <c r="T1456" s="4">
        <v>0</v>
      </c>
      <c r="U1456" s="4">
        <v>149.46</v>
      </c>
      <c r="V1456" s="4">
        <v>47.14</v>
      </c>
      <c r="W1456" t="s">
        <v>21</v>
      </c>
      <c r="X1456" t="s">
        <v>36</v>
      </c>
      <c r="Y1456" s="4">
        <v>12</v>
      </c>
      <c r="Z1456" s="4">
        <v>3</v>
      </c>
      <c r="AA1456" t="s">
        <v>37</v>
      </c>
      <c r="AB1456" t="s">
        <v>38</v>
      </c>
      <c r="AC1456" s="7">
        <v>0</v>
      </c>
      <c r="AD1456" t="s">
        <v>39</v>
      </c>
      <c r="AE1456">
        <f t="shared" si="22"/>
        <v>0</v>
      </c>
    </row>
    <row r="1457" spans="1:31" x14ac:dyDescent="0.35">
      <c r="A1457">
        <v>101456</v>
      </c>
      <c r="B1457" s="3">
        <v>45940</v>
      </c>
      <c r="C1457">
        <v>1122</v>
      </c>
      <c r="D1457" t="s">
        <v>30</v>
      </c>
      <c r="E1457" t="s">
        <v>62</v>
      </c>
      <c r="F1457" t="s">
        <v>49</v>
      </c>
      <c r="G1457" t="s">
        <v>63</v>
      </c>
      <c r="H1457" t="s">
        <v>51</v>
      </c>
      <c r="I1457" t="s">
        <v>35</v>
      </c>
      <c r="J1457" s="4">
        <v>3</v>
      </c>
      <c r="K1457" s="4">
        <v>12.71</v>
      </c>
      <c r="L1457">
        <v>0</v>
      </c>
      <c r="M1457" s="4">
        <v>0</v>
      </c>
      <c r="N1457" s="4">
        <v>38.130000000000003</v>
      </c>
      <c r="O1457" s="4">
        <v>25.46</v>
      </c>
      <c r="P1457" s="4">
        <v>9.19</v>
      </c>
      <c r="Q1457" s="4">
        <v>0.27</v>
      </c>
      <c r="R1457" s="4">
        <v>0.2</v>
      </c>
      <c r="S1457" s="4">
        <v>19.16</v>
      </c>
      <c r="T1457" s="4">
        <v>17.5</v>
      </c>
      <c r="U1457" s="4">
        <v>71.78</v>
      </c>
      <c r="V1457" s="4">
        <v>-33.65</v>
      </c>
      <c r="W1457" t="s">
        <v>58</v>
      </c>
      <c r="X1457" t="s">
        <v>66</v>
      </c>
      <c r="Y1457" s="4">
        <v>59</v>
      </c>
      <c r="Z1457" s="4">
        <v>9</v>
      </c>
      <c r="AA1457" t="s">
        <v>43</v>
      </c>
      <c r="AB1457" t="s">
        <v>44</v>
      </c>
      <c r="AC1457" s="7">
        <v>2</v>
      </c>
      <c r="AD1457" t="s">
        <v>45</v>
      </c>
      <c r="AE1457">
        <f t="shared" si="22"/>
        <v>1</v>
      </c>
    </row>
    <row r="1458" spans="1:31" x14ac:dyDescent="0.35">
      <c r="A1458">
        <v>101457</v>
      </c>
      <c r="B1458" s="3">
        <v>45959</v>
      </c>
      <c r="C1458">
        <v>1044</v>
      </c>
      <c r="D1458" t="s">
        <v>30</v>
      </c>
      <c r="E1458" t="s">
        <v>72</v>
      </c>
      <c r="F1458" t="s">
        <v>49</v>
      </c>
      <c r="G1458" t="s">
        <v>50</v>
      </c>
      <c r="H1458" t="s">
        <v>34</v>
      </c>
      <c r="I1458" t="s">
        <v>54</v>
      </c>
      <c r="J1458" s="4">
        <v>37.85</v>
      </c>
      <c r="K1458" s="4">
        <v>17.16</v>
      </c>
      <c r="L1458">
        <v>10</v>
      </c>
      <c r="M1458" s="4">
        <v>64.95</v>
      </c>
      <c r="N1458" s="4">
        <v>584.55999999999995</v>
      </c>
      <c r="O1458" s="4">
        <v>251.9</v>
      </c>
      <c r="P1458" s="4">
        <v>7.13</v>
      </c>
      <c r="Q1458" s="4">
        <v>7.79</v>
      </c>
      <c r="R1458" s="4">
        <v>13.09</v>
      </c>
      <c r="S1458" s="4">
        <v>0</v>
      </c>
      <c r="T1458" s="4">
        <v>0</v>
      </c>
      <c r="U1458" s="4">
        <v>279.91000000000003</v>
      </c>
      <c r="V1458" s="4">
        <v>304.64999999999998</v>
      </c>
      <c r="W1458" t="s">
        <v>21</v>
      </c>
      <c r="X1458" t="s">
        <v>36</v>
      </c>
      <c r="Y1458" s="4">
        <v>3</v>
      </c>
      <c r="Z1458" s="4">
        <v>9</v>
      </c>
      <c r="AA1458" t="s">
        <v>37</v>
      </c>
      <c r="AB1458" t="s">
        <v>38</v>
      </c>
      <c r="AC1458" s="7">
        <v>0</v>
      </c>
      <c r="AD1458" t="s">
        <v>39</v>
      </c>
      <c r="AE1458">
        <f t="shared" si="22"/>
        <v>0</v>
      </c>
    </row>
    <row r="1459" spans="1:31" x14ac:dyDescent="0.35">
      <c r="A1459">
        <v>101458</v>
      </c>
      <c r="B1459" s="3">
        <v>45965</v>
      </c>
      <c r="C1459">
        <v>1030</v>
      </c>
      <c r="D1459" t="s">
        <v>30</v>
      </c>
      <c r="E1459" t="s">
        <v>40</v>
      </c>
      <c r="F1459" t="s">
        <v>61</v>
      </c>
      <c r="G1459" t="s">
        <v>63</v>
      </c>
      <c r="H1459" t="s">
        <v>34</v>
      </c>
      <c r="I1459" t="s">
        <v>35</v>
      </c>
      <c r="J1459" s="4">
        <v>16.21</v>
      </c>
      <c r="K1459" s="4">
        <v>13.42</v>
      </c>
      <c r="L1459">
        <v>0</v>
      </c>
      <c r="M1459" s="4">
        <v>0</v>
      </c>
      <c r="N1459" s="4">
        <v>217.54</v>
      </c>
      <c r="O1459" s="4">
        <v>111</v>
      </c>
      <c r="P1459" s="4">
        <v>10.47</v>
      </c>
      <c r="Q1459" s="4">
        <v>1.52</v>
      </c>
      <c r="R1459" s="4">
        <v>6.91</v>
      </c>
      <c r="S1459" s="4">
        <v>113.49</v>
      </c>
      <c r="T1459" s="4">
        <v>0</v>
      </c>
      <c r="U1459" s="4">
        <v>243.39</v>
      </c>
      <c r="V1459" s="4">
        <v>-25.85</v>
      </c>
      <c r="W1459" t="s">
        <v>58</v>
      </c>
      <c r="X1459" t="s">
        <v>55</v>
      </c>
      <c r="Y1459" s="4">
        <v>12</v>
      </c>
      <c r="Z1459" s="4">
        <v>1</v>
      </c>
      <c r="AA1459" t="s">
        <v>37</v>
      </c>
      <c r="AB1459" t="s">
        <v>44</v>
      </c>
      <c r="AC1459" s="7">
        <v>1</v>
      </c>
      <c r="AD1459" t="s">
        <v>45</v>
      </c>
      <c r="AE1459">
        <f t="shared" si="22"/>
        <v>1</v>
      </c>
    </row>
    <row r="1460" spans="1:31" x14ac:dyDescent="0.35">
      <c r="A1460">
        <v>101459</v>
      </c>
      <c r="B1460" s="3">
        <v>45940</v>
      </c>
      <c r="C1460">
        <v>1136</v>
      </c>
      <c r="D1460" t="s">
        <v>30</v>
      </c>
      <c r="E1460" t="s">
        <v>62</v>
      </c>
      <c r="F1460" t="s">
        <v>71</v>
      </c>
      <c r="G1460" t="s">
        <v>63</v>
      </c>
      <c r="H1460" t="s">
        <v>34</v>
      </c>
      <c r="I1460" t="s">
        <v>35</v>
      </c>
      <c r="J1460" s="4">
        <v>18.27</v>
      </c>
      <c r="K1460" s="4">
        <v>14.38</v>
      </c>
      <c r="L1460">
        <v>10</v>
      </c>
      <c r="M1460" s="4">
        <v>26.27</v>
      </c>
      <c r="N1460" s="4">
        <v>236.45</v>
      </c>
      <c r="O1460" s="4">
        <v>135</v>
      </c>
      <c r="P1460" s="4">
        <v>7.7</v>
      </c>
      <c r="Q1460" s="4">
        <v>1.84</v>
      </c>
      <c r="R1460" s="4">
        <v>6.43</v>
      </c>
      <c r="S1460" s="4">
        <v>0</v>
      </c>
      <c r="T1460" s="4">
        <v>0</v>
      </c>
      <c r="U1460" s="4">
        <v>150.97</v>
      </c>
      <c r="V1460" s="4">
        <v>85.48</v>
      </c>
      <c r="W1460" t="s">
        <v>21</v>
      </c>
      <c r="X1460" t="s">
        <v>36</v>
      </c>
      <c r="Y1460" s="4">
        <v>11</v>
      </c>
      <c r="Z1460" s="4">
        <v>1</v>
      </c>
      <c r="AA1460" t="s">
        <v>37</v>
      </c>
      <c r="AB1460" t="s">
        <v>38</v>
      </c>
      <c r="AC1460" s="7">
        <v>2</v>
      </c>
      <c r="AD1460" t="s">
        <v>39</v>
      </c>
      <c r="AE1460">
        <f t="shared" si="22"/>
        <v>0</v>
      </c>
    </row>
    <row r="1461" spans="1:31" x14ac:dyDescent="0.35">
      <c r="A1461">
        <v>101460</v>
      </c>
      <c r="B1461" s="3">
        <v>45969</v>
      </c>
      <c r="C1461">
        <v>1061</v>
      </c>
      <c r="D1461" t="s">
        <v>47</v>
      </c>
      <c r="E1461" t="s">
        <v>48</v>
      </c>
      <c r="F1461" t="s">
        <v>71</v>
      </c>
      <c r="G1461" t="s">
        <v>46</v>
      </c>
      <c r="H1461" t="s">
        <v>57</v>
      </c>
      <c r="I1461" t="s">
        <v>69</v>
      </c>
      <c r="J1461" s="4">
        <v>32.28</v>
      </c>
      <c r="K1461" s="4">
        <v>15.84</v>
      </c>
      <c r="L1461">
        <v>10</v>
      </c>
      <c r="M1461" s="4">
        <v>51.13</v>
      </c>
      <c r="N1461" s="4">
        <v>460.19</v>
      </c>
      <c r="O1461" s="4">
        <v>257.02999999999997</v>
      </c>
      <c r="P1461" s="4">
        <v>10.62</v>
      </c>
      <c r="Q1461" s="4">
        <v>2.0499999999999998</v>
      </c>
      <c r="R1461" s="4">
        <v>3.62</v>
      </c>
      <c r="S1461" s="4">
        <v>0</v>
      </c>
      <c r="T1461" s="4">
        <v>0</v>
      </c>
      <c r="U1461" s="4">
        <v>273.32</v>
      </c>
      <c r="V1461" s="4">
        <v>186.87</v>
      </c>
      <c r="W1461" t="s">
        <v>21</v>
      </c>
      <c r="X1461" t="s">
        <v>36</v>
      </c>
      <c r="Y1461" s="4">
        <v>0</v>
      </c>
      <c r="Z1461" s="4">
        <v>12</v>
      </c>
      <c r="AA1461" t="s">
        <v>37</v>
      </c>
      <c r="AB1461" t="s">
        <v>38</v>
      </c>
      <c r="AC1461" s="7">
        <v>0</v>
      </c>
      <c r="AD1461" t="s">
        <v>39</v>
      </c>
      <c r="AE1461">
        <f t="shared" si="22"/>
        <v>0</v>
      </c>
    </row>
    <row r="1462" spans="1:31" x14ac:dyDescent="0.35">
      <c r="A1462">
        <v>101461</v>
      </c>
      <c r="B1462" s="3">
        <v>46022</v>
      </c>
      <c r="C1462">
        <v>1135</v>
      </c>
      <c r="D1462" t="s">
        <v>30</v>
      </c>
      <c r="E1462" t="s">
        <v>31</v>
      </c>
      <c r="F1462" t="s">
        <v>49</v>
      </c>
      <c r="G1462" t="s">
        <v>63</v>
      </c>
      <c r="H1462" t="s">
        <v>51</v>
      </c>
      <c r="I1462" t="s">
        <v>35</v>
      </c>
      <c r="J1462" s="4">
        <v>3.4</v>
      </c>
      <c r="K1462" s="4">
        <v>12.97</v>
      </c>
      <c r="L1462">
        <v>0</v>
      </c>
      <c r="M1462" s="4">
        <v>0</v>
      </c>
      <c r="N1462" s="4">
        <v>44.1</v>
      </c>
      <c r="O1462" s="4">
        <v>28.22</v>
      </c>
      <c r="P1462" s="4">
        <v>9.89</v>
      </c>
      <c r="Q1462" s="4">
        <v>0.31</v>
      </c>
      <c r="R1462" s="4">
        <v>4.29</v>
      </c>
      <c r="S1462" s="4">
        <v>0</v>
      </c>
      <c r="T1462" s="4">
        <v>0</v>
      </c>
      <c r="U1462" s="4">
        <v>42.71</v>
      </c>
      <c r="V1462" s="4">
        <v>1.39</v>
      </c>
      <c r="W1462" t="s">
        <v>21</v>
      </c>
      <c r="X1462" t="s">
        <v>36</v>
      </c>
      <c r="Y1462" s="4">
        <v>16</v>
      </c>
      <c r="Z1462" s="4">
        <v>0</v>
      </c>
      <c r="AA1462" t="s">
        <v>52</v>
      </c>
      <c r="AB1462" t="s">
        <v>38</v>
      </c>
      <c r="AC1462" s="7">
        <v>0</v>
      </c>
      <c r="AD1462" t="s">
        <v>39</v>
      </c>
      <c r="AE1462">
        <f t="shared" si="22"/>
        <v>0</v>
      </c>
    </row>
    <row r="1463" spans="1:31" x14ac:dyDescent="0.35">
      <c r="A1463">
        <v>101462</v>
      </c>
      <c r="B1463" s="3">
        <v>45937</v>
      </c>
      <c r="C1463">
        <v>1028</v>
      </c>
      <c r="D1463" t="s">
        <v>30</v>
      </c>
      <c r="E1463" t="s">
        <v>62</v>
      </c>
      <c r="F1463" t="s">
        <v>71</v>
      </c>
      <c r="G1463" t="s">
        <v>46</v>
      </c>
      <c r="H1463" t="s">
        <v>51</v>
      </c>
      <c r="I1463" t="s">
        <v>35</v>
      </c>
      <c r="J1463" s="4">
        <v>28.24</v>
      </c>
      <c r="K1463" s="4">
        <v>16.28</v>
      </c>
      <c r="L1463">
        <v>10</v>
      </c>
      <c r="M1463" s="4">
        <v>45.98</v>
      </c>
      <c r="N1463" s="4">
        <v>413.77</v>
      </c>
      <c r="O1463" s="4">
        <v>217.15</v>
      </c>
      <c r="P1463" s="4">
        <v>10.99</v>
      </c>
      <c r="Q1463" s="4">
        <v>3.22</v>
      </c>
      <c r="R1463" s="4">
        <v>15.27</v>
      </c>
      <c r="S1463" s="4">
        <v>0</v>
      </c>
      <c r="T1463" s="4">
        <v>0</v>
      </c>
      <c r="U1463" s="4">
        <v>246.63</v>
      </c>
      <c r="V1463" s="4">
        <v>167.14</v>
      </c>
      <c r="W1463" t="s">
        <v>21</v>
      </c>
      <c r="X1463" t="s">
        <v>36</v>
      </c>
      <c r="Y1463" s="4">
        <v>2</v>
      </c>
      <c r="Z1463" s="4">
        <v>7</v>
      </c>
      <c r="AA1463" t="s">
        <v>37</v>
      </c>
      <c r="AB1463" t="s">
        <v>38</v>
      </c>
      <c r="AC1463" s="7">
        <v>0</v>
      </c>
      <c r="AD1463" t="s">
        <v>39</v>
      </c>
      <c r="AE1463">
        <f t="shared" si="22"/>
        <v>0</v>
      </c>
    </row>
    <row r="1464" spans="1:31" x14ac:dyDescent="0.35">
      <c r="A1464">
        <v>101463</v>
      </c>
      <c r="B1464" s="3">
        <v>45993</v>
      </c>
      <c r="C1464">
        <v>1025</v>
      </c>
      <c r="D1464" t="s">
        <v>30</v>
      </c>
      <c r="E1464" t="s">
        <v>31</v>
      </c>
      <c r="F1464" t="s">
        <v>61</v>
      </c>
      <c r="G1464" t="s">
        <v>63</v>
      </c>
      <c r="H1464" t="s">
        <v>57</v>
      </c>
      <c r="I1464" t="s">
        <v>42</v>
      </c>
      <c r="J1464" s="4">
        <v>33.26</v>
      </c>
      <c r="K1464" s="4">
        <v>12.6</v>
      </c>
      <c r="L1464">
        <v>0</v>
      </c>
      <c r="M1464" s="4">
        <v>0</v>
      </c>
      <c r="N1464" s="4">
        <v>419.08</v>
      </c>
      <c r="O1464" s="4">
        <v>266.86</v>
      </c>
      <c r="P1464" s="4">
        <v>5.74</v>
      </c>
      <c r="Q1464" s="4">
        <v>6.29</v>
      </c>
      <c r="R1464" s="4">
        <v>11.83</v>
      </c>
      <c r="S1464" s="4">
        <v>0</v>
      </c>
      <c r="T1464" s="4">
        <v>0</v>
      </c>
      <c r="U1464" s="4">
        <v>290.72000000000003</v>
      </c>
      <c r="V1464" s="4">
        <v>128.36000000000001</v>
      </c>
      <c r="W1464" t="s">
        <v>21</v>
      </c>
      <c r="X1464" t="s">
        <v>36</v>
      </c>
      <c r="Y1464" s="4">
        <v>0</v>
      </c>
      <c r="Z1464" s="4">
        <v>14</v>
      </c>
      <c r="AA1464" t="s">
        <v>37</v>
      </c>
      <c r="AB1464" t="s">
        <v>38</v>
      </c>
      <c r="AC1464" s="7">
        <v>1</v>
      </c>
      <c r="AD1464" t="s">
        <v>39</v>
      </c>
      <c r="AE1464">
        <f t="shared" si="22"/>
        <v>0</v>
      </c>
    </row>
    <row r="1465" spans="1:31" x14ac:dyDescent="0.35">
      <c r="A1465">
        <v>101464</v>
      </c>
      <c r="B1465" s="3">
        <v>46007</v>
      </c>
      <c r="C1465">
        <v>1050</v>
      </c>
      <c r="D1465" t="s">
        <v>59</v>
      </c>
      <c r="E1465" t="s">
        <v>60</v>
      </c>
      <c r="F1465" t="s">
        <v>61</v>
      </c>
      <c r="G1465" t="s">
        <v>46</v>
      </c>
      <c r="H1465" t="s">
        <v>34</v>
      </c>
      <c r="I1465" t="s">
        <v>35</v>
      </c>
      <c r="J1465" s="4">
        <v>37.01</v>
      </c>
      <c r="K1465" s="4">
        <v>15.13</v>
      </c>
      <c r="L1465">
        <v>0</v>
      </c>
      <c r="M1465" s="4">
        <v>0</v>
      </c>
      <c r="N1465" s="4">
        <v>559.96</v>
      </c>
      <c r="O1465" s="4">
        <v>317.32</v>
      </c>
      <c r="P1465" s="4">
        <v>8.83</v>
      </c>
      <c r="Q1465" s="4">
        <v>3.92</v>
      </c>
      <c r="R1465" s="4">
        <v>2.79</v>
      </c>
      <c r="S1465" s="4">
        <v>258.83</v>
      </c>
      <c r="T1465" s="4">
        <v>0</v>
      </c>
      <c r="U1465" s="4">
        <v>591.69000000000005</v>
      </c>
      <c r="V1465" s="4">
        <v>-31.73</v>
      </c>
      <c r="W1465" t="s">
        <v>58</v>
      </c>
      <c r="X1465" t="s">
        <v>55</v>
      </c>
      <c r="Y1465" s="4">
        <v>24</v>
      </c>
      <c r="Z1465" s="4">
        <v>5</v>
      </c>
      <c r="AA1465" t="s">
        <v>52</v>
      </c>
      <c r="AB1465" t="s">
        <v>44</v>
      </c>
      <c r="AC1465" s="7">
        <v>1</v>
      </c>
      <c r="AD1465" t="s">
        <v>45</v>
      </c>
      <c r="AE1465">
        <f t="shared" si="22"/>
        <v>1</v>
      </c>
    </row>
    <row r="1466" spans="1:31" x14ac:dyDescent="0.35">
      <c r="A1466">
        <v>101465</v>
      </c>
      <c r="B1466" s="3">
        <v>45978</v>
      </c>
      <c r="C1466">
        <v>1006</v>
      </c>
      <c r="D1466" t="s">
        <v>64</v>
      </c>
      <c r="E1466" t="s">
        <v>65</v>
      </c>
      <c r="F1466" t="s">
        <v>61</v>
      </c>
      <c r="G1466" t="s">
        <v>63</v>
      </c>
      <c r="H1466" t="s">
        <v>34</v>
      </c>
      <c r="I1466" t="s">
        <v>35</v>
      </c>
      <c r="J1466" s="4">
        <v>15.83</v>
      </c>
      <c r="K1466" s="4">
        <v>11.93</v>
      </c>
      <c r="L1466">
        <v>5</v>
      </c>
      <c r="M1466" s="4">
        <v>9.44</v>
      </c>
      <c r="N1466" s="4">
        <v>179.41</v>
      </c>
      <c r="O1466" s="4">
        <v>128.97999999999999</v>
      </c>
      <c r="P1466" s="4">
        <v>12.09</v>
      </c>
      <c r="Q1466" s="4">
        <v>1.32</v>
      </c>
      <c r="R1466" s="4">
        <v>4.3899999999999997</v>
      </c>
      <c r="S1466" s="4">
        <v>0</v>
      </c>
      <c r="T1466" s="4">
        <v>0</v>
      </c>
      <c r="U1466" s="4">
        <v>146.78</v>
      </c>
      <c r="V1466" s="4">
        <v>32.630000000000003</v>
      </c>
      <c r="W1466" t="s">
        <v>21</v>
      </c>
      <c r="X1466" t="s">
        <v>36</v>
      </c>
      <c r="Y1466" s="4">
        <v>12</v>
      </c>
      <c r="Z1466" s="4">
        <v>11</v>
      </c>
      <c r="AA1466" t="s">
        <v>37</v>
      </c>
      <c r="AB1466" t="s">
        <v>38</v>
      </c>
      <c r="AC1466" s="7">
        <v>0</v>
      </c>
      <c r="AD1466" t="s">
        <v>39</v>
      </c>
      <c r="AE1466">
        <f t="shared" si="22"/>
        <v>0</v>
      </c>
    </row>
    <row r="1467" spans="1:31" x14ac:dyDescent="0.35">
      <c r="A1467">
        <v>101466</v>
      </c>
      <c r="B1467" s="3">
        <v>45959</v>
      </c>
      <c r="C1467">
        <v>1146</v>
      </c>
      <c r="D1467" t="s">
        <v>64</v>
      </c>
      <c r="E1467" t="s">
        <v>67</v>
      </c>
      <c r="F1467" t="s">
        <v>61</v>
      </c>
      <c r="G1467" t="s">
        <v>50</v>
      </c>
      <c r="H1467" t="s">
        <v>34</v>
      </c>
      <c r="I1467" t="s">
        <v>35</v>
      </c>
      <c r="J1467" s="4">
        <v>28.82</v>
      </c>
      <c r="K1467" s="4">
        <v>17.39</v>
      </c>
      <c r="L1467">
        <v>0</v>
      </c>
      <c r="M1467" s="4">
        <v>0</v>
      </c>
      <c r="N1467" s="4">
        <v>501.18</v>
      </c>
      <c r="O1467" s="4">
        <v>191.79</v>
      </c>
      <c r="P1467" s="4">
        <v>10.38</v>
      </c>
      <c r="Q1467" s="4">
        <v>3.51</v>
      </c>
      <c r="R1467" s="4">
        <v>15.49</v>
      </c>
      <c r="S1467" s="4">
        <v>0</v>
      </c>
      <c r="T1467" s="4">
        <v>0</v>
      </c>
      <c r="U1467" s="4">
        <v>221.17</v>
      </c>
      <c r="V1467" s="4">
        <v>280.01</v>
      </c>
      <c r="W1467" t="s">
        <v>21</v>
      </c>
      <c r="X1467" t="s">
        <v>36</v>
      </c>
      <c r="Y1467" s="4">
        <v>2</v>
      </c>
      <c r="Z1467" s="4">
        <v>0</v>
      </c>
      <c r="AA1467" t="s">
        <v>37</v>
      </c>
      <c r="AB1467" t="s">
        <v>38</v>
      </c>
      <c r="AC1467" s="7">
        <v>0</v>
      </c>
      <c r="AD1467" t="s">
        <v>39</v>
      </c>
      <c r="AE1467">
        <f t="shared" si="22"/>
        <v>0</v>
      </c>
    </row>
    <row r="1468" spans="1:31" x14ac:dyDescent="0.35">
      <c r="A1468">
        <v>101467</v>
      </c>
      <c r="B1468" s="3">
        <v>46018</v>
      </c>
      <c r="C1468">
        <v>1050</v>
      </c>
      <c r="D1468" t="s">
        <v>64</v>
      </c>
      <c r="E1468" t="s">
        <v>65</v>
      </c>
      <c r="F1468" t="s">
        <v>32</v>
      </c>
      <c r="G1468" t="s">
        <v>33</v>
      </c>
      <c r="H1468" t="s">
        <v>34</v>
      </c>
      <c r="I1468" t="s">
        <v>35</v>
      </c>
      <c r="J1468" s="4">
        <v>24.94</v>
      </c>
      <c r="K1468" s="4">
        <v>20.399999999999999</v>
      </c>
      <c r="L1468">
        <v>5</v>
      </c>
      <c r="M1468" s="4">
        <v>25.44</v>
      </c>
      <c r="N1468" s="4">
        <v>483.34</v>
      </c>
      <c r="O1468" s="4">
        <v>155.27000000000001</v>
      </c>
      <c r="P1468" s="4">
        <v>8.02</v>
      </c>
      <c r="Q1468" s="4">
        <v>3.56</v>
      </c>
      <c r="R1468" s="4">
        <v>7.2</v>
      </c>
      <c r="S1468" s="4">
        <v>0</v>
      </c>
      <c r="T1468" s="4">
        <v>0</v>
      </c>
      <c r="U1468" s="4">
        <v>174.05</v>
      </c>
      <c r="V1468" s="4">
        <v>309.29000000000002</v>
      </c>
      <c r="W1468" t="s">
        <v>21</v>
      </c>
      <c r="X1468" t="s">
        <v>36</v>
      </c>
      <c r="Y1468" s="4">
        <v>16</v>
      </c>
      <c r="Z1468" s="4">
        <v>6</v>
      </c>
      <c r="AA1468" t="s">
        <v>52</v>
      </c>
      <c r="AB1468" t="s">
        <v>38</v>
      </c>
      <c r="AC1468" s="7">
        <v>0</v>
      </c>
      <c r="AD1468" t="s">
        <v>39</v>
      </c>
      <c r="AE1468">
        <f t="shared" si="22"/>
        <v>0</v>
      </c>
    </row>
    <row r="1469" spans="1:31" x14ac:dyDescent="0.35">
      <c r="A1469">
        <v>101468</v>
      </c>
      <c r="B1469" s="3">
        <v>45959</v>
      </c>
      <c r="C1469">
        <v>1084</v>
      </c>
      <c r="D1469" t="s">
        <v>47</v>
      </c>
      <c r="E1469" t="s">
        <v>56</v>
      </c>
      <c r="F1469" t="s">
        <v>41</v>
      </c>
      <c r="G1469" t="s">
        <v>50</v>
      </c>
      <c r="H1469" t="s">
        <v>34</v>
      </c>
      <c r="I1469" t="s">
        <v>42</v>
      </c>
      <c r="J1469" s="4">
        <v>24.61</v>
      </c>
      <c r="K1469" s="4">
        <v>17.68</v>
      </c>
      <c r="L1469">
        <v>0</v>
      </c>
      <c r="M1469" s="4">
        <v>0</v>
      </c>
      <c r="N1469" s="4">
        <v>435.1</v>
      </c>
      <c r="O1469" s="4">
        <v>170.6</v>
      </c>
      <c r="P1469" s="4">
        <v>7.93</v>
      </c>
      <c r="Q1469" s="4">
        <v>6.53</v>
      </c>
      <c r="R1469" s="4">
        <v>9.48</v>
      </c>
      <c r="S1469" s="4">
        <v>0</v>
      </c>
      <c r="T1469" s="4">
        <v>0</v>
      </c>
      <c r="U1469" s="4">
        <v>194.54</v>
      </c>
      <c r="V1469" s="4">
        <v>240.56</v>
      </c>
      <c r="W1469" t="s">
        <v>21</v>
      </c>
      <c r="X1469" t="s">
        <v>36</v>
      </c>
      <c r="Y1469" s="4">
        <v>3</v>
      </c>
      <c r="Z1469" s="4">
        <v>19</v>
      </c>
      <c r="AA1469" t="s">
        <v>37</v>
      </c>
      <c r="AB1469" t="s">
        <v>44</v>
      </c>
      <c r="AC1469" s="7">
        <v>2</v>
      </c>
      <c r="AD1469" t="s">
        <v>45</v>
      </c>
      <c r="AE1469">
        <f t="shared" si="22"/>
        <v>1</v>
      </c>
    </row>
    <row r="1470" spans="1:31" x14ac:dyDescent="0.35">
      <c r="A1470">
        <v>101469</v>
      </c>
      <c r="B1470" s="3">
        <v>45953</v>
      </c>
      <c r="C1470">
        <v>1149</v>
      </c>
      <c r="D1470" t="s">
        <v>47</v>
      </c>
      <c r="E1470" t="s">
        <v>48</v>
      </c>
      <c r="F1470" t="s">
        <v>49</v>
      </c>
      <c r="G1470" t="s">
        <v>46</v>
      </c>
      <c r="H1470" t="s">
        <v>51</v>
      </c>
      <c r="I1470" t="s">
        <v>35</v>
      </c>
      <c r="J1470" s="4">
        <v>39.869999999999997</v>
      </c>
      <c r="K1470" s="4">
        <v>16.29</v>
      </c>
      <c r="L1470">
        <v>0</v>
      </c>
      <c r="M1470" s="4">
        <v>0</v>
      </c>
      <c r="N1470" s="4">
        <v>649.48</v>
      </c>
      <c r="O1470" s="4">
        <v>253.35</v>
      </c>
      <c r="P1470" s="4">
        <v>7.77</v>
      </c>
      <c r="Q1470" s="4">
        <v>4.55</v>
      </c>
      <c r="R1470" s="4">
        <v>4.42</v>
      </c>
      <c r="S1470" s="4">
        <v>280.45</v>
      </c>
      <c r="T1470" s="4">
        <v>10.31</v>
      </c>
      <c r="U1470" s="4">
        <v>560.85</v>
      </c>
      <c r="V1470" s="4">
        <v>88.63</v>
      </c>
      <c r="W1470" t="s">
        <v>21</v>
      </c>
      <c r="X1470" t="s">
        <v>66</v>
      </c>
      <c r="Y1470" s="4">
        <v>3</v>
      </c>
      <c r="Z1470" s="4">
        <v>0</v>
      </c>
      <c r="AA1470" t="s">
        <v>37</v>
      </c>
      <c r="AB1470" t="s">
        <v>38</v>
      </c>
      <c r="AC1470" s="7">
        <v>1</v>
      </c>
      <c r="AD1470" t="s">
        <v>45</v>
      </c>
      <c r="AE1470">
        <f t="shared" si="22"/>
        <v>0</v>
      </c>
    </row>
    <row r="1471" spans="1:31" x14ac:dyDescent="0.35">
      <c r="A1471">
        <v>101470</v>
      </c>
      <c r="B1471" s="3">
        <v>46017</v>
      </c>
      <c r="C1471">
        <v>1028</v>
      </c>
      <c r="D1471" t="s">
        <v>59</v>
      </c>
      <c r="E1471" t="s">
        <v>60</v>
      </c>
      <c r="F1471" t="s">
        <v>71</v>
      </c>
      <c r="G1471" t="s">
        <v>63</v>
      </c>
      <c r="H1471" t="s">
        <v>34</v>
      </c>
      <c r="I1471" t="s">
        <v>35</v>
      </c>
      <c r="J1471" s="4">
        <v>25.03</v>
      </c>
      <c r="K1471" s="4">
        <v>11.65</v>
      </c>
      <c r="L1471">
        <v>10</v>
      </c>
      <c r="M1471" s="4">
        <v>29.16</v>
      </c>
      <c r="N1471" s="4">
        <v>262.44</v>
      </c>
      <c r="O1471" s="4">
        <v>171.32</v>
      </c>
      <c r="P1471" s="4">
        <v>8.58</v>
      </c>
      <c r="Q1471" s="4">
        <v>2.04</v>
      </c>
      <c r="R1471" s="4">
        <v>10.31</v>
      </c>
      <c r="S1471" s="4">
        <v>117.56</v>
      </c>
      <c r="T1471" s="4">
        <v>0</v>
      </c>
      <c r="U1471" s="4">
        <v>309.81</v>
      </c>
      <c r="V1471" s="4">
        <v>-47.37</v>
      </c>
      <c r="W1471" t="s">
        <v>58</v>
      </c>
      <c r="X1471" t="s">
        <v>66</v>
      </c>
      <c r="Y1471" s="4">
        <v>14</v>
      </c>
      <c r="Z1471" s="4">
        <v>33</v>
      </c>
      <c r="AA1471" t="s">
        <v>37</v>
      </c>
      <c r="AB1471" t="s">
        <v>44</v>
      </c>
      <c r="AC1471" s="7">
        <v>1</v>
      </c>
      <c r="AD1471" t="s">
        <v>45</v>
      </c>
      <c r="AE1471">
        <f t="shared" si="22"/>
        <v>1</v>
      </c>
    </row>
    <row r="1472" spans="1:31" x14ac:dyDescent="0.35">
      <c r="A1472">
        <v>101471</v>
      </c>
      <c r="B1472" s="3">
        <v>45933</v>
      </c>
      <c r="C1472">
        <v>1014</v>
      </c>
      <c r="D1472" t="s">
        <v>47</v>
      </c>
      <c r="E1472" t="s">
        <v>53</v>
      </c>
      <c r="F1472" t="s">
        <v>32</v>
      </c>
      <c r="G1472" t="s">
        <v>63</v>
      </c>
      <c r="H1472" t="s">
        <v>34</v>
      </c>
      <c r="I1472" t="s">
        <v>35</v>
      </c>
      <c r="J1472" s="4">
        <v>13.73</v>
      </c>
      <c r="K1472" s="4">
        <v>13.67</v>
      </c>
      <c r="L1472">
        <v>5</v>
      </c>
      <c r="M1472" s="4">
        <v>9.3800000000000008</v>
      </c>
      <c r="N1472" s="4">
        <v>178.31</v>
      </c>
      <c r="O1472" s="4">
        <v>102.18</v>
      </c>
      <c r="P1472" s="4">
        <v>7.59</v>
      </c>
      <c r="Q1472" s="4">
        <v>1.31</v>
      </c>
      <c r="R1472" s="4">
        <v>0.24</v>
      </c>
      <c r="S1472" s="4">
        <v>0</v>
      </c>
      <c r="T1472" s="4">
        <v>0</v>
      </c>
      <c r="U1472" s="4">
        <v>111.32</v>
      </c>
      <c r="V1472" s="4">
        <v>66.989999999999995</v>
      </c>
      <c r="W1472" t="s">
        <v>21</v>
      </c>
      <c r="X1472" t="s">
        <v>36</v>
      </c>
      <c r="Y1472" s="4">
        <v>1</v>
      </c>
      <c r="Z1472" s="4">
        <v>1</v>
      </c>
      <c r="AA1472" t="s">
        <v>37</v>
      </c>
      <c r="AB1472" t="s">
        <v>38</v>
      </c>
      <c r="AC1472" s="7">
        <v>0</v>
      </c>
      <c r="AD1472" t="s">
        <v>39</v>
      </c>
      <c r="AE1472">
        <f t="shared" si="22"/>
        <v>0</v>
      </c>
    </row>
    <row r="1473" spans="1:31" x14ac:dyDescent="0.35">
      <c r="A1473">
        <v>101472</v>
      </c>
      <c r="B1473" s="3">
        <v>45985</v>
      </c>
      <c r="C1473">
        <v>1021</v>
      </c>
      <c r="D1473" t="s">
        <v>30</v>
      </c>
      <c r="E1473" t="s">
        <v>72</v>
      </c>
      <c r="F1473" t="s">
        <v>71</v>
      </c>
      <c r="G1473" t="s">
        <v>46</v>
      </c>
      <c r="H1473" t="s">
        <v>51</v>
      </c>
      <c r="I1473" t="s">
        <v>35</v>
      </c>
      <c r="J1473" s="4">
        <v>13.64</v>
      </c>
      <c r="K1473" s="4">
        <v>14.89</v>
      </c>
      <c r="L1473">
        <v>10</v>
      </c>
      <c r="M1473" s="4">
        <v>20.309999999999999</v>
      </c>
      <c r="N1473" s="4">
        <v>182.79</v>
      </c>
      <c r="O1473" s="4">
        <v>104.63</v>
      </c>
      <c r="P1473" s="4">
        <v>4.0999999999999996</v>
      </c>
      <c r="Q1473" s="4">
        <v>1.42</v>
      </c>
      <c r="R1473" s="4">
        <v>0.73</v>
      </c>
      <c r="S1473" s="4">
        <v>125.23</v>
      </c>
      <c r="T1473" s="4">
        <v>23.02</v>
      </c>
      <c r="U1473" s="4">
        <v>259.13</v>
      </c>
      <c r="V1473" s="4">
        <v>-76.34</v>
      </c>
      <c r="W1473" t="s">
        <v>58</v>
      </c>
      <c r="X1473" t="s">
        <v>55</v>
      </c>
      <c r="Y1473" s="4">
        <v>8</v>
      </c>
      <c r="Z1473" s="4">
        <v>6</v>
      </c>
      <c r="AA1473" t="s">
        <v>37</v>
      </c>
      <c r="AB1473" t="s">
        <v>44</v>
      </c>
      <c r="AC1473" s="7">
        <v>3</v>
      </c>
      <c r="AD1473" t="s">
        <v>45</v>
      </c>
      <c r="AE1473">
        <f t="shared" si="22"/>
        <v>1</v>
      </c>
    </row>
    <row r="1474" spans="1:31" x14ac:dyDescent="0.35">
      <c r="A1474">
        <v>101473</v>
      </c>
      <c r="B1474" s="3">
        <v>45945</v>
      </c>
      <c r="C1474">
        <v>1133</v>
      </c>
      <c r="D1474" t="s">
        <v>47</v>
      </c>
      <c r="E1474" t="s">
        <v>48</v>
      </c>
      <c r="F1474" t="s">
        <v>71</v>
      </c>
      <c r="G1474" t="s">
        <v>46</v>
      </c>
      <c r="H1474" t="s">
        <v>34</v>
      </c>
      <c r="I1474" t="s">
        <v>54</v>
      </c>
      <c r="J1474" s="4">
        <v>26.43</v>
      </c>
      <c r="K1474" s="4">
        <v>15.75</v>
      </c>
      <c r="L1474">
        <v>5</v>
      </c>
      <c r="M1474" s="4">
        <v>20.81</v>
      </c>
      <c r="N1474" s="4">
        <v>395.46</v>
      </c>
      <c r="O1474" s="4">
        <v>219.36</v>
      </c>
      <c r="P1474" s="4">
        <v>7.47</v>
      </c>
      <c r="Q1474" s="4">
        <v>5</v>
      </c>
      <c r="R1474" s="4">
        <v>9.41</v>
      </c>
      <c r="S1474" s="4">
        <v>0</v>
      </c>
      <c r="T1474" s="4">
        <v>0</v>
      </c>
      <c r="U1474" s="4">
        <v>241.24</v>
      </c>
      <c r="V1474" s="4">
        <v>154.22</v>
      </c>
      <c r="W1474" t="s">
        <v>21</v>
      </c>
      <c r="X1474" t="s">
        <v>36</v>
      </c>
      <c r="Y1474" s="4">
        <v>7</v>
      </c>
      <c r="Z1474" s="4">
        <v>7</v>
      </c>
      <c r="AA1474" t="s">
        <v>37</v>
      </c>
      <c r="AB1474" t="s">
        <v>38</v>
      </c>
      <c r="AC1474" s="7">
        <v>0</v>
      </c>
      <c r="AD1474" t="s">
        <v>39</v>
      </c>
      <c r="AE1474">
        <f t="shared" si="22"/>
        <v>0</v>
      </c>
    </row>
    <row r="1475" spans="1:31" x14ac:dyDescent="0.35">
      <c r="A1475">
        <v>101474</v>
      </c>
      <c r="B1475" s="3">
        <v>46008</v>
      </c>
      <c r="C1475">
        <v>1044</v>
      </c>
      <c r="D1475" t="s">
        <v>59</v>
      </c>
      <c r="E1475" t="s">
        <v>68</v>
      </c>
      <c r="F1475" t="s">
        <v>49</v>
      </c>
      <c r="G1475" t="s">
        <v>63</v>
      </c>
      <c r="H1475" t="s">
        <v>57</v>
      </c>
      <c r="I1475" t="s">
        <v>35</v>
      </c>
      <c r="J1475" s="4">
        <v>21.22</v>
      </c>
      <c r="K1475" s="4">
        <v>12.9</v>
      </c>
      <c r="L1475">
        <v>10</v>
      </c>
      <c r="M1475" s="4">
        <v>27.37</v>
      </c>
      <c r="N1475" s="4">
        <v>246.37</v>
      </c>
      <c r="O1475" s="4">
        <v>166.15</v>
      </c>
      <c r="P1475" s="4">
        <v>10.06</v>
      </c>
      <c r="Q1475" s="4">
        <v>1.92</v>
      </c>
      <c r="R1475" s="4">
        <v>7.64</v>
      </c>
      <c r="S1475" s="4">
        <v>0</v>
      </c>
      <c r="T1475" s="4">
        <v>0</v>
      </c>
      <c r="U1475" s="4">
        <v>185.77</v>
      </c>
      <c r="V1475" s="4">
        <v>60.6</v>
      </c>
      <c r="W1475" t="s">
        <v>21</v>
      </c>
      <c r="X1475" t="s">
        <v>36</v>
      </c>
      <c r="Y1475" s="4">
        <v>1</v>
      </c>
      <c r="Z1475" s="4">
        <v>0</v>
      </c>
      <c r="AA1475" t="s">
        <v>37</v>
      </c>
      <c r="AB1475" t="s">
        <v>38</v>
      </c>
      <c r="AC1475" s="7">
        <v>0</v>
      </c>
      <c r="AD1475" t="s">
        <v>39</v>
      </c>
      <c r="AE1475">
        <f t="shared" ref="AE1475:AE1538" si="23">IF(AB1475="Yes",1,0)</f>
        <v>0</v>
      </c>
    </row>
    <row r="1476" spans="1:31" x14ac:dyDescent="0.35">
      <c r="A1476">
        <v>101475</v>
      </c>
      <c r="B1476" s="3">
        <v>45979</v>
      </c>
      <c r="C1476">
        <v>1122</v>
      </c>
      <c r="D1476" t="s">
        <v>30</v>
      </c>
      <c r="E1476" t="s">
        <v>72</v>
      </c>
      <c r="F1476" t="s">
        <v>71</v>
      </c>
      <c r="G1476" t="s">
        <v>63</v>
      </c>
      <c r="H1476" t="s">
        <v>34</v>
      </c>
      <c r="I1476" t="s">
        <v>69</v>
      </c>
      <c r="J1476" s="4">
        <v>16.66</v>
      </c>
      <c r="K1476" s="4">
        <v>12.47</v>
      </c>
      <c r="L1476">
        <v>15</v>
      </c>
      <c r="M1476" s="4">
        <v>31.16</v>
      </c>
      <c r="N1476" s="4">
        <v>176.59</v>
      </c>
      <c r="O1476" s="4">
        <v>123.64</v>
      </c>
      <c r="P1476" s="4">
        <v>7.69</v>
      </c>
      <c r="Q1476" s="4">
        <v>0.83</v>
      </c>
      <c r="R1476" s="4">
        <v>0</v>
      </c>
      <c r="S1476" s="4">
        <v>0</v>
      </c>
      <c r="T1476" s="4">
        <v>0</v>
      </c>
      <c r="U1476" s="4">
        <v>132.16</v>
      </c>
      <c r="V1476" s="4">
        <v>44.43</v>
      </c>
      <c r="W1476" t="s">
        <v>21</v>
      </c>
      <c r="X1476" t="s">
        <v>36</v>
      </c>
      <c r="Y1476" s="4">
        <v>27</v>
      </c>
      <c r="Z1476" s="4">
        <v>8</v>
      </c>
      <c r="AA1476" t="s">
        <v>52</v>
      </c>
      <c r="AB1476" t="s">
        <v>44</v>
      </c>
      <c r="AC1476" s="7">
        <v>3</v>
      </c>
      <c r="AD1476" t="s">
        <v>45</v>
      </c>
      <c r="AE1476">
        <f t="shared" si="23"/>
        <v>1</v>
      </c>
    </row>
    <row r="1477" spans="1:31" x14ac:dyDescent="0.35">
      <c r="A1477">
        <v>101476</v>
      </c>
      <c r="B1477" s="3">
        <v>45959</v>
      </c>
      <c r="C1477">
        <v>1034</v>
      </c>
      <c r="D1477" t="s">
        <v>64</v>
      </c>
      <c r="E1477" t="s">
        <v>75</v>
      </c>
      <c r="F1477" t="s">
        <v>32</v>
      </c>
      <c r="G1477" t="s">
        <v>50</v>
      </c>
      <c r="H1477" t="s">
        <v>34</v>
      </c>
      <c r="I1477" t="s">
        <v>69</v>
      </c>
      <c r="J1477" s="4">
        <v>31.87</v>
      </c>
      <c r="K1477" s="4">
        <v>17.760000000000002</v>
      </c>
      <c r="L1477">
        <v>0</v>
      </c>
      <c r="M1477" s="4">
        <v>0</v>
      </c>
      <c r="N1477" s="4">
        <v>566.01</v>
      </c>
      <c r="O1477" s="4">
        <v>251.92</v>
      </c>
      <c r="P1477" s="4">
        <v>14.82</v>
      </c>
      <c r="Q1477" s="4">
        <v>2.2599999999999998</v>
      </c>
      <c r="R1477" s="4">
        <v>9.0399999999999991</v>
      </c>
      <c r="S1477" s="4">
        <v>0</v>
      </c>
      <c r="T1477" s="4">
        <v>0</v>
      </c>
      <c r="U1477" s="4">
        <v>278.04000000000002</v>
      </c>
      <c r="V1477" s="4">
        <v>287.97000000000003</v>
      </c>
      <c r="W1477" t="s">
        <v>21</v>
      </c>
      <c r="X1477" t="s">
        <v>36</v>
      </c>
      <c r="Y1477" s="4">
        <v>1</v>
      </c>
      <c r="Z1477" s="4">
        <v>0</v>
      </c>
      <c r="AA1477" t="s">
        <v>37</v>
      </c>
      <c r="AB1477" t="s">
        <v>38</v>
      </c>
      <c r="AC1477" s="7">
        <v>0</v>
      </c>
      <c r="AD1477" t="s">
        <v>39</v>
      </c>
      <c r="AE1477">
        <f t="shared" si="23"/>
        <v>0</v>
      </c>
    </row>
    <row r="1478" spans="1:31" x14ac:dyDescent="0.35">
      <c r="A1478">
        <v>101477</v>
      </c>
      <c r="B1478" s="3">
        <v>45951</v>
      </c>
      <c r="C1478">
        <v>1036</v>
      </c>
      <c r="D1478" t="s">
        <v>47</v>
      </c>
      <c r="E1478" t="s">
        <v>53</v>
      </c>
      <c r="F1478" t="s">
        <v>32</v>
      </c>
      <c r="G1478" t="s">
        <v>46</v>
      </c>
      <c r="H1478" t="s">
        <v>34</v>
      </c>
      <c r="I1478" t="s">
        <v>54</v>
      </c>
      <c r="J1478" s="4">
        <v>37.43</v>
      </c>
      <c r="K1478" s="4">
        <v>15.89</v>
      </c>
      <c r="L1478">
        <v>5</v>
      </c>
      <c r="M1478" s="4">
        <v>29.74</v>
      </c>
      <c r="N1478" s="4">
        <v>565.02</v>
      </c>
      <c r="O1478" s="4">
        <v>303.91000000000003</v>
      </c>
      <c r="P1478" s="4">
        <v>5.28</v>
      </c>
      <c r="Q1478" s="4">
        <v>7.14</v>
      </c>
      <c r="R1478" s="4">
        <v>6.95</v>
      </c>
      <c r="S1478" s="4">
        <v>558.73</v>
      </c>
      <c r="T1478" s="4">
        <v>0</v>
      </c>
      <c r="U1478" s="4">
        <v>882.01</v>
      </c>
      <c r="V1478" s="4">
        <v>-316.99</v>
      </c>
      <c r="W1478" t="s">
        <v>58</v>
      </c>
      <c r="X1478" t="s">
        <v>55</v>
      </c>
      <c r="Y1478" s="4">
        <v>8</v>
      </c>
      <c r="Z1478" s="4">
        <v>9</v>
      </c>
      <c r="AA1478" t="s">
        <v>37</v>
      </c>
      <c r="AB1478" t="s">
        <v>44</v>
      </c>
      <c r="AC1478" s="7">
        <v>4</v>
      </c>
      <c r="AD1478" t="s">
        <v>45</v>
      </c>
      <c r="AE1478">
        <f t="shared" si="23"/>
        <v>1</v>
      </c>
    </row>
    <row r="1479" spans="1:31" x14ac:dyDescent="0.35">
      <c r="A1479">
        <v>101478</v>
      </c>
      <c r="B1479" s="3">
        <v>45997</v>
      </c>
      <c r="C1479">
        <v>1147</v>
      </c>
      <c r="D1479" t="s">
        <v>30</v>
      </c>
      <c r="E1479" t="s">
        <v>40</v>
      </c>
      <c r="F1479" t="s">
        <v>61</v>
      </c>
      <c r="G1479" t="s">
        <v>63</v>
      </c>
      <c r="H1479" t="s">
        <v>57</v>
      </c>
      <c r="I1479" t="s">
        <v>35</v>
      </c>
      <c r="J1479" s="4">
        <v>10.76</v>
      </c>
      <c r="K1479" s="4">
        <v>13.67</v>
      </c>
      <c r="L1479">
        <v>0</v>
      </c>
      <c r="M1479" s="4">
        <v>0</v>
      </c>
      <c r="N1479" s="4">
        <v>147.09</v>
      </c>
      <c r="O1479" s="4">
        <v>90.19</v>
      </c>
      <c r="P1479" s="4">
        <v>9.3699999999999992</v>
      </c>
      <c r="Q1479" s="4">
        <v>1.03</v>
      </c>
      <c r="R1479" s="4">
        <v>6.08</v>
      </c>
      <c r="S1479" s="4">
        <v>0</v>
      </c>
      <c r="T1479" s="4">
        <v>0</v>
      </c>
      <c r="U1479" s="4">
        <v>106.67</v>
      </c>
      <c r="V1479" s="4">
        <v>40.42</v>
      </c>
      <c r="W1479" t="s">
        <v>21</v>
      </c>
      <c r="X1479" t="s">
        <v>36</v>
      </c>
      <c r="Y1479" s="4">
        <v>3</v>
      </c>
      <c r="Z1479" s="4">
        <v>10</v>
      </c>
      <c r="AA1479" t="s">
        <v>37</v>
      </c>
      <c r="AB1479" t="s">
        <v>38</v>
      </c>
      <c r="AC1479" s="7">
        <v>0</v>
      </c>
      <c r="AD1479" t="s">
        <v>39</v>
      </c>
      <c r="AE1479">
        <f t="shared" si="23"/>
        <v>0</v>
      </c>
    </row>
    <row r="1480" spans="1:31" x14ac:dyDescent="0.35">
      <c r="A1480">
        <v>101479</v>
      </c>
      <c r="B1480" s="3">
        <v>45951</v>
      </c>
      <c r="C1480">
        <v>1043</v>
      </c>
      <c r="D1480" t="s">
        <v>59</v>
      </c>
      <c r="E1480" t="s">
        <v>70</v>
      </c>
      <c r="F1480" t="s">
        <v>61</v>
      </c>
      <c r="G1480" t="s">
        <v>33</v>
      </c>
      <c r="H1480" t="s">
        <v>34</v>
      </c>
      <c r="I1480" t="s">
        <v>69</v>
      </c>
      <c r="J1480" s="4">
        <v>32.53</v>
      </c>
      <c r="K1480" s="4">
        <v>19.8</v>
      </c>
      <c r="L1480">
        <v>0</v>
      </c>
      <c r="M1480" s="4">
        <v>0</v>
      </c>
      <c r="N1480" s="4">
        <v>644.09</v>
      </c>
      <c r="O1480" s="4">
        <v>190.3</v>
      </c>
      <c r="P1480" s="4">
        <v>6.76</v>
      </c>
      <c r="Q1480" s="4">
        <v>2.58</v>
      </c>
      <c r="R1480" s="4">
        <v>5.95</v>
      </c>
      <c r="S1480" s="4">
        <v>0</v>
      </c>
      <c r="T1480" s="4">
        <v>0</v>
      </c>
      <c r="U1480" s="4">
        <v>205.59</v>
      </c>
      <c r="V1480" s="4">
        <v>438.5</v>
      </c>
      <c r="W1480" t="s">
        <v>21</v>
      </c>
      <c r="X1480" t="s">
        <v>36</v>
      </c>
      <c r="Y1480" s="4">
        <v>3</v>
      </c>
      <c r="Z1480" s="4">
        <v>13</v>
      </c>
      <c r="AA1480" t="s">
        <v>37</v>
      </c>
      <c r="AB1480" t="s">
        <v>38</v>
      </c>
      <c r="AC1480" s="7">
        <v>0</v>
      </c>
      <c r="AD1480" t="s">
        <v>39</v>
      </c>
      <c r="AE1480">
        <f t="shared" si="23"/>
        <v>0</v>
      </c>
    </row>
    <row r="1481" spans="1:31" x14ac:dyDescent="0.35">
      <c r="A1481">
        <v>101480</v>
      </c>
      <c r="B1481" s="3">
        <v>45970</v>
      </c>
      <c r="C1481">
        <v>1145</v>
      </c>
      <c r="D1481" t="s">
        <v>47</v>
      </c>
      <c r="E1481" t="s">
        <v>53</v>
      </c>
      <c r="F1481" t="s">
        <v>71</v>
      </c>
      <c r="G1481" t="s">
        <v>46</v>
      </c>
      <c r="H1481" t="s">
        <v>34</v>
      </c>
      <c r="I1481" t="s">
        <v>35</v>
      </c>
      <c r="J1481" s="4">
        <v>22.54</v>
      </c>
      <c r="K1481" s="4">
        <v>15.15</v>
      </c>
      <c r="L1481">
        <v>20</v>
      </c>
      <c r="M1481" s="4">
        <v>68.3</v>
      </c>
      <c r="N1481" s="4">
        <v>273.18</v>
      </c>
      <c r="O1481" s="4">
        <v>167.29</v>
      </c>
      <c r="P1481" s="4">
        <v>6.09</v>
      </c>
      <c r="Q1481" s="4">
        <v>2.39</v>
      </c>
      <c r="R1481" s="4">
        <v>5.0199999999999996</v>
      </c>
      <c r="S1481" s="4">
        <v>0</v>
      </c>
      <c r="T1481" s="4">
        <v>0</v>
      </c>
      <c r="U1481" s="4">
        <v>180.79</v>
      </c>
      <c r="V1481" s="4">
        <v>92.39</v>
      </c>
      <c r="W1481" t="s">
        <v>21</v>
      </c>
      <c r="X1481" t="s">
        <v>36</v>
      </c>
      <c r="Y1481" s="4">
        <v>17</v>
      </c>
      <c r="Z1481" s="4">
        <v>1</v>
      </c>
      <c r="AA1481" t="s">
        <v>52</v>
      </c>
      <c r="AB1481" t="s">
        <v>38</v>
      </c>
      <c r="AC1481" s="7">
        <v>0</v>
      </c>
      <c r="AD1481" t="s">
        <v>39</v>
      </c>
      <c r="AE1481">
        <f t="shared" si="23"/>
        <v>0</v>
      </c>
    </row>
    <row r="1482" spans="1:31" x14ac:dyDescent="0.35">
      <c r="A1482">
        <v>101481</v>
      </c>
      <c r="B1482" s="3">
        <v>45969</v>
      </c>
      <c r="C1482">
        <v>1085</v>
      </c>
      <c r="D1482" t="s">
        <v>59</v>
      </c>
      <c r="E1482" t="s">
        <v>68</v>
      </c>
      <c r="F1482" t="s">
        <v>32</v>
      </c>
      <c r="G1482" t="s">
        <v>63</v>
      </c>
      <c r="H1482" t="s">
        <v>34</v>
      </c>
      <c r="I1482" t="s">
        <v>35</v>
      </c>
      <c r="J1482" s="4">
        <v>23.49</v>
      </c>
      <c r="K1482" s="4">
        <v>11.84</v>
      </c>
      <c r="L1482">
        <v>0</v>
      </c>
      <c r="M1482" s="4">
        <v>0</v>
      </c>
      <c r="N1482" s="4">
        <v>278.12</v>
      </c>
      <c r="O1482" s="4">
        <v>182.76</v>
      </c>
      <c r="P1482" s="4">
        <v>11.55</v>
      </c>
      <c r="Q1482" s="4">
        <v>1.95</v>
      </c>
      <c r="R1482" s="4">
        <v>15.47</v>
      </c>
      <c r="S1482" s="4">
        <v>0</v>
      </c>
      <c r="T1482" s="4">
        <v>0</v>
      </c>
      <c r="U1482" s="4">
        <v>211.73</v>
      </c>
      <c r="V1482" s="4">
        <v>66.39</v>
      </c>
      <c r="W1482" t="s">
        <v>21</v>
      </c>
      <c r="X1482" t="s">
        <v>36</v>
      </c>
      <c r="Y1482" s="4">
        <v>2</v>
      </c>
      <c r="Z1482" s="4">
        <v>0</v>
      </c>
      <c r="AA1482" t="s">
        <v>37</v>
      </c>
      <c r="AB1482" t="s">
        <v>38</v>
      </c>
      <c r="AC1482" s="7">
        <v>0</v>
      </c>
      <c r="AD1482" t="s">
        <v>39</v>
      </c>
      <c r="AE1482">
        <f t="shared" si="23"/>
        <v>0</v>
      </c>
    </row>
    <row r="1483" spans="1:31" x14ac:dyDescent="0.35">
      <c r="A1483">
        <v>101482</v>
      </c>
      <c r="B1483" s="3">
        <v>45977</v>
      </c>
      <c r="C1483">
        <v>1074</v>
      </c>
      <c r="D1483" t="s">
        <v>64</v>
      </c>
      <c r="E1483" t="s">
        <v>75</v>
      </c>
      <c r="F1483" t="s">
        <v>41</v>
      </c>
      <c r="G1483" t="s">
        <v>46</v>
      </c>
      <c r="H1483" t="s">
        <v>34</v>
      </c>
      <c r="I1483" t="s">
        <v>42</v>
      </c>
      <c r="J1483" s="4">
        <v>33.950000000000003</v>
      </c>
      <c r="K1483" s="4">
        <v>16.600000000000001</v>
      </c>
      <c r="L1483">
        <v>0</v>
      </c>
      <c r="M1483" s="4">
        <v>0</v>
      </c>
      <c r="N1483" s="4">
        <v>563.57000000000005</v>
      </c>
      <c r="O1483" s="4">
        <v>250.89</v>
      </c>
      <c r="P1483" s="4">
        <v>11.16</v>
      </c>
      <c r="Q1483" s="4">
        <v>8.4499999999999993</v>
      </c>
      <c r="R1483" s="4">
        <v>10.19</v>
      </c>
      <c r="S1483" s="4">
        <v>523.30999999999995</v>
      </c>
      <c r="T1483" s="4">
        <v>0</v>
      </c>
      <c r="U1483" s="4">
        <v>804</v>
      </c>
      <c r="V1483" s="4">
        <v>-240.43</v>
      </c>
      <c r="W1483" t="s">
        <v>58</v>
      </c>
      <c r="X1483" t="s">
        <v>55</v>
      </c>
      <c r="Y1483" s="4">
        <v>1</v>
      </c>
      <c r="Z1483" s="4">
        <v>36</v>
      </c>
      <c r="AA1483" t="s">
        <v>37</v>
      </c>
      <c r="AB1483" t="s">
        <v>44</v>
      </c>
      <c r="AC1483" s="7">
        <v>1</v>
      </c>
      <c r="AD1483" t="s">
        <v>45</v>
      </c>
      <c r="AE1483">
        <f t="shared" si="23"/>
        <v>1</v>
      </c>
    </row>
    <row r="1484" spans="1:31" x14ac:dyDescent="0.35">
      <c r="A1484">
        <v>101483</v>
      </c>
      <c r="B1484" s="3">
        <v>46019</v>
      </c>
      <c r="C1484">
        <v>1052</v>
      </c>
      <c r="D1484" t="s">
        <v>30</v>
      </c>
      <c r="E1484" t="s">
        <v>31</v>
      </c>
      <c r="F1484" t="s">
        <v>41</v>
      </c>
      <c r="G1484" t="s">
        <v>46</v>
      </c>
      <c r="H1484" t="s">
        <v>57</v>
      </c>
      <c r="I1484" t="s">
        <v>35</v>
      </c>
      <c r="J1484" s="4">
        <v>48.73</v>
      </c>
      <c r="K1484" s="4">
        <v>15.69</v>
      </c>
      <c r="L1484">
        <v>5</v>
      </c>
      <c r="M1484" s="4">
        <v>38.229999999999997</v>
      </c>
      <c r="N1484" s="4">
        <v>726.34</v>
      </c>
      <c r="O1484" s="4">
        <v>353.1</v>
      </c>
      <c r="P1484" s="4">
        <v>8.27</v>
      </c>
      <c r="Q1484" s="4">
        <v>5.35</v>
      </c>
      <c r="R1484" s="4">
        <v>7.94</v>
      </c>
      <c r="S1484" s="4">
        <v>0</v>
      </c>
      <c r="T1484" s="4">
        <v>0</v>
      </c>
      <c r="U1484" s="4">
        <v>374.66</v>
      </c>
      <c r="V1484" s="4">
        <v>351.68</v>
      </c>
      <c r="W1484" t="s">
        <v>21</v>
      </c>
      <c r="X1484" t="s">
        <v>36</v>
      </c>
      <c r="Y1484" s="4">
        <v>0</v>
      </c>
      <c r="Z1484" s="4">
        <v>0</v>
      </c>
      <c r="AA1484" t="s">
        <v>37</v>
      </c>
      <c r="AB1484" t="s">
        <v>38</v>
      </c>
      <c r="AC1484" s="7">
        <v>0</v>
      </c>
      <c r="AD1484" t="s">
        <v>39</v>
      </c>
      <c r="AE1484">
        <f t="shared" si="23"/>
        <v>0</v>
      </c>
    </row>
    <row r="1485" spans="1:31" x14ac:dyDescent="0.35">
      <c r="A1485">
        <v>101484</v>
      </c>
      <c r="B1485" s="3">
        <v>45948</v>
      </c>
      <c r="C1485">
        <v>1106</v>
      </c>
      <c r="D1485" t="s">
        <v>30</v>
      </c>
      <c r="E1485" t="s">
        <v>31</v>
      </c>
      <c r="F1485" t="s">
        <v>32</v>
      </c>
      <c r="G1485" t="s">
        <v>50</v>
      </c>
      <c r="H1485" t="s">
        <v>57</v>
      </c>
      <c r="I1485" t="s">
        <v>42</v>
      </c>
      <c r="J1485" s="4">
        <v>46.2</v>
      </c>
      <c r="K1485" s="4">
        <v>17.55</v>
      </c>
      <c r="L1485">
        <v>0</v>
      </c>
      <c r="M1485" s="4">
        <v>0</v>
      </c>
      <c r="N1485" s="4">
        <v>810.81</v>
      </c>
      <c r="O1485" s="4">
        <v>354.22</v>
      </c>
      <c r="P1485" s="4">
        <v>4.18</v>
      </c>
      <c r="Q1485" s="4">
        <v>12.16</v>
      </c>
      <c r="R1485" s="4">
        <v>8.84</v>
      </c>
      <c r="S1485" s="4">
        <v>0</v>
      </c>
      <c r="T1485" s="4">
        <v>0</v>
      </c>
      <c r="U1485" s="4">
        <v>379.4</v>
      </c>
      <c r="V1485" s="4">
        <v>431.41</v>
      </c>
      <c r="W1485" t="s">
        <v>21</v>
      </c>
      <c r="X1485" t="s">
        <v>36</v>
      </c>
      <c r="Y1485" s="4">
        <v>0</v>
      </c>
      <c r="Z1485" s="4">
        <v>9</v>
      </c>
      <c r="AA1485" t="s">
        <v>37</v>
      </c>
      <c r="AB1485" t="s">
        <v>38</v>
      </c>
      <c r="AC1485" s="7">
        <v>1</v>
      </c>
      <c r="AD1485" t="s">
        <v>39</v>
      </c>
      <c r="AE1485">
        <f t="shared" si="23"/>
        <v>0</v>
      </c>
    </row>
    <row r="1486" spans="1:31" x14ac:dyDescent="0.35">
      <c r="A1486">
        <v>101485</v>
      </c>
      <c r="B1486" s="3">
        <v>45937</v>
      </c>
      <c r="C1486">
        <v>1045</v>
      </c>
      <c r="D1486" t="s">
        <v>47</v>
      </c>
      <c r="E1486" t="s">
        <v>56</v>
      </c>
      <c r="F1486" t="s">
        <v>61</v>
      </c>
      <c r="G1486" t="s">
        <v>63</v>
      </c>
      <c r="H1486" t="s">
        <v>34</v>
      </c>
      <c r="I1486" t="s">
        <v>35</v>
      </c>
      <c r="J1486" s="4">
        <v>22.37</v>
      </c>
      <c r="K1486" s="4">
        <v>12.12</v>
      </c>
      <c r="L1486">
        <v>5</v>
      </c>
      <c r="M1486" s="4">
        <v>13.56</v>
      </c>
      <c r="N1486" s="4">
        <v>257.56</v>
      </c>
      <c r="O1486" s="4">
        <v>156.22999999999999</v>
      </c>
      <c r="P1486" s="4">
        <v>5.79</v>
      </c>
      <c r="Q1486" s="4">
        <v>1.9</v>
      </c>
      <c r="R1486" s="4">
        <v>7.73</v>
      </c>
      <c r="S1486" s="4">
        <v>0</v>
      </c>
      <c r="T1486" s="4">
        <v>0</v>
      </c>
      <c r="U1486" s="4">
        <v>171.65</v>
      </c>
      <c r="V1486" s="4">
        <v>85.91</v>
      </c>
      <c r="W1486" t="s">
        <v>21</v>
      </c>
      <c r="X1486" t="s">
        <v>36</v>
      </c>
      <c r="Y1486" s="4">
        <v>5</v>
      </c>
      <c r="Z1486" s="4">
        <v>1</v>
      </c>
      <c r="AA1486" t="s">
        <v>37</v>
      </c>
      <c r="AB1486" t="s">
        <v>38</v>
      </c>
      <c r="AC1486" s="7">
        <v>0</v>
      </c>
      <c r="AD1486" t="s">
        <v>39</v>
      </c>
      <c r="AE1486">
        <f t="shared" si="23"/>
        <v>0</v>
      </c>
    </row>
    <row r="1487" spans="1:31" x14ac:dyDescent="0.35">
      <c r="A1487">
        <v>101486</v>
      </c>
      <c r="B1487" s="3">
        <v>46015</v>
      </c>
      <c r="C1487">
        <v>1077</v>
      </c>
      <c r="D1487" t="s">
        <v>47</v>
      </c>
      <c r="E1487" t="s">
        <v>48</v>
      </c>
      <c r="F1487" t="s">
        <v>41</v>
      </c>
      <c r="G1487" t="s">
        <v>63</v>
      </c>
      <c r="H1487" t="s">
        <v>57</v>
      </c>
      <c r="I1487" t="s">
        <v>54</v>
      </c>
      <c r="J1487" s="4">
        <v>7.65</v>
      </c>
      <c r="K1487" s="4">
        <v>13.24</v>
      </c>
      <c r="L1487">
        <v>0</v>
      </c>
      <c r="M1487" s="4">
        <v>0</v>
      </c>
      <c r="N1487" s="4">
        <v>101.29</v>
      </c>
      <c r="O1487" s="4">
        <v>65.790000000000006</v>
      </c>
      <c r="P1487" s="4">
        <v>9.5500000000000007</v>
      </c>
      <c r="Q1487" s="4">
        <v>1.22</v>
      </c>
      <c r="R1487" s="4">
        <v>12.53</v>
      </c>
      <c r="S1487" s="4">
        <v>90.67</v>
      </c>
      <c r="T1487" s="4">
        <v>0.24</v>
      </c>
      <c r="U1487" s="4">
        <v>180</v>
      </c>
      <c r="V1487" s="4">
        <v>-78.709999999999994</v>
      </c>
      <c r="W1487" t="s">
        <v>58</v>
      </c>
      <c r="X1487" t="s">
        <v>66</v>
      </c>
      <c r="Y1487" s="4">
        <v>11</v>
      </c>
      <c r="Z1487" s="4">
        <v>1</v>
      </c>
      <c r="AA1487" t="s">
        <v>37</v>
      </c>
      <c r="AB1487" t="s">
        <v>38</v>
      </c>
      <c r="AC1487" s="7">
        <v>3</v>
      </c>
      <c r="AD1487" t="s">
        <v>45</v>
      </c>
      <c r="AE1487">
        <f t="shared" si="23"/>
        <v>0</v>
      </c>
    </row>
    <row r="1488" spans="1:31" x14ac:dyDescent="0.35">
      <c r="A1488">
        <v>101487</v>
      </c>
      <c r="B1488" s="3">
        <v>45961</v>
      </c>
      <c r="C1488">
        <v>1045</v>
      </c>
      <c r="D1488" t="s">
        <v>47</v>
      </c>
      <c r="E1488" t="s">
        <v>74</v>
      </c>
      <c r="F1488" t="s">
        <v>41</v>
      </c>
      <c r="G1488" t="s">
        <v>63</v>
      </c>
      <c r="H1488" t="s">
        <v>34</v>
      </c>
      <c r="I1488" t="s">
        <v>35</v>
      </c>
      <c r="J1488" s="4">
        <v>21.45</v>
      </c>
      <c r="K1488" s="4">
        <v>12.19</v>
      </c>
      <c r="L1488">
        <v>0</v>
      </c>
      <c r="M1488" s="4">
        <v>0</v>
      </c>
      <c r="N1488" s="4">
        <v>261.48</v>
      </c>
      <c r="O1488" s="4">
        <v>150.27000000000001</v>
      </c>
      <c r="P1488" s="4">
        <v>7.18</v>
      </c>
      <c r="Q1488" s="4">
        <v>1.83</v>
      </c>
      <c r="R1488" s="4">
        <v>4.5999999999999996</v>
      </c>
      <c r="S1488" s="4">
        <v>0</v>
      </c>
      <c r="T1488" s="4">
        <v>0</v>
      </c>
      <c r="U1488" s="4">
        <v>163.88</v>
      </c>
      <c r="V1488" s="4">
        <v>97.6</v>
      </c>
      <c r="W1488" t="s">
        <v>21</v>
      </c>
      <c r="X1488" t="s">
        <v>36</v>
      </c>
      <c r="Y1488" s="4">
        <v>1</v>
      </c>
      <c r="Z1488" s="4">
        <v>17</v>
      </c>
      <c r="AA1488" t="s">
        <v>37</v>
      </c>
      <c r="AB1488" t="s">
        <v>44</v>
      </c>
      <c r="AC1488" s="7">
        <v>2</v>
      </c>
      <c r="AD1488" t="s">
        <v>45</v>
      </c>
      <c r="AE1488">
        <f t="shared" si="23"/>
        <v>1</v>
      </c>
    </row>
    <row r="1489" spans="1:31" x14ac:dyDescent="0.35">
      <c r="A1489">
        <v>101488</v>
      </c>
      <c r="B1489" s="3">
        <v>45979</v>
      </c>
      <c r="C1489">
        <v>1018</v>
      </c>
      <c r="D1489" t="s">
        <v>30</v>
      </c>
      <c r="E1489" t="s">
        <v>62</v>
      </c>
      <c r="F1489" t="s">
        <v>41</v>
      </c>
      <c r="G1489" t="s">
        <v>33</v>
      </c>
      <c r="H1489" t="s">
        <v>34</v>
      </c>
      <c r="I1489" t="s">
        <v>35</v>
      </c>
      <c r="J1489" s="4">
        <v>20.49</v>
      </c>
      <c r="K1489" s="4">
        <v>18.170000000000002</v>
      </c>
      <c r="L1489">
        <v>10</v>
      </c>
      <c r="M1489" s="4">
        <v>37.229999999999997</v>
      </c>
      <c r="N1489" s="4">
        <v>335.07</v>
      </c>
      <c r="O1489" s="4">
        <v>132.61000000000001</v>
      </c>
      <c r="P1489" s="4">
        <v>3.78</v>
      </c>
      <c r="Q1489" s="4">
        <v>2.61</v>
      </c>
      <c r="R1489" s="4">
        <v>7.6</v>
      </c>
      <c r="S1489" s="4">
        <v>0</v>
      </c>
      <c r="T1489" s="4">
        <v>0</v>
      </c>
      <c r="U1489" s="4">
        <v>146.6</v>
      </c>
      <c r="V1489" s="4">
        <v>188.47</v>
      </c>
      <c r="W1489" t="s">
        <v>21</v>
      </c>
      <c r="X1489" t="s">
        <v>36</v>
      </c>
      <c r="Y1489" s="4">
        <v>1</v>
      </c>
      <c r="Z1489" s="4">
        <v>3</v>
      </c>
      <c r="AA1489" t="s">
        <v>37</v>
      </c>
      <c r="AB1489" t="s">
        <v>38</v>
      </c>
      <c r="AC1489" s="7">
        <v>0</v>
      </c>
      <c r="AD1489" t="s">
        <v>39</v>
      </c>
      <c r="AE1489">
        <f t="shared" si="23"/>
        <v>0</v>
      </c>
    </row>
    <row r="1490" spans="1:31" x14ac:dyDescent="0.35">
      <c r="A1490">
        <v>101489</v>
      </c>
      <c r="B1490" s="3">
        <v>45939</v>
      </c>
      <c r="C1490">
        <v>1002</v>
      </c>
      <c r="D1490" t="s">
        <v>59</v>
      </c>
      <c r="E1490" t="s">
        <v>60</v>
      </c>
      <c r="F1490" t="s">
        <v>32</v>
      </c>
      <c r="G1490" t="s">
        <v>63</v>
      </c>
      <c r="H1490" t="s">
        <v>57</v>
      </c>
      <c r="I1490" t="s">
        <v>54</v>
      </c>
      <c r="J1490" s="4">
        <v>27.43</v>
      </c>
      <c r="K1490" s="4">
        <v>12.53</v>
      </c>
      <c r="L1490">
        <v>5</v>
      </c>
      <c r="M1490" s="4">
        <v>17.18</v>
      </c>
      <c r="N1490" s="4">
        <v>326.52</v>
      </c>
      <c r="O1490" s="4">
        <v>191.6</v>
      </c>
      <c r="P1490" s="4">
        <v>5.96</v>
      </c>
      <c r="Q1490" s="4">
        <v>4.12</v>
      </c>
      <c r="R1490" s="4">
        <v>0.79</v>
      </c>
      <c r="S1490" s="4">
        <v>0</v>
      </c>
      <c r="T1490" s="4">
        <v>0</v>
      </c>
      <c r="U1490" s="4">
        <v>202.47</v>
      </c>
      <c r="V1490" s="4">
        <v>124.05</v>
      </c>
      <c r="W1490" t="s">
        <v>21</v>
      </c>
      <c r="X1490" t="s">
        <v>36</v>
      </c>
      <c r="Y1490" s="4">
        <v>34</v>
      </c>
      <c r="Z1490" s="4">
        <v>1</v>
      </c>
      <c r="AA1490" t="s">
        <v>43</v>
      </c>
      <c r="AB1490" t="s">
        <v>44</v>
      </c>
      <c r="AC1490" s="7">
        <v>3</v>
      </c>
      <c r="AD1490" t="s">
        <v>45</v>
      </c>
      <c r="AE1490">
        <f t="shared" si="23"/>
        <v>1</v>
      </c>
    </row>
    <row r="1491" spans="1:31" x14ac:dyDescent="0.35">
      <c r="A1491">
        <v>101490</v>
      </c>
      <c r="B1491" s="3">
        <v>45947</v>
      </c>
      <c r="C1491">
        <v>1091</v>
      </c>
      <c r="D1491" t="s">
        <v>64</v>
      </c>
      <c r="E1491" t="s">
        <v>76</v>
      </c>
      <c r="F1491" t="s">
        <v>32</v>
      </c>
      <c r="G1491" t="s">
        <v>63</v>
      </c>
      <c r="H1491" t="s">
        <v>57</v>
      </c>
      <c r="I1491" t="s">
        <v>69</v>
      </c>
      <c r="J1491" s="4">
        <v>29.95</v>
      </c>
      <c r="K1491" s="4">
        <v>12.84</v>
      </c>
      <c r="L1491">
        <v>15</v>
      </c>
      <c r="M1491" s="4">
        <v>57.68</v>
      </c>
      <c r="N1491" s="4">
        <v>326.88</v>
      </c>
      <c r="O1491" s="4">
        <v>181.59</v>
      </c>
      <c r="P1491" s="4">
        <v>6.55</v>
      </c>
      <c r="Q1491" s="4">
        <v>1.54</v>
      </c>
      <c r="R1491" s="4">
        <v>6.58</v>
      </c>
      <c r="S1491" s="4">
        <v>0</v>
      </c>
      <c r="T1491" s="4">
        <v>0</v>
      </c>
      <c r="U1491" s="4">
        <v>196.26</v>
      </c>
      <c r="V1491" s="4">
        <v>130.62</v>
      </c>
      <c r="W1491" t="s">
        <v>21</v>
      </c>
      <c r="X1491" t="s">
        <v>36</v>
      </c>
      <c r="Y1491" s="4">
        <v>8</v>
      </c>
      <c r="Z1491" s="4">
        <v>0</v>
      </c>
      <c r="AA1491" t="s">
        <v>37</v>
      </c>
      <c r="AB1491" t="s">
        <v>38</v>
      </c>
      <c r="AC1491" s="7">
        <v>0</v>
      </c>
      <c r="AD1491" t="s">
        <v>39</v>
      </c>
      <c r="AE1491">
        <f t="shared" si="23"/>
        <v>0</v>
      </c>
    </row>
    <row r="1492" spans="1:31" x14ac:dyDescent="0.35">
      <c r="A1492">
        <v>101491</v>
      </c>
      <c r="B1492" s="3">
        <v>45999</v>
      </c>
      <c r="C1492">
        <v>1036</v>
      </c>
      <c r="D1492" t="s">
        <v>64</v>
      </c>
      <c r="E1492" t="s">
        <v>67</v>
      </c>
      <c r="F1492" t="s">
        <v>71</v>
      </c>
      <c r="G1492" t="s">
        <v>33</v>
      </c>
      <c r="H1492" t="s">
        <v>51</v>
      </c>
      <c r="I1492" t="s">
        <v>69</v>
      </c>
      <c r="J1492" s="4">
        <v>8.08</v>
      </c>
      <c r="K1492" s="4">
        <v>19.43</v>
      </c>
      <c r="L1492">
        <v>0</v>
      </c>
      <c r="M1492" s="4">
        <v>0</v>
      </c>
      <c r="N1492" s="4">
        <v>156.99</v>
      </c>
      <c r="O1492" s="4">
        <v>64.58</v>
      </c>
      <c r="P1492" s="4">
        <v>6.97</v>
      </c>
      <c r="Q1492" s="4">
        <v>0.63</v>
      </c>
      <c r="R1492" s="4">
        <v>2.2200000000000002</v>
      </c>
      <c r="S1492" s="4">
        <v>107.99</v>
      </c>
      <c r="T1492" s="4">
        <v>13.61</v>
      </c>
      <c r="U1492" s="4">
        <v>196</v>
      </c>
      <c r="V1492" s="4">
        <v>-39.01</v>
      </c>
      <c r="W1492" t="s">
        <v>58</v>
      </c>
      <c r="X1492" t="s">
        <v>66</v>
      </c>
      <c r="Y1492" s="4">
        <v>13</v>
      </c>
      <c r="Z1492" s="4">
        <v>5</v>
      </c>
      <c r="AA1492" t="s">
        <v>37</v>
      </c>
      <c r="AB1492" t="s">
        <v>38</v>
      </c>
      <c r="AC1492" s="7">
        <v>1</v>
      </c>
      <c r="AD1492" t="s">
        <v>45</v>
      </c>
      <c r="AE1492">
        <f t="shared" si="23"/>
        <v>0</v>
      </c>
    </row>
    <row r="1493" spans="1:31" x14ac:dyDescent="0.35">
      <c r="A1493">
        <v>101492</v>
      </c>
      <c r="B1493" s="3">
        <v>45945</v>
      </c>
      <c r="C1493">
        <v>1081</v>
      </c>
      <c r="D1493" t="s">
        <v>30</v>
      </c>
      <c r="E1493" t="s">
        <v>62</v>
      </c>
      <c r="F1493" t="s">
        <v>32</v>
      </c>
      <c r="G1493" t="s">
        <v>46</v>
      </c>
      <c r="H1493" t="s">
        <v>57</v>
      </c>
      <c r="I1493" t="s">
        <v>35</v>
      </c>
      <c r="J1493" s="4">
        <v>25.67</v>
      </c>
      <c r="K1493" s="4">
        <v>16.670000000000002</v>
      </c>
      <c r="L1493">
        <v>0</v>
      </c>
      <c r="M1493" s="4">
        <v>0</v>
      </c>
      <c r="N1493" s="4">
        <v>427.92</v>
      </c>
      <c r="O1493" s="4">
        <v>187.32</v>
      </c>
      <c r="P1493" s="4">
        <v>8.9700000000000006</v>
      </c>
      <c r="Q1493" s="4">
        <v>3</v>
      </c>
      <c r="R1493" s="4">
        <v>0.47</v>
      </c>
      <c r="S1493" s="4">
        <v>0</v>
      </c>
      <c r="T1493" s="4">
        <v>0</v>
      </c>
      <c r="U1493" s="4">
        <v>199.76</v>
      </c>
      <c r="V1493" s="4">
        <v>228.16</v>
      </c>
      <c r="W1493" t="s">
        <v>21</v>
      </c>
      <c r="X1493" t="s">
        <v>36</v>
      </c>
      <c r="Y1493" s="4">
        <v>7</v>
      </c>
      <c r="Z1493" s="4">
        <v>7</v>
      </c>
      <c r="AA1493" t="s">
        <v>37</v>
      </c>
      <c r="AB1493" t="s">
        <v>38</v>
      </c>
      <c r="AC1493" s="7">
        <v>0</v>
      </c>
      <c r="AD1493" t="s">
        <v>39</v>
      </c>
      <c r="AE1493">
        <f t="shared" si="23"/>
        <v>0</v>
      </c>
    </row>
    <row r="1494" spans="1:31" x14ac:dyDescent="0.35">
      <c r="A1494">
        <v>101493</v>
      </c>
      <c r="B1494" s="3">
        <v>45993</v>
      </c>
      <c r="C1494">
        <v>1058</v>
      </c>
      <c r="D1494" t="s">
        <v>59</v>
      </c>
      <c r="E1494" t="s">
        <v>60</v>
      </c>
      <c r="F1494" t="s">
        <v>41</v>
      </c>
      <c r="G1494" t="s">
        <v>50</v>
      </c>
      <c r="H1494" t="s">
        <v>34</v>
      </c>
      <c r="I1494" t="s">
        <v>42</v>
      </c>
      <c r="J1494" s="4">
        <v>17.350000000000001</v>
      </c>
      <c r="K1494" s="4">
        <v>17.47</v>
      </c>
      <c r="L1494">
        <v>0</v>
      </c>
      <c r="M1494" s="4">
        <v>0</v>
      </c>
      <c r="N1494" s="4">
        <v>303.10000000000002</v>
      </c>
      <c r="O1494" s="4">
        <v>117.4</v>
      </c>
      <c r="P1494" s="4">
        <v>8.8699999999999992</v>
      </c>
      <c r="Q1494" s="4">
        <v>4.55</v>
      </c>
      <c r="R1494" s="4">
        <v>0.96</v>
      </c>
      <c r="S1494" s="4">
        <v>0</v>
      </c>
      <c r="T1494" s="4">
        <v>0</v>
      </c>
      <c r="U1494" s="4">
        <v>131.78</v>
      </c>
      <c r="V1494" s="4">
        <v>171.32</v>
      </c>
      <c r="W1494" t="s">
        <v>21</v>
      </c>
      <c r="X1494" t="s">
        <v>36</v>
      </c>
      <c r="Y1494" s="4">
        <v>5</v>
      </c>
      <c r="Z1494" s="4">
        <v>1</v>
      </c>
      <c r="AA1494" t="s">
        <v>37</v>
      </c>
      <c r="AB1494" t="s">
        <v>38</v>
      </c>
      <c r="AC1494" s="7">
        <v>0</v>
      </c>
      <c r="AD1494" t="s">
        <v>39</v>
      </c>
      <c r="AE1494">
        <f t="shared" si="23"/>
        <v>0</v>
      </c>
    </row>
    <row r="1495" spans="1:31" x14ac:dyDescent="0.35">
      <c r="A1495">
        <v>101494</v>
      </c>
      <c r="B1495" s="3">
        <v>46002</v>
      </c>
      <c r="C1495">
        <v>1035</v>
      </c>
      <c r="D1495" t="s">
        <v>59</v>
      </c>
      <c r="E1495" t="s">
        <v>70</v>
      </c>
      <c r="F1495" t="s">
        <v>41</v>
      </c>
      <c r="G1495" t="s">
        <v>50</v>
      </c>
      <c r="H1495" t="s">
        <v>57</v>
      </c>
      <c r="I1495" t="s">
        <v>42</v>
      </c>
      <c r="J1495" s="4">
        <v>22.08</v>
      </c>
      <c r="K1495" s="4">
        <v>17.27</v>
      </c>
      <c r="L1495">
        <v>20</v>
      </c>
      <c r="M1495" s="4">
        <v>76.260000000000005</v>
      </c>
      <c r="N1495" s="4">
        <v>305.06</v>
      </c>
      <c r="O1495" s="4">
        <v>141.02000000000001</v>
      </c>
      <c r="P1495" s="4">
        <v>2.5299999999999998</v>
      </c>
      <c r="Q1495" s="4">
        <v>5.72</v>
      </c>
      <c r="R1495" s="4">
        <v>8.07</v>
      </c>
      <c r="S1495" s="4">
        <v>0</v>
      </c>
      <c r="T1495" s="4">
        <v>0</v>
      </c>
      <c r="U1495" s="4">
        <v>157.34</v>
      </c>
      <c r="V1495" s="4">
        <v>147.72</v>
      </c>
      <c r="W1495" t="s">
        <v>21</v>
      </c>
      <c r="X1495" t="s">
        <v>36</v>
      </c>
      <c r="Y1495" s="4">
        <v>27</v>
      </c>
      <c r="Z1495" s="4">
        <v>2</v>
      </c>
      <c r="AA1495" t="s">
        <v>52</v>
      </c>
      <c r="AB1495" t="s">
        <v>44</v>
      </c>
      <c r="AC1495" s="7">
        <v>2</v>
      </c>
      <c r="AD1495" t="s">
        <v>45</v>
      </c>
      <c r="AE1495">
        <f t="shared" si="23"/>
        <v>1</v>
      </c>
    </row>
    <row r="1496" spans="1:31" x14ac:dyDescent="0.35">
      <c r="A1496">
        <v>101495</v>
      </c>
      <c r="B1496" s="3">
        <v>45932</v>
      </c>
      <c r="C1496">
        <v>1014</v>
      </c>
      <c r="D1496" t="s">
        <v>59</v>
      </c>
      <c r="E1496" t="s">
        <v>70</v>
      </c>
      <c r="F1496" t="s">
        <v>61</v>
      </c>
      <c r="G1496" t="s">
        <v>46</v>
      </c>
      <c r="H1496" t="s">
        <v>34</v>
      </c>
      <c r="I1496" t="s">
        <v>35</v>
      </c>
      <c r="J1496" s="4">
        <v>24.43</v>
      </c>
      <c r="K1496" s="4">
        <v>14.94</v>
      </c>
      <c r="L1496">
        <v>5</v>
      </c>
      <c r="M1496" s="4">
        <v>18.25</v>
      </c>
      <c r="N1496" s="4">
        <v>346.73</v>
      </c>
      <c r="O1496" s="4">
        <v>183.12</v>
      </c>
      <c r="P1496" s="4">
        <v>5.26</v>
      </c>
      <c r="Q1496" s="4">
        <v>2.5499999999999998</v>
      </c>
      <c r="R1496" s="4">
        <v>5.72</v>
      </c>
      <c r="S1496" s="4">
        <v>0</v>
      </c>
      <c r="T1496" s="4">
        <v>0</v>
      </c>
      <c r="U1496" s="4">
        <v>196.65</v>
      </c>
      <c r="V1496" s="4">
        <v>150.08000000000001</v>
      </c>
      <c r="W1496" t="s">
        <v>21</v>
      </c>
      <c r="X1496" t="s">
        <v>36</v>
      </c>
      <c r="Y1496" s="4">
        <v>3</v>
      </c>
      <c r="Z1496" s="4">
        <v>1</v>
      </c>
      <c r="AA1496" t="s">
        <v>37</v>
      </c>
      <c r="AB1496" t="s">
        <v>38</v>
      </c>
      <c r="AC1496" s="7">
        <v>0</v>
      </c>
      <c r="AD1496" t="s">
        <v>39</v>
      </c>
      <c r="AE1496">
        <f t="shared" si="23"/>
        <v>0</v>
      </c>
    </row>
    <row r="1497" spans="1:31" x14ac:dyDescent="0.35">
      <c r="A1497">
        <v>101496</v>
      </c>
      <c r="B1497" s="3">
        <v>46001</v>
      </c>
      <c r="C1497">
        <v>1021</v>
      </c>
      <c r="D1497" t="s">
        <v>47</v>
      </c>
      <c r="E1497" t="s">
        <v>48</v>
      </c>
      <c r="F1497" t="s">
        <v>49</v>
      </c>
      <c r="G1497" t="s">
        <v>46</v>
      </c>
      <c r="H1497" t="s">
        <v>34</v>
      </c>
      <c r="I1497" t="s">
        <v>35</v>
      </c>
      <c r="J1497" s="4">
        <v>26.03</v>
      </c>
      <c r="K1497" s="4">
        <v>15.84</v>
      </c>
      <c r="L1497">
        <v>10</v>
      </c>
      <c r="M1497" s="4">
        <v>41.23</v>
      </c>
      <c r="N1497" s="4">
        <v>371.09</v>
      </c>
      <c r="O1497" s="4">
        <v>173.83</v>
      </c>
      <c r="P1497" s="4">
        <v>12.38</v>
      </c>
      <c r="Q1497" s="4">
        <v>2.89</v>
      </c>
      <c r="R1497" s="4">
        <v>1.04</v>
      </c>
      <c r="S1497" s="4">
        <v>217.47</v>
      </c>
      <c r="T1497" s="4">
        <v>0</v>
      </c>
      <c r="U1497" s="4">
        <v>407.61</v>
      </c>
      <c r="V1497" s="4">
        <v>-36.520000000000003</v>
      </c>
      <c r="W1497" t="s">
        <v>58</v>
      </c>
      <c r="X1497" t="s">
        <v>55</v>
      </c>
      <c r="Y1497" s="4">
        <v>20</v>
      </c>
      <c r="Z1497" s="4">
        <v>12</v>
      </c>
      <c r="AA1497" t="s">
        <v>52</v>
      </c>
      <c r="AB1497" t="s">
        <v>44</v>
      </c>
      <c r="AC1497" s="7">
        <v>2</v>
      </c>
      <c r="AD1497" t="s">
        <v>45</v>
      </c>
      <c r="AE1497">
        <f t="shared" si="23"/>
        <v>1</v>
      </c>
    </row>
    <row r="1498" spans="1:31" x14ac:dyDescent="0.35">
      <c r="A1498">
        <v>101497</v>
      </c>
      <c r="B1498" s="3">
        <v>45936</v>
      </c>
      <c r="C1498">
        <v>1095</v>
      </c>
      <c r="D1498" t="s">
        <v>30</v>
      </c>
      <c r="E1498" t="s">
        <v>31</v>
      </c>
      <c r="F1498" t="s">
        <v>71</v>
      </c>
      <c r="G1498" t="s">
        <v>46</v>
      </c>
      <c r="H1498" t="s">
        <v>34</v>
      </c>
      <c r="I1498" t="s">
        <v>54</v>
      </c>
      <c r="J1498" s="4">
        <v>23.92</v>
      </c>
      <c r="K1498" s="4">
        <v>15.45</v>
      </c>
      <c r="L1498">
        <v>0</v>
      </c>
      <c r="M1498" s="4">
        <v>0</v>
      </c>
      <c r="N1498" s="4">
        <v>369.56</v>
      </c>
      <c r="O1498" s="4">
        <v>159.21</v>
      </c>
      <c r="P1498" s="4">
        <v>6.32</v>
      </c>
      <c r="Q1498" s="4">
        <v>4.43</v>
      </c>
      <c r="R1498" s="4">
        <v>2.58</v>
      </c>
      <c r="S1498" s="4">
        <v>280.2</v>
      </c>
      <c r="T1498" s="4">
        <v>0</v>
      </c>
      <c r="U1498" s="4">
        <v>452.74</v>
      </c>
      <c r="V1498" s="4">
        <v>-83.18</v>
      </c>
      <c r="W1498" t="s">
        <v>58</v>
      </c>
      <c r="X1498" t="s">
        <v>55</v>
      </c>
      <c r="Y1498" s="4">
        <v>12</v>
      </c>
      <c r="Z1498" s="4">
        <v>1</v>
      </c>
      <c r="AA1498" t="s">
        <v>37</v>
      </c>
      <c r="AB1498" t="s">
        <v>44</v>
      </c>
      <c r="AC1498" s="7">
        <v>2</v>
      </c>
      <c r="AD1498" t="s">
        <v>45</v>
      </c>
      <c r="AE1498">
        <f t="shared" si="23"/>
        <v>1</v>
      </c>
    </row>
    <row r="1499" spans="1:31" x14ac:dyDescent="0.35">
      <c r="A1499">
        <v>101498</v>
      </c>
      <c r="B1499" s="3">
        <v>45948</v>
      </c>
      <c r="C1499">
        <v>1077</v>
      </c>
      <c r="D1499" t="s">
        <v>59</v>
      </c>
      <c r="E1499" t="s">
        <v>68</v>
      </c>
      <c r="F1499" t="s">
        <v>71</v>
      </c>
      <c r="G1499" t="s">
        <v>46</v>
      </c>
      <c r="H1499" t="s">
        <v>34</v>
      </c>
      <c r="I1499" t="s">
        <v>69</v>
      </c>
      <c r="J1499" s="4">
        <v>30.13</v>
      </c>
      <c r="K1499" s="4">
        <v>17</v>
      </c>
      <c r="L1499">
        <v>5</v>
      </c>
      <c r="M1499" s="4">
        <v>25.61</v>
      </c>
      <c r="N1499" s="4">
        <v>486.6</v>
      </c>
      <c r="O1499" s="4">
        <v>209.47</v>
      </c>
      <c r="P1499" s="4">
        <v>7.04</v>
      </c>
      <c r="Q1499" s="4">
        <v>2.0499999999999998</v>
      </c>
      <c r="R1499" s="4">
        <v>6.58</v>
      </c>
      <c r="S1499" s="4">
        <v>0</v>
      </c>
      <c r="T1499" s="4">
        <v>0</v>
      </c>
      <c r="U1499" s="4">
        <v>225.14</v>
      </c>
      <c r="V1499" s="4">
        <v>261.45999999999998</v>
      </c>
      <c r="W1499" t="s">
        <v>21</v>
      </c>
      <c r="X1499" t="s">
        <v>36</v>
      </c>
      <c r="Y1499" s="4">
        <v>23</v>
      </c>
      <c r="Z1499" s="4">
        <v>15</v>
      </c>
      <c r="AA1499" t="s">
        <v>52</v>
      </c>
      <c r="AB1499" t="s">
        <v>44</v>
      </c>
      <c r="AC1499" s="7">
        <v>3</v>
      </c>
      <c r="AD1499" t="s">
        <v>45</v>
      </c>
      <c r="AE1499">
        <f t="shared" si="23"/>
        <v>1</v>
      </c>
    </row>
    <row r="1500" spans="1:31" x14ac:dyDescent="0.35">
      <c r="A1500">
        <v>101499</v>
      </c>
      <c r="B1500" s="3">
        <v>45997</v>
      </c>
      <c r="C1500">
        <v>1036</v>
      </c>
      <c r="D1500" t="s">
        <v>30</v>
      </c>
      <c r="E1500" t="s">
        <v>40</v>
      </c>
      <c r="F1500" t="s">
        <v>32</v>
      </c>
      <c r="G1500" t="s">
        <v>46</v>
      </c>
      <c r="H1500" t="s">
        <v>34</v>
      </c>
      <c r="I1500" t="s">
        <v>35</v>
      </c>
      <c r="J1500" s="4">
        <v>26.41</v>
      </c>
      <c r="K1500" s="4">
        <v>15.55</v>
      </c>
      <c r="L1500">
        <v>5</v>
      </c>
      <c r="M1500" s="4">
        <v>20.53</v>
      </c>
      <c r="N1500" s="4">
        <v>390.15</v>
      </c>
      <c r="O1500" s="4">
        <v>185.81</v>
      </c>
      <c r="P1500" s="4">
        <v>5.31</v>
      </c>
      <c r="Q1500" s="4">
        <v>2.87</v>
      </c>
      <c r="R1500" s="4">
        <v>7.31</v>
      </c>
      <c r="S1500" s="4">
        <v>0</v>
      </c>
      <c r="T1500" s="4">
        <v>0</v>
      </c>
      <c r="U1500" s="4">
        <v>201.3</v>
      </c>
      <c r="V1500" s="4">
        <v>188.85</v>
      </c>
      <c r="W1500" t="s">
        <v>21</v>
      </c>
      <c r="X1500" t="s">
        <v>36</v>
      </c>
      <c r="Y1500" s="4">
        <v>5</v>
      </c>
      <c r="Z1500" s="4">
        <v>3</v>
      </c>
      <c r="AA1500" t="s">
        <v>37</v>
      </c>
      <c r="AB1500" t="s">
        <v>38</v>
      </c>
      <c r="AC1500" s="7">
        <v>1</v>
      </c>
      <c r="AD1500" t="s">
        <v>39</v>
      </c>
      <c r="AE1500">
        <f t="shared" si="23"/>
        <v>0</v>
      </c>
    </row>
    <row r="1501" spans="1:31" x14ac:dyDescent="0.35">
      <c r="A1501">
        <v>101500</v>
      </c>
      <c r="B1501" s="3">
        <v>45960</v>
      </c>
      <c r="C1501">
        <v>1137</v>
      </c>
      <c r="D1501" t="s">
        <v>47</v>
      </c>
      <c r="E1501" t="s">
        <v>53</v>
      </c>
      <c r="F1501" t="s">
        <v>41</v>
      </c>
      <c r="G1501" t="s">
        <v>63</v>
      </c>
      <c r="H1501" t="s">
        <v>57</v>
      </c>
      <c r="I1501" t="s">
        <v>69</v>
      </c>
      <c r="J1501" s="4">
        <v>20.2</v>
      </c>
      <c r="K1501" s="4">
        <v>14.13</v>
      </c>
      <c r="L1501">
        <v>5</v>
      </c>
      <c r="M1501" s="4">
        <v>14.27</v>
      </c>
      <c r="N1501" s="4">
        <v>271.16000000000003</v>
      </c>
      <c r="O1501" s="4">
        <v>149.44</v>
      </c>
      <c r="P1501" s="4">
        <v>11.03</v>
      </c>
      <c r="Q1501" s="4">
        <v>1.1399999999999999</v>
      </c>
      <c r="R1501" s="4">
        <v>2.4700000000000002</v>
      </c>
      <c r="S1501" s="4">
        <v>0</v>
      </c>
      <c r="T1501" s="4">
        <v>0</v>
      </c>
      <c r="U1501" s="4">
        <v>164.08</v>
      </c>
      <c r="V1501" s="4">
        <v>107.08</v>
      </c>
      <c r="W1501" t="s">
        <v>21</v>
      </c>
      <c r="X1501" t="s">
        <v>36</v>
      </c>
      <c r="Y1501" s="4">
        <v>15</v>
      </c>
      <c r="Z1501" s="4">
        <v>1</v>
      </c>
      <c r="AA1501" t="s">
        <v>37</v>
      </c>
      <c r="AB1501" t="s">
        <v>38</v>
      </c>
      <c r="AC1501" s="7">
        <v>0</v>
      </c>
      <c r="AD1501" t="s">
        <v>39</v>
      </c>
      <c r="AE1501">
        <f t="shared" si="23"/>
        <v>0</v>
      </c>
    </row>
    <row r="1502" spans="1:31" x14ac:dyDescent="0.35">
      <c r="A1502">
        <v>101501</v>
      </c>
      <c r="B1502" s="3">
        <v>46002</v>
      </c>
      <c r="C1502">
        <v>1014</v>
      </c>
      <c r="D1502" t="s">
        <v>59</v>
      </c>
      <c r="E1502" t="s">
        <v>73</v>
      </c>
      <c r="F1502" t="s">
        <v>61</v>
      </c>
      <c r="G1502" t="s">
        <v>50</v>
      </c>
      <c r="H1502" t="s">
        <v>34</v>
      </c>
      <c r="I1502" t="s">
        <v>69</v>
      </c>
      <c r="J1502" s="4">
        <v>18.71</v>
      </c>
      <c r="K1502" s="4">
        <v>17.260000000000002</v>
      </c>
      <c r="L1502">
        <v>0</v>
      </c>
      <c r="M1502" s="4">
        <v>0</v>
      </c>
      <c r="N1502" s="4">
        <v>322.93</v>
      </c>
      <c r="O1502" s="4">
        <v>142.86000000000001</v>
      </c>
      <c r="P1502" s="4">
        <v>8.94</v>
      </c>
      <c r="Q1502" s="4">
        <v>1.29</v>
      </c>
      <c r="R1502" s="4">
        <v>7.4</v>
      </c>
      <c r="S1502" s="4">
        <v>0</v>
      </c>
      <c r="T1502" s="4">
        <v>0</v>
      </c>
      <c r="U1502" s="4">
        <v>160.49</v>
      </c>
      <c r="V1502" s="4">
        <v>162.44</v>
      </c>
      <c r="W1502" t="s">
        <v>21</v>
      </c>
      <c r="X1502" t="s">
        <v>36</v>
      </c>
      <c r="Y1502" s="4">
        <v>16</v>
      </c>
      <c r="Z1502" s="4">
        <v>16</v>
      </c>
      <c r="AA1502" t="s">
        <v>52</v>
      </c>
      <c r="AB1502" t="s">
        <v>44</v>
      </c>
      <c r="AC1502" s="7">
        <v>1</v>
      </c>
      <c r="AD1502" t="s">
        <v>45</v>
      </c>
      <c r="AE1502">
        <f t="shared" si="23"/>
        <v>1</v>
      </c>
    </row>
    <row r="1503" spans="1:31" x14ac:dyDescent="0.35">
      <c r="A1503">
        <v>101502</v>
      </c>
      <c r="B1503" s="3">
        <v>45992</v>
      </c>
      <c r="C1503">
        <v>1115</v>
      </c>
      <c r="D1503" t="s">
        <v>30</v>
      </c>
      <c r="E1503" t="s">
        <v>62</v>
      </c>
      <c r="F1503" t="s">
        <v>32</v>
      </c>
      <c r="G1503" t="s">
        <v>63</v>
      </c>
      <c r="H1503" t="s">
        <v>34</v>
      </c>
      <c r="I1503" t="s">
        <v>42</v>
      </c>
      <c r="J1503" s="4">
        <v>29.72</v>
      </c>
      <c r="K1503" s="4">
        <v>11.74</v>
      </c>
      <c r="L1503">
        <v>0</v>
      </c>
      <c r="M1503" s="4">
        <v>0</v>
      </c>
      <c r="N1503" s="4">
        <v>348.91</v>
      </c>
      <c r="O1503" s="4">
        <v>184.44</v>
      </c>
      <c r="P1503" s="4">
        <v>7.46</v>
      </c>
      <c r="Q1503" s="4">
        <v>5.23</v>
      </c>
      <c r="R1503" s="4">
        <v>5.78</v>
      </c>
      <c r="S1503" s="4">
        <v>0</v>
      </c>
      <c r="T1503" s="4">
        <v>0</v>
      </c>
      <c r="U1503" s="4">
        <v>202.91</v>
      </c>
      <c r="V1503" s="4">
        <v>146</v>
      </c>
      <c r="W1503" t="s">
        <v>21</v>
      </c>
      <c r="X1503" t="s">
        <v>36</v>
      </c>
      <c r="Y1503" s="4">
        <v>0</v>
      </c>
      <c r="Z1503" s="4">
        <v>17</v>
      </c>
      <c r="AA1503" t="s">
        <v>37</v>
      </c>
      <c r="AB1503" t="s">
        <v>44</v>
      </c>
      <c r="AC1503" s="7">
        <v>3</v>
      </c>
      <c r="AD1503" t="s">
        <v>45</v>
      </c>
      <c r="AE1503">
        <f t="shared" si="23"/>
        <v>1</v>
      </c>
    </row>
    <row r="1504" spans="1:31" x14ac:dyDescent="0.35">
      <c r="A1504">
        <v>101503</v>
      </c>
      <c r="B1504" s="3">
        <v>46004</v>
      </c>
      <c r="C1504">
        <v>1091</v>
      </c>
      <c r="D1504" t="s">
        <v>30</v>
      </c>
      <c r="E1504" t="s">
        <v>62</v>
      </c>
      <c r="F1504" t="s">
        <v>49</v>
      </c>
      <c r="G1504" t="s">
        <v>46</v>
      </c>
      <c r="H1504" t="s">
        <v>57</v>
      </c>
      <c r="I1504" t="s">
        <v>42</v>
      </c>
      <c r="J1504" s="4">
        <v>38.79</v>
      </c>
      <c r="K1504" s="4">
        <v>15.29</v>
      </c>
      <c r="L1504">
        <v>10</v>
      </c>
      <c r="M1504" s="4">
        <v>59.31</v>
      </c>
      <c r="N1504" s="4">
        <v>533.79</v>
      </c>
      <c r="O1504" s="4">
        <v>257.08</v>
      </c>
      <c r="P1504" s="4">
        <v>4.8499999999999996</v>
      </c>
      <c r="Q1504" s="4">
        <v>8.9</v>
      </c>
      <c r="R1504" s="4">
        <v>5.03</v>
      </c>
      <c r="S1504" s="4">
        <v>0</v>
      </c>
      <c r="T1504" s="4">
        <v>0</v>
      </c>
      <c r="U1504" s="4">
        <v>275.86</v>
      </c>
      <c r="V1504" s="4">
        <v>257.93</v>
      </c>
      <c r="W1504" t="s">
        <v>21</v>
      </c>
      <c r="X1504" t="s">
        <v>36</v>
      </c>
      <c r="Y1504" s="4">
        <v>1</v>
      </c>
      <c r="Z1504" s="4">
        <v>16</v>
      </c>
      <c r="AA1504" t="s">
        <v>37</v>
      </c>
      <c r="AB1504" t="s">
        <v>44</v>
      </c>
      <c r="AC1504" s="7">
        <v>3</v>
      </c>
      <c r="AD1504" t="s">
        <v>45</v>
      </c>
      <c r="AE1504">
        <f t="shared" si="23"/>
        <v>1</v>
      </c>
    </row>
    <row r="1505" spans="1:31" x14ac:dyDescent="0.35">
      <c r="A1505">
        <v>101504</v>
      </c>
      <c r="B1505" s="3">
        <v>46011</v>
      </c>
      <c r="C1505">
        <v>1074</v>
      </c>
      <c r="D1505" t="s">
        <v>59</v>
      </c>
      <c r="E1505" t="s">
        <v>68</v>
      </c>
      <c r="F1505" t="s">
        <v>41</v>
      </c>
      <c r="G1505" t="s">
        <v>33</v>
      </c>
      <c r="H1505" t="s">
        <v>51</v>
      </c>
      <c r="I1505" t="s">
        <v>35</v>
      </c>
      <c r="J1505" s="4">
        <v>35</v>
      </c>
      <c r="K1505" s="4">
        <v>20.67</v>
      </c>
      <c r="L1505">
        <v>5</v>
      </c>
      <c r="M1505" s="4">
        <v>36.17</v>
      </c>
      <c r="N1505" s="4">
        <v>687.28</v>
      </c>
      <c r="O1505" s="4">
        <v>210.8</v>
      </c>
      <c r="P1505" s="4">
        <v>11.27</v>
      </c>
      <c r="Q1505" s="4">
        <v>5.0599999999999996</v>
      </c>
      <c r="R1505" s="4">
        <v>2.81</v>
      </c>
      <c r="S1505" s="4">
        <v>0</v>
      </c>
      <c r="T1505" s="4">
        <v>0</v>
      </c>
      <c r="U1505" s="4">
        <v>229.94</v>
      </c>
      <c r="V1505" s="4">
        <v>457.34</v>
      </c>
      <c r="W1505" t="s">
        <v>21</v>
      </c>
      <c r="X1505" t="s">
        <v>36</v>
      </c>
      <c r="Y1505" s="4">
        <v>5</v>
      </c>
      <c r="Z1505" s="4">
        <v>2</v>
      </c>
      <c r="AA1505" t="s">
        <v>37</v>
      </c>
      <c r="AB1505" t="s">
        <v>38</v>
      </c>
      <c r="AC1505" s="7">
        <v>0</v>
      </c>
      <c r="AD1505" t="s">
        <v>39</v>
      </c>
      <c r="AE1505">
        <f t="shared" si="23"/>
        <v>0</v>
      </c>
    </row>
    <row r="1506" spans="1:31" x14ac:dyDescent="0.35">
      <c r="A1506">
        <v>101505</v>
      </c>
      <c r="B1506" s="3">
        <v>46015</v>
      </c>
      <c r="C1506">
        <v>1090</v>
      </c>
      <c r="D1506" t="s">
        <v>47</v>
      </c>
      <c r="E1506" t="s">
        <v>56</v>
      </c>
      <c r="F1506" t="s">
        <v>61</v>
      </c>
      <c r="G1506" t="s">
        <v>63</v>
      </c>
      <c r="H1506" t="s">
        <v>57</v>
      </c>
      <c r="I1506" t="s">
        <v>54</v>
      </c>
      <c r="J1506" s="4">
        <v>24.92</v>
      </c>
      <c r="K1506" s="4">
        <v>12.81</v>
      </c>
      <c r="L1506">
        <v>10</v>
      </c>
      <c r="M1506" s="4">
        <v>31.92</v>
      </c>
      <c r="N1506" s="4">
        <v>287.31</v>
      </c>
      <c r="O1506" s="4">
        <v>188.75</v>
      </c>
      <c r="P1506" s="4">
        <v>7.55</v>
      </c>
      <c r="Q1506" s="4">
        <v>3.83</v>
      </c>
      <c r="R1506" s="4">
        <v>5.54</v>
      </c>
      <c r="S1506" s="4">
        <v>0</v>
      </c>
      <c r="T1506" s="4">
        <v>0</v>
      </c>
      <c r="U1506" s="4">
        <v>205.67</v>
      </c>
      <c r="V1506" s="4">
        <v>81.64</v>
      </c>
      <c r="W1506" t="s">
        <v>21</v>
      </c>
      <c r="X1506" t="s">
        <v>36</v>
      </c>
      <c r="Y1506" s="4">
        <v>6</v>
      </c>
      <c r="Z1506" s="4">
        <v>18</v>
      </c>
      <c r="AA1506" t="s">
        <v>37</v>
      </c>
      <c r="AB1506" t="s">
        <v>44</v>
      </c>
      <c r="AC1506" s="7">
        <v>3</v>
      </c>
      <c r="AD1506" t="s">
        <v>45</v>
      </c>
      <c r="AE1506">
        <f t="shared" si="23"/>
        <v>1</v>
      </c>
    </row>
    <row r="1507" spans="1:31" x14ac:dyDescent="0.35">
      <c r="A1507">
        <v>101506</v>
      </c>
      <c r="B1507" s="3">
        <v>45944</v>
      </c>
      <c r="C1507">
        <v>1093</v>
      </c>
      <c r="D1507" t="s">
        <v>30</v>
      </c>
      <c r="E1507" t="s">
        <v>40</v>
      </c>
      <c r="F1507" t="s">
        <v>71</v>
      </c>
      <c r="G1507" t="s">
        <v>63</v>
      </c>
      <c r="H1507" t="s">
        <v>34</v>
      </c>
      <c r="I1507" t="s">
        <v>35</v>
      </c>
      <c r="J1507" s="4">
        <v>19.95</v>
      </c>
      <c r="K1507" s="4">
        <v>12.5</v>
      </c>
      <c r="L1507">
        <v>10</v>
      </c>
      <c r="M1507" s="4">
        <v>24.94</v>
      </c>
      <c r="N1507" s="4">
        <v>224.44</v>
      </c>
      <c r="O1507" s="4">
        <v>143.97</v>
      </c>
      <c r="P1507" s="4">
        <v>7.21</v>
      </c>
      <c r="Q1507" s="4">
        <v>1.75</v>
      </c>
      <c r="R1507" s="4">
        <v>6.07</v>
      </c>
      <c r="S1507" s="4">
        <v>0</v>
      </c>
      <c r="T1507" s="4">
        <v>0</v>
      </c>
      <c r="U1507" s="4">
        <v>159</v>
      </c>
      <c r="V1507" s="4">
        <v>65.44</v>
      </c>
      <c r="W1507" t="s">
        <v>21</v>
      </c>
      <c r="X1507" t="s">
        <v>36</v>
      </c>
      <c r="Y1507" s="4">
        <v>2</v>
      </c>
      <c r="Z1507" s="4">
        <v>11</v>
      </c>
      <c r="AA1507" t="s">
        <v>37</v>
      </c>
      <c r="AB1507" t="s">
        <v>38</v>
      </c>
      <c r="AC1507" s="7">
        <v>0</v>
      </c>
      <c r="AD1507" t="s">
        <v>39</v>
      </c>
      <c r="AE1507">
        <f t="shared" si="23"/>
        <v>0</v>
      </c>
    </row>
    <row r="1508" spans="1:31" x14ac:dyDescent="0.35">
      <c r="A1508">
        <v>101507</v>
      </c>
      <c r="B1508" s="3">
        <v>46013</v>
      </c>
      <c r="C1508">
        <v>1064</v>
      </c>
      <c r="D1508" t="s">
        <v>30</v>
      </c>
      <c r="E1508" t="s">
        <v>31</v>
      </c>
      <c r="F1508" t="s">
        <v>61</v>
      </c>
      <c r="G1508" t="s">
        <v>46</v>
      </c>
      <c r="H1508" t="s">
        <v>57</v>
      </c>
      <c r="I1508" t="s">
        <v>35</v>
      </c>
      <c r="J1508" s="4">
        <v>29.51</v>
      </c>
      <c r="K1508" s="4">
        <v>15.89</v>
      </c>
      <c r="L1508">
        <v>10</v>
      </c>
      <c r="M1508" s="4">
        <v>46.89</v>
      </c>
      <c r="N1508" s="4">
        <v>422.02</v>
      </c>
      <c r="O1508" s="4">
        <v>205.66</v>
      </c>
      <c r="P1508" s="4">
        <v>8.65</v>
      </c>
      <c r="Q1508" s="4">
        <v>3.28</v>
      </c>
      <c r="R1508" s="4">
        <v>1.52</v>
      </c>
      <c r="S1508" s="4">
        <v>172.79</v>
      </c>
      <c r="T1508" s="4">
        <v>22.82</v>
      </c>
      <c r="U1508" s="4">
        <v>414.72</v>
      </c>
      <c r="V1508" s="4">
        <v>7.3</v>
      </c>
      <c r="W1508" t="s">
        <v>21</v>
      </c>
      <c r="X1508" t="s">
        <v>66</v>
      </c>
      <c r="Y1508" s="4">
        <v>11</v>
      </c>
      <c r="Z1508" s="4">
        <v>2</v>
      </c>
      <c r="AA1508" t="s">
        <v>37</v>
      </c>
      <c r="AB1508" t="s">
        <v>38</v>
      </c>
      <c r="AC1508" s="7">
        <v>1</v>
      </c>
      <c r="AD1508" t="s">
        <v>45</v>
      </c>
      <c r="AE1508">
        <f t="shared" si="23"/>
        <v>0</v>
      </c>
    </row>
    <row r="1509" spans="1:31" x14ac:dyDescent="0.35">
      <c r="A1509">
        <v>101508</v>
      </c>
      <c r="B1509" s="3">
        <v>45970</v>
      </c>
      <c r="C1509">
        <v>1149</v>
      </c>
      <c r="D1509" t="s">
        <v>64</v>
      </c>
      <c r="E1509" t="s">
        <v>76</v>
      </c>
      <c r="F1509" t="s">
        <v>49</v>
      </c>
      <c r="G1509" t="s">
        <v>63</v>
      </c>
      <c r="H1509" t="s">
        <v>57</v>
      </c>
      <c r="I1509" t="s">
        <v>35</v>
      </c>
      <c r="J1509" s="4">
        <v>23.16</v>
      </c>
      <c r="K1509" s="4">
        <v>12.04</v>
      </c>
      <c r="L1509">
        <v>0</v>
      </c>
      <c r="M1509" s="4">
        <v>0</v>
      </c>
      <c r="N1509" s="4">
        <v>278.85000000000002</v>
      </c>
      <c r="O1509" s="4">
        <v>166.23</v>
      </c>
      <c r="P1509" s="4">
        <v>9.26</v>
      </c>
      <c r="Q1509" s="4">
        <v>1.95</v>
      </c>
      <c r="R1509" s="4">
        <v>2.71</v>
      </c>
      <c r="S1509" s="4">
        <v>0</v>
      </c>
      <c r="T1509" s="4">
        <v>0</v>
      </c>
      <c r="U1509" s="4">
        <v>180.15</v>
      </c>
      <c r="V1509" s="4">
        <v>98.7</v>
      </c>
      <c r="W1509" t="s">
        <v>21</v>
      </c>
      <c r="X1509" t="s">
        <v>36</v>
      </c>
      <c r="Y1509" s="4">
        <v>2</v>
      </c>
      <c r="Z1509" s="4">
        <v>3</v>
      </c>
      <c r="AA1509" t="s">
        <v>37</v>
      </c>
      <c r="AB1509" t="s">
        <v>38</v>
      </c>
      <c r="AC1509" s="7">
        <v>0</v>
      </c>
      <c r="AD1509" t="s">
        <v>39</v>
      </c>
      <c r="AE1509">
        <f t="shared" si="23"/>
        <v>0</v>
      </c>
    </row>
    <row r="1510" spans="1:31" x14ac:dyDescent="0.35">
      <c r="A1510">
        <v>101509</v>
      </c>
      <c r="B1510" s="3">
        <v>46007</v>
      </c>
      <c r="C1510">
        <v>1032</v>
      </c>
      <c r="D1510" t="s">
        <v>47</v>
      </c>
      <c r="E1510" t="s">
        <v>74</v>
      </c>
      <c r="F1510" t="s">
        <v>61</v>
      </c>
      <c r="G1510" t="s">
        <v>50</v>
      </c>
      <c r="H1510" t="s">
        <v>57</v>
      </c>
      <c r="I1510" t="s">
        <v>54</v>
      </c>
      <c r="J1510" s="4">
        <v>25.77</v>
      </c>
      <c r="K1510" s="4">
        <v>18.8</v>
      </c>
      <c r="L1510">
        <v>0</v>
      </c>
      <c r="M1510" s="4">
        <v>0</v>
      </c>
      <c r="N1510" s="4">
        <v>484.48</v>
      </c>
      <c r="O1510" s="4">
        <v>185.33</v>
      </c>
      <c r="P1510" s="4">
        <v>11.57</v>
      </c>
      <c r="Q1510" s="4">
        <v>5.81</v>
      </c>
      <c r="R1510" s="4">
        <v>15.11</v>
      </c>
      <c r="S1510" s="4">
        <v>0</v>
      </c>
      <c r="T1510" s="4">
        <v>0</v>
      </c>
      <c r="U1510" s="4">
        <v>217.82</v>
      </c>
      <c r="V1510" s="4">
        <v>266.66000000000003</v>
      </c>
      <c r="W1510" t="s">
        <v>21</v>
      </c>
      <c r="X1510" t="s">
        <v>36</v>
      </c>
      <c r="Y1510" s="4">
        <v>37</v>
      </c>
      <c r="Z1510" s="4">
        <v>1</v>
      </c>
      <c r="AA1510" t="s">
        <v>43</v>
      </c>
      <c r="AB1510" t="s">
        <v>44</v>
      </c>
      <c r="AC1510" s="7">
        <v>1</v>
      </c>
      <c r="AD1510" t="s">
        <v>45</v>
      </c>
      <c r="AE1510">
        <f t="shared" si="23"/>
        <v>1</v>
      </c>
    </row>
    <row r="1511" spans="1:31" x14ac:dyDescent="0.35">
      <c r="A1511">
        <v>101510</v>
      </c>
      <c r="B1511" s="3">
        <v>46001</v>
      </c>
      <c r="C1511">
        <v>1041</v>
      </c>
      <c r="D1511" t="s">
        <v>64</v>
      </c>
      <c r="E1511" t="s">
        <v>75</v>
      </c>
      <c r="F1511" t="s">
        <v>49</v>
      </c>
      <c r="G1511" t="s">
        <v>63</v>
      </c>
      <c r="H1511" t="s">
        <v>34</v>
      </c>
      <c r="I1511" t="s">
        <v>42</v>
      </c>
      <c r="J1511" s="4">
        <v>11.76</v>
      </c>
      <c r="K1511" s="4">
        <v>12.27</v>
      </c>
      <c r="L1511">
        <v>0</v>
      </c>
      <c r="M1511" s="4">
        <v>0</v>
      </c>
      <c r="N1511" s="4">
        <v>144.30000000000001</v>
      </c>
      <c r="O1511" s="4">
        <v>74.239999999999995</v>
      </c>
      <c r="P1511" s="4">
        <v>14.24</v>
      </c>
      <c r="Q1511" s="4">
        <v>2.16</v>
      </c>
      <c r="R1511" s="4">
        <v>6.96</v>
      </c>
      <c r="S1511" s="4">
        <v>0</v>
      </c>
      <c r="T1511" s="4">
        <v>0</v>
      </c>
      <c r="U1511" s="4">
        <v>97.6</v>
      </c>
      <c r="V1511" s="4">
        <v>46.7</v>
      </c>
      <c r="W1511" t="s">
        <v>21</v>
      </c>
      <c r="X1511" t="s">
        <v>36</v>
      </c>
      <c r="Y1511" s="4">
        <v>23</v>
      </c>
      <c r="Z1511" s="4">
        <v>6</v>
      </c>
      <c r="AA1511" t="s">
        <v>52</v>
      </c>
      <c r="AB1511" t="s">
        <v>44</v>
      </c>
      <c r="AC1511" s="7">
        <v>3</v>
      </c>
      <c r="AD1511" t="s">
        <v>45</v>
      </c>
      <c r="AE1511">
        <f t="shared" si="23"/>
        <v>1</v>
      </c>
    </row>
    <row r="1512" spans="1:31" x14ac:dyDescent="0.35">
      <c r="A1512">
        <v>101511</v>
      </c>
      <c r="B1512" s="3">
        <v>45990</v>
      </c>
      <c r="C1512">
        <v>1029</v>
      </c>
      <c r="D1512" t="s">
        <v>47</v>
      </c>
      <c r="E1512" t="s">
        <v>53</v>
      </c>
      <c r="F1512" t="s">
        <v>32</v>
      </c>
      <c r="G1512" t="s">
        <v>46</v>
      </c>
      <c r="H1512" t="s">
        <v>34</v>
      </c>
      <c r="I1512" t="s">
        <v>69</v>
      </c>
      <c r="J1512" s="4">
        <v>22.01</v>
      </c>
      <c r="K1512" s="4">
        <v>15.29</v>
      </c>
      <c r="L1512">
        <v>0</v>
      </c>
      <c r="M1512" s="4">
        <v>0</v>
      </c>
      <c r="N1512" s="4">
        <v>336.53</v>
      </c>
      <c r="O1512" s="4">
        <v>154.36000000000001</v>
      </c>
      <c r="P1512" s="4">
        <v>16.600000000000001</v>
      </c>
      <c r="Q1512" s="4">
        <v>1.35</v>
      </c>
      <c r="R1512" s="4">
        <v>0.56000000000000005</v>
      </c>
      <c r="S1512" s="4">
        <v>220.17</v>
      </c>
      <c r="T1512" s="4">
        <v>0</v>
      </c>
      <c r="U1512" s="4">
        <v>393.04</v>
      </c>
      <c r="V1512" s="4">
        <v>-56.51</v>
      </c>
      <c r="W1512" t="s">
        <v>58</v>
      </c>
      <c r="X1512" t="s">
        <v>55</v>
      </c>
      <c r="Y1512" s="4">
        <v>57</v>
      </c>
      <c r="Z1512" s="4">
        <v>21</v>
      </c>
      <c r="AA1512" t="s">
        <v>43</v>
      </c>
      <c r="AB1512" t="s">
        <v>44</v>
      </c>
      <c r="AC1512" s="7">
        <v>2</v>
      </c>
      <c r="AD1512" t="s">
        <v>45</v>
      </c>
      <c r="AE1512">
        <f t="shared" si="23"/>
        <v>1</v>
      </c>
    </row>
    <row r="1513" spans="1:31" x14ac:dyDescent="0.35">
      <c r="A1513">
        <v>101512</v>
      </c>
      <c r="B1513" s="3">
        <v>45976</v>
      </c>
      <c r="C1513">
        <v>1001</v>
      </c>
      <c r="D1513" t="s">
        <v>30</v>
      </c>
      <c r="E1513" t="s">
        <v>31</v>
      </c>
      <c r="F1513" t="s">
        <v>32</v>
      </c>
      <c r="G1513" t="s">
        <v>50</v>
      </c>
      <c r="H1513" t="s">
        <v>34</v>
      </c>
      <c r="I1513" t="s">
        <v>69</v>
      </c>
      <c r="J1513" s="4">
        <v>45.12</v>
      </c>
      <c r="K1513" s="4">
        <v>17.28</v>
      </c>
      <c r="L1513">
        <v>10</v>
      </c>
      <c r="M1513" s="4">
        <v>77.97</v>
      </c>
      <c r="N1513" s="4">
        <v>701.7</v>
      </c>
      <c r="O1513" s="4">
        <v>278.95999999999998</v>
      </c>
      <c r="P1513" s="4">
        <v>5.27</v>
      </c>
      <c r="Q1513" s="4">
        <v>3.12</v>
      </c>
      <c r="R1513" s="4">
        <v>9.4700000000000006</v>
      </c>
      <c r="S1513" s="4">
        <v>0</v>
      </c>
      <c r="T1513" s="4">
        <v>0</v>
      </c>
      <c r="U1513" s="4">
        <v>296.82</v>
      </c>
      <c r="V1513" s="4">
        <v>404.88</v>
      </c>
      <c r="W1513" t="s">
        <v>21</v>
      </c>
      <c r="X1513" t="s">
        <v>36</v>
      </c>
      <c r="Y1513" s="4">
        <v>5</v>
      </c>
      <c r="Z1513" s="4">
        <v>2</v>
      </c>
      <c r="AA1513" t="s">
        <v>37</v>
      </c>
      <c r="AB1513" t="s">
        <v>38</v>
      </c>
      <c r="AC1513" s="7">
        <v>0</v>
      </c>
      <c r="AD1513" t="s">
        <v>39</v>
      </c>
      <c r="AE1513">
        <f t="shared" si="23"/>
        <v>0</v>
      </c>
    </row>
    <row r="1514" spans="1:31" x14ac:dyDescent="0.35">
      <c r="A1514">
        <v>101513</v>
      </c>
      <c r="B1514" s="3">
        <v>45997</v>
      </c>
      <c r="C1514">
        <v>1054</v>
      </c>
      <c r="D1514" t="s">
        <v>30</v>
      </c>
      <c r="E1514" t="s">
        <v>40</v>
      </c>
      <c r="F1514" t="s">
        <v>41</v>
      </c>
      <c r="G1514" t="s">
        <v>46</v>
      </c>
      <c r="H1514" t="s">
        <v>34</v>
      </c>
      <c r="I1514" t="s">
        <v>35</v>
      </c>
      <c r="J1514" s="4">
        <v>25.43</v>
      </c>
      <c r="K1514" s="4">
        <v>15.24</v>
      </c>
      <c r="L1514">
        <v>5</v>
      </c>
      <c r="M1514" s="4">
        <v>19.38</v>
      </c>
      <c r="N1514" s="4">
        <v>368.17</v>
      </c>
      <c r="O1514" s="4">
        <v>148.83000000000001</v>
      </c>
      <c r="P1514" s="4">
        <v>12.68</v>
      </c>
      <c r="Q1514" s="4">
        <v>2.71</v>
      </c>
      <c r="R1514" s="4">
        <v>12.06</v>
      </c>
      <c r="S1514" s="4">
        <v>0</v>
      </c>
      <c r="T1514" s="4">
        <v>0</v>
      </c>
      <c r="U1514" s="4">
        <v>176.28</v>
      </c>
      <c r="V1514" s="4">
        <v>191.89</v>
      </c>
      <c r="W1514" t="s">
        <v>21</v>
      </c>
      <c r="X1514" t="s">
        <v>36</v>
      </c>
      <c r="Y1514" s="4">
        <v>6</v>
      </c>
      <c r="Z1514" s="4">
        <v>0</v>
      </c>
      <c r="AA1514" t="s">
        <v>37</v>
      </c>
      <c r="AB1514" t="s">
        <v>38</v>
      </c>
      <c r="AC1514" s="7">
        <v>0</v>
      </c>
      <c r="AD1514" t="s">
        <v>39</v>
      </c>
      <c r="AE1514">
        <f t="shared" si="23"/>
        <v>0</v>
      </c>
    </row>
    <row r="1515" spans="1:31" x14ac:dyDescent="0.35">
      <c r="A1515">
        <v>101514</v>
      </c>
      <c r="B1515" s="3">
        <v>45999</v>
      </c>
      <c r="C1515">
        <v>1012</v>
      </c>
      <c r="D1515" t="s">
        <v>59</v>
      </c>
      <c r="E1515" t="s">
        <v>68</v>
      </c>
      <c r="F1515" t="s">
        <v>61</v>
      </c>
      <c r="G1515" t="s">
        <v>63</v>
      </c>
      <c r="H1515" t="s">
        <v>34</v>
      </c>
      <c r="I1515" t="s">
        <v>35</v>
      </c>
      <c r="J1515" s="4">
        <v>22.11</v>
      </c>
      <c r="K1515" s="4">
        <v>13.31</v>
      </c>
      <c r="L1515">
        <v>10</v>
      </c>
      <c r="M1515" s="4">
        <v>29.43</v>
      </c>
      <c r="N1515" s="4">
        <v>264.85000000000002</v>
      </c>
      <c r="O1515" s="4">
        <v>137.06</v>
      </c>
      <c r="P1515" s="4">
        <v>8.09</v>
      </c>
      <c r="Q1515" s="4">
        <v>2.06</v>
      </c>
      <c r="R1515" s="4">
        <v>11.72</v>
      </c>
      <c r="S1515" s="4">
        <v>0</v>
      </c>
      <c r="T1515" s="4">
        <v>0</v>
      </c>
      <c r="U1515" s="4">
        <v>158.93</v>
      </c>
      <c r="V1515" s="4">
        <v>105.92</v>
      </c>
      <c r="W1515" t="s">
        <v>21</v>
      </c>
      <c r="X1515" t="s">
        <v>36</v>
      </c>
      <c r="Y1515" s="4">
        <v>23</v>
      </c>
      <c r="Z1515" s="4">
        <v>30</v>
      </c>
      <c r="AA1515" t="s">
        <v>52</v>
      </c>
      <c r="AB1515" t="s">
        <v>44</v>
      </c>
      <c r="AC1515" s="7">
        <v>1</v>
      </c>
      <c r="AD1515" t="s">
        <v>45</v>
      </c>
      <c r="AE1515">
        <f t="shared" si="23"/>
        <v>1</v>
      </c>
    </row>
    <row r="1516" spans="1:31" x14ac:dyDescent="0.35">
      <c r="A1516">
        <v>101515</v>
      </c>
      <c r="B1516" s="3">
        <v>45970</v>
      </c>
      <c r="C1516">
        <v>1017</v>
      </c>
      <c r="D1516" t="s">
        <v>64</v>
      </c>
      <c r="E1516" t="s">
        <v>67</v>
      </c>
      <c r="F1516" t="s">
        <v>41</v>
      </c>
      <c r="G1516" t="s">
        <v>63</v>
      </c>
      <c r="H1516" t="s">
        <v>34</v>
      </c>
      <c r="I1516" t="s">
        <v>54</v>
      </c>
      <c r="J1516" s="4">
        <v>39.25</v>
      </c>
      <c r="K1516" s="4">
        <v>13.19</v>
      </c>
      <c r="L1516">
        <v>0</v>
      </c>
      <c r="M1516" s="4">
        <v>0</v>
      </c>
      <c r="N1516" s="4">
        <v>517.71</v>
      </c>
      <c r="O1516" s="4">
        <v>269.64999999999998</v>
      </c>
      <c r="P1516" s="4">
        <v>10.51</v>
      </c>
      <c r="Q1516" s="4">
        <v>6.21</v>
      </c>
      <c r="R1516" s="4">
        <v>13.76</v>
      </c>
      <c r="S1516" s="4">
        <v>316.48</v>
      </c>
      <c r="T1516" s="4">
        <v>0</v>
      </c>
      <c r="U1516" s="4">
        <v>616.61</v>
      </c>
      <c r="V1516" s="4">
        <v>-98.9</v>
      </c>
      <c r="W1516" t="s">
        <v>58</v>
      </c>
      <c r="X1516" t="s">
        <v>66</v>
      </c>
      <c r="Y1516" s="4">
        <v>4</v>
      </c>
      <c r="Z1516" s="4">
        <v>3</v>
      </c>
      <c r="AA1516" t="s">
        <v>37</v>
      </c>
      <c r="AB1516" t="s">
        <v>38</v>
      </c>
      <c r="AC1516" s="7">
        <v>2</v>
      </c>
      <c r="AD1516" t="s">
        <v>45</v>
      </c>
      <c r="AE1516">
        <f t="shared" si="23"/>
        <v>0</v>
      </c>
    </row>
    <row r="1517" spans="1:31" x14ac:dyDescent="0.35">
      <c r="A1517">
        <v>101516</v>
      </c>
      <c r="B1517" s="3">
        <v>46008</v>
      </c>
      <c r="C1517">
        <v>1026</v>
      </c>
      <c r="D1517" t="s">
        <v>47</v>
      </c>
      <c r="E1517" t="s">
        <v>48</v>
      </c>
      <c r="F1517" t="s">
        <v>32</v>
      </c>
      <c r="G1517" t="s">
        <v>46</v>
      </c>
      <c r="H1517" t="s">
        <v>34</v>
      </c>
      <c r="I1517" t="s">
        <v>69</v>
      </c>
      <c r="J1517" s="4">
        <v>36.35</v>
      </c>
      <c r="K1517" s="4">
        <v>15.83</v>
      </c>
      <c r="L1517">
        <v>0</v>
      </c>
      <c r="M1517" s="4">
        <v>0</v>
      </c>
      <c r="N1517" s="4">
        <v>575.41999999999996</v>
      </c>
      <c r="O1517" s="4">
        <v>255.12</v>
      </c>
      <c r="P1517" s="4">
        <v>6.57</v>
      </c>
      <c r="Q1517" s="4">
        <v>2.2999999999999998</v>
      </c>
      <c r="R1517" s="4">
        <v>0</v>
      </c>
      <c r="S1517" s="4">
        <v>0</v>
      </c>
      <c r="T1517" s="4">
        <v>0</v>
      </c>
      <c r="U1517" s="4">
        <v>263.99</v>
      </c>
      <c r="V1517" s="4">
        <v>311.43</v>
      </c>
      <c r="W1517" t="s">
        <v>21</v>
      </c>
      <c r="X1517" t="s">
        <v>36</v>
      </c>
      <c r="Y1517" s="4">
        <v>1</v>
      </c>
      <c r="Z1517" s="4">
        <v>7</v>
      </c>
      <c r="AA1517" t="s">
        <v>37</v>
      </c>
      <c r="AB1517" t="s">
        <v>38</v>
      </c>
      <c r="AC1517" s="7">
        <v>0</v>
      </c>
      <c r="AD1517" t="s">
        <v>39</v>
      </c>
      <c r="AE1517">
        <f t="shared" si="23"/>
        <v>0</v>
      </c>
    </row>
    <row r="1518" spans="1:31" x14ac:dyDescent="0.35">
      <c r="A1518">
        <v>101517</v>
      </c>
      <c r="B1518" s="3">
        <v>45979</v>
      </c>
      <c r="C1518">
        <v>1114</v>
      </c>
      <c r="D1518" t="s">
        <v>47</v>
      </c>
      <c r="E1518" t="s">
        <v>74</v>
      </c>
      <c r="F1518" t="s">
        <v>71</v>
      </c>
      <c r="G1518" t="s">
        <v>33</v>
      </c>
      <c r="H1518" t="s">
        <v>57</v>
      </c>
      <c r="I1518" t="s">
        <v>42</v>
      </c>
      <c r="J1518" s="4">
        <v>33.090000000000003</v>
      </c>
      <c r="K1518" s="4">
        <v>18.86</v>
      </c>
      <c r="L1518">
        <v>5</v>
      </c>
      <c r="M1518" s="4">
        <v>31.2</v>
      </c>
      <c r="N1518" s="4">
        <v>592.88</v>
      </c>
      <c r="O1518" s="4">
        <v>237.96</v>
      </c>
      <c r="P1518" s="4">
        <v>8.06</v>
      </c>
      <c r="Q1518" s="4">
        <v>9.36</v>
      </c>
      <c r="R1518" s="4">
        <v>5.0999999999999996</v>
      </c>
      <c r="S1518" s="4">
        <v>225.32</v>
      </c>
      <c r="T1518" s="4">
        <v>15.03</v>
      </c>
      <c r="U1518" s="4">
        <v>500.83</v>
      </c>
      <c r="V1518" s="4">
        <v>92.05</v>
      </c>
      <c r="W1518" t="s">
        <v>21</v>
      </c>
      <c r="X1518" t="s">
        <v>66</v>
      </c>
      <c r="Y1518" s="4">
        <v>7</v>
      </c>
      <c r="Z1518" s="4">
        <v>26</v>
      </c>
      <c r="AA1518" t="s">
        <v>37</v>
      </c>
      <c r="AB1518" t="s">
        <v>44</v>
      </c>
      <c r="AC1518" s="7">
        <v>1</v>
      </c>
      <c r="AD1518" t="s">
        <v>45</v>
      </c>
      <c r="AE1518">
        <f t="shared" si="23"/>
        <v>1</v>
      </c>
    </row>
    <row r="1519" spans="1:31" x14ac:dyDescent="0.35">
      <c r="A1519">
        <v>101518</v>
      </c>
      <c r="B1519" s="3">
        <v>46001</v>
      </c>
      <c r="C1519">
        <v>1067</v>
      </c>
      <c r="D1519" t="s">
        <v>64</v>
      </c>
      <c r="E1519" t="s">
        <v>75</v>
      </c>
      <c r="F1519" t="s">
        <v>49</v>
      </c>
      <c r="G1519" t="s">
        <v>50</v>
      </c>
      <c r="H1519" t="s">
        <v>34</v>
      </c>
      <c r="I1519" t="s">
        <v>42</v>
      </c>
      <c r="J1519" s="4">
        <v>21.89</v>
      </c>
      <c r="K1519" s="4">
        <v>18.23</v>
      </c>
      <c r="L1519">
        <v>15</v>
      </c>
      <c r="M1519" s="4">
        <v>59.86</v>
      </c>
      <c r="N1519" s="4">
        <v>339.19</v>
      </c>
      <c r="O1519" s="4">
        <v>146.59</v>
      </c>
      <c r="P1519" s="4">
        <v>8.08</v>
      </c>
      <c r="Q1519" s="4">
        <v>5.99</v>
      </c>
      <c r="R1519" s="4">
        <v>4.66</v>
      </c>
      <c r="S1519" s="4">
        <v>0</v>
      </c>
      <c r="T1519" s="4">
        <v>0</v>
      </c>
      <c r="U1519" s="4">
        <v>165.32</v>
      </c>
      <c r="V1519" s="4">
        <v>173.87</v>
      </c>
      <c r="W1519" t="s">
        <v>21</v>
      </c>
      <c r="X1519" t="s">
        <v>36</v>
      </c>
      <c r="Y1519" s="4">
        <v>4</v>
      </c>
      <c r="Z1519" s="4">
        <v>0</v>
      </c>
      <c r="AA1519" t="s">
        <v>37</v>
      </c>
      <c r="AB1519" t="s">
        <v>38</v>
      </c>
      <c r="AC1519" s="7">
        <v>0</v>
      </c>
      <c r="AD1519" t="s">
        <v>39</v>
      </c>
      <c r="AE1519">
        <f t="shared" si="23"/>
        <v>0</v>
      </c>
    </row>
    <row r="1520" spans="1:31" x14ac:dyDescent="0.35">
      <c r="A1520">
        <v>101519</v>
      </c>
      <c r="B1520" s="3">
        <v>45937</v>
      </c>
      <c r="C1520">
        <v>1043</v>
      </c>
      <c r="D1520" t="s">
        <v>59</v>
      </c>
      <c r="E1520" t="s">
        <v>68</v>
      </c>
      <c r="F1520" t="s">
        <v>49</v>
      </c>
      <c r="G1520" t="s">
        <v>33</v>
      </c>
      <c r="H1520" t="s">
        <v>34</v>
      </c>
      <c r="I1520" t="s">
        <v>35</v>
      </c>
      <c r="J1520" s="4">
        <v>33.880000000000003</v>
      </c>
      <c r="K1520" s="4">
        <v>21.34</v>
      </c>
      <c r="L1520">
        <v>0</v>
      </c>
      <c r="M1520" s="4">
        <v>0</v>
      </c>
      <c r="N1520" s="4">
        <v>723</v>
      </c>
      <c r="O1520" s="4">
        <v>197.26</v>
      </c>
      <c r="P1520" s="4">
        <v>8.16</v>
      </c>
      <c r="Q1520" s="4">
        <v>5.0599999999999996</v>
      </c>
      <c r="R1520" s="4">
        <v>1.79</v>
      </c>
      <c r="S1520" s="4">
        <v>272.36</v>
      </c>
      <c r="T1520" s="4">
        <v>0</v>
      </c>
      <c r="U1520" s="4">
        <v>484.63</v>
      </c>
      <c r="V1520" s="4">
        <v>238.37</v>
      </c>
      <c r="W1520" t="s">
        <v>21</v>
      </c>
      <c r="X1520" t="s">
        <v>55</v>
      </c>
      <c r="Y1520" s="4">
        <v>11</v>
      </c>
      <c r="Z1520" s="4">
        <v>16</v>
      </c>
      <c r="AA1520" t="s">
        <v>37</v>
      </c>
      <c r="AB1520" t="s">
        <v>44</v>
      </c>
      <c r="AC1520" s="7">
        <v>3</v>
      </c>
      <c r="AD1520" t="s">
        <v>45</v>
      </c>
      <c r="AE1520">
        <f t="shared" si="23"/>
        <v>1</v>
      </c>
    </row>
    <row r="1521" spans="1:31" x14ac:dyDescent="0.35">
      <c r="A1521">
        <v>101520</v>
      </c>
      <c r="B1521" s="3">
        <v>45994</v>
      </c>
      <c r="C1521">
        <v>1111</v>
      </c>
      <c r="D1521" t="s">
        <v>47</v>
      </c>
      <c r="E1521" t="s">
        <v>74</v>
      </c>
      <c r="F1521" t="s">
        <v>49</v>
      </c>
      <c r="G1521" t="s">
        <v>63</v>
      </c>
      <c r="H1521" t="s">
        <v>34</v>
      </c>
      <c r="I1521" t="s">
        <v>69</v>
      </c>
      <c r="J1521" s="4">
        <v>28.48</v>
      </c>
      <c r="K1521" s="4">
        <v>12.84</v>
      </c>
      <c r="L1521">
        <v>5</v>
      </c>
      <c r="M1521" s="4">
        <v>18.28</v>
      </c>
      <c r="N1521" s="4">
        <v>347.4</v>
      </c>
      <c r="O1521" s="4">
        <v>248.78</v>
      </c>
      <c r="P1521" s="4">
        <v>7.04</v>
      </c>
      <c r="Q1521" s="4">
        <v>1.46</v>
      </c>
      <c r="R1521" s="4">
        <v>8.8699999999999992</v>
      </c>
      <c r="S1521" s="4">
        <v>0</v>
      </c>
      <c r="T1521" s="4">
        <v>0</v>
      </c>
      <c r="U1521" s="4">
        <v>266.14999999999998</v>
      </c>
      <c r="V1521" s="4">
        <v>81.25</v>
      </c>
      <c r="W1521" t="s">
        <v>21</v>
      </c>
      <c r="X1521" t="s">
        <v>36</v>
      </c>
      <c r="Y1521" s="4">
        <v>0</v>
      </c>
      <c r="Z1521" s="4">
        <v>11</v>
      </c>
      <c r="AA1521" t="s">
        <v>37</v>
      </c>
      <c r="AB1521" t="s">
        <v>38</v>
      </c>
      <c r="AC1521" s="7">
        <v>0</v>
      </c>
      <c r="AD1521" t="s">
        <v>39</v>
      </c>
      <c r="AE1521">
        <f t="shared" si="23"/>
        <v>0</v>
      </c>
    </row>
    <row r="1522" spans="1:31" x14ac:dyDescent="0.35">
      <c r="A1522">
        <v>101521</v>
      </c>
      <c r="B1522" s="3">
        <v>45939</v>
      </c>
      <c r="C1522">
        <v>1056</v>
      </c>
      <c r="D1522" t="s">
        <v>59</v>
      </c>
      <c r="E1522" t="s">
        <v>70</v>
      </c>
      <c r="F1522" t="s">
        <v>49</v>
      </c>
      <c r="G1522" t="s">
        <v>63</v>
      </c>
      <c r="H1522" t="s">
        <v>34</v>
      </c>
      <c r="I1522" t="s">
        <v>54</v>
      </c>
      <c r="J1522" s="4">
        <v>14.72</v>
      </c>
      <c r="K1522" s="4">
        <v>12.6</v>
      </c>
      <c r="L1522">
        <v>0</v>
      </c>
      <c r="M1522" s="4">
        <v>0</v>
      </c>
      <c r="N1522" s="4">
        <v>185.47</v>
      </c>
      <c r="O1522" s="4">
        <v>114.75</v>
      </c>
      <c r="P1522" s="4">
        <v>11.07</v>
      </c>
      <c r="Q1522" s="4">
        <v>2.23</v>
      </c>
      <c r="R1522" s="4">
        <v>11.85</v>
      </c>
      <c r="S1522" s="4">
        <v>0</v>
      </c>
      <c r="T1522" s="4">
        <v>0</v>
      </c>
      <c r="U1522" s="4">
        <v>139.9</v>
      </c>
      <c r="V1522" s="4">
        <v>45.57</v>
      </c>
      <c r="W1522" t="s">
        <v>21</v>
      </c>
      <c r="X1522" t="s">
        <v>36</v>
      </c>
      <c r="Y1522" s="4">
        <v>4</v>
      </c>
      <c r="Z1522" s="4">
        <v>0</v>
      </c>
      <c r="AA1522" t="s">
        <v>37</v>
      </c>
      <c r="AB1522" t="s">
        <v>38</v>
      </c>
      <c r="AC1522" s="7">
        <v>2</v>
      </c>
      <c r="AD1522" t="s">
        <v>39</v>
      </c>
      <c r="AE1522">
        <f t="shared" si="23"/>
        <v>0</v>
      </c>
    </row>
    <row r="1523" spans="1:31" x14ac:dyDescent="0.35">
      <c r="A1523">
        <v>101522</v>
      </c>
      <c r="B1523" s="3">
        <v>45936</v>
      </c>
      <c r="C1523">
        <v>1009</v>
      </c>
      <c r="D1523" t="s">
        <v>30</v>
      </c>
      <c r="E1523" t="s">
        <v>62</v>
      </c>
      <c r="F1523" t="s">
        <v>49</v>
      </c>
      <c r="G1523" t="s">
        <v>63</v>
      </c>
      <c r="H1523" t="s">
        <v>34</v>
      </c>
      <c r="I1523" t="s">
        <v>35</v>
      </c>
      <c r="J1523" s="4">
        <v>13.21</v>
      </c>
      <c r="K1523" s="4">
        <v>13.58</v>
      </c>
      <c r="L1523">
        <v>15</v>
      </c>
      <c r="M1523" s="4">
        <v>26.91</v>
      </c>
      <c r="N1523" s="4">
        <v>152.47999999999999</v>
      </c>
      <c r="O1523" s="4">
        <v>99.49</v>
      </c>
      <c r="P1523" s="4">
        <v>8.6</v>
      </c>
      <c r="Q1523" s="4">
        <v>1.26</v>
      </c>
      <c r="R1523" s="4">
        <v>2.83</v>
      </c>
      <c r="S1523" s="4">
        <v>0</v>
      </c>
      <c r="T1523" s="4">
        <v>0</v>
      </c>
      <c r="U1523" s="4">
        <v>112.18</v>
      </c>
      <c r="V1523" s="4">
        <v>40.299999999999997</v>
      </c>
      <c r="W1523" t="s">
        <v>21</v>
      </c>
      <c r="X1523" t="s">
        <v>36</v>
      </c>
      <c r="Y1523" s="4">
        <v>7</v>
      </c>
      <c r="Z1523" s="4">
        <v>7</v>
      </c>
      <c r="AA1523" t="s">
        <v>37</v>
      </c>
      <c r="AB1523" t="s">
        <v>38</v>
      </c>
      <c r="AC1523" s="7">
        <v>0</v>
      </c>
      <c r="AD1523" t="s">
        <v>39</v>
      </c>
      <c r="AE1523">
        <f t="shared" si="23"/>
        <v>0</v>
      </c>
    </row>
    <row r="1524" spans="1:31" x14ac:dyDescent="0.35">
      <c r="A1524">
        <v>101523</v>
      </c>
      <c r="B1524" s="3">
        <v>45983</v>
      </c>
      <c r="C1524">
        <v>1140</v>
      </c>
      <c r="D1524" t="s">
        <v>64</v>
      </c>
      <c r="E1524" t="s">
        <v>65</v>
      </c>
      <c r="F1524" t="s">
        <v>41</v>
      </c>
      <c r="G1524" t="s">
        <v>46</v>
      </c>
      <c r="H1524" t="s">
        <v>34</v>
      </c>
      <c r="I1524" t="s">
        <v>35</v>
      </c>
      <c r="J1524" s="4">
        <v>31.31</v>
      </c>
      <c r="K1524" s="4">
        <v>17.05</v>
      </c>
      <c r="L1524">
        <v>0</v>
      </c>
      <c r="M1524" s="4">
        <v>0</v>
      </c>
      <c r="N1524" s="4">
        <v>533.84</v>
      </c>
      <c r="O1524" s="4">
        <v>174.97</v>
      </c>
      <c r="P1524" s="4">
        <v>4.0199999999999996</v>
      </c>
      <c r="Q1524" s="4">
        <v>3.74</v>
      </c>
      <c r="R1524" s="4">
        <v>12.37</v>
      </c>
      <c r="S1524" s="4">
        <v>0</v>
      </c>
      <c r="T1524" s="4">
        <v>0</v>
      </c>
      <c r="U1524" s="4">
        <v>195.1</v>
      </c>
      <c r="V1524" s="4">
        <v>338.74</v>
      </c>
      <c r="W1524" t="s">
        <v>21</v>
      </c>
      <c r="X1524" t="s">
        <v>36</v>
      </c>
      <c r="Y1524" s="4">
        <v>0</v>
      </c>
      <c r="Z1524" s="4">
        <v>10</v>
      </c>
      <c r="AA1524" t="s">
        <v>37</v>
      </c>
      <c r="AB1524" t="s">
        <v>38</v>
      </c>
      <c r="AC1524" s="7">
        <v>1</v>
      </c>
      <c r="AD1524" t="s">
        <v>39</v>
      </c>
      <c r="AE1524">
        <f t="shared" si="23"/>
        <v>0</v>
      </c>
    </row>
    <row r="1525" spans="1:31" x14ac:dyDescent="0.35">
      <c r="A1525">
        <v>101524</v>
      </c>
      <c r="B1525" s="3">
        <v>45967</v>
      </c>
      <c r="C1525">
        <v>1033</v>
      </c>
      <c r="D1525" t="s">
        <v>30</v>
      </c>
      <c r="E1525" t="s">
        <v>72</v>
      </c>
      <c r="F1525" t="s">
        <v>71</v>
      </c>
      <c r="G1525" t="s">
        <v>46</v>
      </c>
      <c r="H1525" t="s">
        <v>51</v>
      </c>
      <c r="I1525" t="s">
        <v>69</v>
      </c>
      <c r="J1525" s="4">
        <v>31.51</v>
      </c>
      <c r="K1525" s="4">
        <v>14.6</v>
      </c>
      <c r="L1525">
        <v>0</v>
      </c>
      <c r="M1525" s="4">
        <v>0</v>
      </c>
      <c r="N1525" s="4">
        <v>460.05</v>
      </c>
      <c r="O1525" s="4">
        <v>191.27</v>
      </c>
      <c r="P1525" s="4">
        <v>6.92</v>
      </c>
      <c r="Q1525" s="4">
        <v>1.84</v>
      </c>
      <c r="R1525" s="4">
        <v>6.45</v>
      </c>
      <c r="S1525" s="4">
        <v>0</v>
      </c>
      <c r="T1525" s="4">
        <v>0</v>
      </c>
      <c r="U1525" s="4">
        <v>206.48</v>
      </c>
      <c r="V1525" s="4">
        <v>253.57</v>
      </c>
      <c r="W1525" t="s">
        <v>21</v>
      </c>
      <c r="X1525" t="s">
        <v>36</v>
      </c>
      <c r="Y1525" s="4">
        <v>11</v>
      </c>
      <c r="Z1525" s="4">
        <v>0</v>
      </c>
      <c r="AA1525" t="s">
        <v>37</v>
      </c>
      <c r="AB1525" t="s">
        <v>38</v>
      </c>
      <c r="AC1525" s="7">
        <v>0</v>
      </c>
      <c r="AD1525" t="s">
        <v>39</v>
      </c>
      <c r="AE1525">
        <f t="shared" si="23"/>
        <v>0</v>
      </c>
    </row>
    <row r="1526" spans="1:31" x14ac:dyDescent="0.35">
      <c r="A1526">
        <v>101525</v>
      </c>
      <c r="B1526" s="3">
        <v>45994</v>
      </c>
      <c r="C1526">
        <v>1073</v>
      </c>
      <c r="D1526" t="s">
        <v>30</v>
      </c>
      <c r="E1526" t="s">
        <v>72</v>
      </c>
      <c r="F1526" t="s">
        <v>41</v>
      </c>
      <c r="G1526" t="s">
        <v>50</v>
      </c>
      <c r="H1526" t="s">
        <v>34</v>
      </c>
      <c r="I1526" t="s">
        <v>42</v>
      </c>
      <c r="J1526" s="4">
        <v>39.090000000000003</v>
      </c>
      <c r="K1526" s="4">
        <v>17.32</v>
      </c>
      <c r="L1526">
        <v>0</v>
      </c>
      <c r="M1526" s="4">
        <v>0</v>
      </c>
      <c r="N1526" s="4">
        <v>677.04</v>
      </c>
      <c r="O1526" s="4">
        <v>307.64</v>
      </c>
      <c r="P1526" s="4">
        <v>4.33</v>
      </c>
      <c r="Q1526" s="4">
        <v>10.16</v>
      </c>
      <c r="R1526" s="4">
        <v>5.32</v>
      </c>
      <c r="S1526" s="4">
        <v>0</v>
      </c>
      <c r="T1526" s="4">
        <v>0</v>
      </c>
      <c r="U1526" s="4">
        <v>327.45</v>
      </c>
      <c r="V1526" s="4">
        <v>349.59</v>
      </c>
      <c r="W1526" t="s">
        <v>21</v>
      </c>
      <c r="X1526" t="s">
        <v>36</v>
      </c>
      <c r="Y1526" s="4">
        <v>33</v>
      </c>
      <c r="Z1526" s="4">
        <v>0</v>
      </c>
      <c r="AA1526" t="s">
        <v>43</v>
      </c>
      <c r="AB1526" t="s">
        <v>44</v>
      </c>
      <c r="AC1526" s="7">
        <v>3</v>
      </c>
      <c r="AD1526" t="s">
        <v>45</v>
      </c>
      <c r="AE1526">
        <f t="shared" si="23"/>
        <v>1</v>
      </c>
    </row>
    <row r="1527" spans="1:31" x14ac:dyDescent="0.35">
      <c r="A1527">
        <v>101526</v>
      </c>
      <c r="B1527" s="3">
        <v>46009</v>
      </c>
      <c r="C1527">
        <v>1077</v>
      </c>
      <c r="D1527" t="s">
        <v>47</v>
      </c>
      <c r="E1527" t="s">
        <v>56</v>
      </c>
      <c r="F1527" t="s">
        <v>41</v>
      </c>
      <c r="G1527" t="s">
        <v>33</v>
      </c>
      <c r="H1527" t="s">
        <v>34</v>
      </c>
      <c r="I1527" t="s">
        <v>69</v>
      </c>
      <c r="J1527" s="4">
        <v>32.659999999999997</v>
      </c>
      <c r="K1527" s="4">
        <v>20.03</v>
      </c>
      <c r="L1527">
        <v>15</v>
      </c>
      <c r="M1527" s="4">
        <v>98.13</v>
      </c>
      <c r="N1527" s="4">
        <v>556.04999999999995</v>
      </c>
      <c r="O1527" s="4">
        <v>252.08</v>
      </c>
      <c r="P1527" s="4">
        <v>10.71</v>
      </c>
      <c r="Q1527" s="4">
        <v>2.62</v>
      </c>
      <c r="R1527" s="4">
        <v>4.1399999999999997</v>
      </c>
      <c r="S1527" s="4">
        <v>0</v>
      </c>
      <c r="T1527" s="4">
        <v>0</v>
      </c>
      <c r="U1527" s="4">
        <v>269.55</v>
      </c>
      <c r="V1527" s="4">
        <v>286.5</v>
      </c>
      <c r="W1527" t="s">
        <v>21</v>
      </c>
      <c r="X1527" t="s">
        <v>36</v>
      </c>
      <c r="Y1527" s="4">
        <v>8</v>
      </c>
      <c r="Z1527" s="4">
        <v>29</v>
      </c>
      <c r="AA1527" t="s">
        <v>37</v>
      </c>
      <c r="AB1527" t="s">
        <v>44</v>
      </c>
      <c r="AC1527" s="7">
        <v>1</v>
      </c>
      <c r="AD1527" t="s">
        <v>45</v>
      </c>
      <c r="AE1527">
        <f t="shared" si="23"/>
        <v>1</v>
      </c>
    </row>
    <row r="1528" spans="1:31" x14ac:dyDescent="0.35">
      <c r="A1528">
        <v>101527</v>
      </c>
      <c r="B1528" s="3">
        <v>45941</v>
      </c>
      <c r="C1528">
        <v>1088</v>
      </c>
      <c r="D1528" t="s">
        <v>47</v>
      </c>
      <c r="E1528" t="s">
        <v>56</v>
      </c>
      <c r="F1528" t="s">
        <v>61</v>
      </c>
      <c r="G1528" t="s">
        <v>46</v>
      </c>
      <c r="H1528" t="s">
        <v>34</v>
      </c>
      <c r="I1528" t="s">
        <v>42</v>
      </c>
      <c r="J1528" s="4">
        <v>35.79</v>
      </c>
      <c r="K1528" s="4">
        <v>15.02</v>
      </c>
      <c r="L1528">
        <v>15</v>
      </c>
      <c r="M1528" s="4">
        <v>80.64</v>
      </c>
      <c r="N1528" s="4">
        <v>456.93</v>
      </c>
      <c r="O1528" s="4">
        <v>228.99</v>
      </c>
      <c r="P1528" s="4">
        <v>10.57</v>
      </c>
      <c r="Q1528" s="4">
        <v>8.06</v>
      </c>
      <c r="R1528" s="4">
        <v>10.24</v>
      </c>
      <c r="S1528" s="4">
        <v>0</v>
      </c>
      <c r="T1528" s="4">
        <v>0</v>
      </c>
      <c r="U1528" s="4">
        <v>257.86</v>
      </c>
      <c r="V1528" s="4">
        <v>199.07</v>
      </c>
      <c r="W1528" t="s">
        <v>21</v>
      </c>
      <c r="X1528" t="s">
        <v>36</v>
      </c>
      <c r="Y1528" s="4">
        <v>10</v>
      </c>
      <c r="Z1528" s="4">
        <v>1</v>
      </c>
      <c r="AA1528" t="s">
        <v>37</v>
      </c>
      <c r="AB1528" t="s">
        <v>38</v>
      </c>
      <c r="AC1528" s="7">
        <v>0</v>
      </c>
      <c r="AD1528" t="s">
        <v>39</v>
      </c>
      <c r="AE1528">
        <f t="shared" si="23"/>
        <v>0</v>
      </c>
    </row>
    <row r="1529" spans="1:31" x14ac:dyDescent="0.35">
      <c r="A1529">
        <v>101528</v>
      </c>
      <c r="B1529" s="3">
        <v>46021</v>
      </c>
      <c r="C1529">
        <v>1132</v>
      </c>
      <c r="D1529" t="s">
        <v>64</v>
      </c>
      <c r="E1529" t="s">
        <v>65</v>
      </c>
      <c r="F1529" t="s">
        <v>41</v>
      </c>
      <c r="G1529" t="s">
        <v>63</v>
      </c>
      <c r="H1529" t="s">
        <v>34</v>
      </c>
      <c r="I1529" t="s">
        <v>54</v>
      </c>
      <c r="J1529" s="4">
        <v>18.100000000000001</v>
      </c>
      <c r="K1529" s="4">
        <v>12.26</v>
      </c>
      <c r="L1529">
        <v>0</v>
      </c>
      <c r="M1529" s="4">
        <v>0</v>
      </c>
      <c r="N1529" s="4">
        <v>221.91</v>
      </c>
      <c r="O1529" s="4">
        <v>128.94999999999999</v>
      </c>
      <c r="P1529" s="4">
        <v>9.68</v>
      </c>
      <c r="Q1529" s="4">
        <v>2.66</v>
      </c>
      <c r="R1529" s="4">
        <v>0</v>
      </c>
      <c r="S1529" s="4">
        <v>0</v>
      </c>
      <c r="T1529" s="4">
        <v>0</v>
      </c>
      <c r="U1529" s="4">
        <v>141.29</v>
      </c>
      <c r="V1529" s="4">
        <v>80.62</v>
      </c>
      <c r="W1529" t="s">
        <v>21</v>
      </c>
      <c r="X1529" t="s">
        <v>36</v>
      </c>
      <c r="Y1529" s="4">
        <v>6</v>
      </c>
      <c r="Z1529" s="4">
        <v>0</v>
      </c>
      <c r="AA1529" t="s">
        <v>37</v>
      </c>
      <c r="AB1529" t="s">
        <v>38</v>
      </c>
      <c r="AC1529" s="7">
        <v>1</v>
      </c>
      <c r="AD1529" t="s">
        <v>39</v>
      </c>
      <c r="AE1529">
        <f t="shared" si="23"/>
        <v>0</v>
      </c>
    </row>
    <row r="1530" spans="1:31" x14ac:dyDescent="0.35">
      <c r="A1530">
        <v>101529</v>
      </c>
      <c r="B1530" s="3">
        <v>46017</v>
      </c>
      <c r="C1530">
        <v>1018</v>
      </c>
      <c r="D1530" t="s">
        <v>30</v>
      </c>
      <c r="E1530" t="s">
        <v>40</v>
      </c>
      <c r="F1530" t="s">
        <v>61</v>
      </c>
      <c r="G1530" t="s">
        <v>46</v>
      </c>
      <c r="H1530" t="s">
        <v>34</v>
      </c>
      <c r="I1530" t="s">
        <v>69</v>
      </c>
      <c r="J1530" s="4">
        <v>27.68</v>
      </c>
      <c r="K1530" s="4">
        <v>15.62</v>
      </c>
      <c r="L1530">
        <v>0</v>
      </c>
      <c r="M1530" s="4">
        <v>0</v>
      </c>
      <c r="N1530" s="4">
        <v>432.36</v>
      </c>
      <c r="O1530" s="4">
        <v>208.65</v>
      </c>
      <c r="P1530" s="4">
        <v>7.03</v>
      </c>
      <c r="Q1530" s="4">
        <v>1.73</v>
      </c>
      <c r="R1530" s="4">
        <v>13.25</v>
      </c>
      <c r="S1530" s="4">
        <v>0</v>
      </c>
      <c r="T1530" s="4">
        <v>0</v>
      </c>
      <c r="U1530" s="4">
        <v>230.66</v>
      </c>
      <c r="V1530" s="4">
        <v>201.7</v>
      </c>
      <c r="W1530" t="s">
        <v>21</v>
      </c>
      <c r="X1530" t="s">
        <v>36</v>
      </c>
      <c r="Y1530" s="4">
        <v>2</v>
      </c>
      <c r="Z1530" s="4">
        <v>7</v>
      </c>
      <c r="AA1530" t="s">
        <v>37</v>
      </c>
      <c r="AB1530" t="s">
        <v>38</v>
      </c>
      <c r="AC1530" s="7">
        <v>0</v>
      </c>
      <c r="AD1530" t="s">
        <v>39</v>
      </c>
      <c r="AE1530">
        <f t="shared" si="23"/>
        <v>0</v>
      </c>
    </row>
    <row r="1531" spans="1:31" x14ac:dyDescent="0.35">
      <c r="A1531">
        <v>101530</v>
      </c>
      <c r="B1531" s="3">
        <v>46006</v>
      </c>
      <c r="C1531">
        <v>1141</v>
      </c>
      <c r="D1531" t="s">
        <v>64</v>
      </c>
      <c r="E1531" t="s">
        <v>75</v>
      </c>
      <c r="F1531" t="s">
        <v>41</v>
      </c>
      <c r="G1531" t="s">
        <v>63</v>
      </c>
      <c r="H1531" t="s">
        <v>51</v>
      </c>
      <c r="I1531" t="s">
        <v>35</v>
      </c>
      <c r="J1531" s="4">
        <v>25.31</v>
      </c>
      <c r="K1531" s="4">
        <v>12.8</v>
      </c>
      <c r="L1531">
        <v>0</v>
      </c>
      <c r="M1531" s="4">
        <v>0</v>
      </c>
      <c r="N1531" s="4">
        <v>323.97000000000003</v>
      </c>
      <c r="O1531" s="4">
        <v>190.08</v>
      </c>
      <c r="P1531" s="4">
        <v>9.4</v>
      </c>
      <c r="Q1531" s="4">
        <v>2.27</v>
      </c>
      <c r="R1531" s="4">
        <v>8.4600000000000009</v>
      </c>
      <c r="S1531" s="4">
        <v>0</v>
      </c>
      <c r="T1531" s="4">
        <v>0</v>
      </c>
      <c r="U1531" s="4">
        <v>210.21</v>
      </c>
      <c r="V1531" s="4">
        <v>113.76</v>
      </c>
      <c r="W1531" t="s">
        <v>21</v>
      </c>
      <c r="X1531" t="s">
        <v>36</v>
      </c>
      <c r="Y1531" s="4">
        <v>6</v>
      </c>
      <c r="Z1531" s="4">
        <v>41</v>
      </c>
      <c r="AA1531" t="s">
        <v>37</v>
      </c>
      <c r="AB1531" t="s">
        <v>44</v>
      </c>
      <c r="AC1531" s="7">
        <v>1</v>
      </c>
      <c r="AD1531" t="s">
        <v>45</v>
      </c>
      <c r="AE1531">
        <f t="shared" si="23"/>
        <v>1</v>
      </c>
    </row>
    <row r="1532" spans="1:31" x14ac:dyDescent="0.35">
      <c r="A1532">
        <v>101531</v>
      </c>
      <c r="B1532" s="3">
        <v>46018</v>
      </c>
      <c r="C1532">
        <v>1145</v>
      </c>
      <c r="D1532" t="s">
        <v>47</v>
      </c>
      <c r="E1532" t="s">
        <v>74</v>
      </c>
      <c r="F1532" t="s">
        <v>32</v>
      </c>
      <c r="G1532" t="s">
        <v>50</v>
      </c>
      <c r="H1532" t="s">
        <v>34</v>
      </c>
      <c r="I1532" t="s">
        <v>69</v>
      </c>
      <c r="J1532" s="4">
        <v>33.86</v>
      </c>
      <c r="K1532" s="4">
        <v>16.53</v>
      </c>
      <c r="L1532">
        <v>5</v>
      </c>
      <c r="M1532" s="4">
        <v>27.99</v>
      </c>
      <c r="N1532" s="4">
        <v>531.72</v>
      </c>
      <c r="O1532" s="4">
        <v>248.36</v>
      </c>
      <c r="P1532" s="4">
        <v>8.16</v>
      </c>
      <c r="Q1532" s="4">
        <v>2.2400000000000002</v>
      </c>
      <c r="R1532" s="4">
        <v>10.14</v>
      </c>
      <c r="S1532" s="4">
        <v>0</v>
      </c>
      <c r="T1532" s="4">
        <v>0</v>
      </c>
      <c r="U1532" s="4">
        <v>268.89999999999998</v>
      </c>
      <c r="V1532" s="4">
        <v>262.82</v>
      </c>
      <c r="W1532" t="s">
        <v>21</v>
      </c>
      <c r="X1532" t="s">
        <v>36</v>
      </c>
      <c r="Y1532" s="4">
        <v>22</v>
      </c>
      <c r="Z1532" s="4">
        <v>34</v>
      </c>
      <c r="AA1532" t="s">
        <v>52</v>
      </c>
      <c r="AB1532" t="s">
        <v>44</v>
      </c>
      <c r="AC1532" s="7">
        <v>1</v>
      </c>
      <c r="AD1532" t="s">
        <v>45</v>
      </c>
      <c r="AE1532">
        <f t="shared" si="23"/>
        <v>1</v>
      </c>
    </row>
    <row r="1533" spans="1:31" x14ac:dyDescent="0.35">
      <c r="A1533">
        <v>101532</v>
      </c>
      <c r="B1533" s="3">
        <v>45941</v>
      </c>
      <c r="C1533">
        <v>1118</v>
      </c>
      <c r="D1533" t="s">
        <v>59</v>
      </c>
      <c r="E1533" t="s">
        <v>60</v>
      </c>
      <c r="F1533" t="s">
        <v>61</v>
      </c>
      <c r="G1533" t="s">
        <v>63</v>
      </c>
      <c r="H1533" t="s">
        <v>34</v>
      </c>
      <c r="I1533" t="s">
        <v>35</v>
      </c>
      <c r="J1533" s="4">
        <v>14.56</v>
      </c>
      <c r="K1533" s="4">
        <v>13.16</v>
      </c>
      <c r="L1533">
        <v>0</v>
      </c>
      <c r="M1533" s="4">
        <v>0</v>
      </c>
      <c r="N1533" s="4">
        <v>191.61</v>
      </c>
      <c r="O1533" s="4">
        <v>118.69</v>
      </c>
      <c r="P1533" s="4">
        <v>6.68</v>
      </c>
      <c r="Q1533" s="4">
        <v>1.34</v>
      </c>
      <c r="R1533" s="4">
        <v>0</v>
      </c>
      <c r="S1533" s="4">
        <v>90.94</v>
      </c>
      <c r="T1533" s="4">
        <v>0</v>
      </c>
      <c r="U1533" s="4">
        <v>217.65</v>
      </c>
      <c r="V1533" s="4">
        <v>-26.04</v>
      </c>
      <c r="W1533" t="s">
        <v>58</v>
      </c>
      <c r="X1533" t="s">
        <v>66</v>
      </c>
      <c r="Y1533" s="4">
        <v>0</v>
      </c>
      <c r="Z1533" s="4">
        <v>23</v>
      </c>
      <c r="AA1533" t="s">
        <v>37</v>
      </c>
      <c r="AB1533" t="s">
        <v>44</v>
      </c>
      <c r="AC1533" s="7">
        <v>3</v>
      </c>
      <c r="AD1533" t="s">
        <v>45</v>
      </c>
      <c r="AE1533">
        <f t="shared" si="23"/>
        <v>1</v>
      </c>
    </row>
    <row r="1534" spans="1:31" x14ac:dyDescent="0.35">
      <c r="A1534">
        <v>101533</v>
      </c>
      <c r="B1534" s="3">
        <v>45983</v>
      </c>
      <c r="C1534">
        <v>1100</v>
      </c>
      <c r="D1534" t="s">
        <v>47</v>
      </c>
      <c r="E1534" t="s">
        <v>53</v>
      </c>
      <c r="F1534" t="s">
        <v>49</v>
      </c>
      <c r="G1534" t="s">
        <v>63</v>
      </c>
      <c r="H1534" t="s">
        <v>34</v>
      </c>
      <c r="I1534" t="s">
        <v>42</v>
      </c>
      <c r="J1534" s="4">
        <v>16.149999999999999</v>
      </c>
      <c r="K1534" s="4">
        <v>12.15</v>
      </c>
      <c r="L1534">
        <v>10</v>
      </c>
      <c r="M1534" s="4">
        <v>19.62</v>
      </c>
      <c r="N1534" s="4">
        <v>176.6</v>
      </c>
      <c r="O1534" s="4">
        <v>116.42</v>
      </c>
      <c r="P1534" s="4">
        <v>6.4</v>
      </c>
      <c r="Q1534" s="4">
        <v>2.94</v>
      </c>
      <c r="R1534" s="4">
        <v>6.92</v>
      </c>
      <c r="S1534" s="4">
        <v>0</v>
      </c>
      <c r="T1534" s="4">
        <v>0</v>
      </c>
      <c r="U1534" s="4">
        <v>132.68</v>
      </c>
      <c r="V1534" s="4">
        <v>43.92</v>
      </c>
      <c r="W1534" t="s">
        <v>21</v>
      </c>
      <c r="X1534" t="s">
        <v>36</v>
      </c>
      <c r="Y1534" s="4">
        <v>12</v>
      </c>
      <c r="Z1534" s="4">
        <v>19</v>
      </c>
      <c r="AA1534" t="s">
        <v>37</v>
      </c>
      <c r="AB1534" t="s">
        <v>44</v>
      </c>
      <c r="AC1534" s="7">
        <v>1</v>
      </c>
      <c r="AD1534" t="s">
        <v>45</v>
      </c>
      <c r="AE1534">
        <f t="shared" si="23"/>
        <v>1</v>
      </c>
    </row>
    <row r="1535" spans="1:31" x14ac:dyDescent="0.35">
      <c r="A1535">
        <v>101534</v>
      </c>
      <c r="B1535" s="3">
        <v>46006</v>
      </c>
      <c r="C1535">
        <v>1106</v>
      </c>
      <c r="D1535" t="s">
        <v>59</v>
      </c>
      <c r="E1535" t="s">
        <v>68</v>
      </c>
      <c r="F1535" t="s">
        <v>61</v>
      </c>
      <c r="G1535" t="s">
        <v>46</v>
      </c>
      <c r="H1535" t="s">
        <v>57</v>
      </c>
      <c r="I1535" t="s">
        <v>35</v>
      </c>
      <c r="J1535" s="4">
        <v>18.59</v>
      </c>
      <c r="K1535" s="4">
        <v>15.22</v>
      </c>
      <c r="L1535">
        <v>0</v>
      </c>
      <c r="M1535" s="4">
        <v>0</v>
      </c>
      <c r="N1535" s="4">
        <v>282.94</v>
      </c>
      <c r="O1535" s="4">
        <v>130.56</v>
      </c>
      <c r="P1535" s="4">
        <v>7.05</v>
      </c>
      <c r="Q1535" s="4">
        <v>1.98</v>
      </c>
      <c r="R1535" s="4">
        <v>5.41</v>
      </c>
      <c r="S1535" s="4">
        <v>0</v>
      </c>
      <c r="T1535" s="4">
        <v>0</v>
      </c>
      <c r="U1535" s="4">
        <v>145</v>
      </c>
      <c r="V1535" s="4">
        <v>137.94</v>
      </c>
      <c r="W1535" t="s">
        <v>21</v>
      </c>
      <c r="X1535" t="s">
        <v>36</v>
      </c>
      <c r="Y1535" s="4">
        <v>2</v>
      </c>
      <c r="Z1535" s="4">
        <v>15</v>
      </c>
      <c r="AA1535" t="s">
        <v>37</v>
      </c>
      <c r="AB1535" t="s">
        <v>38</v>
      </c>
      <c r="AC1535" s="7">
        <v>0</v>
      </c>
      <c r="AD1535" t="s">
        <v>39</v>
      </c>
      <c r="AE1535">
        <f t="shared" si="23"/>
        <v>0</v>
      </c>
    </row>
    <row r="1536" spans="1:31" x14ac:dyDescent="0.35">
      <c r="A1536">
        <v>101535</v>
      </c>
      <c r="B1536" s="3">
        <v>46015</v>
      </c>
      <c r="C1536">
        <v>1119</v>
      </c>
      <c r="D1536" t="s">
        <v>30</v>
      </c>
      <c r="E1536" t="s">
        <v>72</v>
      </c>
      <c r="F1536" t="s">
        <v>32</v>
      </c>
      <c r="G1536" t="s">
        <v>63</v>
      </c>
      <c r="H1536" t="s">
        <v>34</v>
      </c>
      <c r="I1536" t="s">
        <v>54</v>
      </c>
      <c r="J1536" s="4">
        <v>16.43</v>
      </c>
      <c r="K1536" s="4">
        <v>13.66</v>
      </c>
      <c r="L1536">
        <v>15</v>
      </c>
      <c r="M1536" s="4">
        <v>33.659999999999997</v>
      </c>
      <c r="N1536" s="4">
        <v>190.77</v>
      </c>
      <c r="O1536" s="4">
        <v>76.040000000000006</v>
      </c>
      <c r="P1536" s="4">
        <v>5.0999999999999996</v>
      </c>
      <c r="Q1536" s="4">
        <v>2.69</v>
      </c>
      <c r="R1536" s="4">
        <v>9.65</v>
      </c>
      <c r="S1536" s="4">
        <v>0</v>
      </c>
      <c r="T1536" s="4">
        <v>0</v>
      </c>
      <c r="U1536" s="4">
        <v>93.48</v>
      </c>
      <c r="V1536" s="4">
        <v>97.29</v>
      </c>
      <c r="W1536" t="s">
        <v>21</v>
      </c>
      <c r="X1536" t="s">
        <v>36</v>
      </c>
      <c r="Y1536" s="4">
        <v>2</v>
      </c>
      <c r="Z1536" s="4">
        <v>12</v>
      </c>
      <c r="AA1536" t="s">
        <v>37</v>
      </c>
      <c r="AB1536" t="s">
        <v>38</v>
      </c>
      <c r="AC1536" s="7">
        <v>0</v>
      </c>
      <c r="AD1536" t="s">
        <v>39</v>
      </c>
      <c r="AE1536">
        <f t="shared" si="23"/>
        <v>0</v>
      </c>
    </row>
    <row r="1537" spans="1:31" x14ac:dyDescent="0.35">
      <c r="A1537">
        <v>101536</v>
      </c>
      <c r="B1537" s="3">
        <v>45975</v>
      </c>
      <c r="C1537">
        <v>1004</v>
      </c>
      <c r="D1537" t="s">
        <v>59</v>
      </c>
      <c r="E1537" t="s">
        <v>70</v>
      </c>
      <c r="F1537" t="s">
        <v>41</v>
      </c>
      <c r="G1537" t="s">
        <v>33</v>
      </c>
      <c r="H1537" t="s">
        <v>34</v>
      </c>
      <c r="I1537" t="s">
        <v>69</v>
      </c>
      <c r="J1537" s="4">
        <v>22.68</v>
      </c>
      <c r="K1537" s="4">
        <v>19.329999999999998</v>
      </c>
      <c r="L1537">
        <v>10</v>
      </c>
      <c r="M1537" s="4">
        <v>43.84</v>
      </c>
      <c r="N1537" s="4">
        <v>394.56</v>
      </c>
      <c r="O1537" s="4">
        <v>141.01</v>
      </c>
      <c r="P1537" s="4">
        <v>6.98</v>
      </c>
      <c r="Q1537" s="4">
        <v>1.75</v>
      </c>
      <c r="R1537" s="4">
        <v>7.16</v>
      </c>
      <c r="S1537" s="4">
        <v>0</v>
      </c>
      <c r="T1537" s="4">
        <v>0</v>
      </c>
      <c r="U1537" s="4">
        <v>156.9</v>
      </c>
      <c r="V1537" s="4">
        <v>237.66</v>
      </c>
      <c r="W1537" t="s">
        <v>21</v>
      </c>
      <c r="X1537" t="s">
        <v>36</v>
      </c>
      <c r="Y1537" s="4">
        <v>23</v>
      </c>
      <c r="Z1537" s="4">
        <v>27</v>
      </c>
      <c r="AA1537" t="s">
        <v>52</v>
      </c>
      <c r="AB1537" t="s">
        <v>44</v>
      </c>
      <c r="AC1537" s="7">
        <v>2</v>
      </c>
      <c r="AD1537" t="s">
        <v>45</v>
      </c>
      <c r="AE1537">
        <f t="shared" si="23"/>
        <v>1</v>
      </c>
    </row>
    <row r="1538" spans="1:31" x14ac:dyDescent="0.35">
      <c r="A1538">
        <v>101537</v>
      </c>
      <c r="B1538" s="3">
        <v>45944</v>
      </c>
      <c r="C1538">
        <v>1050</v>
      </c>
      <c r="D1538" t="s">
        <v>47</v>
      </c>
      <c r="E1538" t="s">
        <v>74</v>
      </c>
      <c r="F1538" t="s">
        <v>71</v>
      </c>
      <c r="G1538" t="s">
        <v>50</v>
      </c>
      <c r="H1538" t="s">
        <v>57</v>
      </c>
      <c r="I1538" t="s">
        <v>69</v>
      </c>
      <c r="J1538" s="4">
        <v>31.44</v>
      </c>
      <c r="K1538" s="4">
        <v>18.39</v>
      </c>
      <c r="L1538">
        <v>5</v>
      </c>
      <c r="M1538" s="4">
        <v>28.91</v>
      </c>
      <c r="N1538" s="4">
        <v>549.27</v>
      </c>
      <c r="O1538" s="4">
        <v>237.7</v>
      </c>
      <c r="P1538" s="4">
        <v>9.5</v>
      </c>
      <c r="Q1538" s="4">
        <v>2.31</v>
      </c>
      <c r="R1538" s="4">
        <v>11.79</v>
      </c>
      <c r="S1538" s="4">
        <v>0</v>
      </c>
      <c r="T1538" s="4">
        <v>0</v>
      </c>
      <c r="U1538" s="4">
        <v>261.3</v>
      </c>
      <c r="V1538" s="4">
        <v>287.97000000000003</v>
      </c>
      <c r="W1538" t="s">
        <v>21</v>
      </c>
      <c r="X1538" t="s">
        <v>36</v>
      </c>
      <c r="Y1538" s="4">
        <v>5</v>
      </c>
      <c r="Z1538" s="4">
        <v>0</v>
      </c>
      <c r="AA1538" t="s">
        <v>37</v>
      </c>
      <c r="AB1538" t="s">
        <v>38</v>
      </c>
      <c r="AC1538" s="7">
        <v>0</v>
      </c>
      <c r="AD1538" t="s">
        <v>39</v>
      </c>
      <c r="AE1538">
        <f t="shared" si="23"/>
        <v>0</v>
      </c>
    </row>
    <row r="1539" spans="1:31" x14ac:dyDescent="0.35">
      <c r="A1539">
        <v>101538</v>
      </c>
      <c r="B1539" s="3">
        <v>45938</v>
      </c>
      <c r="C1539">
        <v>1048</v>
      </c>
      <c r="D1539" t="s">
        <v>30</v>
      </c>
      <c r="E1539" t="s">
        <v>72</v>
      </c>
      <c r="F1539" t="s">
        <v>41</v>
      </c>
      <c r="G1539" t="s">
        <v>46</v>
      </c>
      <c r="H1539" t="s">
        <v>34</v>
      </c>
      <c r="I1539" t="s">
        <v>35</v>
      </c>
      <c r="J1539" s="4">
        <v>32.93</v>
      </c>
      <c r="K1539" s="4">
        <v>14.68</v>
      </c>
      <c r="L1539">
        <v>5</v>
      </c>
      <c r="M1539" s="4">
        <v>24.17</v>
      </c>
      <c r="N1539" s="4">
        <v>459.24</v>
      </c>
      <c r="O1539" s="4">
        <v>247.57</v>
      </c>
      <c r="P1539" s="4">
        <v>10.050000000000001</v>
      </c>
      <c r="Q1539" s="4">
        <v>3.38</v>
      </c>
      <c r="R1539" s="4">
        <v>7.34</v>
      </c>
      <c r="S1539" s="4">
        <v>0</v>
      </c>
      <c r="T1539" s="4">
        <v>0</v>
      </c>
      <c r="U1539" s="4">
        <v>268.33999999999997</v>
      </c>
      <c r="V1539" s="4">
        <v>190.9</v>
      </c>
      <c r="W1539" t="s">
        <v>21</v>
      </c>
      <c r="X1539" t="s">
        <v>36</v>
      </c>
      <c r="Y1539" s="4">
        <v>12</v>
      </c>
      <c r="Z1539" s="4">
        <v>4</v>
      </c>
      <c r="AA1539" t="s">
        <v>37</v>
      </c>
      <c r="AB1539" t="s">
        <v>38</v>
      </c>
      <c r="AC1539" s="7">
        <v>0</v>
      </c>
      <c r="AD1539" t="s">
        <v>39</v>
      </c>
      <c r="AE1539">
        <f t="shared" ref="AE1539:AE1602" si="24">IF(AB1539="Yes",1,0)</f>
        <v>0</v>
      </c>
    </row>
    <row r="1540" spans="1:31" x14ac:dyDescent="0.35">
      <c r="A1540">
        <v>101539</v>
      </c>
      <c r="B1540" s="3">
        <v>46007</v>
      </c>
      <c r="C1540">
        <v>1086</v>
      </c>
      <c r="D1540" t="s">
        <v>47</v>
      </c>
      <c r="E1540" t="s">
        <v>53</v>
      </c>
      <c r="F1540" t="s">
        <v>71</v>
      </c>
      <c r="G1540" t="s">
        <v>63</v>
      </c>
      <c r="H1540" t="s">
        <v>57</v>
      </c>
      <c r="I1540" t="s">
        <v>69</v>
      </c>
      <c r="J1540" s="4">
        <v>18.38</v>
      </c>
      <c r="K1540" s="4">
        <v>12.78</v>
      </c>
      <c r="L1540">
        <v>5</v>
      </c>
      <c r="M1540" s="4">
        <v>11.74</v>
      </c>
      <c r="N1540" s="4">
        <v>223.16</v>
      </c>
      <c r="O1540" s="4">
        <v>134.97</v>
      </c>
      <c r="P1540" s="4">
        <v>13.33</v>
      </c>
      <c r="Q1540" s="4">
        <v>0.94</v>
      </c>
      <c r="R1540" s="4">
        <v>6.94</v>
      </c>
      <c r="S1540" s="4">
        <v>0</v>
      </c>
      <c r="T1540" s="4">
        <v>0</v>
      </c>
      <c r="U1540" s="4">
        <v>156.18</v>
      </c>
      <c r="V1540" s="4">
        <v>66.98</v>
      </c>
      <c r="W1540" t="s">
        <v>21</v>
      </c>
      <c r="X1540" t="s">
        <v>36</v>
      </c>
      <c r="Y1540" s="4">
        <v>4</v>
      </c>
      <c r="Z1540" s="4">
        <v>2</v>
      </c>
      <c r="AA1540" t="s">
        <v>37</v>
      </c>
      <c r="AB1540" t="s">
        <v>38</v>
      </c>
      <c r="AC1540" s="7">
        <v>0</v>
      </c>
      <c r="AD1540" t="s">
        <v>39</v>
      </c>
      <c r="AE1540">
        <f t="shared" si="24"/>
        <v>0</v>
      </c>
    </row>
    <row r="1541" spans="1:31" x14ac:dyDescent="0.35">
      <c r="A1541">
        <v>101540</v>
      </c>
      <c r="B1541" s="3">
        <v>45961</v>
      </c>
      <c r="C1541">
        <v>1125</v>
      </c>
      <c r="D1541" t="s">
        <v>47</v>
      </c>
      <c r="E1541" t="s">
        <v>74</v>
      </c>
      <c r="F1541" t="s">
        <v>61</v>
      </c>
      <c r="G1541" t="s">
        <v>63</v>
      </c>
      <c r="H1541" t="s">
        <v>34</v>
      </c>
      <c r="I1541" t="s">
        <v>69</v>
      </c>
      <c r="J1541" s="4">
        <v>16.55</v>
      </c>
      <c r="K1541" s="4">
        <v>12.36</v>
      </c>
      <c r="L1541">
        <v>0</v>
      </c>
      <c r="M1541" s="4">
        <v>0</v>
      </c>
      <c r="N1541" s="4">
        <v>204.56</v>
      </c>
      <c r="O1541" s="4">
        <v>114.08</v>
      </c>
      <c r="P1541" s="4">
        <v>4.8</v>
      </c>
      <c r="Q1541" s="4">
        <v>0.82</v>
      </c>
      <c r="R1541" s="4">
        <v>5.68</v>
      </c>
      <c r="S1541" s="4">
        <v>0</v>
      </c>
      <c r="T1541" s="4">
        <v>0</v>
      </c>
      <c r="U1541" s="4">
        <v>125.38</v>
      </c>
      <c r="V1541" s="4">
        <v>79.180000000000007</v>
      </c>
      <c r="W1541" t="s">
        <v>21</v>
      </c>
      <c r="X1541" t="s">
        <v>36</v>
      </c>
      <c r="Y1541" s="4">
        <v>6</v>
      </c>
      <c r="Z1541" s="4">
        <v>2</v>
      </c>
      <c r="AA1541" t="s">
        <v>37</v>
      </c>
      <c r="AB1541" t="s">
        <v>38</v>
      </c>
      <c r="AC1541" s="7">
        <v>0</v>
      </c>
      <c r="AD1541" t="s">
        <v>39</v>
      </c>
      <c r="AE1541">
        <f t="shared" si="24"/>
        <v>0</v>
      </c>
    </row>
    <row r="1542" spans="1:31" x14ac:dyDescent="0.35">
      <c r="A1542">
        <v>101541</v>
      </c>
      <c r="B1542" s="3">
        <v>45939</v>
      </c>
      <c r="C1542">
        <v>1118</v>
      </c>
      <c r="D1542" t="s">
        <v>59</v>
      </c>
      <c r="E1542" t="s">
        <v>70</v>
      </c>
      <c r="F1542" t="s">
        <v>61</v>
      </c>
      <c r="G1542" t="s">
        <v>63</v>
      </c>
      <c r="H1542" t="s">
        <v>34</v>
      </c>
      <c r="I1542" t="s">
        <v>35</v>
      </c>
      <c r="J1542" s="4">
        <v>27.05</v>
      </c>
      <c r="K1542" s="4">
        <v>12.01</v>
      </c>
      <c r="L1542">
        <v>10</v>
      </c>
      <c r="M1542" s="4">
        <v>32.49</v>
      </c>
      <c r="N1542" s="4">
        <v>292.38</v>
      </c>
      <c r="O1542" s="4">
        <v>166.74</v>
      </c>
      <c r="P1542" s="4">
        <v>6.93</v>
      </c>
      <c r="Q1542" s="4">
        <v>2.27</v>
      </c>
      <c r="R1542" s="4">
        <v>2.34</v>
      </c>
      <c r="S1542" s="4">
        <v>0</v>
      </c>
      <c r="T1542" s="4">
        <v>0</v>
      </c>
      <c r="U1542" s="4">
        <v>178.28</v>
      </c>
      <c r="V1542" s="4">
        <v>114.1</v>
      </c>
      <c r="W1542" t="s">
        <v>21</v>
      </c>
      <c r="X1542" t="s">
        <v>36</v>
      </c>
      <c r="Y1542" s="4">
        <v>4</v>
      </c>
      <c r="Z1542" s="4">
        <v>18</v>
      </c>
      <c r="AA1542" t="s">
        <v>37</v>
      </c>
      <c r="AB1542" t="s">
        <v>44</v>
      </c>
      <c r="AC1542" s="7">
        <v>1</v>
      </c>
      <c r="AD1542" t="s">
        <v>45</v>
      </c>
      <c r="AE1542">
        <f t="shared" si="24"/>
        <v>1</v>
      </c>
    </row>
    <row r="1543" spans="1:31" x14ac:dyDescent="0.35">
      <c r="A1543">
        <v>101542</v>
      </c>
      <c r="B1543" s="3">
        <v>45979</v>
      </c>
      <c r="C1543">
        <v>1126</v>
      </c>
      <c r="D1543" t="s">
        <v>47</v>
      </c>
      <c r="E1543" t="s">
        <v>48</v>
      </c>
      <c r="F1543" t="s">
        <v>41</v>
      </c>
      <c r="G1543" t="s">
        <v>50</v>
      </c>
      <c r="H1543" t="s">
        <v>34</v>
      </c>
      <c r="I1543" t="s">
        <v>35</v>
      </c>
      <c r="J1543" s="4">
        <v>21</v>
      </c>
      <c r="K1543" s="4">
        <v>17.79</v>
      </c>
      <c r="L1543">
        <v>0</v>
      </c>
      <c r="M1543" s="4">
        <v>0</v>
      </c>
      <c r="N1543" s="4">
        <v>373.59</v>
      </c>
      <c r="O1543" s="4">
        <v>128.44999999999999</v>
      </c>
      <c r="P1543" s="4">
        <v>7.64</v>
      </c>
      <c r="Q1543" s="4">
        <v>2.62</v>
      </c>
      <c r="R1543" s="4">
        <v>6.19</v>
      </c>
      <c r="S1543" s="4">
        <v>0</v>
      </c>
      <c r="T1543" s="4">
        <v>0</v>
      </c>
      <c r="U1543" s="4">
        <v>144.9</v>
      </c>
      <c r="V1543" s="4">
        <v>228.69</v>
      </c>
      <c r="W1543" t="s">
        <v>21</v>
      </c>
      <c r="X1543" t="s">
        <v>36</v>
      </c>
      <c r="Y1543" s="4">
        <v>3</v>
      </c>
      <c r="Z1543" s="4">
        <v>3</v>
      </c>
      <c r="AA1543" t="s">
        <v>37</v>
      </c>
      <c r="AB1543" t="s">
        <v>38</v>
      </c>
      <c r="AC1543" s="7">
        <v>0</v>
      </c>
      <c r="AD1543" t="s">
        <v>39</v>
      </c>
      <c r="AE1543">
        <f t="shared" si="24"/>
        <v>0</v>
      </c>
    </row>
    <row r="1544" spans="1:31" x14ac:dyDescent="0.35">
      <c r="A1544">
        <v>101543</v>
      </c>
      <c r="B1544" s="3">
        <v>45937</v>
      </c>
      <c r="C1544">
        <v>1003</v>
      </c>
      <c r="D1544" t="s">
        <v>47</v>
      </c>
      <c r="E1544" t="s">
        <v>53</v>
      </c>
      <c r="F1544" t="s">
        <v>41</v>
      </c>
      <c r="G1544" t="s">
        <v>46</v>
      </c>
      <c r="H1544" t="s">
        <v>57</v>
      </c>
      <c r="I1544" t="s">
        <v>42</v>
      </c>
      <c r="J1544" s="4">
        <v>41.51</v>
      </c>
      <c r="K1544" s="4">
        <v>15.36</v>
      </c>
      <c r="L1544">
        <v>10</v>
      </c>
      <c r="M1544" s="4">
        <v>63.76</v>
      </c>
      <c r="N1544" s="4">
        <v>573.83000000000004</v>
      </c>
      <c r="O1544" s="4">
        <v>253.99</v>
      </c>
      <c r="P1544" s="4">
        <v>3.62</v>
      </c>
      <c r="Q1544" s="4">
        <v>9.56</v>
      </c>
      <c r="R1544" s="4">
        <v>8.7100000000000009</v>
      </c>
      <c r="S1544" s="4">
        <v>0</v>
      </c>
      <c r="T1544" s="4">
        <v>0</v>
      </c>
      <c r="U1544" s="4">
        <v>275.88</v>
      </c>
      <c r="V1544" s="4">
        <v>297.95</v>
      </c>
      <c r="W1544" t="s">
        <v>21</v>
      </c>
      <c r="X1544" t="s">
        <v>36</v>
      </c>
      <c r="Y1544" s="4">
        <v>0</v>
      </c>
      <c r="Z1544" s="4">
        <v>2</v>
      </c>
      <c r="AA1544" t="s">
        <v>37</v>
      </c>
      <c r="AB1544" t="s">
        <v>38</v>
      </c>
      <c r="AC1544" s="7">
        <v>0</v>
      </c>
      <c r="AD1544" t="s">
        <v>39</v>
      </c>
      <c r="AE1544">
        <f t="shared" si="24"/>
        <v>0</v>
      </c>
    </row>
    <row r="1545" spans="1:31" x14ac:dyDescent="0.35">
      <c r="A1545">
        <v>101544</v>
      </c>
      <c r="B1545" s="3">
        <v>45990</v>
      </c>
      <c r="C1545">
        <v>1075</v>
      </c>
      <c r="D1545" t="s">
        <v>64</v>
      </c>
      <c r="E1545" t="s">
        <v>75</v>
      </c>
      <c r="F1545" t="s">
        <v>71</v>
      </c>
      <c r="G1545" t="s">
        <v>63</v>
      </c>
      <c r="H1545" t="s">
        <v>34</v>
      </c>
      <c r="I1545" t="s">
        <v>35</v>
      </c>
      <c r="J1545" s="4">
        <v>4.54</v>
      </c>
      <c r="K1545" s="4">
        <v>12.07</v>
      </c>
      <c r="L1545">
        <v>10</v>
      </c>
      <c r="M1545" s="4">
        <v>5.48</v>
      </c>
      <c r="N1545" s="4">
        <v>49.32</v>
      </c>
      <c r="O1545" s="4">
        <v>31.78</v>
      </c>
      <c r="P1545" s="4">
        <v>6.98</v>
      </c>
      <c r="Q1545" s="4">
        <v>0.38</v>
      </c>
      <c r="R1545" s="4">
        <v>7.94</v>
      </c>
      <c r="S1545" s="4">
        <v>0</v>
      </c>
      <c r="T1545" s="4">
        <v>0</v>
      </c>
      <c r="U1545" s="4">
        <v>47.08</v>
      </c>
      <c r="V1545" s="4">
        <v>2.2400000000000002</v>
      </c>
      <c r="W1545" t="s">
        <v>21</v>
      </c>
      <c r="X1545" t="s">
        <v>36</v>
      </c>
      <c r="Y1545" s="4">
        <v>10</v>
      </c>
      <c r="Z1545" s="4">
        <v>6</v>
      </c>
      <c r="AA1545" t="s">
        <v>37</v>
      </c>
      <c r="AB1545" t="s">
        <v>38</v>
      </c>
      <c r="AC1545" s="7">
        <v>2</v>
      </c>
      <c r="AD1545" t="s">
        <v>39</v>
      </c>
      <c r="AE1545">
        <f t="shared" si="24"/>
        <v>0</v>
      </c>
    </row>
    <row r="1546" spans="1:31" x14ac:dyDescent="0.35">
      <c r="A1546">
        <v>101545</v>
      </c>
      <c r="B1546" s="3">
        <v>46009</v>
      </c>
      <c r="C1546">
        <v>1069</v>
      </c>
      <c r="D1546" t="s">
        <v>30</v>
      </c>
      <c r="E1546" t="s">
        <v>40</v>
      </c>
      <c r="F1546" t="s">
        <v>61</v>
      </c>
      <c r="G1546" t="s">
        <v>46</v>
      </c>
      <c r="H1546" t="s">
        <v>34</v>
      </c>
      <c r="I1546" t="s">
        <v>42</v>
      </c>
      <c r="J1546" s="4">
        <v>32.85</v>
      </c>
      <c r="K1546" s="4">
        <v>18.239999999999998</v>
      </c>
      <c r="L1546">
        <v>10</v>
      </c>
      <c r="M1546" s="4">
        <v>59.92</v>
      </c>
      <c r="N1546" s="4">
        <v>539.26</v>
      </c>
      <c r="O1546" s="4">
        <v>267.64999999999998</v>
      </c>
      <c r="P1546" s="4">
        <v>1.7</v>
      </c>
      <c r="Q1546" s="4">
        <v>8.99</v>
      </c>
      <c r="R1546" s="4">
        <v>0</v>
      </c>
      <c r="S1546" s="4">
        <v>0</v>
      </c>
      <c r="T1546" s="4">
        <v>0</v>
      </c>
      <c r="U1546" s="4">
        <v>278.33999999999997</v>
      </c>
      <c r="V1546" s="4">
        <v>260.92</v>
      </c>
      <c r="W1546" t="s">
        <v>21</v>
      </c>
      <c r="X1546" t="s">
        <v>36</v>
      </c>
      <c r="Y1546" s="4">
        <v>5</v>
      </c>
      <c r="Z1546" s="4">
        <v>2</v>
      </c>
      <c r="AA1546" t="s">
        <v>37</v>
      </c>
      <c r="AB1546" t="s">
        <v>38</v>
      </c>
      <c r="AC1546" s="7">
        <v>0</v>
      </c>
      <c r="AD1546" t="s">
        <v>39</v>
      </c>
      <c r="AE1546">
        <f t="shared" si="24"/>
        <v>0</v>
      </c>
    </row>
    <row r="1547" spans="1:31" x14ac:dyDescent="0.35">
      <c r="A1547">
        <v>101546</v>
      </c>
      <c r="B1547" s="3">
        <v>45932</v>
      </c>
      <c r="C1547">
        <v>1136</v>
      </c>
      <c r="D1547" t="s">
        <v>47</v>
      </c>
      <c r="E1547" t="s">
        <v>53</v>
      </c>
      <c r="F1547" t="s">
        <v>41</v>
      </c>
      <c r="G1547" t="s">
        <v>46</v>
      </c>
      <c r="H1547" t="s">
        <v>34</v>
      </c>
      <c r="I1547" t="s">
        <v>69</v>
      </c>
      <c r="J1547" s="4">
        <v>34.64</v>
      </c>
      <c r="K1547" s="4">
        <v>15.71</v>
      </c>
      <c r="L1547">
        <v>10</v>
      </c>
      <c r="M1547" s="4">
        <v>54.42</v>
      </c>
      <c r="N1547" s="4">
        <v>489.77</v>
      </c>
      <c r="O1547" s="4">
        <v>242.29</v>
      </c>
      <c r="P1547" s="4">
        <v>6.23</v>
      </c>
      <c r="Q1547" s="4">
        <v>2.1800000000000002</v>
      </c>
      <c r="R1547" s="4">
        <v>7.3</v>
      </c>
      <c r="S1547" s="4">
        <v>0</v>
      </c>
      <c r="T1547" s="4">
        <v>0</v>
      </c>
      <c r="U1547" s="4">
        <v>258</v>
      </c>
      <c r="V1547" s="4">
        <v>231.77</v>
      </c>
      <c r="W1547" t="s">
        <v>21</v>
      </c>
      <c r="X1547" t="s">
        <v>36</v>
      </c>
      <c r="Y1547" s="4">
        <v>0</v>
      </c>
      <c r="Z1547" s="4">
        <v>14</v>
      </c>
      <c r="AA1547" t="s">
        <v>37</v>
      </c>
      <c r="AB1547" t="s">
        <v>38</v>
      </c>
      <c r="AC1547" s="7">
        <v>0</v>
      </c>
      <c r="AD1547" t="s">
        <v>39</v>
      </c>
      <c r="AE1547">
        <f t="shared" si="24"/>
        <v>0</v>
      </c>
    </row>
    <row r="1548" spans="1:31" x14ac:dyDescent="0.35">
      <c r="A1548">
        <v>101547</v>
      </c>
      <c r="B1548" s="3">
        <v>45937</v>
      </c>
      <c r="C1548">
        <v>1097</v>
      </c>
      <c r="D1548" t="s">
        <v>47</v>
      </c>
      <c r="E1548" t="s">
        <v>56</v>
      </c>
      <c r="F1548" t="s">
        <v>61</v>
      </c>
      <c r="G1548" t="s">
        <v>63</v>
      </c>
      <c r="H1548" t="s">
        <v>34</v>
      </c>
      <c r="I1548" t="s">
        <v>42</v>
      </c>
      <c r="J1548" s="4">
        <v>25.95</v>
      </c>
      <c r="K1548" s="4">
        <v>14.28</v>
      </c>
      <c r="L1548">
        <v>10</v>
      </c>
      <c r="M1548" s="4">
        <v>37.06</v>
      </c>
      <c r="N1548" s="4">
        <v>333.51</v>
      </c>
      <c r="O1548" s="4">
        <v>181.37</v>
      </c>
      <c r="P1548" s="4">
        <v>7.69</v>
      </c>
      <c r="Q1548" s="4">
        <v>5.56</v>
      </c>
      <c r="R1548" s="4">
        <v>11.78</v>
      </c>
      <c r="S1548" s="4">
        <v>0</v>
      </c>
      <c r="T1548" s="4">
        <v>0</v>
      </c>
      <c r="U1548" s="4">
        <v>206.4</v>
      </c>
      <c r="V1548" s="4">
        <v>127.11</v>
      </c>
      <c r="W1548" t="s">
        <v>21</v>
      </c>
      <c r="X1548" t="s">
        <v>36</v>
      </c>
      <c r="Y1548" s="4">
        <v>12</v>
      </c>
      <c r="Z1548" s="4">
        <v>9</v>
      </c>
      <c r="AA1548" t="s">
        <v>37</v>
      </c>
      <c r="AB1548" t="s">
        <v>38</v>
      </c>
      <c r="AC1548" s="7">
        <v>0</v>
      </c>
      <c r="AD1548" t="s">
        <v>39</v>
      </c>
      <c r="AE1548">
        <f t="shared" si="24"/>
        <v>0</v>
      </c>
    </row>
    <row r="1549" spans="1:31" x14ac:dyDescent="0.35">
      <c r="A1549">
        <v>101548</v>
      </c>
      <c r="B1549" s="3">
        <v>45934</v>
      </c>
      <c r="C1549">
        <v>1042</v>
      </c>
      <c r="D1549" t="s">
        <v>47</v>
      </c>
      <c r="E1549" t="s">
        <v>56</v>
      </c>
      <c r="F1549" t="s">
        <v>61</v>
      </c>
      <c r="G1549" t="s">
        <v>63</v>
      </c>
      <c r="H1549" t="s">
        <v>34</v>
      </c>
      <c r="I1549" t="s">
        <v>35</v>
      </c>
      <c r="J1549" s="4">
        <v>22.99</v>
      </c>
      <c r="K1549" s="4">
        <v>12.19</v>
      </c>
      <c r="L1549">
        <v>20</v>
      </c>
      <c r="M1549" s="4">
        <v>56.05</v>
      </c>
      <c r="N1549" s="4">
        <v>224.2</v>
      </c>
      <c r="O1549" s="4">
        <v>154.04</v>
      </c>
      <c r="P1549" s="4">
        <v>5.68</v>
      </c>
      <c r="Q1549" s="4">
        <v>1.96</v>
      </c>
      <c r="R1549" s="4">
        <v>4.8600000000000003</v>
      </c>
      <c r="S1549" s="4">
        <v>0</v>
      </c>
      <c r="T1549" s="4">
        <v>0</v>
      </c>
      <c r="U1549" s="4">
        <v>166.54</v>
      </c>
      <c r="V1549" s="4">
        <v>57.66</v>
      </c>
      <c r="W1549" t="s">
        <v>21</v>
      </c>
      <c r="X1549" t="s">
        <v>36</v>
      </c>
      <c r="Y1549" s="4">
        <v>7</v>
      </c>
      <c r="Z1549" s="4">
        <v>1</v>
      </c>
      <c r="AA1549" t="s">
        <v>37</v>
      </c>
      <c r="AB1549" t="s">
        <v>38</v>
      </c>
      <c r="AC1549" s="7">
        <v>0</v>
      </c>
      <c r="AD1549" t="s">
        <v>39</v>
      </c>
      <c r="AE1549">
        <f t="shared" si="24"/>
        <v>0</v>
      </c>
    </row>
    <row r="1550" spans="1:31" x14ac:dyDescent="0.35">
      <c r="A1550">
        <v>101549</v>
      </c>
      <c r="B1550" s="3">
        <v>45973</v>
      </c>
      <c r="C1550">
        <v>1112</v>
      </c>
      <c r="D1550" t="s">
        <v>59</v>
      </c>
      <c r="E1550" t="s">
        <v>60</v>
      </c>
      <c r="F1550" t="s">
        <v>41</v>
      </c>
      <c r="G1550" t="s">
        <v>46</v>
      </c>
      <c r="H1550" t="s">
        <v>57</v>
      </c>
      <c r="I1550" t="s">
        <v>69</v>
      </c>
      <c r="J1550" s="4">
        <v>20.18</v>
      </c>
      <c r="K1550" s="4">
        <v>15.2</v>
      </c>
      <c r="L1550">
        <v>15</v>
      </c>
      <c r="M1550" s="4">
        <v>46.01</v>
      </c>
      <c r="N1550" s="4">
        <v>260.73</v>
      </c>
      <c r="O1550" s="4">
        <v>140.07</v>
      </c>
      <c r="P1550" s="4">
        <v>2.17</v>
      </c>
      <c r="Q1550" s="4">
        <v>1.23</v>
      </c>
      <c r="R1550" s="4">
        <v>3.57</v>
      </c>
      <c r="S1550" s="4">
        <v>0</v>
      </c>
      <c r="T1550" s="4">
        <v>0</v>
      </c>
      <c r="U1550" s="4">
        <v>147.04</v>
      </c>
      <c r="V1550" s="4">
        <v>113.69</v>
      </c>
      <c r="W1550" t="s">
        <v>21</v>
      </c>
      <c r="X1550" t="s">
        <v>36</v>
      </c>
      <c r="Y1550" s="4">
        <v>13</v>
      </c>
      <c r="Z1550" s="4">
        <v>29</v>
      </c>
      <c r="AA1550" t="s">
        <v>37</v>
      </c>
      <c r="AB1550" t="s">
        <v>44</v>
      </c>
      <c r="AC1550" s="7">
        <v>1</v>
      </c>
      <c r="AD1550" t="s">
        <v>45</v>
      </c>
      <c r="AE1550">
        <f t="shared" si="24"/>
        <v>1</v>
      </c>
    </row>
    <row r="1551" spans="1:31" x14ac:dyDescent="0.35">
      <c r="A1551">
        <v>101550</v>
      </c>
      <c r="B1551" s="3">
        <v>46006</v>
      </c>
      <c r="C1551">
        <v>1023</v>
      </c>
      <c r="D1551" t="s">
        <v>59</v>
      </c>
      <c r="E1551" t="s">
        <v>60</v>
      </c>
      <c r="F1551" t="s">
        <v>41</v>
      </c>
      <c r="G1551" t="s">
        <v>63</v>
      </c>
      <c r="H1551" t="s">
        <v>34</v>
      </c>
      <c r="I1551" t="s">
        <v>35</v>
      </c>
      <c r="J1551" s="4">
        <v>30.1</v>
      </c>
      <c r="K1551" s="4">
        <v>11.87</v>
      </c>
      <c r="L1551">
        <v>0</v>
      </c>
      <c r="M1551" s="4">
        <v>0</v>
      </c>
      <c r="N1551" s="4">
        <v>357.29</v>
      </c>
      <c r="O1551" s="4">
        <v>162.75</v>
      </c>
      <c r="P1551" s="4">
        <v>6.62</v>
      </c>
      <c r="Q1551" s="4">
        <v>2.5</v>
      </c>
      <c r="R1551" s="4">
        <v>10.37</v>
      </c>
      <c r="S1551" s="4">
        <v>0</v>
      </c>
      <c r="T1551" s="4">
        <v>0</v>
      </c>
      <c r="U1551" s="4">
        <v>182.24</v>
      </c>
      <c r="V1551" s="4">
        <v>175.05</v>
      </c>
      <c r="W1551" t="s">
        <v>21</v>
      </c>
      <c r="X1551" t="s">
        <v>36</v>
      </c>
      <c r="Y1551" s="4">
        <v>20</v>
      </c>
      <c r="Z1551" s="4">
        <v>2</v>
      </c>
      <c r="AA1551" t="s">
        <v>52</v>
      </c>
      <c r="AB1551" t="s">
        <v>38</v>
      </c>
      <c r="AC1551" s="7">
        <v>0</v>
      </c>
      <c r="AD1551" t="s">
        <v>39</v>
      </c>
      <c r="AE1551">
        <f t="shared" si="24"/>
        <v>0</v>
      </c>
    </row>
    <row r="1552" spans="1:31" x14ac:dyDescent="0.35">
      <c r="A1552">
        <v>101551</v>
      </c>
      <c r="B1552" s="3">
        <v>45945</v>
      </c>
      <c r="C1552">
        <v>1116</v>
      </c>
      <c r="D1552" t="s">
        <v>47</v>
      </c>
      <c r="E1552" t="s">
        <v>74</v>
      </c>
      <c r="F1552" t="s">
        <v>71</v>
      </c>
      <c r="G1552" t="s">
        <v>63</v>
      </c>
      <c r="H1552" t="s">
        <v>34</v>
      </c>
      <c r="I1552" t="s">
        <v>35</v>
      </c>
      <c r="J1552" s="4">
        <v>26.65</v>
      </c>
      <c r="K1552" s="4">
        <v>12.11</v>
      </c>
      <c r="L1552">
        <v>5</v>
      </c>
      <c r="M1552" s="4">
        <v>16.14</v>
      </c>
      <c r="N1552" s="4">
        <v>306.58999999999997</v>
      </c>
      <c r="O1552" s="4">
        <v>170.29</v>
      </c>
      <c r="P1552" s="4">
        <v>9.27</v>
      </c>
      <c r="Q1552" s="4">
        <v>2.2599999999999998</v>
      </c>
      <c r="R1552" s="4">
        <v>2.78</v>
      </c>
      <c r="S1552" s="4">
        <v>234.02</v>
      </c>
      <c r="T1552" s="4">
        <v>0</v>
      </c>
      <c r="U1552" s="4">
        <v>418.62</v>
      </c>
      <c r="V1552" s="4">
        <v>-112.03</v>
      </c>
      <c r="W1552" t="s">
        <v>58</v>
      </c>
      <c r="X1552" t="s">
        <v>66</v>
      </c>
      <c r="Y1552" s="4">
        <v>4</v>
      </c>
      <c r="Z1552" s="4">
        <v>11</v>
      </c>
      <c r="AA1552" t="s">
        <v>37</v>
      </c>
      <c r="AB1552" t="s">
        <v>38</v>
      </c>
      <c r="AC1552" s="7">
        <v>3</v>
      </c>
      <c r="AD1552" t="s">
        <v>45</v>
      </c>
      <c r="AE1552">
        <f t="shared" si="24"/>
        <v>0</v>
      </c>
    </row>
    <row r="1553" spans="1:31" x14ac:dyDescent="0.35">
      <c r="A1553">
        <v>101552</v>
      </c>
      <c r="B1553" s="3">
        <v>46020</v>
      </c>
      <c r="C1553">
        <v>1110</v>
      </c>
      <c r="D1553" t="s">
        <v>64</v>
      </c>
      <c r="E1553" t="s">
        <v>76</v>
      </c>
      <c r="F1553" t="s">
        <v>32</v>
      </c>
      <c r="G1553" t="s">
        <v>63</v>
      </c>
      <c r="H1553" t="s">
        <v>34</v>
      </c>
      <c r="I1553" t="s">
        <v>35</v>
      </c>
      <c r="J1553" s="4">
        <v>11.6</v>
      </c>
      <c r="K1553" s="4">
        <v>12.36</v>
      </c>
      <c r="L1553">
        <v>5</v>
      </c>
      <c r="M1553" s="4">
        <v>7.17</v>
      </c>
      <c r="N1553" s="4">
        <v>136.21</v>
      </c>
      <c r="O1553" s="4">
        <v>81.77</v>
      </c>
      <c r="P1553" s="4">
        <v>2.4900000000000002</v>
      </c>
      <c r="Q1553" s="4">
        <v>1</v>
      </c>
      <c r="R1553" s="4">
        <v>0</v>
      </c>
      <c r="S1553" s="4">
        <v>0</v>
      </c>
      <c r="T1553" s="4">
        <v>0</v>
      </c>
      <c r="U1553" s="4">
        <v>85.26</v>
      </c>
      <c r="V1553" s="4">
        <v>50.95</v>
      </c>
      <c r="W1553" t="s">
        <v>21</v>
      </c>
      <c r="X1553" t="s">
        <v>36</v>
      </c>
      <c r="Y1553" s="4">
        <v>2</v>
      </c>
      <c r="Z1553" s="4">
        <v>9</v>
      </c>
      <c r="AA1553" t="s">
        <v>37</v>
      </c>
      <c r="AB1553" t="s">
        <v>38</v>
      </c>
      <c r="AC1553" s="7">
        <v>0</v>
      </c>
      <c r="AD1553" t="s">
        <v>39</v>
      </c>
      <c r="AE1553">
        <f t="shared" si="24"/>
        <v>0</v>
      </c>
    </row>
    <row r="1554" spans="1:31" x14ac:dyDescent="0.35">
      <c r="A1554">
        <v>101553</v>
      </c>
      <c r="B1554" s="3">
        <v>46009</v>
      </c>
      <c r="C1554">
        <v>1004</v>
      </c>
      <c r="D1554" t="s">
        <v>30</v>
      </c>
      <c r="E1554" t="s">
        <v>72</v>
      </c>
      <c r="F1554" t="s">
        <v>61</v>
      </c>
      <c r="G1554" t="s">
        <v>46</v>
      </c>
      <c r="H1554" t="s">
        <v>34</v>
      </c>
      <c r="I1554" t="s">
        <v>35</v>
      </c>
      <c r="J1554" s="4">
        <v>16.690000000000001</v>
      </c>
      <c r="K1554" s="4">
        <v>14.56</v>
      </c>
      <c r="L1554">
        <v>0</v>
      </c>
      <c r="M1554" s="4">
        <v>0</v>
      </c>
      <c r="N1554" s="4">
        <v>243.01</v>
      </c>
      <c r="O1554" s="4">
        <v>134.69</v>
      </c>
      <c r="P1554" s="4">
        <v>10.07</v>
      </c>
      <c r="Q1554" s="4">
        <v>1.7</v>
      </c>
      <c r="R1554" s="4">
        <v>8.8000000000000007</v>
      </c>
      <c r="S1554" s="4">
        <v>0</v>
      </c>
      <c r="T1554" s="4">
        <v>0</v>
      </c>
      <c r="U1554" s="4">
        <v>155.26</v>
      </c>
      <c r="V1554" s="4">
        <v>87.75</v>
      </c>
      <c r="W1554" t="s">
        <v>21</v>
      </c>
      <c r="X1554" t="s">
        <v>36</v>
      </c>
      <c r="Y1554" s="4">
        <v>9</v>
      </c>
      <c r="Z1554" s="4">
        <v>3</v>
      </c>
      <c r="AA1554" t="s">
        <v>37</v>
      </c>
      <c r="AB1554" t="s">
        <v>38</v>
      </c>
      <c r="AC1554" s="7">
        <v>0</v>
      </c>
      <c r="AD1554" t="s">
        <v>39</v>
      </c>
      <c r="AE1554">
        <f t="shared" si="24"/>
        <v>0</v>
      </c>
    </row>
    <row r="1555" spans="1:31" x14ac:dyDescent="0.35">
      <c r="A1555">
        <v>101554</v>
      </c>
      <c r="B1555" s="3">
        <v>46017</v>
      </c>
      <c r="C1555">
        <v>1001</v>
      </c>
      <c r="D1555" t="s">
        <v>59</v>
      </c>
      <c r="E1555" t="s">
        <v>70</v>
      </c>
      <c r="F1555" t="s">
        <v>41</v>
      </c>
      <c r="G1555" t="s">
        <v>50</v>
      </c>
      <c r="H1555" t="s">
        <v>34</v>
      </c>
      <c r="I1555" t="s">
        <v>35</v>
      </c>
      <c r="J1555" s="4">
        <v>26.98</v>
      </c>
      <c r="K1555" s="4">
        <v>16.62</v>
      </c>
      <c r="L1555">
        <v>5</v>
      </c>
      <c r="M1555" s="4">
        <v>22.42</v>
      </c>
      <c r="N1555" s="4">
        <v>425.99</v>
      </c>
      <c r="O1555" s="4">
        <v>186.3</v>
      </c>
      <c r="P1555" s="4">
        <v>9.32</v>
      </c>
      <c r="Q1555" s="4">
        <v>3.14</v>
      </c>
      <c r="R1555" s="4">
        <v>8.2100000000000009</v>
      </c>
      <c r="S1555" s="4">
        <v>0</v>
      </c>
      <c r="T1555" s="4">
        <v>0</v>
      </c>
      <c r="U1555" s="4">
        <v>206.97</v>
      </c>
      <c r="V1555" s="4">
        <v>219.02</v>
      </c>
      <c r="W1555" t="s">
        <v>21</v>
      </c>
      <c r="X1555" t="s">
        <v>36</v>
      </c>
      <c r="Y1555" s="4">
        <v>18</v>
      </c>
      <c r="Z1555" s="4">
        <v>20</v>
      </c>
      <c r="AA1555" t="s">
        <v>52</v>
      </c>
      <c r="AB1555" t="s">
        <v>44</v>
      </c>
      <c r="AC1555" s="7">
        <v>2</v>
      </c>
      <c r="AD1555" t="s">
        <v>45</v>
      </c>
      <c r="AE1555">
        <f t="shared" si="24"/>
        <v>1</v>
      </c>
    </row>
    <row r="1556" spans="1:31" x14ac:dyDescent="0.35">
      <c r="A1556">
        <v>101555</v>
      </c>
      <c r="B1556" s="3">
        <v>46018</v>
      </c>
      <c r="C1556">
        <v>1019</v>
      </c>
      <c r="D1556" t="s">
        <v>30</v>
      </c>
      <c r="E1556" t="s">
        <v>40</v>
      </c>
      <c r="F1556" t="s">
        <v>71</v>
      </c>
      <c r="G1556" t="s">
        <v>46</v>
      </c>
      <c r="H1556" t="s">
        <v>57</v>
      </c>
      <c r="I1556" t="s">
        <v>54</v>
      </c>
      <c r="J1556" s="4">
        <v>35.950000000000003</v>
      </c>
      <c r="K1556" s="4">
        <v>15.41</v>
      </c>
      <c r="L1556">
        <v>0</v>
      </c>
      <c r="M1556" s="4">
        <v>0</v>
      </c>
      <c r="N1556" s="4">
        <v>553.99</v>
      </c>
      <c r="O1556" s="4">
        <v>230.59</v>
      </c>
      <c r="P1556" s="4">
        <v>7.07</v>
      </c>
      <c r="Q1556" s="4">
        <v>6.65</v>
      </c>
      <c r="R1556" s="4">
        <v>5.58</v>
      </c>
      <c r="S1556" s="4">
        <v>0</v>
      </c>
      <c r="T1556" s="4">
        <v>0</v>
      </c>
      <c r="U1556" s="4">
        <v>249.89</v>
      </c>
      <c r="V1556" s="4">
        <v>304.10000000000002</v>
      </c>
      <c r="W1556" t="s">
        <v>21</v>
      </c>
      <c r="X1556" t="s">
        <v>36</v>
      </c>
      <c r="Y1556" s="4">
        <v>35</v>
      </c>
      <c r="Z1556" s="4">
        <v>4</v>
      </c>
      <c r="AA1556" t="s">
        <v>43</v>
      </c>
      <c r="AB1556" t="s">
        <v>44</v>
      </c>
      <c r="AC1556" s="7">
        <v>1</v>
      </c>
      <c r="AD1556" t="s">
        <v>45</v>
      </c>
      <c r="AE1556">
        <f t="shared" si="24"/>
        <v>1</v>
      </c>
    </row>
    <row r="1557" spans="1:31" x14ac:dyDescent="0.35">
      <c r="A1557">
        <v>101556</v>
      </c>
      <c r="B1557" s="3">
        <v>46019</v>
      </c>
      <c r="C1557">
        <v>1119</v>
      </c>
      <c r="D1557" t="s">
        <v>30</v>
      </c>
      <c r="E1557" t="s">
        <v>62</v>
      </c>
      <c r="F1557" t="s">
        <v>61</v>
      </c>
      <c r="G1557" t="s">
        <v>50</v>
      </c>
      <c r="H1557" t="s">
        <v>57</v>
      </c>
      <c r="I1557" t="s">
        <v>35</v>
      </c>
      <c r="J1557" s="4">
        <v>26.04</v>
      </c>
      <c r="K1557" s="4">
        <v>16.239999999999998</v>
      </c>
      <c r="L1557">
        <v>15</v>
      </c>
      <c r="M1557" s="4">
        <v>63.43</v>
      </c>
      <c r="N1557" s="4">
        <v>359.46</v>
      </c>
      <c r="O1557" s="4">
        <v>169.06</v>
      </c>
      <c r="P1557" s="4">
        <v>5.52</v>
      </c>
      <c r="Q1557" s="4">
        <v>2.96</v>
      </c>
      <c r="R1557" s="4">
        <v>7.23</v>
      </c>
      <c r="S1557" s="4">
        <v>0</v>
      </c>
      <c r="T1557" s="4">
        <v>0</v>
      </c>
      <c r="U1557" s="4">
        <v>184.77</v>
      </c>
      <c r="V1557" s="4">
        <v>174.69</v>
      </c>
      <c r="W1557" t="s">
        <v>21</v>
      </c>
      <c r="X1557" t="s">
        <v>36</v>
      </c>
      <c r="Y1557" s="4">
        <v>4</v>
      </c>
      <c r="Z1557" s="4">
        <v>4</v>
      </c>
      <c r="AA1557" t="s">
        <v>37</v>
      </c>
      <c r="AB1557" t="s">
        <v>38</v>
      </c>
      <c r="AC1557" s="7">
        <v>0</v>
      </c>
      <c r="AD1557" t="s">
        <v>39</v>
      </c>
      <c r="AE1557">
        <f t="shared" si="24"/>
        <v>0</v>
      </c>
    </row>
    <row r="1558" spans="1:31" x14ac:dyDescent="0.35">
      <c r="A1558">
        <v>101557</v>
      </c>
      <c r="B1558" s="3">
        <v>45939</v>
      </c>
      <c r="C1558">
        <v>1023</v>
      </c>
      <c r="D1558" t="s">
        <v>64</v>
      </c>
      <c r="E1558" t="s">
        <v>76</v>
      </c>
      <c r="F1558" t="s">
        <v>49</v>
      </c>
      <c r="G1558" t="s">
        <v>50</v>
      </c>
      <c r="H1558" t="s">
        <v>34</v>
      </c>
      <c r="I1558" t="s">
        <v>35</v>
      </c>
      <c r="J1558" s="4">
        <v>32.74</v>
      </c>
      <c r="K1558" s="4">
        <v>16.329999999999998</v>
      </c>
      <c r="L1558">
        <v>0</v>
      </c>
      <c r="M1558" s="4">
        <v>0</v>
      </c>
      <c r="N1558" s="4">
        <v>534.64</v>
      </c>
      <c r="O1558" s="4">
        <v>243.39</v>
      </c>
      <c r="P1558" s="4">
        <v>6.61</v>
      </c>
      <c r="Q1558" s="4">
        <v>3.74</v>
      </c>
      <c r="R1558" s="4">
        <v>1.78</v>
      </c>
      <c r="S1558" s="4">
        <v>469.84</v>
      </c>
      <c r="T1558" s="4">
        <v>0</v>
      </c>
      <c r="U1558" s="4">
        <v>725.36</v>
      </c>
      <c r="V1558" s="4">
        <v>-190.72</v>
      </c>
      <c r="W1558" t="s">
        <v>58</v>
      </c>
      <c r="X1558" t="s">
        <v>55</v>
      </c>
      <c r="Y1558" s="4">
        <v>45</v>
      </c>
      <c r="Z1558" s="4">
        <v>4</v>
      </c>
      <c r="AA1558" t="s">
        <v>43</v>
      </c>
      <c r="AB1558" t="s">
        <v>44</v>
      </c>
      <c r="AC1558" s="7">
        <v>1</v>
      </c>
      <c r="AD1558" t="s">
        <v>45</v>
      </c>
      <c r="AE1558">
        <f t="shared" si="24"/>
        <v>1</v>
      </c>
    </row>
    <row r="1559" spans="1:31" x14ac:dyDescent="0.35">
      <c r="A1559">
        <v>101558</v>
      </c>
      <c r="B1559" s="3">
        <v>45938</v>
      </c>
      <c r="C1559">
        <v>1080</v>
      </c>
      <c r="D1559" t="s">
        <v>59</v>
      </c>
      <c r="E1559" t="s">
        <v>68</v>
      </c>
      <c r="F1559" t="s">
        <v>49</v>
      </c>
      <c r="G1559" t="s">
        <v>50</v>
      </c>
      <c r="H1559" t="s">
        <v>34</v>
      </c>
      <c r="I1559" t="s">
        <v>35</v>
      </c>
      <c r="J1559" s="4">
        <v>33.869999999999997</v>
      </c>
      <c r="K1559" s="4">
        <v>17.89</v>
      </c>
      <c r="L1559">
        <v>10</v>
      </c>
      <c r="M1559" s="4">
        <v>60.59</v>
      </c>
      <c r="N1559" s="4">
        <v>545.34</v>
      </c>
      <c r="O1559" s="4">
        <v>262.06</v>
      </c>
      <c r="P1559" s="4">
        <v>15.65</v>
      </c>
      <c r="Q1559" s="4">
        <v>4.24</v>
      </c>
      <c r="R1559" s="4">
        <v>4.53</v>
      </c>
      <c r="S1559" s="4">
        <v>0</v>
      </c>
      <c r="T1559" s="4">
        <v>0</v>
      </c>
      <c r="U1559" s="4">
        <v>286.48</v>
      </c>
      <c r="V1559" s="4">
        <v>258.86</v>
      </c>
      <c r="W1559" t="s">
        <v>21</v>
      </c>
      <c r="X1559" t="s">
        <v>36</v>
      </c>
      <c r="Y1559" s="4">
        <v>32</v>
      </c>
      <c r="Z1559" s="4">
        <v>0</v>
      </c>
      <c r="AA1559" t="s">
        <v>43</v>
      </c>
      <c r="AB1559" t="s">
        <v>44</v>
      </c>
      <c r="AC1559" s="7">
        <v>1</v>
      </c>
      <c r="AD1559" t="s">
        <v>45</v>
      </c>
      <c r="AE1559">
        <f t="shared" si="24"/>
        <v>1</v>
      </c>
    </row>
    <row r="1560" spans="1:31" x14ac:dyDescent="0.35">
      <c r="A1560">
        <v>101559</v>
      </c>
      <c r="B1560" s="3">
        <v>46006</v>
      </c>
      <c r="C1560">
        <v>1056</v>
      </c>
      <c r="D1560" t="s">
        <v>30</v>
      </c>
      <c r="E1560" t="s">
        <v>72</v>
      </c>
      <c r="F1560" t="s">
        <v>71</v>
      </c>
      <c r="G1560" t="s">
        <v>50</v>
      </c>
      <c r="H1560" t="s">
        <v>34</v>
      </c>
      <c r="I1560" t="s">
        <v>35</v>
      </c>
      <c r="J1560" s="4">
        <v>28.38</v>
      </c>
      <c r="K1560" s="4">
        <v>17.28</v>
      </c>
      <c r="L1560">
        <v>10</v>
      </c>
      <c r="M1560" s="4">
        <v>49.04</v>
      </c>
      <c r="N1560" s="4">
        <v>441.37</v>
      </c>
      <c r="O1560" s="4">
        <v>180.99</v>
      </c>
      <c r="P1560" s="4">
        <v>11.12</v>
      </c>
      <c r="Q1560" s="4">
        <v>3.43</v>
      </c>
      <c r="R1560" s="4">
        <v>1.22</v>
      </c>
      <c r="S1560" s="4">
        <v>0</v>
      </c>
      <c r="T1560" s="4">
        <v>0</v>
      </c>
      <c r="U1560" s="4">
        <v>196.76</v>
      </c>
      <c r="V1560" s="4">
        <v>244.61</v>
      </c>
      <c r="W1560" t="s">
        <v>21</v>
      </c>
      <c r="X1560" t="s">
        <v>36</v>
      </c>
      <c r="Y1560" s="4">
        <v>19</v>
      </c>
      <c r="Z1560" s="4">
        <v>3</v>
      </c>
      <c r="AA1560" t="s">
        <v>52</v>
      </c>
      <c r="AB1560" t="s">
        <v>38</v>
      </c>
      <c r="AC1560" s="7">
        <v>1</v>
      </c>
      <c r="AD1560" t="s">
        <v>39</v>
      </c>
      <c r="AE1560">
        <f t="shared" si="24"/>
        <v>0</v>
      </c>
    </row>
    <row r="1561" spans="1:31" x14ac:dyDescent="0.35">
      <c r="A1561">
        <v>101560</v>
      </c>
      <c r="B1561" s="3">
        <v>45937</v>
      </c>
      <c r="C1561">
        <v>1098</v>
      </c>
      <c r="D1561" t="s">
        <v>30</v>
      </c>
      <c r="E1561" t="s">
        <v>40</v>
      </c>
      <c r="F1561" t="s">
        <v>71</v>
      </c>
      <c r="G1561" t="s">
        <v>63</v>
      </c>
      <c r="H1561" t="s">
        <v>34</v>
      </c>
      <c r="I1561" t="s">
        <v>35</v>
      </c>
      <c r="J1561" s="4">
        <v>11.81</v>
      </c>
      <c r="K1561" s="4">
        <v>13.6</v>
      </c>
      <c r="L1561">
        <v>0</v>
      </c>
      <c r="M1561" s="4">
        <v>0</v>
      </c>
      <c r="N1561" s="4">
        <v>160.62</v>
      </c>
      <c r="O1561" s="4">
        <v>90.17</v>
      </c>
      <c r="P1561" s="4">
        <v>7.48</v>
      </c>
      <c r="Q1561" s="4">
        <v>1.1200000000000001</v>
      </c>
      <c r="R1561" s="4">
        <v>4.08</v>
      </c>
      <c r="S1561" s="4">
        <v>0</v>
      </c>
      <c r="T1561" s="4">
        <v>0</v>
      </c>
      <c r="U1561" s="4">
        <v>102.85</v>
      </c>
      <c r="V1561" s="4">
        <v>57.77</v>
      </c>
      <c r="W1561" t="s">
        <v>21</v>
      </c>
      <c r="X1561" t="s">
        <v>36</v>
      </c>
      <c r="Y1561" s="4">
        <v>24</v>
      </c>
      <c r="Z1561" s="4">
        <v>5</v>
      </c>
      <c r="AA1561" t="s">
        <v>52</v>
      </c>
      <c r="AB1561" t="s">
        <v>44</v>
      </c>
      <c r="AC1561" s="7">
        <v>2</v>
      </c>
      <c r="AD1561" t="s">
        <v>45</v>
      </c>
      <c r="AE1561">
        <f t="shared" si="24"/>
        <v>1</v>
      </c>
    </row>
    <row r="1562" spans="1:31" x14ac:dyDescent="0.35">
      <c r="A1562">
        <v>101561</v>
      </c>
      <c r="B1562" s="3">
        <v>45997</v>
      </c>
      <c r="C1562">
        <v>1010</v>
      </c>
      <c r="D1562" t="s">
        <v>64</v>
      </c>
      <c r="E1562" t="s">
        <v>67</v>
      </c>
      <c r="F1562" t="s">
        <v>61</v>
      </c>
      <c r="G1562" t="s">
        <v>46</v>
      </c>
      <c r="H1562" t="s">
        <v>34</v>
      </c>
      <c r="I1562" t="s">
        <v>35</v>
      </c>
      <c r="J1562" s="4">
        <v>31.75</v>
      </c>
      <c r="K1562" s="4">
        <v>15.27</v>
      </c>
      <c r="L1562">
        <v>0</v>
      </c>
      <c r="M1562" s="4">
        <v>0</v>
      </c>
      <c r="N1562" s="4">
        <v>484.82</v>
      </c>
      <c r="O1562" s="4">
        <v>238.65</v>
      </c>
      <c r="P1562" s="4">
        <v>6.51</v>
      </c>
      <c r="Q1562" s="4">
        <v>3.39</v>
      </c>
      <c r="R1562" s="4">
        <v>6.51</v>
      </c>
      <c r="S1562" s="4">
        <v>239.21</v>
      </c>
      <c r="T1562" s="4">
        <v>0</v>
      </c>
      <c r="U1562" s="4">
        <v>494.27</v>
      </c>
      <c r="V1562" s="4">
        <v>-9.4499999999999993</v>
      </c>
      <c r="W1562" t="s">
        <v>58</v>
      </c>
      <c r="X1562" t="s">
        <v>55</v>
      </c>
      <c r="Y1562" s="4">
        <v>12</v>
      </c>
      <c r="Z1562" s="4">
        <v>4</v>
      </c>
      <c r="AA1562" t="s">
        <v>37</v>
      </c>
      <c r="AB1562" t="s">
        <v>44</v>
      </c>
      <c r="AC1562" s="7">
        <v>1</v>
      </c>
      <c r="AD1562" t="s">
        <v>45</v>
      </c>
      <c r="AE1562">
        <f t="shared" si="24"/>
        <v>1</v>
      </c>
    </row>
    <row r="1563" spans="1:31" x14ac:dyDescent="0.35">
      <c r="A1563">
        <v>101562</v>
      </c>
      <c r="B1563" s="3">
        <v>45970</v>
      </c>
      <c r="C1563">
        <v>1059</v>
      </c>
      <c r="D1563" t="s">
        <v>59</v>
      </c>
      <c r="E1563" t="s">
        <v>73</v>
      </c>
      <c r="F1563" t="s">
        <v>61</v>
      </c>
      <c r="G1563" t="s">
        <v>50</v>
      </c>
      <c r="H1563" t="s">
        <v>34</v>
      </c>
      <c r="I1563" t="s">
        <v>35</v>
      </c>
      <c r="J1563" s="4">
        <v>47.09</v>
      </c>
      <c r="K1563" s="4">
        <v>16.8</v>
      </c>
      <c r="L1563">
        <v>0</v>
      </c>
      <c r="M1563" s="4">
        <v>0</v>
      </c>
      <c r="N1563" s="4">
        <v>791.11</v>
      </c>
      <c r="O1563" s="4">
        <v>412.43</v>
      </c>
      <c r="P1563" s="4">
        <v>8.26</v>
      </c>
      <c r="Q1563" s="4">
        <v>5.54</v>
      </c>
      <c r="R1563" s="4">
        <v>12.14</v>
      </c>
      <c r="S1563" s="4">
        <v>0</v>
      </c>
      <c r="T1563" s="4">
        <v>0</v>
      </c>
      <c r="U1563" s="4">
        <v>438.37</v>
      </c>
      <c r="V1563" s="4">
        <v>352.74</v>
      </c>
      <c r="W1563" t="s">
        <v>21</v>
      </c>
      <c r="X1563" t="s">
        <v>36</v>
      </c>
      <c r="Y1563" s="4">
        <v>1</v>
      </c>
      <c r="Z1563" s="4">
        <v>7</v>
      </c>
      <c r="AA1563" t="s">
        <v>37</v>
      </c>
      <c r="AB1563" t="s">
        <v>38</v>
      </c>
      <c r="AC1563" s="7">
        <v>0</v>
      </c>
      <c r="AD1563" t="s">
        <v>39</v>
      </c>
      <c r="AE1563">
        <f t="shared" si="24"/>
        <v>0</v>
      </c>
    </row>
    <row r="1564" spans="1:31" x14ac:dyDescent="0.35">
      <c r="A1564">
        <v>101563</v>
      </c>
      <c r="B1564" s="3">
        <v>45957</v>
      </c>
      <c r="C1564">
        <v>1088</v>
      </c>
      <c r="D1564" t="s">
        <v>64</v>
      </c>
      <c r="E1564" t="s">
        <v>67</v>
      </c>
      <c r="F1564" t="s">
        <v>71</v>
      </c>
      <c r="G1564" t="s">
        <v>33</v>
      </c>
      <c r="H1564" t="s">
        <v>57</v>
      </c>
      <c r="I1564" t="s">
        <v>35</v>
      </c>
      <c r="J1564" s="4">
        <v>18.170000000000002</v>
      </c>
      <c r="K1564" s="4">
        <v>20.04</v>
      </c>
      <c r="L1564">
        <v>0</v>
      </c>
      <c r="M1564" s="4">
        <v>0</v>
      </c>
      <c r="N1564" s="4">
        <v>364.13</v>
      </c>
      <c r="O1564" s="4">
        <v>150.38</v>
      </c>
      <c r="P1564" s="4">
        <v>5.99</v>
      </c>
      <c r="Q1564" s="4">
        <v>2.5499999999999998</v>
      </c>
      <c r="R1564" s="4">
        <v>2.17</v>
      </c>
      <c r="S1564" s="4">
        <v>170.45</v>
      </c>
      <c r="T1564" s="4">
        <v>24.31</v>
      </c>
      <c r="U1564" s="4">
        <v>355.85</v>
      </c>
      <c r="V1564" s="4">
        <v>8.2799999999999994</v>
      </c>
      <c r="W1564" t="s">
        <v>21</v>
      </c>
      <c r="X1564" t="s">
        <v>55</v>
      </c>
      <c r="Y1564" s="4">
        <v>5</v>
      </c>
      <c r="Z1564" s="4">
        <v>2</v>
      </c>
      <c r="AA1564" t="s">
        <v>37</v>
      </c>
      <c r="AB1564" t="s">
        <v>44</v>
      </c>
      <c r="AC1564" s="7">
        <v>3</v>
      </c>
      <c r="AD1564" t="s">
        <v>45</v>
      </c>
      <c r="AE1564">
        <f t="shared" si="24"/>
        <v>1</v>
      </c>
    </row>
    <row r="1565" spans="1:31" x14ac:dyDescent="0.35">
      <c r="A1565">
        <v>101564</v>
      </c>
      <c r="B1565" s="3">
        <v>45956</v>
      </c>
      <c r="C1565">
        <v>1021</v>
      </c>
      <c r="D1565" t="s">
        <v>64</v>
      </c>
      <c r="E1565" t="s">
        <v>65</v>
      </c>
      <c r="F1565" t="s">
        <v>41</v>
      </c>
      <c r="G1565" t="s">
        <v>46</v>
      </c>
      <c r="H1565" t="s">
        <v>34</v>
      </c>
      <c r="I1565" t="s">
        <v>35</v>
      </c>
      <c r="J1565" s="4">
        <v>11.8</v>
      </c>
      <c r="K1565" s="4">
        <v>16.12</v>
      </c>
      <c r="L1565">
        <v>0</v>
      </c>
      <c r="M1565" s="4">
        <v>0</v>
      </c>
      <c r="N1565" s="4">
        <v>190.22</v>
      </c>
      <c r="O1565" s="4">
        <v>103.05</v>
      </c>
      <c r="P1565" s="4">
        <v>10.24</v>
      </c>
      <c r="Q1565" s="4">
        <v>1.33</v>
      </c>
      <c r="R1565" s="4">
        <v>3.89</v>
      </c>
      <c r="S1565" s="4">
        <v>0</v>
      </c>
      <c r="T1565" s="4">
        <v>0</v>
      </c>
      <c r="U1565" s="4">
        <v>118.51</v>
      </c>
      <c r="V1565" s="4">
        <v>71.709999999999994</v>
      </c>
      <c r="W1565" t="s">
        <v>21</v>
      </c>
      <c r="X1565" t="s">
        <v>36</v>
      </c>
      <c r="Y1565" s="4">
        <v>5</v>
      </c>
      <c r="Z1565" s="4">
        <v>23</v>
      </c>
      <c r="AA1565" t="s">
        <v>37</v>
      </c>
      <c r="AB1565" t="s">
        <v>44</v>
      </c>
      <c r="AC1565" s="7">
        <v>1</v>
      </c>
      <c r="AD1565" t="s">
        <v>45</v>
      </c>
      <c r="AE1565">
        <f t="shared" si="24"/>
        <v>1</v>
      </c>
    </row>
    <row r="1566" spans="1:31" x14ac:dyDescent="0.35">
      <c r="A1566">
        <v>101565</v>
      </c>
      <c r="B1566" s="3">
        <v>46006</v>
      </c>
      <c r="C1566">
        <v>1047</v>
      </c>
      <c r="D1566" t="s">
        <v>59</v>
      </c>
      <c r="E1566" t="s">
        <v>60</v>
      </c>
      <c r="F1566" t="s">
        <v>49</v>
      </c>
      <c r="G1566" t="s">
        <v>50</v>
      </c>
      <c r="H1566" t="s">
        <v>34</v>
      </c>
      <c r="I1566" t="s">
        <v>42</v>
      </c>
      <c r="J1566" s="4">
        <v>31.24</v>
      </c>
      <c r="K1566" s="4">
        <v>16.89</v>
      </c>
      <c r="L1566">
        <v>0</v>
      </c>
      <c r="M1566" s="4">
        <v>0</v>
      </c>
      <c r="N1566" s="4">
        <v>527.64</v>
      </c>
      <c r="O1566" s="4">
        <v>233.5</v>
      </c>
      <c r="P1566" s="4">
        <v>8.98</v>
      </c>
      <c r="Q1566" s="4">
        <v>7.91</v>
      </c>
      <c r="R1566" s="4">
        <v>3.56</v>
      </c>
      <c r="S1566" s="4">
        <v>0</v>
      </c>
      <c r="T1566" s="4">
        <v>0</v>
      </c>
      <c r="U1566" s="4">
        <v>253.95</v>
      </c>
      <c r="V1566" s="4">
        <v>273.69</v>
      </c>
      <c r="W1566" t="s">
        <v>21</v>
      </c>
      <c r="X1566" t="s">
        <v>36</v>
      </c>
      <c r="Y1566" s="4">
        <v>2</v>
      </c>
      <c r="Z1566" s="4">
        <v>1</v>
      </c>
      <c r="AA1566" t="s">
        <v>37</v>
      </c>
      <c r="AB1566" t="s">
        <v>38</v>
      </c>
      <c r="AC1566" s="7">
        <v>0</v>
      </c>
      <c r="AD1566" t="s">
        <v>39</v>
      </c>
      <c r="AE1566">
        <f t="shared" si="24"/>
        <v>0</v>
      </c>
    </row>
    <row r="1567" spans="1:31" x14ac:dyDescent="0.35">
      <c r="A1567">
        <v>101566</v>
      </c>
      <c r="B1567" s="3">
        <v>46008</v>
      </c>
      <c r="C1567">
        <v>1005</v>
      </c>
      <c r="D1567" t="s">
        <v>64</v>
      </c>
      <c r="E1567" t="s">
        <v>75</v>
      </c>
      <c r="F1567" t="s">
        <v>49</v>
      </c>
      <c r="G1567" t="s">
        <v>63</v>
      </c>
      <c r="H1567" t="s">
        <v>57</v>
      </c>
      <c r="I1567" t="s">
        <v>35</v>
      </c>
      <c r="J1567" s="4">
        <v>18.3</v>
      </c>
      <c r="K1567" s="4">
        <v>12.94</v>
      </c>
      <c r="L1567">
        <v>15</v>
      </c>
      <c r="M1567" s="4">
        <v>35.520000000000003</v>
      </c>
      <c r="N1567" s="4">
        <v>201.28</v>
      </c>
      <c r="O1567" s="4">
        <v>132.63</v>
      </c>
      <c r="P1567" s="4">
        <v>9.0399999999999991</v>
      </c>
      <c r="Q1567" s="4">
        <v>1.66</v>
      </c>
      <c r="R1567" s="4">
        <v>3.12</v>
      </c>
      <c r="S1567" s="4">
        <v>0</v>
      </c>
      <c r="T1567" s="4">
        <v>0</v>
      </c>
      <c r="U1567" s="4">
        <v>146.44999999999999</v>
      </c>
      <c r="V1567" s="4">
        <v>54.83</v>
      </c>
      <c r="W1567" t="s">
        <v>21</v>
      </c>
      <c r="X1567" t="s">
        <v>36</v>
      </c>
      <c r="Y1567" s="4">
        <v>10</v>
      </c>
      <c r="Z1567" s="4">
        <v>12</v>
      </c>
      <c r="AA1567" t="s">
        <v>37</v>
      </c>
      <c r="AB1567" t="s">
        <v>38</v>
      </c>
      <c r="AC1567" s="7">
        <v>0</v>
      </c>
      <c r="AD1567" t="s">
        <v>39</v>
      </c>
      <c r="AE1567">
        <f t="shared" si="24"/>
        <v>0</v>
      </c>
    </row>
    <row r="1568" spans="1:31" x14ac:dyDescent="0.35">
      <c r="A1568">
        <v>101567</v>
      </c>
      <c r="B1568" s="3">
        <v>45987</v>
      </c>
      <c r="C1568">
        <v>1064</v>
      </c>
      <c r="D1568" t="s">
        <v>64</v>
      </c>
      <c r="E1568" t="s">
        <v>75</v>
      </c>
      <c r="F1568" t="s">
        <v>61</v>
      </c>
      <c r="G1568" t="s">
        <v>33</v>
      </c>
      <c r="H1568" t="s">
        <v>34</v>
      </c>
      <c r="I1568" t="s">
        <v>42</v>
      </c>
      <c r="J1568" s="4">
        <v>31.61</v>
      </c>
      <c r="K1568" s="4">
        <v>19.07</v>
      </c>
      <c r="L1568">
        <v>5</v>
      </c>
      <c r="M1568" s="4">
        <v>30.14</v>
      </c>
      <c r="N1568" s="4">
        <v>572.66</v>
      </c>
      <c r="O1568" s="4">
        <v>240.92</v>
      </c>
      <c r="P1568" s="4">
        <v>7.22</v>
      </c>
      <c r="Q1568" s="4">
        <v>9.0399999999999991</v>
      </c>
      <c r="R1568" s="4">
        <v>9.57</v>
      </c>
      <c r="S1568" s="4">
        <v>0</v>
      </c>
      <c r="T1568" s="4">
        <v>0</v>
      </c>
      <c r="U1568" s="4">
        <v>266.75</v>
      </c>
      <c r="V1568" s="4">
        <v>305.91000000000003</v>
      </c>
      <c r="W1568" t="s">
        <v>21</v>
      </c>
      <c r="X1568" t="s">
        <v>36</v>
      </c>
      <c r="Y1568" s="4">
        <v>2</v>
      </c>
      <c r="Z1568" s="4">
        <v>8</v>
      </c>
      <c r="AA1568" t="s">
        <v>37</v>
      </c>
      <c r="AB1568" t="s">
        <v>38</v>
      </c>
      <c r="AC1568" s="7">
        <v>0</v>
      </c>
      <c r="AD1568" t="s">
        <v>39</v>
      </c>
      <c r="AE1568">
        <f t="shared" si="24"/>
        <v>0</v>
      </c>
    </row>
    <row r="1569" spans="1:31" x14ac:dyDescent="0.35">
      <c r="A1569">
        <v>101568</v>
      </c>
      <c r="B1569" s="3">
        <v>45964</v>
      </c>
      <c r="C1569">
        <v>1084</v>
      </c>
      <c r="D1569" t="s">
        <v>30</v>
      </c>
      <c r="E1569" t="s">
        <v>72</v>
      </c>
      <c r="F1569" t="s">
        <v>49</v>
      </c>
      <c r="G1569" t="s">
        <v>33</v>
      </c>
      <c r="H1569" t="s">
        <v>51</v>
      </c>
      <c r="I1569" t="s">
        <v>54</v>
      </c>
      <c r="J1569" s="4">
        <v>15.56</v>
      </c>
      <c r="K1569" s="4">
        <v>19.04</v>
      </c>
      <c r="L1569">
        <v>5</v>
      </c>
      <c r="M1569" s="4">
        <v>14.81</v>
      </c>
      <c r="N1569" s="4">
        <v>281.45</v>
      </c>
      <c r="O1569" s="4">
        <v>118.29</v>
      </c>
      <c r="P1569" s="4">
        <v>9.8800000000000008</v>
      </c>
      <c r="Q1569" s="4">
        <v>3.56</v>
      </c>
      <c r="R1569" s="4">
        <v>3.76</v>
      </c>
      <c r="S1569" s="4">
        <v>0</v>
      </c>
      <c r="T1569" s="4">
        <v>0</v>
      </c>
      <c r="U1569" s="4">
        <v>135.49</v>
      </c>
      <c r="V1569" s="4">
        <v>145.96</v>
      </c>
      <c r="W1569" t="s">
        <v>21</v>
      </c>
      <c r="X1569" t="s">
        <v>36</v>
      </c>
      <c r="Y1569" s="4">
        <v>10</v>
      </c>
      <c r="Z1569" s="4">
        <v>6</v>
      </c>
      <c r="AA1569" t="s">
        <v>37</v>
      </c>
      <c r="AB1569" t="s">
        <v>38</v>
      </c>
      <c r="AC1569" s="7">
        <v>0</v>
      </c>
      <c r="AD1569" t="s">
        <v>39</v>
      </c>
      <c r="AE1569">
        <f t="shared" si="24"/>
        <v>0</v>
      </c>
    </row>
    <row r="1570" spans="1:31" x14ac:dyDescent="0.35">
      <c r="A1570">
        <v>101569</v>
      </c>
      <c r="B1570" s="3">
        <v>46021</v>
      </c>
      <c r="C1570">
        <v>1139</v>
      </c>
      <c r="D1570" t="s">
        <v>47</v>
      </c>
      <c r="E1570" t="s">
        <v>48</v>
      </c>
      <c r="F1570" t="s">
        <v>61</v>
      </c>
      <c r="G1570" t="s">
        <v>46</v>
      </c>
      <c r="H1570" t="s">
        <v>57</v>
      </c>
      <c r="I1570" t="s">
        <v>35</v>
      </c>
      <c r="J1570" s="4">
        <v>17.16</v>
      </c>
      <c r="K1570" s="4">
        <v>14.57</v>
      </c>
      <c r="L1570">
        <v>15</v>
      </c>
      <c r="M1570" s="4">
        <v>37.5</v>
      </c>
      <c r="N1570" s="4">
        <v>212.52</v>
      </c>
      <c r="O1570" s="4">
        <v>129.37</v>
      </c>
      <c r="P1570" s="4">
        <v>4.3600000000000003</v>
      </c>
      <c r="Q1570" s="4">
        <v>1.75</v>
      </c>
      <c r="R1570" s="4">
        <v>4.7699999999999996</v>
      </c>
      <c r="S1570" s="4">
        <v>0</v>
      </c>
      <c r="T1570" s="4">
        <v>0</v>
      </c>
      <c r="U1570" s="4">
        <v>140.25</v>
      </c>
      <c r="V1570" s="4">
        <v>72.27</v>
      </c>
      <c r="W1570" t="s">
        <v>21</v>
      </c>
      <c r="X1570" t="s">
        <v>36</v>
      </c>
      <c r="Y1570" s="4">
        <v>24</v>
      </c>
      <c r="Z1570" s="4">
        <v>1</v>
      </c>
      <c r="AA1570" t="s">
        <v>52</v>
      </c>
      <c r="AB1570" t="s">
        <v>44</v>
      </c>
      <c r="AC1570" s="7">
        <v>2</v>
      </c>
      <c r="AD1570" t="s">
        <v>45</v>
      </c>
      <c r="AE1570">
        <f t="shared" si="24"/>
        <v>1</v>
      </c>
    </row>
    <row r="1571" spans="1:31" x14ac:dyDescent="0.35">
      <c r="A1571">
        <v>101570</v>
      </c>
      <c r="B1571" s="3">
        <v>45960</v>
      </c>
      <c r="C1571">
        <v>1028</v>
      </c>
      <c r="D1571" t="s">
        <v>59</v>
      </c>
      <c r="E1571" t="s">
        <v>60</v>
      </c>
      <c r="F1571" t="s">
        <v>41</v>
      </c>
      <c r="G1571" t="s">
        <v>63</v>
      </c>
      <c r="H1571" t="s">
        <v>34</v>
      </c>
      <c r="I1571" t="s">
        <v>35</v>
      </c>
      <c r="J1571" s="4">
        <v>29.3</v>
      </c>
      <c r="K1571" s="4">
        <v>13.16</v>
      </c>
      <c r="L1571">
        <v>15</v>
      </c>
      <c r="M1571" s="4">
        <v>57.84</v>
      </c>
      <c r="N1571" s="4">
        <v>327.75</v>
      </c>
      <c r="O1571" s="4">
        <v>209.59</v>
      </c>
      <c r="P1571" s="4">
        <v>5.0599999999999996</v>
      </c>
      <c r="Q1571" s="4">
        <v>2.7</v>
      </c>
      <c r="R1571" s="4">
        <v>8.91</v>
      </c>
      <c r="S1571" s="4">
        <v>205.19</v>
      </c>
      <c r="T1571" s="4">
        <v>0</v>
      </c>
      <c r="U1571" s="4">
        <v>431.45</v>
      </c>
      <c r="V1571" s="4">
        <v>-103.7</v>
      </c>
      <c r="W1571" t="s">
        <v>58</v>
      </c>
      <c r="X1571" t="s">
        <v>55</v>
      </c>
      <c r="Y1571" s="4">
        <v>3</v>
      </c>
      <c r="Z1571" s="4">
        <v>11</v>
      </c>
      <c r="AA1571" t="s">
        <v>37</v>
      </c>
      <c r="AB1571" t="s">
        <v>44</v>
      </c>
      <c r="AC1571" s="7">
        <v>2</v>
      </c>
      <c r="AD1571" t="s">
        <v>45</v>
      </c>
      <c r="AE1571">
        <f t="shared" si="24"/>
        <v>1</v>
      </c>
    </row>
    <row r="1572" spans="1:31" x14ac:dyDescent="0.35">
      <c r="A1572">
        <v>101571</v>
      </c>
      <c r="B1572" s="3">
        <v>45992</v>
      </c>
      <c r="C1572">
        <v>1036</v>
      </c>
      <c r="D1572" t="s">
        <v>64</v>
      </c>
      <c r="E1572" t="s">
        <v>65</v>
      </c>
      <c r="F1572" t="s">
        <v>49</v>
      </c>
      <c r="G1572" t="s">
        <v>50</v>
      </c>
      <c r="H1572" t="s">
        <v>51</v>
      </c>
      <c r="I1572" t="s">
        <v>69</v>
      </c>
      <c r="J1572" s="4">
        <v>42.71</v>
      </c>
      <c r="K1572" s="4">
        <v>17.77</v>
      </c>
      <c r="L1572">
        <v>15</v>
      </c>
      <c r="M1572" s="4">
        <v>113.84</v>
      </c>
      <c r="N1572" s="4">
        <v>645.12</v>
      </c>
      <c r="O1572" s="4">
        <v>260.82</v>
      </c>
      <c r="P1572" s="4">
        <v>11.58</v>
      </c>
      <c r="Q1572" s="4">
        <v>3.04</v>
      </c>
      <c r="R1572" s="4">
        <v>6.46</v>
      </c>
      <c r="S1572" s="4">
        <v>0</v>
      </c>
      <c r="T1572" s="4">
        <v>0</v>
      </c>
      <c r="U1572" s="4">
        <v>281.89999999999998</v>
      </c>
      <c r="V1572" s="4">
        <v>363.22</v>
      </c>
      <c r="W1572" t="s">
        <v>21</v>
      </c>
      <c r="X1572" t="s">
        <v>36</v>
      </c>
      <c r="Y1572" s="4">
        <v>6</v>
      </c>
      <c r="Z1572" s="4">
        <v>6</v>
      </c>
      <c r="AA1572" t="s">
        <v>37</v>
      </c>
      <c r="AB1572" t="s">
        <v>38</v>
      </c>
      <c r="AC1572" s="7">
        <v>0</v>
      </c>
      <c r="AD1572" t="s">
        <v>39</v>
      </c>
      <c r="AE1572">
        <f t="shared" si="24"/>
        <v>0</v>
      </c>
    </row>
    <row r="1573" spans="1:31" x14ac:dyDescent="0.35">
      <c r="A1573">
        <v>101572</v>
      </c>
      <c r="B1573" s="3">
        <v>46004</v>
      </c>
      <c r="C1573">
        <v>1117</v>
      </c>
      <c r="D1573" t="s">
        <v>47</v>
      </c>
      <c r="E1573" t="s">
        <v>56</v>
      </c>
      <c r="F1573" t="s">
        <v>71</v>
      </c>
      <c r="G1573" t="s">
        <v>33</v>
      </c>
      <c r="H1573" t="s">
        <v>51</v>
      </c>
      <c r="I1573" t="s">
        <v>42</v>
      </c>
      <c r="J1573" s="4">
        <v>33.6</v>
      </c>
      <c r="K1573" s="4">
        <v>18.649999999999999</v>
      </c>
      <c r="L1573">
        <v>0</v>
      </c>
      <c r="M1573" s="4">
        <v>0</v>
      </c>
      <c r="N1573" s="4">
        <v>626.64</v>
      </c>
      <c r="O1573" s="4">
        <v>217.56</v>
      </c>
      <c r="P1573" s="4">
        <v>4.6100000000000003</v>
      </c>
      <c r="Q1573" s="4">
        <v>9.4</v>
      </c>
      <c r="R1573" s="4">
        <v>6.52</v>
      </c>
      <c r="S1573" s="4">
        <v>0</v>
      </c>
      <c r="T1573" s="4">
        <v>0</v>
      </c>
      <c r="U1573" s="4">
        <v>238.09</v>
      </c>
      <c r="V1573" s="4">
        <v>388.55</v>
      </c>
      <c r="W1573" t="s">
        <v>21</v>
      </c>
      <c r="X1573" t="s">
        <v>36</v>
      </c>
      <c r="Y1573" s="4">
        <v>37</v>
      </c>
      <c r="Z1573" s="4">
        <v>8</v>
      </c>
      <c r="AA1573" t="s">
        <v>43</v>
      </c>
      <c r="AB1573" t="s">
        <v>44</v>
      </c>
      <c r="AC1573" s="7">
        <v>2</v>
      </c>
      <c r="AD1573" t="s">
        <v>45</v>
      </c>
      <c r="AE1573">
        <f t="shared" si="24"/>
        <v>1</v>
      </c>
    </row>
    <row r="1574" spans="1:31" x14ac:dyDescent="0.35">
      <c r="A1574">
        <v>101573</v>
      </c>
      <c r="B1574" s="3">
        <v>45984</v>
      </c>
      <c r="C1574">
        <v>1147</v>
      </c>
      <c r="D1574" t="s">
        <v>30</v>
      </c>
      <c r="E1574" t="s">
        <v>62</v>
      </c>
      <c r="F1574" t="s">
        <v>32</v>
      </c>
      <c r="G1574" t="s">
        <v>63</v>
      </c>
      <c r="H1574" t="s">
        <v>57</v>
      </c>
      <c r="I1574" t="s">
        <v>35</v>
      </c>
      <c r="J1574" s="4">
        <v>15.49</v>
      </c>
      <c r="K1574" s="4">
        <v>12.57</v>
      </c>
      <c r="L1574">
        <v>10</v>
      </c>
      <c r="M1574" s="4">
        <v>19.47</v>
      </c>
      <c r="N1574" s="4">
        <v>175.24</v>
      </c>
      <c r="O1574" s="4">
        <v>107.47</v>
      </c>
      <c r="P1574" s="4">
        <v>8.11</v>
      </c>
      <c r="Q1574" s="4">
        <v>1.36</v>
      </c>
      <c r="R1574" s="4">
        <v>10.43</v>
      </c>
      <c r="S1574" s="4">
        <v>0</v>
      </c>
      <c r="T1574" s="4">
        <v>0</v>
      </c>
      <c r="U1574" s="4">
        <v>127.37</v>
      </c>
      <c r="V1574" s="4">
        <v>47.87</v>
      </c>
      <c r="W1574" t="s">
        <v>21</v>
      </c>
      <c r="X1574" t="s">
        <v>36</v>
      </c>
      <c r="Y1574" s="4">
        <v>19</v>
      </c>
      <c r="Z1574" s="4">
        <v>14</v>
      </c>
      <c r="AA1574" t="s">
        <v>52</v>
      </c>
      <c r="AB1574" t="s">
        <v>38</v>
      </c>
      <c r="AC1574" s="7">
        <v>0</v>
      </c>
      <c r="AD1574" t="s">
        <v>39</v>
      </c>
      <c r="AE1574">
        <f t="shared" si="24"/>
        <v>0</v>
      </c>
    </row>
    <row r="1575" spans="1:31" x14ac:dyDescent="0.35">
      <c r="A1575">
        <v>101574</v>
      </c>
      <c r="B1575" s="3">
        <v>46015</v>
      </c>
      <c r="C1575">
        <v>1004</v>
      </c>
      <c r="D1575" t="s">
        <v>30</v>
      </c>
      <c r="E1575" t="s">
        <v>72</v>
      </c>
      <c r="F1575" t="s">
        <v>41</v>
      </c>
      <c r="G1575" t="s">
        <v>63</v>
      </c>
      <c r="H1575" t="s">
        <v>34</v>
      </c>
      <c r="I1575" t="s">
        <v>35</v>
      </c>
      <c r="J1575" s="4">
        <v>13.54</v>
      </c>
      <c r="K1575" s="4">
        <v>11.7</v>
      </c>
      <c r="L1575">
        <v>20</v>
      </c>
      <c r="M1575" s="4">
        <v>31.68</v>
      </c>
      <c r="N1575" s="4">
        <v>126.74</v>
      </c>
      <c r="O1575" s="4">
        <v>96.13</v>
      </c>
      <c r="P1575" s="4">
        <v>12.8</v>
      </c>
      <c r="Q1575" s="4">
        <v>1.1100000000000001</v>
      </c>
      <c r="R1575" s="4">
        <v>5.21</v>
      </c>
      <c r="S1575" s="4">
        <v>0</v>
      </c>
      <c r="T1575" s="4">
        <v>0</v>
      </c>
      <c r="U1575" s="4">
        <v>115.25</v>
      </c>
      <c r="V1575" s="4">
        <v>11.49</v>
      </c>
      <c r="W1575" t="s">
        <v>21</v>
      </c>
      <c r="X1575" t="s">
        <v>36</v>
      </c>
      <c r="Y1575" s="4">
        <v>27</v>
      </c>
      <c r="Z1575" s="4">
        <v>23</v>
      </c>
      <c r="AA1575" t="s">
        <v>52</v>
      </c>
      <c r="AB1575" t="s">
        <v>44</v>
      </c>
      <c r="AC1575" s="7">
        <v>1</v>
      </c>
      <c r="AD1575" t="s">
        <v>45</v>
      </c>
      <c r="AE1575">
        <f t="shared" si="24"/>
        <v>1</v>
      </c>
    </row>
    <row r="1576" spans="1:31" x14ac:dyDescent="0.35">
      <c r="A1576">
        <v>101575</v>
      </c>
      <c r="B1576" s="3">
        <v>45995</v>
      </c>
      <c r="C1576">
        <v>1125</v>
      </c>
      <c r="D1576" t="s">
        <v>47</v>
      </c>
      <c r="E1576" t="s">
        <v>56</v>
      </c>
      <c r="F1576" t="s">
        <v>32</v>
      </c>
      <c r="G1576" t="s">
        <v>46</v>
      </c>
      <c r="H1576" t="s">
        <v>34</v>
      </c>
      <c r="I1576" t="s">
        <v>35</v>
      </c>
      <c r="J1576" s="4">
        <v>23.92</v>
      </c>
      <c r="K1576" s="4">
        <v>15.98</v>
      </c>
      <c r="L1576">
        <v>0</v>
      </c>
      <c r="M1576" s="4">
        <v>0</v>
      </c>
      <c r="N1576" s="4">
        <v>382.24</v>
      </c>
      <c r="O1576" s="4">
        <v>192.37</v>
      </c>
      <c r="P1576" s="4">
        <v>9.82</v>
      </c>
      <c r="Q1576" s="4">
        <v>2.68</v>
      </c>
      <c r="R1576" s="4">
        <v>2.84</v>
      </c>
      <c r="S1576" s="4">
        <v>0</v>
      </c>
      <c r="T1576" s="4">
        <v>0</v>
      </c>
      <c r="U1576" s="4">
        <v>207.71</v>
      </c>
      <c r="V1576" s="4">
        <v>174.53</v>
      </c>
      <c r="W1576" t="s">
        <v>21</v>
      </c>
      <c r="X1576" t="s">
        <v>36</v>
      </c>
      <c r="Y1576" s="4">
        <v>5</v>
      </c>
      <c r="Z1576" s="4">
        <v>14</v>
      </c>
      <c r="AA1576" t="s">
        <v>37</v>
      </c>
      <c r="AB1576" t="s">
        <v>38</v>
      </c>
      <c r="AC1576" s="7">
        <v>0</v>
      </c>
      <c r="AD1576" t="s">
        <v>39</v>
      </c>
      <c r="AE1576">
        <f t="shared" si="24"/>
        <v>0</v>
      </c>
    </row>
    <row r="1577" spans="1:31" x14ac:dyDescent="0.35">
      <c r="A1577">
        <v>101576</v>
      </c>
      <c r="B1577" s="3">
        <v>45981</v>
      </c>
      <c r="C1577">
        <v>1039</v>
      </c>
      <c r="D1577" t="s">
        <v>59</v>
      </c>
      <c r="E1577" t="s">
        <v>60</v>
      </c>
      <c r="F1577" t="s">
        <v>32</v>
      </c>
      <c r="G1577" t="s">
        <v>46</v>
      </c>
      <c r="H1577" t="s">
        <v>34</v>
      </c>
      <c r="I1577" t="s">
        <v>69</v>
      </c>
      <c r="J1577" s="4">
        <v>20</v>
      </c>
      <c r="K1577" s="4">
        <v>14.42</v>
      </c>
      <c r="L1577">
        <v>5</v>
      </c>
      <c r="M1577" s="4">
        <v>14.42</v>
      </c>
      <c r="N1577" s="4">
        <v>273.98</v>
      </c>
      <c r="O1577" s="4">
        <v>127.66</v>
      </c>
      <c r="P1577" s="4">
        <v>6.37</v>
      </c>
      <c r="Q1577" s="4">
        <v>1.1499999999999999</v>
      </c>
      <c r="R1577" s="4">
        <v>4.82</v>
      </c>
      <c r="S1577" s="4">
        <v>0</v>
      </c>
      <c r="T1577" s="4">
        <v>0</v>
      </c>
      <c r="U1577" s="4">
        <v>140</v>
      </c>
      <c r="V1577" s="4">
        <v>133.97999999999999</v>
      </c>
      <c r="W1577" t="s">
        <v>21</v>
      </c>
      <c r="X1577" t="s">
        <v>36</v>
      </c>
      <c r="Y1577" s="4">
        <v>13</v>
      </c>
      <c r="Z1577" s="4">
        <v>8</v>
      </c>
      <c r="AA1577" t="s">
        <v>37</v>
      </c>
      <c r="AB1577" t="s">
        <v>38</v>
      </c>
      <c r="AC1577" s="7">
        <v>0</v>
      </c>
      <c r="AD1577" t="s">
        <v>39</v>
      </c>
      <c r="AE1577">
        <f t="shared" si="24"/>
        <v>0</v>
      </c>
    </row>
    <row r="1578" spans="1:31" x14ac:dyDescent="0.35">
      <c r="A1578">
        <v>101577</v>
      </c>
      <c r="B1578" s="3">
        <v>45969</v>
      </c>
      <c r="C1578">
        <v>1103</v>
      </c>
      <c r="D1578" t="s">
        <v>30</v>
      </c>
      <c r="E1578" t="s">
        <v>31</v>
      </c>
      <c r="F1578" t="s">
        <v>71</v>
      </c>
      <c r="G1578" t="s">
        <v>50</v>
      </c>
      <c r="H1578" t="s">
        <v>51</v>
      </c>
      <c r="I1578" t="s">
        <v>35</v>
      </c>
      <c r="J1578" s="4">
        <v>27.99</v>
      </c>
      <c r="K1578" s="4">
        <v>18.36</v>
      </c>
      <c r="L1578">
        <v>0</v>
      </c>
      <c r="M1578" s="4">
        <v>0</v>
      </c>
      <c r="N1578" s="4">
        <v>513.9</v>
      </c>
      <c r="O1578" s="4">
        <v>236.26</v>
      </c>
      <c r="P1578" s="4">
        <v>6</v>
      </c>
      <c r="Q1578" s="4">
        <v>3.6</v>
      </c>
      <c r="R1578" s="4">
        <v>1.77</v>
      </c>
      <c r="S1578" s="4">
        <v>0</v>
      </c>
      <c r="T1578" s="4">
        <v>0</v>
      </c>
      <c r="U1578" s="4">
        <v>247.63</v>
      </c>
      <c r="V1578" s="4">
        <v>266.27</v>
      </c>
      <c r="W1578" t="s">
        <v>21</v>
      </c>
      <c r="X1578" t="s">
        <v>36</v>
      </c>
      <c r="Y1578" s="4">
        <v>48</v>
      </c>
      <c r="Z1578" s="4">
        <v>16</v>
      </c>
      <c r="AA1578" t="s">
        <v>43</v>
      </c>
      <c r="AB1578" t="s">
        <v>44</v>
      </c>
      <c r="AC1578" s="7">
        <v>2</v>
      </c>
      <c r="AD1578" t="s">
        <v>45</v>
      </c>
      <c r="AE1578">
        <f t="shared" si="24"/>
        <v>1</v>
      </c>
    </row>
    <row r="1579" spans="1:31" x14ac:dyDescent="0.35">
      <c r="A1579">
        <v>101578</v>
      </c>
      <c r="B1579" s="3">
        <v>45942</v>
      </c>
      <c r="C1579">
        <v>1147</v>
      </c>
      <c r="D1579" t="s">
        <v>47</v>
      </c>
      <c r="E1579" t="s">
        <v>53</v>
      </c>
      <c r="F1579" t="s">
        <v>49</v>
      </c>
      <c r="G1579" t="s">
        <v>50</v>
      </c>
      <c r="H1579" t="s">
        <v>34</v>
      </c>
      <c r="I1579" t="s">
        <v>35</v>
      </c>
      <c r="J1579" s="4">
        <v>19.48</v>
      </c>
      <c r="K1579" s="4">
        <v>16.71</v>
      </c>
      <c r="L1579">
        <v>0</v>
      </c>
      <c r="M1579" s="4">
        <v>0</v>
      </c>
      <c r="N1579" s="4">
        <v>325.51</v>
      </c>
      <c r="O1579" s="4">
        <v>173.99</v>
      </c>
      <c r="P1579" s="4">
        <v>7</v>
      </c>
      <c r="Q1579" s="4">
        <v>2.2799999999999998</v>
      </c>
      <c r="R1579" s="4">
        <v>0.56999999999999995</v>
      </c>
      <c r="S1579" s="4">
        <v>0</v>
      </c>
      <c r="T1579" s="4">
        <v>0</v>
      </c>
      <c r="U1579" s="4">
        <v>183.84</v>
      </c>
      <c r="V1579" s="4">
        <v>141.66999999999999</v>
      </c>
      <c r="W1579" t="s">
        <v>21</v>
      </c>
      <c r="X1579" t="s">
        <v>36</v>
      </c>
      <c r="Y1579" s="4">
        <v>2</v>
      </c>
      <c r="Z1579" s="4">
        <v>6</v>
      </c>
      <c r="AA1579" t="s">
        <v>37</v>
      </c>
      <c r="AB1579" t="s">
        <v>38</v>
      </c>
      <c r="AC1579" s="7">
        <v>0</v>
      </c>
      <c r="AD1579" t="s">
        <v>39</v>
      </c>
      <c r="AE1579">
        <f t="shared" si="24"/>
        <v>0</v>
      </c>
    </row>
    <row r="1580" spans="1:31" x14ac:dyDescent="0.35">
      <c r="A1580">
        <v>101579</v>
      </c>
      <c r="B1580" s="3">
        <v>46012</v>
      </c>
      <c r="C1580">
        <v>1010</v>
      </c>
      <c r="D1580" t="s">
        <v>59</v>
      </c>
      <c r="E1580" t="s">
        <v>70</v>
      </c>
      <c r="F1580" t="s">
        <v>61</v>
      </c>
      <c r="G1580" t="s">
        <v>63</v>
      </c>
      <c r="H1580" t="s">
        <v>34</v>
      </c>
      <c r="I1580" t="s">
        <v>54</v>
      </c>
      <c r="J1580" s="4">
        <v>14.79</v>
      </c>
      <c r="K1580" s="4">
        <v>10.97</v>
      </c>
      <c r="L1580">
        <v>0</v>
      </c>
      <c r="M1580" s="4">
        <v>0</v>
      </c>
      <c r="N1580" s="4">
        <v>162.25</v>
      </c>
      <c r="O1580" s="4">
        <v>106.27</v>
      </c>
      <c r="P1580" s="4">
        <v>11.73</v>
      </c>
      <c r="Q1580" s="4">
        <v>1.95</v>
      </c>
      <c r="R1580" s="4">
        <v>6.17</v>
      </c>
      <c r="S1580" s="4">
        <v>0</v>
      </c>
      <c r="T1580" s="4">
        <v>0</v>
      </c>
      <c r="U1580" s="4">
        <v>126.12</v>
      </c>
      <c r="V1580" s="4">
        <v>36.130000000000003</v>
      </c>
      <c r="W1580" t="s">
        <v>21</v>
      </c>
      <c r="X1580" t="s">
        <v>36</v>
      </c>
      <c r="Y1580" s="4">
        <v>0</v>
      </c>
      <c r="Z1580" s="4">
        <v>0</v>
      </c>
      <c r="AA1580" t="s">
        <v>37</v>
      </c>
      <c r="AB1580" t="s">
        <v>38</v>
      </c>
      <c r="AC1580" s="7">
        <v>0</v>
      </c>
      <c r="AD1580" t="s">
        <v>39</v>
      </c>
      <c r="AE1580">
        <f t="shared" si="24"/>
        <v>0</v>
      </c>
    </row>
    <row r="1581" spans="1:31" x14ac:dyDescent="0.35">
      <c r="A1581">
        <v>101580</v>
      </c>
      <c r="B1581" s="3">
        <v>45972</v>
      </c>
      <c r="C1581">
        <v>1046</v>
      </c>
      <c r="D1581" t="s">
        <v>59</v>
      </c>
      <c r="E1581" t="s">
        <v>70</v>
      </c>
      <c r="F1581" t="s">
        <v>61</v>
      </c>
      <c r="G1581" t="s">
        <v>50</v>
      </c>
      <c r="H1581" t="s">
        <v>34</v>
      </c>
      <c r="I1581" t="s">
        <v>54</v>
      </c>
      <c r="J1581" s="4">
        <v>24.39</v>
      </c>
      <c r="K1581" s="4">
        <v>17.11</v>
      </c>
      <c r="L1581">
        <v>0</v>
      </c>
      <c r="M1581" s="4">
        <v>0</v>
      </c>
      <c r="N1581" s="4">
        <v>417.31</v>
      </c>
      <c r="O1581" s="4">
        <v>172.59</v>
      </c>
      <c r="P1581" s="4">
        <v>9.2799999999999994</v>
      </c>
      <c r="Q1581" s="4">
        <v>5.01</v>
      </c>
      <c r="R1581" s="4">
        <v>6.59</v>
      </c>
      <c r="S1581" s="4">
        <v>0</v>
      </c>
      <c r="T1581" s="4">
        <v>0</v>
      </c>
      <c r="U1581" s="4">
        <v>193.47</v>
      </c>
      <c r="V1581" s="4">
        <v>223.84</v>
      </c>
      <c r="W1581" t="s">
        <v>21</v>
      </c>
      <c r="X1581" t="s">
        <v>36</v>
      </c>
      <c r="Y1581" s="4">
        <v>39</v>
      </c>
      <c r="Z1581" s="4">
        <v>0</v>
      </c>
      <c r="AA1581" t="s">
        <v>43</v>
      </c>
      <c r="AB1581" t="s">
        <v>44</v>
      </c>
      <c r="AC1581" s="7">
        <v>2</v>
      </c>
      <c r="AD1581" t="s">
        <v>45</v>
      </c>
      <c r="AE1581">
        <f t="shared" si="24"/>
        <v>1</v>
      </c>
    </row>
    <row r="1582" spans="1:31" x14ac:dyDescent="0.35">
      <c r="A1582">
        <v>101581</v>
      </c>
      <c r="B1582" s="3">
        <v>45970</v>
      </c>
      <c r="C1582">
        <v>1075</v>
      </c>
      <c r="D1582" t="s">
        <v>47</v>
      </c>
      <c r="E1582" t="s">
        <v>56</v>
      </c>
      <c r="F1582" t="s">
        <v>71</v>
      </c>
      <c r="G1582" t="s">
        <v>63</v>
      </c>
      <c r="H1582" t="s">
        <v>57</v>
      </c>
      <c r="I1582" t="s">
        <v>35</v>
      </c>
      <c r="J1582" s="4">
        <v>29.62</v>
      </c>
      <c r="K1582" s="4">
        <v>12.35</v>
      </c>
      <c r="L1582">
        <v>10</v>
      </c>
      <c r="M1582" s="4">
        <v>36.58</v>
      </c>
      <c r="N1582" s="4">
        <v>329.23</v>
      </c>
      <c r="O1582" s="4">
        <v>228.04</v>
      </c>
      <c r="P1582" s="4">
        <v>13.02</v>
      </c>
      <c r="Q1582" s="4">
        <v>2.56</v>
      </c>
      <c r="R1582" s="4">
        <v>6.03</v>
      </c>
      <c r="S1582" s="4">
        <v>0</v>
      </c>
      <c r="T1582" s="4">
        <v>0</v>
      </c>
      <c r="U1582" s="4">
        <v>249.65</v>
      </c>
      <c r="V1582" s="4">
        <v>79.58</v>
      </c>
      <c r="W1582" t="s">
        <v>21</v>
      </c>
      <c r="X1582" t="s">
        <v>36</v>
      </c>
      <c r="Y1582" s="4">
        <v>5</v>
      </c>
      <c r="Z1582" s="4">
        <v>24</v>
      </c>
      <c r="AA1582" t="s">
        <v>37</v>
      </c>
      <c r="AB1582" t="s">
        <v>44</v>
      </c>
      <c r="AC1582" s="7">
        <v>1</v>
      </c>
      <c r="AD1582" t="s">
        <v>45</v>
      </c>
      <c r="AE1582">
        <f t="shared" si="24"/>
        <v>1</v>
      </c>
    </row>
    <row r="1583" spans="1:31" x14ac:dyDescent="0.35">
      <c r="A1583">
        <v>101582</v>
      </c>
      <c r="B1583" s="3">
        <v>45950</v>
      </c>
      <c r="C1583">
        <v>1109</v>
      </c>
      <c r="D1583" t="s">
        <v>30</v>
      </c>
      <c r="E1583" t="s">
        <v>40</v>
      </c>
      <c r="F1583" t="s">
        <v>71</v>
      </c>
      <c r="G1583" t="s">
        <v>63</v>
      </c>
      <c r="H1583" t="s">
        <v>57</v>
      </c>
      <c r="I1583" t="s">
        <v>35</v>
      </c>
      <c r="J1583" s="4">
        <v>19.64</v>
      </c>
      <c r="K1583" s="4">
        <v>12.95</v>
      </c>
      <c r="L1583">
        <v>10</v>
      </c>
      <c r="M1583" s="4">
        <v>25.43</v>
      </c>
      <c r="N1583" s="4">
        <v>228.91</v>
      </c>
      <c r="O1583" s="4">
        <v>162.41999999999999</v>
      </c>
      <c r="P1583" s="4">
        <v>4.42</v>
      </c>
      <c r="Q1583" s="4">
        <v>1.78</v>
      </c>
      <c r="R1583" s="4">
        <v>1.58</v>
      </c>
      <c r="S1583" s="4">
        <v>0</v>
      </c>
      <c r="T1583" s="4">
        <v>0</v>
      </c>
      <c r="U1583" s="4">
        <v>170.2</v>
      </c>
      <c r="V1583" s="4">
        <v>58.71</v>
      </c>
      <c r="W1583" t="s">
        <v>21</v>
      </c>
      <c r="X1583" t="s">
        <v>36</v>
      </c>
      <c r="Y1583" s="4">
        <v>2</v>
      </c>
      <c r="Z1583" s="4">
        <v>6</v>
      </c>
      <c r="AA1583" t="s">
        <v>37</v>
      </c>
      <c r="AB1583" t="s">
        <v>38</v>
      </c>
      <c r="AC1583" s="7">
        <v>0</v>
      </c>
      <c r="AD1583" t="s">
        <v>39</v>
      </c>
      <c r="AE1583">
        <f t="shared" si="24"/>
        <v>0</v>
      </c>
    </row>
    <row r="1584" spans="1:31" x14ac:dyDescent="0.35">
      <c r="A1584">
        <v>101583</v>
      </c>
      <c r="B1584" s="3">
        <v>45988</v>
      </c>
      <c r="C1584">
        <v>1010</v>
      </c>
      <c r="D1584" t="s">
        <v>30</v>
      </c>
      <c r="E1584" t="s">
        <v>31</v>
      </c>
      <c r="F1584" t="s">
        <v>41</v>
      </c>
      <c r="G1584" t="s">
        <v>63</v>
      </c>
      <c r="H1584" t="s">
        <v>34</v>
      </c>
      <c r="I1584" t="s">
        <v>69</v>
      </c>
      <c r="J1584" s="4">
        <v>16.87</v>
      </c>
      <c r="K1584" s="4">
        <v>12.52</v>
      </c>
      <c r="L1584">
        <v>10</v>
      </c>
      <c r="M1584" s="4">
        <v>21.12</v>
      </c>
      <c r="N1584" s="4">
        <v>190.09</v>
      </c>
      <c r="O1584" s="4">
        <v>127.51</v>
      </c>
      <c r="P1584" s="4">
        <v>11.99</v>
      </c>
      <c r="Q1584" s="4">
        <v>0.84</v>
      </c>
      <c r="R1584" s="4">
        <v>5.16</v>
      </c>
      <c r="S1584" s="4">
        <v>0</v>
      </c>
      <c r="T1584" s="4">
        <v>0</v>
      </c>
      <c r="U1584" s="4">
        <v>145.5</v>
      </c>
      <c r="V1584" s="4">
        <v>44.59</v>
      </c>
      <c r="W1584" t="s">
        <v>21</v>
      </c>
      <c r="X1584" t="s">
        <v>36</v>
      </c>
      <c r="Y1584" s="4">
        <v>12</v>
      </c>
      <c r="Z1584" s="4">
        <v>0</v>
      </c>
      <c r="AA1584" t="s">
        <v>37</v>
      </c>
      <c r="AB1584" t="s">
        <v>38</v>
      </c>
      <c r="AC1584" s="7">
        <v>0</v>
      </c>
      <c r="AD1584" t="s">
        <v>39</v>
      </c>
      <c r="AE1584">
        <f t="shared" si="24"/>
        <v>0</v>
      </c>
    </row>
    <row r="1585" spans="1:31" x14ac:dyDescent="0.35">
      <c r="A1585">
        <v>101584</v>
      </c>
      <c r="B1585" s="3">
        <v>45978</v>
      </c>
      <c r="C1585">
        <v>1120</v>
      </c>
      <c r="D1585" t="s">
        <v>47</v>
      </c>
      <c r="E1585" t="s">
        <v>53</v>
      </c>
      <c r="F1585" t="s">
        <v>41</v>
      </c>
      <c r="G1585" t="s">
        <v>50</v>
      </c>
      <c r="H1585" t="s">
        <v>34</v>
      </c>
      <c r="I1585" t="s">
        <v>42</v>
      </c>
      <c r="J1585" s="4">
        <v>26.06</v>
      </c>
      <c r="K1585" s="4">
        <v>18.64</v>
      </c>
      <c r="L1585">
        <v>10</v>
      </c>
      <c r="M1585" s="4">
        <v>48.58</v>
      </c>
      <c r="N1585" s="4">
        <v>437.18</v>
      </c>
      <c r="O1585" s="4">
        <v>215.9</v>
      </c>
      <c r="P1585" s="4">
        <v>6.4</v>
      </c>
      <c r="Q1585" s="4">
        <v>7.29</v>
      </c>
      <c r="R1585" s="4">
        <v>8.6199999999999992</v>
      </c>
      <c r="S1585" s="4">
        <v>0</v>
      </c>
      <c r="T1585" s="4">
        <v>0</v>
      </c>
      <c r="U1585" s="4">
        <v>238.21</v>
      </c>
      <c r="V1585" s="4">
        <v>198.97</v>
      </c>
      <c r="W1585" t="s">
        <v>21</v>
      </c>
      <c r="X1585" t="s">
        <v>36</v>
      </c>
      <c r="Y1585" s="4">
        <v>3</v>
      </c>
      <c r="Z1585" s="4">
        <v>3</v>
      </c>
      <c r="AA1585" t="s">
        <v>37</v>
      </c>
      <c r="AB1585" t="s">
        <v>38</v>
      </c>
      <c r="AC1585" s="7">
        <v>0</v>
      </c>
      <c r="AD1585" t="s">
        <v>39</v>
      </c>
      <c r="AE1585">
        <f t="shared" si="24"/>
        <v>0</v>
      </c>
    </row>
    <row r="1586" spans="1:31" x14ac:dyDescent="0.35">
      <c r="A1586">
        <v>101585</v>
      </c>
      <c r="B1586" s="3">
        <v>46008</v>
      </c>
      <c r="C1586">
        <v>1124</v>
      </c>
      <c r="D1586" t="s">
        <v>47</v>
      </c>
      <c r="E1586" t="s">
        <v>56</v>
      </c>
      <c r="F1586" t="s">
        <v>71</v>
      </c>
      <c r="G1586" t="s">
        <v>46</v>
      </c>
      <c r="H1586" t="s">
        <v>57</v>
      </c>
      <c r="I1586" t="s">
        <v>69</v>
      </c>
      <c r="J1586" s="4">
        <v>17.920000000000002</v>
      </c>
      <c r="K1586" s="4">
        <v>16.010000000000002</v>
      </c>
      <c r="L1586">
        <v>0</v>
      </c>
      <c r="M1586" s="4">
        <v>0</v>
      </c>
      <c r="N1586" s="4">
        <v>286.89999999999998</v>
      </c>
      <c r="O1586" s="4">
        <v>139.97999999999999</v>
      </c>
      <c r="P1586" s="4">
        <v>9.8000000000000007</v>
      </c>
      <c r="Q1586" s="4">
        <v>1.1499999999999999</v>
      </c>
      <c r="R1586" s="4">
        <v>6.35</v>
      </c>
      <c r="S1586" s="4">
        <v>146.22999999999999</v>
      </c>
      <c r="T1586" s="4">
        <v>3.9</v>
      </c>
      <c r="U1586" s="4">
        <v>307.41000000000003</v>
      </c>
      <c r="V1586" s="4">
        <v>-20.51</v>
      </c>
      <c r="W1586" t="s">
        <v>58</v>
      </c>
      <c r="X1586" t="s">
        <v>66</v>
      </c>
      <c r="Y1586" s="4">
        <v>10</v>
      </c>
      <c r="Z1586" s="4">
        <v>11</v>
      </c>
      <c r="AA1586" t="s">
        <v>37</v>
      </c>
      <c r="AB1586" t="s">
        <v>38</v>
      </c>
      <c r="AC1586" s="7">
        <v>1</v>
      </c>
      <c r="AD1586" t="s">
        <v>45</v>
      </c>
      <c r="AE1586">
        <f t="shared" si="24"/>
        <v>0</v>
      </c>
    </row>
    <row r="1587" spans="1:31" x14ac:dyDescent="0.35">
      <c r="A1587">
        <v>101586</v>
      </c>
      <c r="B1587" s="3">
        <v>45935</v>
      </c>
      <c r="C1587">
        <v>1075</v>
      </c>
      <c r="D1587" t="s">
        <v>59</v>
      </c>
      <c r="E1587" t="s">
        <v>60</v>
      </c>
      <c r="F1587" t="s">
        <v>71</v>
      </c>
      <c r="G1587" t="s">
        <v>46</v>
      </c>
      <c r="H1587" t="s">
        <v>51</v>
      </c>
      <c r="I1587" t="s">
        <v>42</v>
      </c>
      <c r="J1587" s="4">
        <v>29.56</v>
      </c>
      <c r="K1587" s="4">
        <v>14.36</v>
      </c>
      <c r="L1587">
        <v>20</v>
      </c>
      <c r="M1587" s="4">
        <v>84.9</v>
      </c>
      <c r="N1587" s="4">
        <v>339.58</v>
      </c>
      <c r="O1587" s="4">
        <v>219.01</v>
      </c>
      <c r="P1587" s="4">
        <v>11.89</v>
      </c>
      <c r="Q1587" s="4">
        <v>6.37</v>
      </c>
      <c r="R1587" s="4">
        <v>12.38</v>
      </c>
      <c r="S1587" s="4">
        <v>0</v>
      </c>
      <c r="T1587" s="4">
        <v>0</v>
      </c>
      <c r="U1587" s="4">
        <v>249.65</v>
      </c>
      <c r="V1587" s="4">
        <v>89.93</v>
      </c>
      <c r="W1587" t="s">
        <v>21</v>
      </c>
      <c r="X1587" t="s">
        <v>36</v>
      </c>
      <c r="Y1587" s="4">
        <v>2</v>
      </c>
      <c r="Z1587" s="4">
        <v>11</v>
      </c>
      <c r="AA1587" t="s">
        <v>37</v>
      </c>
      <c r="AB1587" t="s">
        <v>38</v>
      </c>
      <c r="AC1587" s="7">
        <v>0</v>
      </c>
      <c r="AD1587" t="s">
        <v>39</v>
      </c>
      <c r="AE1587">
        <f t="shared" si="24"/>
        <v>0</v>
      </c>
    </row>
    <row r="1588" spans="1:31" x14ac:dyDescent="0.35">
      <c r="A1588">
        <v>101587</v>
      </c>
      <c r="B1588" s="3">
        <v>45932</v>
      </c>
      <c r="C1588">
        <v>1126</v>
      </c>
      <c r="D1588" t="s">
        <v>59</v>
      </c>
      <c r="E1588" t="s">
        <v>60</v>
      </c>
      <c r="F1588" t="s">
        <v>61</v>
      </c>
      <c r="G1588" t="s">
        <v>50</v>
      </c>
      <c r="H1588" t="s">
        <v>57</v>
      </c>
      <c r="I1588" t="s">
        <v>42</v>
      </c>
      <c r="J1588" s="4">
        <v>34.15</v>
      </c>
      <c r="K1588" s="4">
        <v>16.8</v>
      </c>
      <c r="L1588">
        <v>0</v>
      </c>
      <c r="M1588" s="4">
        <v>0</v>
      </c>
      <c r="N1588" s="4">
        <v>573.72</v>
      </c>
      <c r="O1588" s="4">
        <v>246.73</v>
      </c>
      <c r="P1588" s="4">
        <v>2.95</v>
      </c>
      <c r="Q1588" s="4">
        <v>8.61</v>
      </c>
      <c r="R1588" s="4">
        <v>7.55</v>
      </c>
      <c r="S1588" s="4">
        <v>0</v>
      </c>
      <c r="T1588" s="4">
        <v>0</v>
      </c>
      <c r="U1588" s="4">
        <v>265.83999999999997</v>
      </c>
      <c r="V1588" s="4">
        <v>307.88</v>
      </c>
      <c r="W1588" t="s">
        <v>21</v>
      </c>
      <c r="X1588" t="s">
        <v>36</v>
      </c>
      <c r="Y1588" s="4">
        <v>36</v>
      </c>
      <c r="Z1588" s="4">
        <v>9</v>
      </c>
      <c r="AA1588" t="s">
        <v>43</v>
      </c>
      <c r="AB1588" t="s">
        <v>44</v>
      </c>
      <c r="AC1588" s="7">
        <v>1</v>
      </c>
      <c r="AD1588" t="s">
        <v>45</v>
      </c>
      <c r="AE1588">
        <f t="shared" si="24"/>
        <v>1</v>
      </c>
    </row>
    <row r="1589" spans="1:31" x14ac:dyDescent="0.35">
      <c r="A1589">
        <v>101588</v>
      </c>
      <c r="B1589" s="3">
        <v>45955</v>
      </c>
      <c r="C1589">
        <v>1081</v>
      </c>
      <c r="D1589" t="s">
        <v>64</v>
      </c>
      <c r="E1589" t="s">
        <v>76</v>
      </c>
      <c r="F1589" t="s">
        <v>41</v>
      </c>
      <c r="G1589" t="s">
        <v>63</v>
      </c>
      <c r="H1589" t="s">
        <v>57</v>
      </c>
      <c r="I1589" t="s">
        <v>35</v>
      </c>
      <c r="J1589" s="4">
        <v>30.86</v>
      </c>
      <c r="K1589" s="4">
        <v>11.64</v>
      </c>
      <c r="L1589">
        <v>15</v>
      </c>
      <c r="M1589" s="4">
        <v>53.88</v>
      </c>
      <c r="N1589" s="4">
        <v>305.33</v>
      </c>
      <c r="O1589" s="4">
        <v>235.63</v>
      </c>
      <c r="P1589" s="4">
        <v>6.99</v>
      </c>
      <c r="Q1589" s="4">
        <v>2.5099999999999998</v>
      </c>
      <c r="R1589" s="4">
        <v>5.01</v>
      </c>
      <c r="S1589" s="4">
        <v>0</v>
      </c>
      <c r="T1589" s="4">
        <v>0</v>
      </c>
      <c r="U1589" s="4">
        <v>250.14</v>
      </c>
      <c r="V1589" s="4">
        <v>55.19</v>
      </c>
      <c r="W1589" t="s">
        <v>21</v>
      </c>
      <c r="X1589" t="s">
        <v>36</v>
      </c>
      <c r="Y1589" s="4">
        <v>11</v>
      </c>
      <c r="Z1589" s="4">
        <v>35</v>
      </c>
      <c r="AA1589" t="s">
        <v>37</v>
      </c>
      <c r="AB1589" t="s">
        <v>44</v>
      </c>
      <c r="AC1589" s="7">
        <v>1</v>
      </c>
      <c r="AD1589" t="s">
        <v>45</v>
      </c>
      <c r="AE1589">
        <f t="shared" si="24"/>
        <v>1</v>
      </c>
    </row>
    <row r="1590" spans="1:31" x14ac:dyDescent="0.35">
      <c r="A1590">
        <v>101589</v>
      </c>
      <c r="B1590" s="3">
        <v>46017</v>
      </c>
      <c r="C1590">
        <v>1054</v>
      </c>
      <c r="D1590" t="s">
        <v>47</v>
      </c>
      <c r="E1590" t="s">
        <v>53</v>
      </c>
      <c r="F1590" t="s">
        <v>49</v>
      </c>
      <c r="G1590" t="s">
        <v>63</v>
      </c>
      <c r="H1590" t="s">
        <v>34</v>
      </c>
      <c r="I1590" t="s">
        <v>35</v>
      </c>
      <c r="J1590" s="4">
        <v>25.13</v>
      </c>
      <c r="K1590" s="4">
        <v>14.72</v>
      </c>
      <c r="L1590">
        <v>5</v>
      </c>
      <c r="M1590" s="4">
        <v>18.5</v>
      </c>
      <c r="N1590" s="4">
        <v>351.41</v>
      </c>
      <c r="O1590" s="4">
        <v>139.91999999999999</v>
      </c>
      <c r="P1590" s="4">
        <v>12.66</v>
      </c>
      <c r="Q1590" s="4">
        <v>2.59</v>
      </c>
      <c r="R1590" s="4">
        <v>9.93</v>
      </c>
      <c r="S1590" s="4">
        <v>0</v>
      </c>
      <c r="T1590" s="4">
        <v>0</v>
      </c>
      <c r="U1590" s="4">
        <v>165.1</v>
      </c>
      <c r="V1590" s="4">
        <v>186.31</v>
      </c>
      <c r="W1590" t="s">
        <v>21</v>
      </c>
      <c r="X1590" t="s">
        <v>36</v>
      </c>
      <c r="Y1590" s="4">
        <v>13</v>
      </c>
      <c r="Z1590" s="4">
        <v>2</v>
      </c>
      <c r="AA1590" t="s">
        <v>37</v>
      </c>
      <c r="AB1590" t="s">
        <v>38</v>
      </c>
      <c r="AC1590" s="7">
        <v>0</v>
      </c>
      <c r="AD1590" t="s">
        <v>39</v>
      </c>
      <c r="AE1590">
        <f t="shared" si="24"/>
        <v>0</v>
      </c>
    </row>
    <row r="1591" spans="1:31" x14ac:dyDescent="0.35">
      <c r="A1591">
        <v>101590</v>
      </c>
      <c r="B1591" s="3">
        <v>45984</v>
      </c>
      <c r="C1591">
        <v>1106</v>
      </c>
      <c r="D1591" t="s">
        <v>30</v>
      </c>
      <c r="E1591" t="s">
        <v>40</v>
      </c>
      <c r="F1591" t="s">
        <v>61</v>
      </c>
      <c r="G1591" t="s">
        <v>50</v>
      </c>
      <c r="H1591" t="s">
        <v>34</v>
      </c>
      <c r="I1591" t="s">
        <v>35</v>
      </c>
      <c r="J1591" s="4">
        <v>32.35</v>
      </c>
      <c r="K1591" s="4">
        <v>18.47</v>
      </c>
      <c r="L1591">
        <v>0</v>
      </c>
      <c r="M1591" s="4">
        <v>0</v>
      </c>
      <c r="N1591" s="4">
        <v>597.5</v>
      </c>
      <c r="O1591" s="4">
        <v>250.24</v>
      </c>
      <c r="P1591" s="4">
        <v>4.2</v>
      </c>
      <c r="Q1591" s="4">
        <v>4.18</v>
      </c>
      <c r="R1591" s="4">
        <v>15.28</v>
      </c>
      <c r="S1591" s="4">
        <v>0</v>
      </c>
      <c r="T1591" s="4">
        <v>0</v>
      </c>
      <c r="U1591" s="4">
        <v>273.89999999999998</v>
      </c>
      <c r="V1591" s="4">
        <v>323.60000000000002</v>
      </c>
      <c r="W1591" t="s">
        <v>21</v>
      </c>
      <c r="X1591" t="s">
        <v>36</v>
      </c>
      <c r="Y1591" s="4">
        <v>5</v>
      </c>
      <c r="Z1591" s="4">
        <v>6</v>
      </c>
      <c r="AA1591" t="s">
        <v>37</v>
      </c>
      <c r="AB1591" t="s">
        <v>38</v>
      </c>
      <c r="AC1591" s="7">
        <v>1</v>
      </c>
      <c r="AD1591" t="s">
        <v>39</v>
      </c>
      <c r="AE1591">
        <f t="shared" si="24"/>
        <v>0</v>
      </c>
    </row>
    <row r="1592" spans="1:31" x14ac:dyDescent="0.35">
      <c r="A1592">
        <v>101591</v>
      </c>
      <c r="B1592" s="3">
        <v>45996</v>
      </c>
      <c r="C1592">
        <v>1036</v>
      </c>
      <c r="D1592" t="s">
        <v>59</v>
      </c>
      <c r="E1592" t="s">
        <v>73</v>
      </c>
      <c r="F1592" t="s">
        <v>71</v>
      </c>
      <c r="G1592" t="s">
        <v>63</v>
      </c>
      <c r="H1592" t="s">
        <v>34</v>
      </c>
      <c r="I1592" t="s">
        <v>69</v>
      </c>
      <c r="J1592" s="4">
        <v>37.08</v>
      </c>
      <c r="K1592" s="4">
        <v>12.12</v>
      </c>
      <c r="L1592">
        <v>0</v>
      </c>
      <c r="M1592" s="4">
        <v>0</v>
      </c>
      <c r="N1592" s="4">
        <v>449.41</v>
      </c>
      <c r="O1592" s="4">
        <v>309.5</v>
      </c>
      <c r="P1592" s="4">
        <v>6.71</v>
      </c>
      <c r="Q1592" s="4">
        <v>1.8</v>
      </c>
      <c r="R1592" s="4">
        <v>4.62</v>
      </c>
      <c r="S1592" s="4">
        <v>0</v>
      </c>
      <c r="T1592" s="4">
        <v>0</v>
      </c>
      <c r="U1592" s="4">
        <v>322.63</v>
      </c>
      <c r="V1592" s="4">
        <v>126.78</v>
      </c>
      <c r="W1592" t="s">
        <v>21</v>
      </c>
      <c r="X1592" t="s">
        <v>36</v>
      </c>
      <c r="Y1592" s="4">
        <v>0</v>
      </c>
      <c r="Z1592" s="4">
        <v>1</v>
      </c>
      <c r="AA1592" t="s">
        <v>37</v>
      </c>
      <c r="AB1592" t="s">
        <v>38</v>
      </c>
      <c r="AC1592" s="7">
        <v>0</v>
      </c>
      <c r="AD1592" t="s">
        <v>39</v>
      </c>
      <c r="AE1592">
        <f t="shared" si="24"/>
        <v>0</v>
      </c>
    </row>
    <row r="1593" spans="1:31" x14ac:dyDescent="0.35">
      <c r="A1593">
        <v>101592</v>
      </c>
      <c r="B1593" s="3">
        <v>45970</v>
      </c>
      <c r="C1593">
        <v>1148</v>
      </c>
      <c r="D1593" t="s">
        <v>47</v>
      </c>
      <c r="E1593" t="s">
        <v>53</v>
      </c>
      <c r="F1593" t="s">
        <v>41</v>
      </c>
      <c r="G1593" t="s">
        <v>46</v>
      </c>
      <c r="H1593" t="s">
        <v>34</v>
      </c>
      <c r="I1593" t="s">
        <v>54</v>
      </c>
      <c r="J1593" s="4">
        <v>14.41</v>
      </c>
      <c r="K1593" s="4">
        <v>14.88</v>
      </c>
      <c r="L1593">
        <v>0</v>
      </c>
      <c r="M1593" s="4">
        <v>0</v>
      </c>
      <c r="N1593" s="4">
        <v>214.42</v>
      </c>
      <c r="O1593" s="4">
        <v>118.69</v>
      </c>
      <c r="P1593" s="4">
        <v>4</v>
      </c>
      <c r="Q1593" s="4">
        <v>2.57</v>
      </c>
      <c r="R1593" s="4">
        <v>12.26</v>
      </c>
      <c r="S1593" s="4">
        <v>0</v>
      </c>
      <c r="T1593" s="4">
        <v>0</v>
      </c>
      <c r="U1593" s="4">
        <v>137.52000000000001</v>
      </c>
      <c r="V1593" s="4">
        <v>76.900000000000006</v>
      </c>
      <c r="W1593" t="s">
        <v>21</v>
      </c>
      <c r="X1593" t="s">
        <v>36</v>
      </c>
      <c r="Y1593" s="4">
        <v>4</v>
      </c>
      <c r="Z1593" s="4">
        <v>9</v>
      </c>
      <c r="AA1593" t="s">
        <v>37</v>
      </c>
      <c r="AB1593" t="s">
        <v>38</v>
      </c>
      <c r="AC1593" s="7">
        <v>1</v>
      </c>
      <c r="AD1593" t="s">
        <v>39</v>
      </c>
      <c r="AE1593">
        <f t="shared" si="24"/>
        <v>0</v>
      </c>
    </row>
    <row r="1594" spans="1:31" x14ac:dyDescent="0.35">
      <c r="A1594">
        <v>101593</v>
      </c>
      <c r="B1594" s="3">
        <v>45936</v>
      </c>
      <c r="C1594">
        <v>1129</v>
      </c>
      <c r="D1594" t="s">
        <v>59</v>
      </c>
      <c r="E1594" t="s">
        <v>73</v>
      </c>
      <c r="F1594" t="s">
        <v>41</v>
      </c>
      <c r="G1594" t="s">
        <v>46</v>
      </c>
      <c r="H1594" t="s">
        <v>57</v>
      </c>
      <c r="I1594" t="s">
        <v>35</v>
      </c>
      <c r="J1594" s="4">
        <v>35.49</v>
      </c>
      <c r="K1594" s="4">
        <v>16.84</v>
      </c>
      <c r="L1594">
        <v>15</v>
      </c>
      <c r="M1594" s="4">
        <v>89.65</v>
      </c>
      <c r="N1594" s="4">
        <v>508</v>
      </c>
      <c r="O1594" s="4">
        <v>245.74</v>
      </c>
      <c r="P1594" s="4">
        <v>6.9</v>
      </c>
      <c r="Q1594" s="4">
        <v>4.18</v>
      </c>
      <c r="R1594" s="4">
        <v>6.34</v>
      </c>
      <c r="S1594" s="4">
        <v>0</v>
      </c>
      <c r="T1594" s="4">
        <v>0</v>
      </c>
      <c r="U1594" s="4">
        <v>263.16000000000003</v>
      </c>
      <c r="V1594" s="4">
        <v>244.84</v>
      </c>
      <c r="W1594" t="s">
        <v>21</v>
      </c>
      <c r="X1594" t="s">
        <v>36</v>
      </c>
      <c r="Y1594" s="4">
        <v>11</v>
      </c>
      <c r="Z1594" s="4">
        <v>6</v>
      </c>
      <c r="AA1594" t="s">
        <v>37</v>
      </c>
      <c r="AB1594" t="s">
        <v>38</v>
      </c>
      <c r="AC1594" s="7">
        <v>0</v>
      </c>
      <c r="AD1594" t="s">
        <v>39</v>
      </c>
      <c r="AE1594">
        <f t="shared" si="24"/>
        <v>0</v>
      </c>
    </row>
    <row r="1595" spans="1:31" x14ac:dyDescent="0.35">
      <c r="A1595">
        <v>101594</v>
      </c>
      <c r="B1595" s="3">
        <v>46007</v>
      </c>
      <c r="C1595">
        <v>1073</v>
      </c>
      <c r="D1595" t="s">
        <v>47</v>
      </c>
      <c r="E1595" t="s">
        <v>48</v>
      </c>
      <c r="F1595" t="s">
        <v>71</v>
      </c>
      <c r="G1595" t="s">
        <v>63</v>
      </c>
      <c r="H1595" t="s">
        <v>51</v>
      </c>
      <c r="I1595" t="s">
        <v>54</v>
      </c>
      <c r="J1595" s="4">
        <v>28.66</v>
      </c>
      <c r="K1595" s="4">
        <v>14.22</v>
      </c>
      <c r="L1595">
        <v>20</v>
      </c>
      <c r="M1595" s="4">
        <v>81.510000000000005</v>
      </c>
      <c r="N1595" s="4">
        <v>326.04000000000002</v>
      </c>
      <c r="O1595" s="4">
        <v>222.1</v>
      </c>
      <c r="P1595" s="4">
        <v>2.7</v>
      </c>
      <c r="Q1595" s="4">
        <v>4.8899999999999997</v>
      </c>
      <c r="R1595" s="4">
        <v>0.35</v>
      </c>
      <c r="S1595" s="4">
        <v>0</v>
      </c>
      <c r="T1595" s="4">
        <v>0</v>
      </c>
      <c r="U1595" s="4">
        <v>230.04</v>
      </c>
      <c r="V1595" s="4">
        <v>96</v>
      </c>
      <c r="W1595" t="s">
        <v>21</v>
      </c>
      <c r="X1595" t="s">
        <v>36</v>
      </c>
      <c r="Y1595" s="4">
        <v>35</v>
      </c>
      <c r="Z1595" s="4">
        <v>3</v>
      </c>
      <c r="AA1595" t="s">
        <v>43</v>
      </c>
      <c r="AB1595" t="s">
        <v>44</v>
      </c>
      <c r="AC1595" s="7">
        <v>3</v>
      </c>
      <c r="AD1595" t="s">
        <v>45</v>
      </c>
      <c r="AE1595">
        <f t="shared" si="24"/>
        <v>1</v>
      </c>
    </row>
    <row r="1596" spans="1:31" x14ac:dyDescent="0.35">
      <c r="A1596">
        <v>101595</v>
      </c>
      <c r="B1596" s="3">
        <v>45976</v>
      </c>
      <c r="C1596">
        <v>1078</v>
      </c>
      <c r="D1596" t="s">
        <v>47</v>
      </c>
      <c r="E1596" t="s">
        <v>74</v>
      </c>
      <c r="F1596" t="s">
        <v>41</v>
      </c>
      <c r="G1596" t="s">
        <v>63</v>
      </c>
      <c r="H1596" t="s">
        <v>34</v>
      </c>
      <c r="I1596" t="s">
        <v>35</v>
      </c>
      <c r="J1596" s="4">
        <v>7.14</v>
      </c>
      <c r="K1596" s="4">
        <v>11.42</v>
      </c>
      <c r="L1596">
        <v>0</v>
      </c>
      <c r="M1596" s="4">
        <v>0</v>
      </c>
      <c r="N1596" s="4">
        <v>81.540000000000006</v>
      </c>
      <c r="O1596" s="4">
        <v>52.71</v>
      </c>
      <c r="P1596" s="4">
        <v>6.48</v>
      </c>
      <c r="Q1596" s="4">
        <v>0.56999999999999995</v>
      </c>
      <c r="R1596" s="4">
        <v>9.11</v>
      </c>
      <c r="S1596" s="4">
        <v>0</v>
      </c>
      <c r="T1596" s="4">
        <v>0</v>
      </c>
      <c r="U1596" s="4">
        <v>68.87</v>
      </c>
      <c r="V1596" s="4">
        <v>12.67</v>
      </c>
      <c r="W1596" t="s">
        <v>21</v>
      </c>
      <c r="X1596" t="s">
        <v>36</v>
      </c>
      <c r="Y1596" s="4">
        <v>23</v>
      </c>
      <c r="Z1596" s="4">
        <v>11</v>
      </c>
      <c r="AA1596" t="s">
        <v>52</v>
      </c>
      <c r="AB1596" t="s">
        <v>44</v>
      </c>
      <c r="AC1596" s="7">
        <v>1</v>
      </c>
      <c r="AD1596" t="s">
        <v>45</v>
      </c>
      <c r="AE1596">
        <f t="shared" si="24"/>
        <v>1</v>
      </c>
    </row>
    <row r="1597" spans="1:31" x14ac:dyDescent="0.35">
      <c r="A1597">
        <v>101596</v>
      </c>
      <c r="B1597" s="3">
        <v>45996</v>
      </c>
      <c r="C1597">
        <v>1027</v>
      </c>
      <c r="D1597" t="s">
        <v>59</v>
      </c>
      <c r="E1597" t="s">
        <v>70</v>
      </c>
      <c r="F1597" t="s">
        <v>61</v>
      </c>
      <c r="G1597" t="s">
        <v>63</v>
      </c>
      <c r="H1597" t="s">
        <v>51</v>
      </c>
      <c r="I1597" t="s">
        <v>42</v>
      </c>
      <c r="J1597" s="4">
        <v>18.23</v>
      </c>
      <c r="K1597" s="4">
        <v>12.4</v>
      </c>
      <c r="L1597">
        <v>20</v>
      </c>
      <c r="M1597" s="4">
        <v>45.21</v>
      </c>
      <c r="N1597" s="4">
        <v>180.84</v>
      </c>
      <c r="O1597" s="4">
        <v>145.09</v>
      </c>
      <c r="P1597" s="4">
        <v>5.05</v>
      </c>
      <c r="Q1597" s="4">
        <v>3.39</v>
      </c>
      <c r="R1597" s="4">
        <v>7.31</v>
      </c>
      <c r="S1597" s="4">
        <v>0</v>
      </c>
      <c r="T1597" s="4">
        <v>0</v>
      </c>
      <c r="U1597" s="4">
        <v>160.84</v>
      </c>
      <c r="V1597" s="4">
        <v>20</v>
      </c>
      <c r="W1597" t="s">
        <v>21</v>
      </c>
      <c r="X1597" t="s">
        <v>36</v>
      </c>
      <c r="Y1597" s="4">
        <v>10</v>
      </c>
      <c r="Z1597" s="4">
        <v>2</v>
      </c>
      <c r="AA1597" t="s">
        <v>37</v>
      </c>
      <c r="AB1597" t="s">
        <v>38</v>
      </c>
      <c r="AC1597" s="7">
        <v>0</v>
      </c>
      <c r="AD1597" t="s">
        <v>39</v>
      </c>
      <c r="AE1597">
        <f t="shared" si="24"/>
        <v>0</v>
      </c>
    </row>
    <row r="1598" spans="1:31" x14ac:dyDescent="0.35">
      <c r="A1598">
        <v>101597</v>
      </c>
      <c r="B1598" s="3">
        <v>45976</v>
      </c>
      <c r="C1598">
        <v>1013</v>
      </c>
      <c r="D1598" t="s">
        <v>59</v>
      </c>
      <c r="E1598" t="s">
        <v>68</v>
      </c>
      <c r="F1598" t="s">
        <v>32</v>
      </c>
      <c r="G1598" t="s">
        <v>50</v>
      </c>
      <c r="H1598" t="s">
        <v>34</v>
      </c>
      <c r="I1598" t="s">
        <v>54</v>
      </c>
      <c r="J1598" s="4">
        <v>39.880000000000003</v>
      </c>
      <c r="K1598" s="4">
        <v>16.7</v>
      </c>
      <c r="L1598">
        <v>5</v>
      </c>
      <c r="M1598" s="4">
        <v>33.299999999999997</v>
      </c>
      <c r="N1598" s="4">
        <v>632.70000000000005</v>
      </c>
      <c r="O1598" s="4">
        <v>297.92</v>
      </c>
      <c r="P1598" s="4">
        <v>7.83</v>
      </c>
      <c r="Q1598" s="4">
        <v>7.99</v>
      </c>
      <c r="R1598" s="4">
        <v>15.73</v>
      </c>
      <c r="S1598" s="4">
        <v>0</v>
      </c>
      <c r="T1598" s="4">
        <v>0</v>
      </c>
      <c r="U1598" s="4">
        <v>329.47</v>
      </c>
      <c r="V1598" s="4">
        <v>303.23</v>
      </c>
      <c r="W1598" t="s">
        <v>21</v>
      </c>
      <c r="X1598" t="s">
        <v>36</v>
      </c>
      <c r="Y1598" s="4">
        <v>8</v>
      </c>
      <c r="Z1598" s="4">
        <v>4</v>
      </c>
      <c r="AA1598" t="s">
        <v>37</v>
      </c>
      <c r="AB1598" t="s">
        <v>38</v>
      </c>
      <c r="AC1598" s="7">
        <v>0</v>
      </c>
      <c r="AD1598" t="s">
        <v>39</v>
      </c>
      <c r="AE1598">
        <f t="shared" si="24"/>
        <v>0</v>
      </c>
    </row>
    <row r="1599" spans="1:31" x14ac:dyDescent="0.35">
      <c r="A1599">
        <v>101598</v>
      </c>
      <c r="B1599" s="3">
        <v>46007</v>
      </c>
      <c r="C1599">
        <v>1140</v>
      </c>
      <c r="D1599" t="s">
        <v>59</v>
      </c>
      <c r="E1599" t="s">
        <v>68</v>
      </c>
      <c r="F1599" t="s">
        <v>71</v>
      </c>
      <c r="G1599" t="s">
        <v>46</v>
      </c>
      <c r="H1599" t="s">
        <v>34</v>
      </c>
      <c r="I1599" t="s">
        <v>35</v>
      </c>
      <c r="J1599" s="4">
        <v>20.3</v>
      </c>
      <c r="K1599" s="4">
        <v>15.55</v>
      </c>
      <c r="L1599">
        <v>10</v>
      </c>
      <c r="M1599" s="4">
        <v>31.57</v>
      </c>
      <c r="N1599" s="4">
        <v>284.10000000000002</v>
      </c>
      <c r="O1599" s="4">
        <v>151.82</v>
      </c>
      <c r="P1599" s="4">
        <v>2.5</v>
      </c>
      <c r="Q1599" s="4">
        <v>2.21</v>
      </c>
      <c r="R1599" s="4">
        <v>8.9600000000000009</v>
      </c>
      <c r="S1599" s="4">
        <v>0</v>
      </c>
      <c r="T1599" s="4">
        <v>0</v>
      </c>
      <c r="U1599" s="4">
        <v>165.49</v>
      </c>
      <c r="V1599" s="4">
        <v>118.61</v>
      </c>
      <c r="W1599" t="s">
        <v>21</v>
      </c>
      <c r="X1599" t="s">
        <v>36</v>
      </c>
      <c r="Y1599" s="4">
        <v>24</v>
      </c>
      <c r="Z1599" s="4">
        <v>25</v>
      </c>
      <c r="AA1599" t="s">
        <v>52</v>
      </c>
      <c r="AB1599" t="s">
        <v>44</v>
      </c>
      <c r="AC1599" s="7">
        <v>2</v>
      </c>
      <c r="AD1599" t="s">
        <v>45</v>
      </c>
      <c r="AE1599">
        <f t="shared" si="24"/>
        <v>1</v>
      </c>
    </row>
    <row r="1600" spans="1:31" x14ac:dyDescent="0.35">
      <c r="A1600">
        <v>101599</v>
      </c>
      <c r="B1600" s="3">
        <v>45986</v>
      </c>
      <c r="C1600">
        <v>1096</v>
      </c>
      <c r="D1600" t="s">
        <v>30</v>
      </c>
      <c r="E1600" t="s">
        <v>72</v>
      </c>
      <c r="F1600" t="s">
        <v>32</v>
      </c>
      <c r="G1600" t="s">
        <v>63</v>
      </c>
      <c r="H1600" t="s">
        <v>34</v>
      </c>
      <c r="I1600" t="s">
        <v>35</v>
      </c>
      <c r="J1600" s="4">
        <v>13.33</v>
      </c>
      <c r="K1600" s="4">
        <v>11.53</v>
      </c>
      <c r="L1600">
        <v>10</v>
      </c>
      <c r="M1600" s="4">
        <v>15.37</v>
      </c>
      <c r="N1600" s="4">
        <v>138.32</v>
      </c>
      <c r="O1600" s="4">
        <v>100.48</v>
      </c>
      <c r="P1600" s="4">
        <v>4.84</v>
      </c>
      <c r="Q1600" s="4">
        <v>1.08</v>
      </c>
      <c r="R1600" s="4">
        <v>8.07</v>
      </c>
      <c r="S1600" s="4">
        <v>135.66</v>
      </c>
      <c r="T1600" s="4">
        <v>0</v>
      </c>
      <c r="U1600" s="4">
        <v>250.13</v>
      </c>
      <c r="V1600" s="4">
        <v>-111.81</v>
      </c>
      <c r="W1600" t="s">
        <v>58</v>
      </c>
      <c r="X1600" t="s">
        <v>66</v>
      </c>
      <c r="Y1600" s="4">
        <v>19</v>
      </c>
      <c r="Z1600" s="4">
        <v>12</v>
      </c>
      <c r="AA1600" t="s">
        <v>52</v>
      </c>
      <c r="AB1600" t="s">
        <v>38</v>
      </c>
      <c r="AC1600" s="7">
        <v>4</v>
      </c>
      <c r="AD1600" t="s">
        <v>45</v>
      </c>
      <c r="AE1600">
        <f t="shared" si="24"/>
        <v>0</v>
      </c>
    </row>
    <row r="1601" spans="1:31" x14ac:dyDescent="0.35">
      <c r="A1601">
        <v>101600</v>
      </c>
      <c r="B1601" s="3">
        <v>46003</v>
      </c>
      <c r="C1601">
        <v>1136</v>
      </c>
      <c r="D1601" t="s">
        <v>30</v>
      </c>
      <c r="E1601" t="s">
        <v>31</v>
      </c>
      <c r="F1601" t="s">
        <v>61</v>
      </c>
      <c r="G1601" t="s">
        <v>50</v>
      </c>
      <c r="H1601" t="s">
        <v>34</v>
      </c>
      <c r="I1601" t="s">
        <v>35</v>
      </c>
      <c r="J1601" s="4">
        <v>42.4</v>
      </c>
      <c r="K1601" s="4">
        <v>19.52</v>
      </c>
      <c r="L1601">
        <v>15</v>
      </c>
      <c r="M1601" s="4">
        <v>124.15</v>
      </c>
      <c r="N1601" s="4">
        <v>703.5</v>
      </c>
      <c r="O1601" s="4">
        <v>309.83</v>
      </c>
      <c r="P1601" s="4">
        <v>2.6</v>
      </c>
      <c r="Q1601" s="4">
        <v>5.79</v>
      </c>
      <c r="R1601" s="4">
        <v>10.83</v>
      </c>
      <c r="S1601" s="4">
        <v>0</v>
      </c>
      <c r="T1601" s="4">
        <v>0</v>
      </c>
      <c r="U1601" s="4">
        <v>329.05</v>
      </c>
      <c r="V1601" s="4">
        <v>374.45</v>
      </c>
      <c r="W1601" t="s">
        <v>21</v>
      </c>
      <c r="X1601" t="s">
        <v>36</v>
      </c>
      <c r="Y1601" s="4">
        <v>19</v>
      </c>
      <c r="Z1601" s="4">
        <v>17</v>
      </c>
      <c r="AA1601" t="s">
        <v>52</v>
      </c>
      <c r="AB1601" t="s">
        <v>44</v>
      </c>
      <c r="AC1601" s="7">
        <v>1</v>
      </c>
      <c r="AD1601" t="s">
        <v>45</v>
      </c>
      <c r="AE1601">
        <f t="shared" si="24"/>
        <v>1</v>
      </c>
    </row>
    <row r="1602" spans="1:31" x14ac:dyDescent="0.35">
      <c r="A1602">
        <v>101601</v>
      </c>
      <c r="B1602" s="3">
        <v>46006</v>
      </c>
      <c r="C1602">
        <v>1006</v>
      </c>
      <c r="D1602" t="s">
        <v>64</v>
      </c>
      <c r="E1602" t="s">
        <v>67</v>
      </c>
      <c r="F1602" t="s">
        <v>41</v>
      </c>
      <c r="G1602" t="s">
        <v>33</v>
      </c>
      <c r="H1602" t="s">
        <v>51</v>
      </c>
      <c r="I1602" t="s">
        <v>35</v>
      </c>
      <c r="J1602" s="4">
        <v>24.7</v>
      </c>
      <c r="K1602" s="4">
        <v>17.600000000000001</v>
      </c>
      <c r="L1602">
        <v>0</v>
      </c>
      <c r="M1602" s="4">
        <v>0</v>
      </c>
      <c r="N1602" s="4">
        <v>434.72</v>
      </c>
      <c r="O1602" s="4">
        <v>160.87</v>
      </c>
      <c r="P1602" s="4">
        <v>10.96</v>
      </c>
      <c r="Q1602" s="4">
        <v>3.04</v>
      </c>
      <c r="R1602" s="4">
        <v>11.16</v>
      </c>
      <c r="S1602" s="4">
        <v>0</v>
      </c>
      <c r="T1602" s="4">
        <v>0</v>
      </c>
      <c r="U1602" s="4">
        <v>186.03</v>
      </c>
      <c r="V1602" s="4">
        <v>248.69</v>
      </c>
      <c r="W1602" t="s">
        <v>21</v>
      </c>
      <c r="X1602" t="s">
        <v>36</v>
      </c>
      <c r="Y1602" s="4">
        <v>8</v>
      </c>
      <c r="Z1602" s="4">
        <v>3</v>
      </c>
      <c r="AA1602" t="s">
        <v>37</v>
      </c>
      <c r="AB1602" t="s">
        <v>38</v>
      </c>
      <c r="AC1602" s="7">
        <v>0</v>
      </c>
      <c r="AD1602" t="s">
        <v>39</v>
      </c>
      <c r="AE1602">
        <f t="shared" si="24"/>
        <v>0</v>
      </c>
    </row>
    <row r="1603" spans="1:31" x14ac:dyDescent="0.35">
      <c r="A1603">
        <v>101602</v>
      </c>
      <c r="B1603" s="3">
        <v>46017</v>
      </c>
      <c r="C1603">
        <v>1037</v>
      </c>
      <c r="D1603" t="s">
        <v>30</v>
      </c>
      <c r="E1603" t="s">
        <v>72</v>
      </c>
      <c r="F1603" t="s">
        <v>41</v>
      </c>
      <c r="G1603" t="s">
        <v>50</v>
      </c>
      <c r="H1603" t="s">
        <v>34</v>
      </c>
      <c r="I1603" t="s">
        <v>69</v>
      </c>
      <c r="J1603" s="4">
        <v>19.39</v>
      </c>
      <c r="K1603" s="4">
        <v>18.53</v>
      </c>
      <c r="L1603">
        <v>0</v>
      </c>
      <c r="M1603" s="4">
        <v>0</v>
      </c>
      <c r="N1603" s="4">
        <v>359.3</v>
      </c>
      <c r="O1603" s="4">
        <v>155.87</v>
      </c>
      <c r="P1603" s="4">
        <v>5.26</v>
      </c>
      <c r="Q1603" s="4">
        <v>1.44</v>
      </c>
      <c r="R1603" s="4">
        <v>5.5</v>
      </c>
      <c r="S1603" s="4">
        <v>0</v>
      </c>
      <c r="T1603" s="4">
        <v>0</v>
      </c>
      <c r="U1603" s="4">
        <v>168.07</v>
      </c>
      <c r="V1603" s="4">
        <v>191.23</v>
      </c>
      <c r="W1603" t="s">
        <v>21</v>
      </c>
      <c r="X1603" t="s">
        <v>36</v>
      </c>
      <c r="Y1603" s="4">
        <v>5</v>
      </c>
      <c r="Z1603" s="4">
        <v>6</v>
      </c>
      <c r="AA1603" t="s">
        <v>37</v>
      </c>
      <c r="AB1603" t="s">
        <v>38</v>
      </c>
      <c r="AC1603" s="7">
        <v>0</v>
      </c>
      <c r="AD1603" t="s">
        <v>39</v>
      </c>
      <c r="AE1603">
        <f t="shared" ref="AE1603:AE1666" si="25">IF(AB1603="Yes",1,0)</f>
        <v>0</v>
      </c>
    </row>
    <row r="1604" spans="1:31" x14ac:dyDescent="0.35">
      <c r="A1604">
        <v>101603</v>
      </c>
      <c r="B1604" s="3">
        <v>45996</v>
      </c>
      <c r="C1604">
        <v>1046</v>
      </c>
      <c r="D1604" t="s">
        <v>64</v>
      </c>
      <c r="E1604" t="s">
        <v>76</v>
      </c>
      <c r="F1604" t="s">
        <v>41</v>
      </c>
      <c r="G1604" t="s">
        <v>63</v>
      </c>
      <c r="H1604" t="s">
        <v>57</v>
      </c>
      <c r="I1604" t="s">
        <v>35</v>
      </c>
      <c r="J1604" s="4">
        <v>10.37</v>
      </c>
      <c r="K1604" s="4">
        <v>12.19</v>
      </c>
      <c r="L1604">
        <v>15</v>
      </c>
      <c r="M1604" s="4">
        <v>18.96</v>
      </c>
      <c r="N1604" s="4">
        <v>107.45</v>
      </c>
      <c r="O1604" s="4">
        <v>69.89</v>
      </c>
      <c r="P1604" s="4">
        <v>9.4499999999999993</v>
      </c>
      <c r="Q1604" s="4">
        <v>0.88</v>
      </c>
      <c r="R1604" s="4">
        <v>7.65</v>
      </c>
      <c r="S1604" s="4">
        <v>0</v>
      </c>
      <c r="T1604" s="4">
        <v>0</v>
      </c>
      <c r="U1604" s="4">
        <v>87.87</v>
      </c>
      <c r="V1604" s="4">
        <v>19.579999999999998</v>
      </c>
      <c r="W1604" t="s">
        <v>21</v>
      </c>
      <c r="X1604" t="s">
        <v>36</v>
      </c>
      <c r="Y1604" s="4">
        <v>35</v>
      </c>
      <c r="Z1604" s="4">
        <v>2</v>
      </c>
      <c r="AA1604" t="s">
        <v>43</v>
      </c>
      <c r="AB1604" t="s">
        <v>44</v>
      </c>
      <c r="AC1604" s="7">
        <v>1</v>
      </c>
      <c r="AD1604" t="s">
        <v>45</v>
      </c>
      <c r="AE1604">
        <f t="shared" si="25"/>
        <v>1</v>
      </c>
    </row>
    <row r="1605" spans="1:31" x14ac:dyDescent="0.35">
      <c r="A1605">
        <v>101604</v>
      </c>
      <c r="B1605" s="3">
        <v>46008</v>
      </c>
      <c r="C1605">
        <v>1012</v>
      </c>
      <c r="D1605" t="s">
        <v>30</v>
      </c>
      <c r="E1605" t="s">
        <v>62</v>
      </c>
      <c r="F1605" t="s">
        <v>71</v>
      </c>
      <c r="G1605" t="s">
        <v>63</v>
      </c>
      <c r="H1605" t="s">
        <v>34</v>
      </c>
      <c r="I1605" t="s">
        <v>35</v>
      </c>
      <c r="J1605" s="4">
        <v>15.28</v>
      </c>
      <c r="K1605" s="4">
        <v>12.38</v>
      </c>
      <c r="L1605">
        <v>0</v>
      </c>
      <c r="M1605" s="4">
        <v>0</v>
      </c>
      <c r="N1605" s="4">
        <v>189.17</v>
      </c>
      <c r="O1605" s="4">
        <v>97.73</v>
      </c>
      <c r="P1605" s="4">
        <v>12.64</v>
      </c>
      <c r="Q1605" s="4">
        <v>1.32</v>
      </c>
      <c r="R1605" s="4">
        <v>9.77</v>
      </c>
      <c r="S1605" s="4">
        <v>0</v>
      </c>
      <c r="T1605" s="4">
        <v>0</v>
      </c>
      <c r="U1605" s="4">
        <v>121.46</v>
      </c>
      <c r="V1605" s="4">
        <v>67.709999999999994</v>
      </c>
      <c r="W1605" t="s">
        <v>21</v>
      </c>
      <c r="X1605" t="s">
        <v>36</v>
      </c>
      <c r="Y1605" s="4">
        <v>1</v>
      </c>
      <c r="Z1605" s="4">
        <v>0</v>
      </c>
      <c r="AA1605" t="s">
        <v>37</v>
      </c>
      <c r="AB1605" t="s">
        <v>38</v>
      </c>
      <c r="AC1605" s="7">
        <v>0</v>
      </c>
      <c r="AD1605" t="s">
        <v>39</v>
      </c>
      <c r="AE1605">
        <f t="shared" si="25"/>
        <v>0</v>
      </c>
    </row>
    <row r="1606" spans="1:31" x14ac:dyDescent="0.35">
      <c r="A1606">
        <v>101605</v>
      </c>
      <c r="B1606" s="3">
        <v>46012</v>
      </c>
      <c r="C1606">
        <v>1145</v>
      </c>
      <c r="D1606" t="s">
        <v>47</v>
      </c>
      <c r="E1606" t="s">
        <v>48</v>
      </c>
      <c r="F1606" t="s">
        <v>61</v>
      </c>
      <c r="G1606" t="s">
        <v>50</v>
      </c>
      <c r="H1606" t="s">
        <v>34</v>
      </c>
      <c r="I1606" t="s">
        <v>35</v>
      </c>
      <c r="J1606" s="4">
        <v>9.01</v>
      </c>
      <c r="K1606" s="4">
        <v>18.89</v>
      </c>
      <c r="L1606">
        <v>5</v>
      </c>
      <c r="M1606" s="4">
        <v>8.51</v>
      </c>
      <c r="N1606" s="4">
        <v>161.69</v>
      </c>
      <c r="O1606" s="4">
        <v>59.51</v>
      </c>
      <c r="P1606" s="4">
        <v>6.69</v>
      </c>
      <c r="Q1606" s="4">
        <v>1.19</v>
      </c>
      <c r="R1606" s="4">
        <v>5.81</v>
      </c>
      <c r="S1606" s="4">
        <v>0</v>
      </c>
      <c r="T1606" s="4">
        <v>0</v>
      </c>
      <c r="U1606" s="4">
        <v>73.2</v>
      </c>
      <c r="V1606" s="4">
        <v>88.49</v>
      </c>
      <c r="W1606" t="s">
        <v>21</v>
      </c>
      <c r="X1606" t="s">
        <v>36</v>
      </c>
      <c r="Y1606" s="4">
        <v>3</v>
      </c>
      <c r="Z1606" s="4">
        <v>10</v>
      </c>
      <c r="AA1606" t="s">
        <v>37</v>
      </c>
      <c r="AB1606" t="s">
        <v>38</v>
      </c>
      <c r="AC1606" s="7">
        <v>1</v>
      </c>
      <c r="AD1606" t="s">
        <v>39</v>
      </c>
      <c r="AE1606">
        <f t="shared" si="25"/>
        <v>0</v>
      </c>
    </row>
    <row r="1607" spans="1:31" x14ac:dyDescent="0.35">
      <c r="A1607">
        <v>101606</v>
      </c>
      <c r="B1607" s="3">
        <v>45950</v>
      </c>
      <c r="C1607">
        <v>1001</v>
      </c>
      <c r="D1607" t="s">
        <v>59</v>
      </c>
      <c r="E1607" t="s">
        <v>73</v>
      </c>
      <c r="F1607" t="s">
        <v>41</v>
      </c>
      <c r="G1607" t="s">
        <v>46</v>
      </c>
      <c r="H1607" t="s">
        <v>34</v>
      </c>
      <c r="I1607" t="s">
        <v>42</v>
      </c>
      <c r="J1607" s="4">
        <v>28.66</v>
      </c>
      <c r="K1607" s="4">
        <v>15.46</v>
      </c>
      <c r="L1607">
        <v>0</v>
      </c>
      <c r="M1607" s="4">
        <v>0</v>
      </c>
      <c r="N1607" s="4">
        <v>443.08</v>
      </c>
      <c r="O1607" s="4">
        <v>212.05</v>
      </c>
      <c r="P1607" s="4">
        <v>6.14</v>
      </c>
      <c r="Q1607" s="4">
        <v>6.65</v>
      </c>
      <c r="R1607" s="4">
        <v>1.17</v>
      </c>
      <c r="S1607" s="4">
        <v>0</v>
      </c>
      <c r="T1607" s="4">
        <v>0</v>
      </c>
      <c r="U1607" s="4">
        <v>226.01</v>
      </c>
      <c r="V1607" s="4">
        <v>217.07</v>
      </c>
      <c r="W1607" t="s">
        <v>21</v>
      </c>
      <c r="X1607" t="s">
        <v>36</v>
      </c>
      <c r="Y1607" s="4">
        <v>61</v>
      </c>
      <c r="Z1607" s="4">
        <v>19</v>
      </c>
      <c r="AA1607" t="s">
        <v>43</v>
      </c>
      <c r="AB1607" t="s">
        <v>44</v>
      </c>
      <c r="AC1607" s="7">
        <v>2</v>
      </c>
      <c r="AD1607" t="s">
        <v>45</v>
      </c>
      <c r="AE1607">
        <f t="shared" si="25"/>
        <v>1</v>
      </c>
    </row>
    <row r="1608" spans="1:31" x14ac:dyDescent="0.35">
      <c r="A1608">
        <v>101607</v>
      </c>
      <c r="B1608" s="3">
        <v>46017</v>
      </c>
      <c r="C1608">
        <v>1045</v>
      </c>
      <c r="D1608" t="s">
        <v>59</v>
      </c>
      <c r="E1608" t="s">
        <v>68</v>
      </c>
      <c r="F1608" t="s">
        <v>49</v>
      </c>
      <c r="G1608" t="s">
        <v>46</v>
      </c>
      <c r="H1608" t="s">
        <v>51</v>
      </c>
      <c r="I1608" t="s">
        <v>35</v>
      </c>
      <c r="J1608" s="4">
        <v>36.69</v>
      </c>
      <c r="K1608" s="4">
        <v>17.84</v>
      </c>
      <c r="L1608">
        <v>5</v>
      </c>
      <c r="M1608" s="4">
        <v>32.729999999999997</v>
      </c>
      <c r="N1608" s="4">
        <v>621.82000000000005</v>
      </c>
      <c r="O1608" s="4">
        <v>278.16000000000003</v>
      </c>
      <c r="P1608" s="4">
        <v>10.94</v>
      </c>
      <c r="Q1608" s="4">
        <v>4.58</v>
      </c>
      <c r="R1608" s="4">
        <v>6.1</v>
      </c>
      <c r="S1608" s="4">
        <v>0</v>
      </c>
      <c r="T1608" s="4">
        <v>0</v>
      </c>
      <c r="U1608" s="4">
        <v>299.77999999999997</v>
      </c>
      <c r="V1608" s="4">
        <v>322.04000000000002</v>
      </c>
      <c r="W1608" t="s">
        <v>21</v>
      </c>
      <c r="X1608" t="s">
        <v>36</v>
      </c>
      <c r="Y1608" s="4">
        <v>2</v>
      </c>
      <c r="Z1608" s="4">
        <v>15</v>
      </c>
      <c r="AA1608" t="s">
        <v>37</v>
      </c>
      <c r="AB1608" t="s">
        <v>38</v>
      </c>
      <c r="AC1608" s="7">
        <v>0</v>
      </c>
      <c r="AD1608" t="s">
        <v>39</v>
      </c>
      <c r="AE1608">
        <f t="shared" si="25"/>
        <v>0</v>
      </c>
    </row>
    <row r="1609" spans="1:31" x14ac:dyDescent="0.35">
      <c r="A1609">
        <v>101608</v>
      </c>
      <c r="B1609" s="3">
        <v>45940</v>
      </c>
      <c r="C1609">
        <v>1104</v>
      </c>
      <c r="D1609" t="s">
        <v>30</v>
      </c>
      <c r="E1609" t="s">
        <v>72</v>
      </c>
      <c r="F1609" t="s">
        <v>61</v>
      </c>
      <c r="G1609" t="s">
        <v>63</v>
      </c>
      <c r="H1609" t="s">
        <v>57</v>
      </c>
      <c r="I1609" t="s">
        <v>69</v>
      </c>
      <c r="J1609" s="4">
        <v>12.77</v>
      </c>
      <c r="K1609" s="4">
        <v>13.72</v>
      </c>
      <c r="L1609">
        <v>10</v>
      </c>
      <c r="M1609" s="4">
        <v>17.52</v>
      </c>
      <c r="N1609" s="4">
        <v>157.68</v>
      </c>
      <c r="O1609" s="4">
        <v>66.62</v>
      </c>
      <c r="P1609" s="4">
        <v>10.25</v>
      </c>
      <c r="Q1609" s="4">
        <v>0.7</v>
      </c>
      <c r="R1609" s="4">
        <v>1.84</v>
      </c>
      <c r="S1609" s="4">
        <v>0</v>
      </c>
      <c r="T1609" s="4">
        <v>0</v>
      </c>
      <c r="U1609" s="4">
        <v>79.41</v>
      </c>
      <c r="V1609" s="4">
        <v>78.27</v>
      </c>
      <c r="W1609" t="s">
        <v>21</v>
      </c>
      <c r="X1609" t="s">
        <v>36</v>
      </c>
      <c r="Y1609" s="4">
        <v>24</v>
      </c>
      <c r="Z1609" s="4">
        <v>10</v>
      </c>
      <c r="AA1609" t="s">
        <v>52</v>
      </c>
      <c r="AB1609" t="s">
        <v>44</v>
      </c>
      <c r="AC1609" s="7">
        <v>1</v>
      </c>
      <c r="AD1609" t="s">
        <v>45</v>
      </c>
      <c r="AE1609">
        <f t="shared" si="25"/>
        <v>1</v>
      </c>
    </row>
    <row r="1610" spans="1:31" x14ac:dyDescent="0.35">
      <c r="A1610">
        <v>101609</v>
      </c>
      <c r="B1610" s="3">
        <v>46021</v>
      </c>
      <c r="C1610">
        <v>1069</v>
      </c>
      <c r="D1610" t="s">
        <v>47</v>
      </c>
      <c r="E1610" t="s">
        <v>48</v>
      </c>
      <c r="F1610" t="s">
        <v>49</v>
      </c>
      <c r="G1610" t="s">
        <v>33</v>
      </c>
      <c r="H1610" t="s">
        <v>51</v>
      </c>
      <c r="I1610" t="s">
        <v>35</v>
      </c>
      <c r="J1610" s="4">
        <v>27</v>
      </c>
      <c r="K1610" s="4">
        <v>19.510000000000002</v>
      </c>
      <c r="L1610">
        <v>0</v>
      </c>
      <c r="M1610" s="4">
        <v>0</v>
      </c>
      <c r="N1610" s="4">
        <v>526.77</v>
      </c>
      <c r="O1610" s="4">
        <v>206.5</v>
      </c>
      <c r="P1610" s="4">
        <v>11.64</v>
      </c>
      <c r="Q1610" s="4">
        <v>3.69</v>
      </c>
      <c r="R1610" s="4">
        <v>4.28</v>
      </c>
      <c r="S1610" s="4">
        <v>447.71</v>
      </c>
      <c r="T1610" s="4">
        <v>5.57</v>
      </c>
      <c r="U1610" s="4">
        <v>679.39</v>
      </c>
      <c r="V1610" s="4">
        <v>-152.62</v>
      </c>
      <c r="W1610" t="s">
        <v>58</v>
      </c>
      <c r="X1610" t="s">
        <v>55</v>
      </c>
      <c r="Y1610" s="4">
        <v>4</v>
      </c>
      <c r="Z1610" s="4">
        <v>15</v>
      </c>
      <c r="AA1610" t="s">
        <v>37</v>
      </c>
      <c r="AB1610" t="s">
        <v>44</v>
      </c>
      <c r="AC1610" s="7">
        <v>2</v>
      </c>
      <c r="AD1610" t="s">
        <v>45</v>
      </c>
      <c r="AE1610">
        <f t="shared" si="25"/>
        <v>1</v>
      </c>
    </row>
    <row r="1611" spans="1:31" x14ac:dyDescent="0.35">
      <c r="A1611">
        <v>101610</v>
      </c>
      <c r="B1611" s="3">
        <v>45990</v>
      </c>
      <c r="C1611">
        <v>1106</v>
      </c>
      <c r="D1611" t="s">
        <v>64</v>
      </c>
      <c r="E1611" t="s">
        <v>75</v>
      </c>
      <c r="F1611" t="s">
        <v>71</v>
      </c>
      <c r="G1611" t="s">
        <v>33</v>
      </c>
      <c r="H1611" t="s">
        <v>57</v>
      </c>
      <c r="I1611" t="s">
        <v>35</v>
      </c>
      <c r="J1611" s="4">
        <v>25.73</v>
      </c>
      <c r="K1611" s="4">
        <v>19.73</v>
      </c>
      <c r="L1611">
        <v>0</v>
      </c>
      <c r="M1611" s="4">
        <v>0</v>
      </c>
      <c r="N1611" s="4">
        <v>507.65</v>
      </c>
      <c r="O1611" s="4">
        <v>197.46</v>
      </c>
      <c r="P1611" s="4">
        <v>13.31</v>
      </c>
      <c r="Q1611" s="4">
        <v>3.55</v>
      </c>
      <c r="R1611" s="4">
        <v>3.13</v>
      </c>
      <c r="S1611" s="4">
        <v>0</v>
      </c>
      <c r="T1611" s="4">
        <v>0</v>
      </c>
      <c r="U1611" s="4">
        <v>217.45</v>
      </c>
      <c r="V1611" s="4">
        <v>290.2</v>
      </c>
      <c r="W1611" t="s">
        <v>21</v>
      </c>
      <c r="X1611" t="s">
        <v>36</v>
      </c>
      <c r="Y1611" s="4">
        <v>3</v>
      </c>
      <c r="Z1611" s="4">
        <v>26</v>
      </c>
      <c r="AA1611" t="s">
        <v>37</v>
      </c>
      <c r="AB1611" t="s">
        <v>44</v>
      </c>
      <c r="AC1611" s="7">
        <v>2</v>
      </c>
      <c r="AD1611" t="s">
        <v>45</v>
      </c>
      <c r="AE1611">
        <f t="shared" si="25"/>
        <v>1</v>
      </c>
    </row>
    <row r="1612" spans="1:31" x14ac:dyDescent="0.35">
      <c r="A1612">
        <v>101611</v>
      </c>
      <c r="B1612" s="3">
        <v>46004</v>
      </c>
      <c r="C1612">
        <v>1118</v>
      </c>
      <c r="D1612" t="s">
        <v>30</v>
      </c>
      <c r="E1612" t="s">
        <v>72</v>
      </c>
      <c r="F1612" t="s">
        <v>61</v>
      </c>
      <c r="G1612" t="s">
        <v>46</v>
      </c>
      <c r="H1612" t="s">
        <v>34</v>
      </c>
      <c r="I1612" t="s">
        <v>54</v>
      </c>
      <c r="J1612" s="4">
        <v>20.66</v>
      </c>
      <c r="K1612" s="4">
        <v>15.81</v>
      </c>
      <c r="L1612">
        <v>0</v>
      </c>
      <c r="M1612" s="4">
        <v>0</v>
      </c>
      <c r="N1612" s="4">
        <v>326.63</v>
      </c>
      <c r="O1612" s="4">
        <v>159.16999999999999</v>
      </c>
      <c r="P1612" s="4">
        <v>4.1900000000000004</v>
      </c>
      <c r="Q1612" s="4">
        <v>3.92</v>
      </c>
      <c r="R1612" s="4">
        <v>4.6900000000000004</v>
      </c>
      <c r="S1612" s="4">
        <v>0</v>
      </c>
      <c r="T1612" s="4">
        <v>0</v>
      </c>
      <c r="U1612" s="4">
        <v>171.97</v>
      </c>
      <c r="V1612" s="4">
        <v>154.66</v>
      </c>
      <c r="W1612" t="s">
        <v>21</v>
      </c>
      <c r="X1612" t="s">
        <v>36</v>
      </c>
      <c r="Y1612" s="4">
        <v>15</v>
      </c>
      <c r="Z1612" s="4">
        <v>11</v>
      </c>
      <c r="AA1612" t="s">
        <v>37</v>
      </c>
      <c r="AB1612" t="s">
        <v>38</v>
      </c>
      <c r="AC1612" s="7">
        <v>0</v>
      </c>
      <c r="AD1612" t="s">
        <v>39</v>
      </c>
      <c r="AE1612">
        <f t="shared" si="25"/>
        <v>0</v>
      </c>
    </row>
    <row r="1613" spans="1:31" x14ac:dyDescent="0.35">
      <c r="A1613">
        <v>101612</v>
      </c>
      <c r="B1613" s="3">
        <v>45937</v>
      </c>
      <c r="C1613">
        <v>1113</v>
      </c>
      <c r="D1613" t="s">
        <v>59</v>
      </c>
      <c r="E1613" t="s">
        <v>70</v>
      </c>
      <c r="F1613" t="s">
        <v>49</v>
      </c>
      <c r="G1613" t="s">
        <v>46</v>
      </c>
      <c r="H1613" t="s">
        <v>34</v>
      </c>
      <c r="I1613" t="s">
        <v>69</v>
      </c>
      <c r="J1613" s="4">
        <v>39.4</v>
      </c>
      <c r="K1613" s="4">
        <v>15.68</v>
      </c>
      <c r="L1613">
        <v>0</v>
      </c>
      <c r="M1613" s="4">
        <v>0</v>
      </c>
      <c r="N1613" s="4">
        <v>617.79</v>
      </c>
      <c r="O1613" s="4">
        <v>311.43</v>
      </c>
      <c r="P1613" s="4">
        <v>5.55</v>
      </c>
      <c r="Q1613" s="4">
        <v>2.4700000000000002</v>
      </c>
      <c r="R1613" s="4">
        <v>7.7</v>
      </c>
      <c r="S1613" s="4">
        <v>0</v>
      </c>
      <c r="T1613" s="4">
        <v>0</v>
      </c>
      <c r="U1613" s="4">
        <v>327.14999999999998</v>
      </c>
      <c r="V1613" s="4">
        <v>290.64</v>
      </c>
      <c r="W1613" t="s">
        <v>21</v>
      </c>
      <c r="X1613" t="s">
        <v>36</v>
      </c>
      <c r="Y1613" s="4">
        <v>20</v>
      </c>
      <c r="Z1613" s="4">
        <v>7</v>
      </c>
      <c r="AA1613" t="s">
        <v>52</v>
      </c>
      <c r="AB1613" t="s">
        <v>38</v>
      </c>
      <c r="AC1613" s="7">
        <v>0</v>
      </c>
      <c r="AD1613" t="s">
        <v>39</v>
      </c>
      <c r="AE1613">
        <f t="shared" si="25"/>
        <v>0</v>
      </c>
    </row>
    <row r="1614" spans="1:31" x14ac:dyDescent="0.35">
      <c r="A1614">
        <v>101613</v>
      </c>
      <c r="B1614" s="3">
        <v>45998</v>
      </c>
      <c r="C1614">
        <v>1088</v>
      </c>
      <c r="D1614" t="s">
        <v>64</v>
      </c>
      <c r="E1614" t="s">
        <v>75</v>
      </c>
      <c r="F1614" t="s">
        <v>61</v>
      </c>
      <c r="G1614" t="s">
        <v>63</v>
      </c>
      <c r="H1614" t="s">
        <v>57</v>
      </c>
      <c r="I1614" t="s">
        <v>35</v>
      </c>
      <c r="J1614" s="4">
        <v>18.47</v>
      </c>
      <c r="K1614" s="4">
        <v>14.06</v>
      </c>
      <c r="L1614">
        <v>0</v>
      </c>
      <c r="M1614" s="4">
        <v>0</v>
      </c>
      <c r="N1614" s="4">
        <v>259.69</v>
      </c>
      <c r="O1614" s="4">
        <v>134.06</v>
      </c>
      <c r="P1614" s="4">
        <v>10.61</v>
      </c>
      <c r="Q1614" s="4">
        <v>1.82</v>
      </c>
      <c r="R1614" s="4">
        <v>6.27</v>
      </c>
      <c r="S1614" s="4">
        <v>0</v>
      </c>
      <c r="T1614" s="4">
        <v>0</v>
      </c>
      <c r="U1614" s="4">
        <v>152.76</v>
      </c>
      <c r="V1614" s="4">
        <v>106.93</v>
      </c>
      <c r="W1614" t="s">
        <v>21</v>
      </c>
      <c r="X1614" t="s">
        <v>36</v>
      </c>
      <c r="Y1614" s="4">
        <v>20</v>
      </c>
      <c r="Z1614" s="4">
        <v>1</v>
      </c>
      <c r="AA1614" t="s">
        <v>52</v>
      </c>
      <c r="AB1614" t="s">
        <v>38</v>
      </c>
      <c r="AC1614" s="7">
        <v>0</v>
      </c>
      <c r="AD1614" t="s">
        <v>39</v>
      </c>
      <c r="AE1614">
        <f t="shared" si="25"/>
        <v>0</v>
      </c>
    </row>
    <row r="1615" spans="1:31" x14ac:dyDescent="0.35">
      <c r="A1615">
        <v>101614</v>
      </c>
      <c r="B1615" s="3">
        <v>45946</v>
      </c>
      <c r="C1615">
        <v>1142</v>
      </c>
      <c r="D1615" t="s">
        <v>30</v>
      </c>
      <c r="E1615" t="s">
        <v>31</v>
      </c>
      <c r="F1615" t="s">
        <v>41</v>
      </c>
      <c r="G1615" t="s">
        <v>63</v>
      </c>
      <c r="H1615" t="s">
        <v>34</v>
      </c>
      <c r="I1615" t="s">
        <v>35</v>
      </c>
      <c r="J1615" s="4">
        <v>26.18</v>
      </c>
      <c r="K1615" s="4">
        <v>13.79</v>
      </c>
      <c r="L1615">
        <v>5</v>
      </c>
      <c r="M1615" s="4">
        <v>18.05</v>
      </c>
      <c r="N1615" s="4">
        <v>342.97</v>
      </c>
      <c r="O1615" s="4">
        <v>194.22</v>
      </c>
      <c r="P1615" s="4">
        <v>8.91</v>
      </c>
      <c r="Q1615" s="4">
        <v>2.5299999999999998</v>
      </c>
      <c r="R1615" s="4">
        <v>4.92</v>
      </c>
      <c r="S1615" s="4">
        <v>237.13</v>
      </c>
      <c r="T1615" s="4">
        <v>0</v>
      </c>
      <c r="U1615" s="4">
        <v>447.71</v>
      </c>
      <c r="V1615" s="4">
        <v>-104.74</v>
      </c>
      <c r="W1615" t="s">
        <v>58</v>
      </c>
      <c r="X1615" t="s">
        <v>55</v>
      </c>
      <c r="Y1615" s="4">
        <v>6</v>
      </c>
      <c r="Z1615" s="4">
        <v>10</v>
      </c>
      <c r="AA1615" t="s">
        <v>37</v>
      </c>
      <c r="AB1615" t="s">
        <v>44</v>
      </c>
      <c r="AC1615" s="7">
        <v>2</v>
      </c>
      <c r="AD1615" t="s">
        <v>45</v>
      </c>
      <c r="AE1615">
        <f t="shared" si="25"/>
        <v>1</v>
      </c>
    </row>
    <row r="1616" spans="1:31" x14ac:dyDescent="0.35">
      <c r="A1616">
        <v>101615</v>
      </c>
      <c r="B1616" s="3">
        <v>45945</v>
      </c>
      <c r="C1616">
        <v>1054</v>
      </c>
      <c r="D1616" t="s">
        <v>30</v>
      </c>
      <c r="E1616" t="s">
        <v>62</v>
      </c>
      <c r="F1616" t="s">
        <v>61</v>
      </c>
      <c r="G1616" t="s">
        <v>50</v>
      </c>
      <c r="H1616" t="s">
        <v>34</v>
      </c>
      <c r="I1616" t="s">
        <v>54</v>
      </c>
      <c r="J1616" s="4">
        <v>19.27</v>
      </c>
      <c r="K1616" s="4">
        <v>18.03</v>
      </c>
      <c r="L1616">
        <v>5</v>
      </c>
      <c r="M1616" s="4">
        <v>17.37</v>
      </c>
      <c r="N1616" s="4">
        <v>330.07</v>
      </c>
      <c r="O1616" s="4">
        <v>125.73</v>
      </c>
      <c r="P1616" s="4">
        <v>7.45</v>
      </c>
      <c r="Q1616" s="4">
        <v>4.17</v>
      </c>
      <c r="R1616" s="4">
        <v>11.09</v>
      </c>
      <c r="S1616" s="4">
        <v>0</v>
      </c>
      <c r="T1616" s="4">
        <v>0</v>
      </c>
      <c r="U1616" s="4">
        <v>148.44</v>
      </c>
      <c r="V1616" s="4">
        <v>181.63</v>
      </c>
      <c r="W1616" t="s">
        <v>21</v>
      </c>
      <c r="X1616" t="s">
        <v>36</v>
      </c>
      <c r="Y1616" s="4">
        <v>8</v>
      </c>
      <c r="Z1616" s="4">
        <v>9</v>
      </c>
      <c r="AA1616" t="s">
        <v>37</v>
      </c>
      <c r="AB1616" t="s">
        <v>38</v>
      </c>
      <c r="AC1616" s="7">
        <v>0</v>
      </c>
      <c r="AD1616" t="s">
        <v>39</v>
      </c>
      <c r="AE1616">
        <f t="shared" si="25"/>
        <v>0</v>
      </c>
    </row>
    <row r="1617" spans="1:31" x14ac:dyDescent="0.35">
      <c r="A1617">
        <v>101616</v>
      </c>
      <c r="B1617" s="3">
        <v>45950</v>
      </c>
      <c r="C1617">
        <v>1120</v>
      </c>
      <c r="D1617" t="s">
        <v>59</v>
      </c>
      <c r="E1617" t="s">
        <v>73</v>
      </c>
      <c r="F1617" t="s">
        <v>71</v>
      </c>
      <c r="G1617" t="s">
        <v>46</v>
      </c>
      <c r="H1617" t="s">
        <v>57</v>
      </c>
      <c r="I1617" t="s">
        <v>35</v>
      </c>
      <c r="J1617" s="4">
        <v>42.93</v>
      </c>
      <c r="K1617" s="4">
        <v>16.28</v>
      </c>
      <c r="L1617">
        <v>5</v>
      </c>
      <c r="M1617" s="4">
        <v>34.94</v>
      </c>
      <c r="N1617" s="4">
        <v>663.96</v>
      </c>
      <c r="O1617" s="4">
        <v>281.64999999999998</v>
      </c>
      <c r="P1617" s="4">
        <v>10.57</v>
      </c>
      <c r="Q1617" s="4">
        <v>4.8899999999999997</v>
      </c>
      <c r="R1617" s="4">
        <v>5.54</v>
      </c>
      <c r="S1617" s="4">
        <v>0</v>
      </c>
      <c r="T1617" s="4">
        <v>0</v>
      </c>
      <c r="U1617" s="4">
        <v>302.64999999999998</v>
      </c>
      <c r="V1617" s="4">
        <v>361.31</v>
      </c>
      <c r="W1617" t="s">
        <v>21</v>
      </c>
      <c r="X1617" t="s">
        <v>36</v>
      </c>
      <c r="Y1617" s="4">
        <v>12</v>
      </c>
      <c r="Z1617" s="4">
        <v>6</v>
      </c>
      <c r="AA1617" t="s">
        <v>37</v>
      </c>
      <c r="AB1617" t="s">
        <v>38</v>
      </c>
      <c r="AC1617" s="7">
        <v>0</v>
      </c>
      <c r="AD1617" t="s">
        <v>39</v>
      </c>
      <c r="AE1617">
        <f t="shared" si="25"/>
        <v>0</v>
      </c>
    </row>
    <row r="1618" spans="1:31" x14ac:dyDescent="0.35">
      <c r="A1618">
        <v>101617</v>
      </c>
      <c r="B1618" s="3">
        <v>45947</v>
      </c>
      <c r="C1618">
        <v>1138</v>
      </c>
      <c r="D1618" t="s">
        <v>64</v>
      </c>
      <c r="E1618" t="s">
        <v>67</v>
      </c>
      <c r="F1618" t="s">
        <v>71</v>
      </c>
      <c r="G1618" t="s">
        <v>50</v>
      </c>
      <c r="H1618" t="s">
        <v>34</v>
      </c>
      <c r="I1618" t="s">
        <v>54</v>
      </c>
      <c r="J1618" s="4">
        <v>18.8</v>
      </c>
      <c r="K1618" s="4">
        <v>16.989999999999998</v>
      </c>
      <c r="L1618">
        <v>10</v>
      </c>
      <c r="M1618" s="4">
        <v>31.94</v>
      </c>
      <c r="N1618" s="4">
        <v>287.47000000000003</v>
      </c>
      <c r="O1618" s="4">
        <v>143.29</v>
      </c>
      <c r="P1618" s="4">
        <v>8.1999999999999993</v>
      </c>
      <c r="Q1618" s="4">
        <v>3.83</v>
      </c>
      <c r="R1618" s="4">
        <v>6.19</v>
      </c>
      <c r="S1618" s="4">
        <v>0</v>
      </c>
      <c r="T1618" s="4">
        <v>0</v>
      </c>
      <c r="U1618" s="4">
        <v>161.51</v>
      </c>
      <c r="V1618" s="4">
        <v>125.96</v>
      </c>
      <c r="W1618" t="s">
        <v>21</v>
      </c>
      <c r="X1618" t="s">
        <v>36</v>
      </c>
      <c r="Y1618" s="4">
        <v>5</v>
      </c>
      <c r="Z1618" s="4">
        <v>13</v>
      </c>
      <c r="AA1618" t="s">
        <v>37</v>
      </c>
      <c r="AB1618" t="s">
        <v>38</v>
      </c>
      <c r="AC1618" s="7">
        <v>0</v>
      </c>
      <c r="AD1618" t="s">
        <v>39</v>
      </c>
      <c r="AE1618">
        <f t="shared" si="25"/>
        <v>0</v>
      </c>
    </row>
    <row r="1619" spans="1:31" x14ac:dyDescent="0.35">
      <c r="A1619">
        <v>101618</v>
      </c>
      <c r="B1619" s="3">
        <v>45985</v>
      </c>
      <c r="C1619">
        <v>1020</v>
      </c>
      <c r="D1619" t="s">
        <v>59</v>
      </c>
      <c r="E1619" t="s">
        <v>60</v>
      </c>
      <c r="F1619" t="s">
        <v>32</v>
      </c>
      <c r="G1619" t="s">
        <v>46</v>
      </c>
      <c r="H1619" t="s">
        <v>34</v>
      </c>
      <c r="I1619" t="s">
        <v>35</v>
      </c>
      <c r="J1619" s="4">
        <v>35.049999999999997</v>
      </c>
      <c r="K1619" s="4">
        <v>16.8</v>
      </c>
      <c r="L1619">
        <v>10</v>
      </c>
      <c r="M1619" s="4">
        <v>58.88</v>
      </c>
      <c r="N1619" s="4">
        <v>529.96</v>
      </c>
      <c r="O1619" s="4">
        <v>293.22000000000003</v>
      </c>
      <c r="P1619" s="4">
        <v>7.83</v>
      </c>
      <c r="Q1619" s="4">
        <v>4.12</v>
      </c>
      <c r="R1619" s="4">
        <v>2.04</v>
      </c>
      <c r="S1619" s="4">
        <v>0</v>
      </c>
      <c r="T1619" s="4">
        <v>0</v>
      </c>
      <c r="U1619" s="4">
        <v>307.20999999999998</v>
      </c>
      <c r="V1619" s="4">
        <v>222.75</v>
      </c>
      <c r="W1619" t="s">
        <v>21</v>
      </c>
      <c r="X1619" t="s">
        <v>36</v>
      </c>
      <c r="Y1619" s="4">
        <v>0</v>
      </c>
      <c r="Z1619" s="4">
        <v>3</v>
      </c>
      <c r="AA1619" t="s">
        <v>37</v>
      </c>
      <c r="AB1619" t="s">
        <v>38</v>
      </c>
      <c r="AC1619" s="7">
        <v>0</v>
      </c>
      <c r="AD1619" t="s">
        <v>39</v>
      </c>
      <c r="AE1619">
        <f t="shared" si="25"/>
        <v>0</v>
      </c>
    </row>
    <row r="1620" spans="1:31" x14ac:dyDescent="0.35">
      <c r="A1620">
        <v>101619</v>
      </c>
      <c r="B1620" s="3">
        <v>45981</v>
      </c>
      <c r="C1620">
        <v>1030</v>
      </c>
      <c r="D1620" t="s">
        <v>30</v>
      </c>
      <c r="E1620" t="s">
        <v>72</v>
      </c>
      <c r="F1620" t="s">
        <v>41</v>
      </c>
      <c r="G1620" t="s">
        <v>63</v>
      </c>
      <c r="H1620" t="s">
        <v>34</v>
      </c>
      <c r="I1620" t="s">
        <v>35</v>
      </c>
      <c r="J1620" s="4">
        <v>33.32</v>
      </c>
      <c r="K1620" s="4">
        <v>13.71</v>
      </c>
      <c r="L1620">
        <v>5</v>
      </c>
      <c r="M1620" s="4">
        <v>22.84</v>
      </c>
      <c r="N1620" s="4">
        <v>433.98</v>
      </c>
      <c r="O1620" s="4">
        <v>191.76</v>
      </c>
      <c r="P1620" s="4">
        <v>8.5</v>
      </c>
      <c r="Q1620" s="4">
        <v>3.2</v>
      </c>
      <c r="R1620" s="4">
        <v>0.01</v>
      </c>
      <c r="S1620" s="4">
        <v>0</v>
      </c>
      <c r="T1620" s="4">
        <v>0</v>
      </c>
      <c r="U1620" s="4">
        <v>203.47</v>
      </c>
      <c r="V1620" s="4">
        <v>230.51</v>
      </c>
      <c r="W1620" t="s">
        <v>21</v>
      </c>
      <c r="X1620" t="s">
        <v>36</v>
      </c>
      <c r="Y1620" s="4">
        <v>1</v>
      </c>
      <c r="Z1620" s="4">
        <v>10</v>
      </c>
      <c r="AA1620" t="s">
        <v>37</v>
      </c>
      <c r="AB1620" t="s">
        <v>38</v>
      </c>
      <c r="AC1620" s="7">
        <v>0</v>
      </c>
      <c r="AD1620" t="s">
        <v>39</v>
      </c>
      <c r="AE1620">
        <f t="shared" si="25"/>
        <v>0</v>
      </c>
    </row>
    <row r="1621" spans="1:31" x14ac:dyDescent="0.35">
      <c r="A1621">
        <v>101620</v>
      </c>
      <c r="B1621" s="3">
        <v>46011</v>
      </c>
      <c r="C1621">
        <v>1042</v>
      </c>
      <c r="D1621" t="s">
        <v>30</v>
      </c>
      <c r="E1621" t="s">
        <v>72</v>
      </c>
      <c r="F1621" t="s">
        <v>32</v>
      </c>
      <c r="G1621" t="s">
        <v>46</v>
      </c>
      <c r="H1621" t="s">
        <v>34</v>
      </c>
      <c r="I1621" t="s">
        <v>35</v>
      </c>
      <c r="J1621" s="4">
        <v>26.35</v>
      </c>
      <c r="K1621" s="4">
        <v>16.02</v>
      </c>
      <c r="L1621">
        <v>5</v>
      </c>
      <c r="M1621" s="4">
        <v>21.11</v>
      </c>
      <c r="N1621" s="4">
        <v>401.02</v>
      </c>
      <c r="O1621" s="4">
        <v>168.7</v>
      </c>
      <c r="P1621" s="4">
        <v>6.07</v>
      </c>
      <c r="Q1621" s="4">
        <v>2.95</v>
      </c>
      <c r="R1621" s="4">
        <v>4.28</v>
      </c>
      <c r="S1621" s="4">
        <v>0</v>
      </c>
      <c r="T1621" s="4">
        <v>0</v>
      </c>
      <c r="U1621" s="4">
        <v>182</v>
      </c>
      <c r="V1621" s="4">
        <v>219.02</v>
      </c>
      <c r="W1621" t="s">
        <v>21</v>
      </c>
      <c r="X1621" t="s">
        <v>36</v>
      </c>
      <c r="Y1621" s="4">
        <v>15</v>
      </c>
      <c r="Z1621" s="4">
        <v>26</v>
      </c>
      <c r="AA1621" t="s">
        <v>37</v>
      </c>
      <c r="AB1621" t="s">
        <v>44</v>
      </c>
      <c r="AC1621" s="7">
        <v>1</v>
      </c>
      <c r="AD1621" t="s">
        <v>45</v>
      </c>
      <c r="AE1621">
        <f t="shared" si="25"/>
        <v>1</v>
      </c>
    </row>
    <row r="1622" spans="1:31" x14ac:dyDescent="0.35">
      <c r="A1622">
        <v>101621</v>
      </c>
      <c r="B1622" s="3">
        <v>45964</v>
      </c>
      <c r="C1622">
        <v>1089</v>
      </c>
      <c r="D1622" t="s">
        <v>59</v>
      </c>
      <c r="E1622" t="s">
        <v>68</v>
      </c>
      <c r="F1622" t="s">
        <v>41</v>
      </c>
      <c r="G1622" t="s">
        <v>46</v>
      </c>
      <c r="H1622" t="s">
        <v>51</v>
      </c>
      <c r="I1622" t="s">
        <v>42</v>
      </c>
      <c r="J1622" s="4">
        <v>18.5</v>
      </c>
      <c r="K1622" s="4">
        <v>16.45</v>
      </c>
      <c r="L1622">
        <v>10</v>
      </c>
      <c r="M1622" s="4">
        <v>30.43</v>
      </c>
      <c r="N1622" s="4">
        <v>273.89</v>
      </c>
      <c r="O1622" s="4">
        <v>145.54</v>
      </c>
      <c r="P1622" s="4">
        <v>7.92</v>
      </c>
      <c r="Q1622" s="4">
        <v>4.5599999999999996</v>
      </c>
      <c r="R1622" s="4">
        <v>3.95</v>
      </c>
      <c r="S1622" s="4">
        <v>0</v>
      </c>
      <c r="T1622" s="4">
        <v>0</v>
      </c>
      <c r="U1622" s="4">
        <v>161.97</v>
      </c>
      <c r="V1622" s="4">
        <v>111.92</v>
      </c>
      <c r="W1622" t="s">
        <v>21</v>
      </c>
      <c r="X1622" t="s">
        <v>36</v>
      </c>
      <c r="Y1622" s="4">
        <v>0</v>
      </c>
      <c r="Z1622" s="4">
        <v>7</v>
      </c>
      <c r="AA1622" t="s">
        <v>37</v>
      </c>
      <c r="AB1622" t="s">
        <v>38</v>
      </c>
      <c r="AC1622" s="7">
        <v>0</v>
      </c>
      <c r="AD1622" t="s">
        <v>39</v>
      </c>
      <c r="AE1622">
        <f t="shared" si="25"/>
        <v>0</v>
      </c>
    </row>
    <row r="1623" spans="1:31" x14ac:dyDescent="0.35">
      <c r="A1623">
        <v>101622</v>
      </c>
      <c r="B1623" s="3">
        <v>46003</v>
      </c>
      <c r="C1623">
        <v>1079</v>
      </c>
      <c r="D1623" t="s">
        <v>47</v>
      </c>
      <c r="E1623" t="s">
        <v>56</v>
      </c>
      <c r="F1623" t="s">
        <v>71</v>
      </c>
      <c r="G1623" t="s">
        <v>50</v>
      </c>
      <c r="H1623" t="s">
        <v>34</v>
      </c>
      <c r="I1623" t="s">
        <v>42</v>
      </c>
      <c r="J1623" s="4">
        <v>23.18</v>
      </c>
      <c r="K1623" s="4">
        <v>18.53</v>
      </c>
      <c r="L1623">
        <v>5</v>
      </c>
      <c r="M1623" s="4">
        <v>21.48</v>
      </c>
      <c r="N1623" s="4">
        <v>408.05</v>
      </c>
      <c r="O1623" s="4">
        <v>152.99</v>
      </c>
      <c r="P1623" s="4">
        <v>12.57</v>
      </c>
      <c r="Q1623" s="4">
        <v>6.44</v>
      </c>
      <c r="R1623" s="4">
        <v>0</v>
      </c>
      <c r="S1623" s="4">
        <v>0</v>
      </c>
      <c r="T1623" s="4">
        <v>0</v>
      </c>
      <c r="U1623" s="4">
        <v>172</v>
      </c>
      <c r="V1623" s="4">
        <v>236.05</v>
      </c>
      <c r="W1623" t="s">
        <v>21</v>
      </c>
      <c r="X1623" t="s">
        <v>36</v>
      </c>
      <c r="Y1623" s="4">
        <v>27</v>
      </c>
      <c r="Z1623" s="4">
        <v>68</v>
      </c>
      <c r="AA1623" t="s">
        <v>52</v>
      </c>
      <c r="AB1623" t="s">
        <v>44</v>
      </c>
      <c r="AC1623" s="7">
        <v>2</v>
      </c>
      <c r="AD1623" t="s">
        <v>45</v>
      </c>
      <c r="AE1623">
        <f t="shared" si="25"/>
        <v>1</v>
      </c>
    </row>
    <row r="1624" spans="1:31" x14ac:dyDescent="0.35">
      <c r="A1624">
        <v>101623</v>
      </c>
      <c r="B1624" s="3">
        <v>45987</v>
      </c>
      <c r="C1624">
        <v>1101</v>
      </c>
      <c r="D1624" t="s">
        <v>59</v>
      </c>
      <c r="E1624" t="s">
        <v>73</v>
      </c>
      <c r="F1624" t="s">
        <v>71</v>
      </c>
      <c r="G1624" t="s">
        <v>63</v>
      </c>
      <c r="H1624" t="s">
        <v>57</v>
      </c>
      <c r="I1624" t="s">
        <v>42</v>
      </c>
      <c r="J1624" s="4">
        <v>3.42</v>
      </c>
      <c r="K1624" s="4">
        <v>14.35</v>
      </c>
      <c r="L1624">
        <v>0</v>
      </c>
      <c r="M1624" s="4">
        <v>0</v>
      </c>
      <c r="N1624" s="4">
        <v>49.08</v>
      </c>
      <c r="O1624" s="4">
        <v>28.06</v>
      </c>
      <c r="P1624" s="4">
        <v>10.94</v>
      </c>
      <c r="Q1624" s="4">
        <v>0.74</v>
      </c>
      <c r="R1624" s="4">
        <v>0</v>
      </c>
      <c r="S1624" s="4">
        <v>0</v>
      </c>
      <c r="T1624" s="4">
        <v>0</v>
      </c>
      <c r="U1624" s="4">
        <v>39.74</v>
      </c>
      <c r="V1624" s="4">
        <v>9.34</v>
      </c>
      <c r="W1624" t="s">
        <v>21</v>
      </c>
      <c r="X1624" t="s">
        <v>36</v>
      </c>
      <c r="Y1624" s="4">
        <v>1</v>
      </c>
      <c r="Z1624" s="4">
        <v>3</v>
      </c>
      <c r="AA1624" t="s">
        <v>37</v>
      </c>
      <c r="AB1624" t="s">
        <v>38</v>
      </c>
      <c r="AC1624" s="7">
        <v>0</v>
      </c>
      <c r="AD1624" t="s">
        <v>39</v>
      </c>
      <c r="AE1624">
        <f t="shared" si="25"/>
        <v>0</v>
      </c>
    </row>
    <row r="1625" spans="1:31" x14ac:dyDescent="0.35">
      <c r="A1625">
        <v>101624</v>
      </c>
      <c r="B1625" s="3">
        <v>45970</v>
      </c>
      <c r="C1625">
        <v>1130</v>
      </c>
      <c r="D1625" t="s">
        <v>47</v>
      </c>
      <c r="E1625" t="s">
        <v>48</v>
      </c>
      <c r="F1625" t="s">
        <v>32</v>
      </c>
      <c r="G1625" t="s">
        <v>63</v>
      </c>
      <c r="H1625" t="s">
        <v>57</v>
      </c>
      <c r="I1625" t="s">
        <v>35</v>
      </c>
      <c r="J1625" s="4">
        <v>16.079999999999998</v>
      </c>
      <c r="K1625" s="4">
        <v>12.9</v>
      </c>
      <c r="L1625">
        <v>20</v>
      </c>
      <c r="M1625" s="4">
        <v>41.49</v>
      </c>
      <c r="N1625" s="4">
        <v>165.94</v>
      </c>
      <c r="O1625" s="4">
        <v>153.61000000000001</v>
      </c>
      <c r="P1625" s="4">
        <v>7.48</v>
      </c>
      <c r="Q1625" s="4">
        <v>1.45</v>
      </c>
      <c r="R1625" s="4">
        <v>2.79</v>
      </c>
      <c r="S1625" s="4">
        <v>0</v>
      </c>
      <c r="T1625" s="4">
        <v>0</v>
      </c>
      <c r="U1625" s="4">
        <v>165.33</v>
      </c>
      <c r="V1625" s="4">
        <v>0.61</v>
      </c>
      <c r="W1625" t="s">
        <v>21</v>
      </c>
      <c r="X1625" t="s">
        <v>36</v>
      </c>
      <c r="Y1625" s="4">
        <v>6</v>
      </c>
      <c r="Z1625" s="4">
        <v>22</v>
      </c>
      <c r="AA1625" t="s">
        <v>37</v>
      </c>
      <c r="AB1625" t="s">
        <v>44</v>
      </c>
      <c r="AC1625" s="7">
        <v>3</v>
      </c>
      <c r="AD1625" t="s">
        <v>45</v>
      </c>
      <c r="AE1625">
        <f t="shared" si="25"/>
        <v>1</v>
      </c>
    </row>
    <row r="1626" spans="1:31" x14ac:dyDescent="0.35">
      <c r="A1626">
        <v>101625</v>
      </c>
      <c r="B1626" s="3">
        <v>46015</v>
      </c>
      <c r="C1626">
        <v>1097</v>
      </c>
      <c r="D1626" t="s">
        <v>59</v>
      </c>
      <c r="E1626" t="s">
        <v>70</v>
      </c>
      <c r="F1626" t="s">
        <v>41</v>
      </c>
      <c r="G1626" t="s">
        <v>63</v>
      </c>
      <c r="H1626" t="s">
        <v>34</v>
      </c>
      <c r="I1626" t="s">
        <v>42</v>
      </c>
      <c r="J1626" s="4">
        <v>16.11</v>
      </c>
      <c r="K1626" s="4">
        <v>12.45</v>
      </c>
      <c r="L1626">
        <v>10</v>
      </c>
      <c r="M1626" s="4">
        <v>20.059999999999999</v>
      </c>
      <c r="N1626" s="4">
        <v>180.51</v>
      </c>
      <c r="O1626" s="4">
        <v>108.11</v>
      </c>
      <c r="P1626" s="4">
        <v>10.39</v>
      </c>
      <c r="Q1626" s="4">
        <v>3.01</v>
      </c>
      <c r="R1626" s="4">
        <v>10.38</v>
      </c>
      <c r="S1626" s="4">
        <v>0</v>
      </c>
      <c r="T1626" s="4">
        <v>0</v>
      </c>
      <c r="U1626" s="4">
        <v>131.88999999999999</v>
      </c>
      <c r="V1626" s="4">
        <v>48.62</v>
      </c>
      <c r="W1626" t="s">
        <v>21</v>
      </c>
      <c r="X1626" t="s">
        <v>36</v>
      </c>
      <c r="Y1626" s="4">
        <v>19</v>
      </c>
      <c r="Z1626" s="4">
        <v>5</v>
      </c>
      <c r="AA1626" t="s">
        <v>52</v>
      </c>
      <c r="AB1626" t="s">
        <v>38</v>
      </c>
      <c r="AC1626" s="7">
        <v>0</v>
      </c>
      <c r="AD1626" t="s">
        <v>39</v>
      </c>
      <c r="AE1626">
        <f t="shared" si="25"/>
        <v>0</v>
      </c>
    </row>
    <row r="1627" spans="1:31" x14ac:dyDescent="0.35">
      <c r="A1627">
        <v>101626</v>
      </c>
      <c r="B1627" s="3">
        <v>46018</v>
      </c>
      <c r="C1627">
        <v>1034</v>
      </c>
      <c r="D1627" t="s">
        <v>64</v>
      </c>
      <c r="E1627" t="s">
        <v>67</v>
      </c>
      <c r="F1627" t="s">
        <v>71</v>
      </c>
      <c r="G1627" t="s">
        <v>46</v>
      </c>
      <c r="H1627" t="s">
        <v>34</v>
      </c>
      <c r="I1627" t="s">
        <v>69</v>
      </c>
      <c r="J1627" s="4">
        <v>38.86</v>
      </c>
      <c r="K1627" s="4">
        <v>14.69</v>
      </c>
      <c r="L1627">
        <v>0</v>
      </c>
      <c r="M1627" s="4">
        <v>0</v>
      </c>
      <c r="N1627" s="4">
        <v>570.85</v>
      </c>
      <c r="O1627" s="4">
        <v>352.74</v>
      </c>
      <c r="P1627" s="4">
        <v>2.4</v>
      </c>
      <c r="Q1627" s="4">
        <v>2.2799999999999998</v>
      </c>
      <c r="R1627" s="4">
        <v>7.6</v>
      </c>
      <c r="S1627" s="4">
        <v>0</v>
      </c>
      <c r="T1627" s="4">
        <v>0</v>
      </c>
      <c r="U1627" s="4">
        <v>365.02</v>
      </c>
      <c r="V1627" s="4">
        <v>205.83</v>
      </c>
      <c r="W1627" t="s">
        <v>21</v>
      </c>
      <c r="X1627" t="s">
        <v>36</v>
      </c>
      <c r="Y1627" s="4">
        <v>6</v>
      </c>
      <c r="Z1627" s="4">
        <v>15</v>
      </c>
      <c r="AA1627" t="s">
        <v>37</v>
      </c>
      <c r="AB1627" t="s">
        <v>38</v>
      </c>
      <c r="AC1627" s="7">
        <v>0</v>
      </c>
      <c r="AD1627" t="s">
        <v>39</v>
      </c>
      <c r="AE1627">
        <f t="shared" si="25"/>
        <v>0</v>
      </c>
    </row>
    <row r="1628" spans="1:31" x14ac:dyDescent="0.35">
      <c r="A1628">
        <v>101627</v>
      </c>
      <c r="B1628" s="3">
        <v>45975</v>
      </c>
      <c r="C1628">
        <v>1068</v>
      </c>
      <c r="D1628" t="s">
        <v>64</v>
      </c>
      <c r="E1628" t="s">
        <v>75</v>
      </c>
      <c r="F1628" t="s">
        <v>32</v>
      </c>
      <c r="G1628" t="s">
        <v>50</v>
      </c>
      <c r="H1628" t="s">
        <v>57</v>
      </c>
      <c r="I1628" t="s">
        <v>35</v>
      </c>
      <c r="J1628" s="4">
        <v>37.07</v>
      </c>
      <c r="K1628" s="4">
        <v>17.309999999999999</v>
      </c>
      <c r="L1628">
        <v>5</v>
      </c>
      <c r="M1628" s="4">
        <v>32.08</v>
      </c>
      <c r="N1628" s="4">
        <v>609.6</v>
      </c>
      <c r="O1628" s="4">
        <v>233.96</v>
      </c>
      <c r="P1628" s="4">
        <v>5.13</v>
      </c>
      <c r="Q1628" s="4">
        <v>4.49</v>
      </c>
      <c r="R1628" s="4">
        <v>4.78</v>
      </c>
      <c r="S1628" s="4">
        <v>479.12</v>
      </c>
      <c r="T1628" s="4">
        <v>24.23</v>
      </c>
      <c r="U1628" s="4">
        <v>751.71</v>
      </c>
      <c r="V1628" s="4">
        <v>-142.11000000000001</v>
      </c>
      <c r="W1628" t="s">
        <v>58</v>
      </c>
      <c r="X1628" t="s">
        <v>66</v>
      </c>
      <c r="Y1628" s="4">
        <v>3</v>
      </c>
      <c r="Z1628" s="4">
        <v>3</v>
      </c>
      <c r="AA1628" t="s">
        <v>37</v>
      </c>
      <c r="AB1628" t="s">
        <v>38</v>
      </c>
      <c r="AC1628" s="7">
        <v>3</v>
      </c>
      <c r="AD1628" t="s">
        <v>45</v>
      </c>
      <c r="AE1628">
        <f t="shared" si="25"/>
        <v>0</v>
      </c>
    </row>
    <row r="1629" spans="1:31" x14ac:dyDescent="0.35">
      <c r="A1629">
        <v>101628</v>
      </c>
      <c r="B1629" s="3">
        <v>46013</v>
      </c>
      <c r="C1629">
        <v>1015</v>
      </c>
      <c r="D1629" t="s">
        <v>47</v>
      </c>
      <c r="E1629" t="s">
        <v>56</v>
      </c>
      <c r="F1629" t="s">
        <v>41</v>
      </c>
      <c r="G1629" t="s">
        <v>33</v>
      </c>
      <c r="H1629" t="s">
        <v>34</v>
      </c>
      <c r="I1629" t="s">
        <v>69</v>
      </c>
      <c r="J1629" s="4">
        <v>29.26</v>
      </c>
      <c r="K1629" s="4">
        <v>19.16</v>
      </c>
      <c r="L1629">
        <v>0</v>
      </c>
      <c r="M1629" s="4">
        <v>0</v>
      </c>
      <c r="N1629" s="4">
        <v>560.62</v>
      </c>
      <c r="O1629" s="4">
        <v>173.67</v>
      </c>
      <c r="P1629" s="4">
        <v>6.72</v>
      </c>
      <c r="Q1629" s="4">
        <v>2.2400000000000002</v>
      </c>
      <c r="R1629" s="4">
        <v>7.44</v>
      </c>
      <c r="S1629" s="4">
        <v>209.33</v>
      </c>
      <c r="T1629" s="4">
        <v>0</v>
      </c>
      <c r="U1629" s="4">
        <v>399.4</v>
      </c>
      <c r="V1629" s="4">
        <v>161.22</v>
      </c>
      <c r="W1629" t="s">
        <v>21</v>
      </c>
      <c r="X1629" t="s">
        <v>55</v>
      </c>
      <c r="Y1629" s="4">
        <v>0</v>
      </c>
      <c r="Z1629" s="4">
        <v>1</v>
      </c>
      <c r="AA1629" t="s">
        <v>37</v>
      </c>
      <c r="AB1629" t="s">
        <v>44</v>
      </c>
      <c r="AC1629" s="7">
        <v>2</v>
      </c>
      <c r="AD1629" t="s">
        <v>45</v>
      </c>
      <c r="AE1629">
        <f t="shared" si="25"/>
        <v>1</v>
      </c>
    </row>
    <row r="1630" spans="1:31" x14ac:dyDescent="0.35">
      <c r="A1630">
        <v>101629</v>
      </c>
      <c r="B1630" s="3">
        <v>45953</v>
      </c>
      <c r="C1630">
        <v>1065</v>
      </c>
      <c r="D1630" t="s">
        <v>59</v>
      </c>
      <c r="E1630" t="s">
        <v>73</v>
      </c>
      <c r="F1630" t="s">
        <v>41</v>
      </c>
      <c r="G1630" t="s">
        <v>63</v>
      </c>
      <c r="H1630" t="s">
        <v>34</v>
      </c>
      <c r="I1630" t="s">
        <v>35</v>
      </c>
      <c r="J1630" s="4">
        <v>12.69</v>
      </c>
      <c r="K1630" s="4">
        <v>11.53</v>
      </c>
      <c r="L1630">
        <v>5</v>
      </c>
      <c r="M1630" s="4">
        <v>7.32</v>
      </c>
      <c r="N1630" s="4">
        <v>139</v>
      </c>
      <c r="O1630" s="4">
        <v>104.21</v>
      </c>
      <c r="P1630" s="4">
        <v>10.99</v>
      </c>
      <c r="Q1630" s="4">
        <v>1.02</v>
      </c>
      <c r="R1630" s="4">
        <v>6.77</v>
      </c>
      <c r="S1630" s="4">
        <v>0</v>
      </c>
      <c r="T1630" s="4">
        <v>0</v>
      </c>
      <c r="U1630" s="4">
        <v>122.99</v>
      </c>
      <c r="V1630" s="4">
        <v>16.010000000000002</v>
      </c>
      <c r="W1630" t="s">
        <v>21</v>
      </c>
      <c r="X1630" t="s">
        <v>36</v>
      </c>
      <c r="Y1630" s="4">
        <v>25</v>
      </c>
      <c r="Z1630" s="4">
        <v>0</v>
      </c>
      <c r="AA1630" t="s">
        <v>52</v>
      </c>
      <c r="AB1630" t="s">
        <v>44</v>
      </c>
      <c r="AC1630" s="7">
        <v>1</v>
      </c>
      <c r="AD1630" t="s">
        <v>45</v>
      </c>
      <c r="AE1630">
        <f t="shared" si="25"/>
        <v>1</v>
      </c>
    </row>
    <row r="1631" spans="1:31" x14ac:dyDescent="0.35">
      <c r="A1631">
        <v>101630</v>
      </c>
      <c r="B1631" s="3">
        <v>45986</v>
      </c>
      <c r="C1631">
        <v>1138</v>
      </c>
      <c r="D1631" t="s">
        <v>64</v>
      </c>
      <c r="E1631" t="s">
        <v>76</v>
      </c>
      <c r="F1631" t="s">
        <v>61</v>
      </c>
      <c r="G1631" t="s">
        <v>63</v>
      </c>
      <c r="H1631" t="s">
        <v>34</v>
      </c>
      <c r="I1631" t="s">
        <v>42</v>
      </c>
      <c r="J1631" s="4">
        <v>20.45</v>
      </c>
      <c r="K1631" s="4">
        <v>14.34</v>
      </c>
      <c r="L1631">
        <v>5</v>
      </c>
      <c r="M1631" s="4">
        <v>14.66</v>
      </c>
      <c r="N1631" s="4">
        <v>278.58999999999997</v>
      </c>
      <c r="O1631" s="4">
        <v>144.68</v>
      </c>
      <c r="P1631" s="4">
        <v>5.51</v>
      </c>
      <c r="Q1631" s="4">
        <v>4.4000000000000004</v>
      </c>
      <c r="R1631" s="4">
        <v>3.01</v>
      </c>
      <c r="S1631" s="4">
        <v>0</v>
      </c>
      <c r="T1631" s="4">
        <v>0</v>
      </c>
      <c r="U1631" s="4">
        <v>157.6</v>
      </c>
      <c r="V1631" s="4">
        <v>120.99</v>
      </c>
      <c r="W1631" t="s">
        <v>21</v>
      </c>
      <c r="X1631" t="s">
        <v>36</v>
      </c>
      <c r="Y1631" s="4">
        <v>8</v>
      </c>
      <c r="Z1631" s="4">
        <v>3</v>
      </c>
      <c r="AA1631" t="s">
        <v>37</v>
      </c>
      <c r="AB1631" t="s">
        <v>38</v>
      </c>
      <c r="AC1631" s="7">
        <v>0</v>
      </c>
      <c r="AD1631" t="s">
        <v>39</v>
      </c>
      <c r="AE1631">
        <f t="shared" si="25"/>
        <v>0</v>
      </c>
    </row>
    <row r="1632" spans="1:31" x14ac:dyDescent="0.35">
      <c r="A1632">
        <v>101631</v>
      </c>
      <c r="B1632" s="3">
        <v>45952</v>
      </c>
      <c r="C1632">
        <v>1025</v>
      </c>
      <c r="D1632" t="s">
        <v>59</v>
      </c>
      <c r="E1632" t="s">
        <v>70</v>
      </c>
      <c r="F1632" t="s">
        <v>41</v>
      </c>
      <c r="G1632" t="s">
        <v>50</v>
      </c>
      <c r="H1632" t="s">
        <v>57</v>
      </c>
      <c r="I1632" t="s">
        <v>42</v>
      </c>
      <c r="J1632" s="4">
        <v>35.51</v>
      </c>
      <c r="K1632" s="4">
        <v>16.87</v>
      </c>
      <c r="L1632">
        <v>0</v>
      </c>
      <c r="M1632" s="4">
        <v>0</v>
      </c>
      <c r="N1632" s="4">
        <v>599.04999999999995</v>
      </c>
      <c r="O1632" s="4">
        <v>229.07</v>
      </c>
      <c r="P1632" s="4">
        <v>7.51</v>
      </c>
      <c r="Q1632" s="4">
        <v>8.99</v>
      </c>
      <c r="R1632" s="4">
        <v>12.12</v>
      </c>
      <c r="S1632" s="4">
        <v>0</v>
      </c>
      <c r="T1632" s="4">
        <v>0</v>
      </c>
      <c r="U1632" s="4">
        <v>257.69</v>
      </c>
      <c r="V1632" s="4">
        <v>341.36</v>
      </c>
      <c r="W1632" t="s">
        <v>21</v>
      </c>
      <c r="X1632" t="s">
        <v>36</v>
      </c>
      <c r="Y1632" s="4">
        <v>23</v>
      </c>
      <c r="Z1632" s="4">
        <v>2</v>
      </c>
      <c r="AA1632" t="s">
        <v>52</v>
      </c>
      <c r="AB1632" t="s">
        <v>44</v>
      </c>
      <c r="AC1632" s="7">
        <v>1</v>
      </c>
      <c r="AD1632" t="s">
        <v>45</v>
      </c>
      <c r="AE1632">
        <f t="shared" si="25"/>
        <v>1</v>
      </c>
    </row>
    <row r="1633" spans="1:31" x14ac:dyDescent="0.35">
      <c r="A1633">
        <v>101632</v>
      </c>
      <c r="B1633" s="3">
        <v>45979</v>
      </c>
      <c r="C1633">
        <v>1070</v>
      </c>
      <c r="D1633" t="s">
        <v>64</v>
      </c>
      <c r="E1633" t="s">
        <v>76</v>
      </c>
      <c r="F1633" t="s">
        <v>61</v>
      </c>
      <c r="G1633" t="s">
        <v>46</v>
      </c>
      <c r="H1633" t="s">
        <v>34</v>
      </c>
      <c r="I1633" t="s">
        <v>35</v>
      </c>
      <c r="J1633" s="4">
        <v>23.37</v>
      </c>
      <c r="K1633" s="4">
        <v>16.3</v>
      </c>
      <c r="L1633">
        <v>5</v>
      </c>
      <c r="M1633" s="4">
        <v>19.05</v>
      </c>
      <c r="N1633" s="4">
        <v>361.88</v>
      </c>
      <c r="O1633" s="4">
        <v>174.25</v>
      </c>
      <c r="P1633" s="4">
        <v>6.08</v>
      </c>
      <c r="Q1633" s="4">
        <v>2.67</v>
      </c>
      <c r="R1633" s="4">
        <v>0</v>
      </c>
      <c r="S1633" s="4">
        <v>0</v>
      </c>
      <c r="T1633" s="4">
        <v>0</v>
      </c>
      <c r="U1633" s="4">
        <v>183</v>
      </c>
      <c r="V1633" s="4">
        <v>178.88</v>
      </c>
      <c r="W1633" t="s">
        <v>21</v>
      </c>
      <c r="X1633" t="s">
        <v>36</v>
      </c>
      <c r="Y1633" s="4">
        <v>36</v>
      </c>
      <c r="Z1633" s="4">
        <v>14</v>
      </c>
      <c r="AA1633" t="s">
        <v>43</v>
      </c>
      <c r="AB1633" t="s">
        <v>44</v>
      </c>
      <c r="AC1633" s="7">
        <v>2</v>
      </c>
      <c r="AD1633" t="s">
        <v>45</v>
      </c>
      <c r="AE1633">
        <f t="shared" si="25"/>
        <v>1</v>
      </c>
    </row>
    <row r="1634" spans="1:31" x14ac:dyDescent="0.35">
      <c r="A1634">
        <v>101633</v>
      </c>
      <c r="B1634" s="3">
        <v>45959</v>
      </c>
      <c r="C1634">
        <v>1010</v>
      </c>
      <c r="D1634" t="s">
        <v>64</v>
      </c>
      <c r="E1634" t="s">
        <v>75</v>
      </c>
      <c r="F1634" t="s">
        <v>71</v>
      </c>
      <c r="G1634" t="s">
        <v>50</v>
      </c>
      <c r="H1634" t="s">
        <v>34</v>
      </c>
      <c r="I1634" t="s">
        <v>35</v>
      </c>
      <c r="J1634" s="4">
        <v>18</v>
      </c>
      <c r="K1634" s="4">
        <v>20.07</v>
      </c>
      <c r="L1634">
        <v>10</v>
      </c>
      <c r="M1634" s="4">
        <v>36.130000000000003</v>
      </c>
      <c r="N1634" s="4">
        <v>325.13</v>
      </c>
      <c r="O1634" s="4">
        <v>111.12</v>
      </c>
      <c r="P1634" s="4">
        <v>9.14</v>
      </c>
      <c r="Q1634" s="4">
        <v>2.5299999999999998</v>
      </c>
      <c r="R1634" s="4">
        <v>3.3</v>
      </c>
      <c r="S1634" s="4">
        <v>0</v>
      </c>
      <c r="T1634" s="4">
        <v>0</v>
      </c>
      <c r="U1634" s="4">
        <v>126.09</v>
      </c>
      <c r="V1634" s="4">
        <v>199.04</v>
      </c>
      <c r="W1634" t="s">
        <v>21</v>
      </c>
      <c r="X1634" t="s">
        <v>36</v>
      </c>
      <c r="Y1634" s="4">
        <v>10</v>
      </c>
      <c r="Z1634" s="4">
        <v>18</v>
      </c>
      <c r="AA1634" t="s">
        <v>37</v>
      </c>
      <c r="AB1634" t="s">
        <v>44</v>
      </c>
      <c r="AC1634" s="7">
        <v>1</v>
      </c>
      <c r="AD1634" t="s">
        <v>45</v>
      </c>
      <c r="AE1634">
        <f t="shared" si="25"/>
        <v>1</v>
      </c>
    </row>
    <row r="1635" spans="1:31" x14ac:dyDescent="0.35">
      <c r="A1635">
        <v>101634</v>
      </c>
      <c r="B1635" s="3">
        <v>45944</v>
      </c>
      <c r="C1635">
        <v>1111</v>
      </c>
      <c r="D1635" t="s">
        <v>30</v>
      </c>
      <c r="E1635" t="s">
        <v>72</v>
      </c>
      <c r="F1635" t="s">
        <v>71</v>
      </c>
      <c r="G1635" t="s">
        <v>63</v>
      </c>
      <c r="H1635" t="s">
        <v>34</v>
      </c>
      <c r="I1635" t="s">
        <v>54</v>
      </c>
      <c r="J1635" s="4">
        <v>19.55</v>
      </c>
      <c r="K1635" s="4">
        <v>12.06</v>
      </c>
      <c r="L1635">
        <v>0</v>
      </c>
      <c r="M1635" s="4">
        <v>0</v>
      </c>
      <c r="N1635" s="4">
        <v>235.77</v>
      </c>
      <c r="O1635" s="4">
        <v>146.15</v>
      </c>
      <c r="P1635" s="4">
        <v>5.92</v>
      </c>
      <c r="Q1635" s="4">
        <v>2.83</v>
      </c>
      <c r="R1635" s="4">
        <v>5.54</v>
      </c>
      <c r="S1635" s="4">
        <v>0</v>
      </c>
      <c r="T1635" s="4">
        <v>0</v>
      </c>
      <c r="U1635" s="4">
        <v>160.44</v>
      </c>
      <c r="V1635" s="4">
        <v>75.33</v>
      </c>
      <c r="W1635" t="s">
        <v>21</v>
      </c>
      <c r="X1635" t="s">
        <v>36</v>
      </c>
      <c r="Y1635" s="4">
        <v>10</v>
      </c>
      <c r="Z1635" s="4">
        <v>23</v>
      </c>
      <c r="AA1635" t="s">
        <v>37</v>
      </c>
      <c r="AB1635" t="s">
        <v>44</v>
      </c>
      <c r="AC1635" s="7">
        <v>3</v>
      </c>
      <c r="AD1635" t="s">
        <v>45</v>
      </c>
      <c r="AE1635">
        <f t="shared" si="25"/>
        <v>1</v>
      </c>
    </row>
    <row r="1636" spans="1:31" x14ac:dyDescent="0.35">
      <c r="A1636">
        <v>101635</v>
      </c>
      <c r="B1636" s="3">
        <v>45978</v>
      </c>
      <c r="C1636">
        <v>1134</v>
      </c>
      <c r="D1636" t="s">
        <v>30</v>
      </c>
      <c r="E1636" t="s">
        <v>72</v>
      </c>
      <c r="F1636" t="s">
        <v>49</v>
      </c>
      <c r="G1636" t="s">
        <v>46</v>
      </c>
      <c r="H1636" t="s">
        <v>34</v>
      </c>
      <c r="I1636" t="s">
        <v>35</v>
      </c>
      <c r="J1636" s="4">
        <v>25.62</v>
      </c>
      <c r="K1636" s="4">
        <v>16.059999999999999</v>
      </c>
      <c r="L1636">
        <v>20</v>
      </c>
      <c r="M1636" s="4">
        <v>82.29</v>
      </c>
      <c r="N1636" s="4">
        <v>329.17</v>
      </c>
      <c r="O1636" s="4">
        <v>182.29</v>
      </c>
      <c r="P1636" s="4">
        <v>10.42</v>
      </c>
      <c r="Q1636" s="4">
        <v>2.88</v>
      </c>
      <c r="R1636" s="4">
        <v>5.9</v>
      </c>
      <c r="S1636" s="4">
        <v>0</v>
      </c>
      <c r="T1636" s="4">
        <v>0</v>
      </c>
      <c r="U1636" s="4">
        <v>201.49</v>
      </c>
      <c r="V1636" s="4">
        <v>127.68</v>
      </c>
      <c r="W1636" t="s">
        <v>21</v>
      </c>
      <c r="X1636" t="s">
        <v>36</v>
      </c>
      <c r="Y1636" s="4">
        <v>3</v>
      </c>
      <c r="Z1636" s="4">
        <v>3</v>
      </c>
      <c r="AA1636" t="s">
        <v>37</v>
      </c>
      <c r="AB1636" t="s">
        <v>38</v>
      </c>
      <c r="AC1636" s="7">
        <v>1</v>
      </c>
      <c r="AD1636" t="s">
        <v>39</v>
      </c>
      <c r="AE1636">
        <f t="shared" si="25"/>
        <v>0</v>
      </c>
    </row>
    <row r="1637" spans="1:31" x14ac:dyDescent="0.35">
      <c r="A1637">
        <v>101636</v>
      </c>
      <c r="B1637" s="3">
        <v>45957</v>
      </c>
      <c r="C1637">
        <v>1044</v>
      </c>
      <c r="D1637" t="s">
        <v>64</v>
      </c>
      <c r="E1637" t="s">
        <v>65</v>
      </c>
      <c r="F1637" t="s">
        <v>41</v>
      </c>
      <c r="G1637" t="s">
        <v>50</v>
      </c>
      <c r="H1637" t="s">
        <v>51</v>
      </c>
      <c r="I1637" t="s">
        <v>35</v>
      </c>
      <c r="J1637" s="4">
        <v>29.87</v>
      </c>
      <c r="K1637" s="4">
        <v>17.45</v>
      </c>
      <c r="L1637">
        <v>0</v>
      </c>
      <c r="M1637" s="4">
        <v>0</v>
      </c>
      <c r="N1637" s="4">
        <v>521.23</v>
      </c>
      <c r="O1637" s="4">
        <v>194.64</v>
      </c>
      <c r="P1637" s="4">
        <v>7.09</v>
      </c>
      <c r="Q1637" s="4">
        <v>3.65</v>
      </c>
      <c r="R1637" s="4">
        <v>13.23</v>
      </c>
      <c r="S1637" s="4">
        <v>0</v>
      </c>
      <c r="T1637" s="4">
        <v>0</v>
      </c>
      <c r="U1637" s="4">
        <v>218.61</v>
      </c>
      <c r="V1637" s="4">
        <v>302.62</v>
      </c>
      <c r="W1637" t="s">
        <v>21</v>
      </c>
      <c r="X1637" t="s">
        <v>36</v>
      </c>
      <c r="Y1637" s="4">
        <v>5</v>
      </c>
      <c r="Z1637" s="4">
        <v>7</v>
      </c>
      <c r="AA1637" t="s">
        <v>37</v>
      </c>
      <c r="AB1637" t="s">
        <v>38</v>
      </c>
      <c r="AC1637" s="7">
        <v>0</v>
      </c>
      <c r="AD1637" t="s">
        <v>39</v>
      </c>
      <c r="AE1637">
        <f t="shared" si="25"/>
        <v>0</v>
      </c>
    </row>
    <row r="1638" spans="1:31" x14ac:dyDescent="0.35">
      <c r="A1638">
        <v>101637</v>
      </c>
      <c r="B1638" s="3">
        <v>46020</v>
      </c>
      <c r="C1638">
        <v>1025</v>
      </c>
      <c r="D1638" t="s">
        <v>59</v>
      </c>
      <c r="E1638" t="s">
        <v>73</v>
      </c>
      <c r="F1638" t="s">
        <v>61</v>
      </c>
      <c r="G1638" t="s">
        <v>33</v>
      </c>
      <c r="H1638" t="s">
        <v>34</v>
      </c>
      <c r="I1638" t="s">
        <v>35</v>
      </c>
      <c r="J1638" s="4">
        <v>27.76</v>
      </c>
      <c r="K1638" s="4">
        <v>18.88</v>
      </c>
      <c r="L1638">
        <v>15</v>
      </c>
      <c r="M1638" s="4">
        <v>78.62</v>
      </c>
      <c r="N1638" s="4">
        <v>445.49</v>
      </c>
      <c r="O1638" s="4">
        <v>148.79</v>
      </c>
      <c r="P1638" s="4">
        <v>9.1199999999999992</v>
      </c>
      <c r="Q1638" s="4">
        <v>3.67</v>
      </c>
      <c r="R1638" s="4">
        <v>4.34</v>
      </c>
      <c r="S1638" s="4">
        <v>0</v>
      </c>
      <c r="T1638" s="4">
        <v>0</v>
      </c>
      <c r="U1638" s="4">
        <v>165.92</v>
      </c>
      <c r="V1638" s="4">
        <v>279.57</v>
      </c>
      <c r="W1638" t="s">
        <v>21</v>
      </c>
      <c r="X1638" t="s">
        <v>36</v>
      </c>
      <c r="Y1638" s="4">
        <v>2</v>
      </c>
      <c r="Z1638" s="4">
        <v>12</v>
      </c>
      <c r="AA1638" t="s">
        <v>37</v>
      </c>
      <c r="AB1638" t="s">
        <v>38</v>
      </c>
      <c r="AC1638" s="7">
        <v>0</v>
      </c>
      <c r="AD1638" t="s">
        <v>39</v>
      </c>
      <c r="AE1638">
        <f t="shared" si="25"/>
        <v>0</v>
      </c>
    </row>
    <row r="1639" spans="1:31" x14ac:dyDescent="0.35">
      <c r="A1639">
        <v>101638</v>
      </c>
      <c r="B1639" s="3">
        <v>46010</v>
      </c>
      <c r="C1639">
        <v>1147</v>
      </c>
      <c r="D1639" t="s">
        <v>30</v>
      </c>
      <c r="E1639" t="s">
        <v>62</v>
      </c>
      <c r="F1639" t="s">
        <v>61</v>
      </c>
      <c r="G1639" t="s">
        <v>46</v>
      </c>
      <c r="H1639" t="s">
        <v>34</v>
      </c>
      <c r="I1639" t="s">
        <v>54</v>
      </c>
      <c r="J1639" s="4">
        <v>33.61</v>
      </c>
      <c r="K1639" s="4">
        <v>17.48</v>
      </c>
      <c r="L1639">
        <v>5</v>
      </c>
      <c r="M1639" s="4">
        <v>29.38</v>
      </c>
      <c r="N1639" s="4">
        <v>558.12</v>
      </c>
      <c r="O1639" s="4">
        <v>250.8</v>
      </c>
      <c r="P1639" s="4">
        <v>8.81</v>
      </c>
      <c r="Q1639" s="4">
        <v>7.05</v>
      </c>
      <c r="R1639" s="4">
        <v>0</v>
      </c>
      <c r="S1639" s="4">
        <v>0</v>
      </c>
      <c r="T1639" s="4">
        <v>0</v>
      </c>
      <c r="U1639" s="4">
        <v>266.66000000000003</v>
      </c>
      <c r="V1639" s="4">
        <v>291.45999999999998</v>
      </c>
      <c r="W1639" t="s">
        <v>21</v>
      </c>
      <c r="X1639" t="s">
        <v>36</v>
      </c>
      <c r="Y1639" s="4">
        <v>9</v>
      </c>
      <c r="Z1639" s="4">
        <v>9</v>
      </c>
      <c r="AA1639" t="s">
        <v>37</v>
      </c>
      <c r="AB1639" t="s">
        <v>38</v>
      </c>
      <c r="AC1639" s="7">
        <v>0</v>
      </c>
      <c r="AD1639" t="s">
        <v>39</v>
      </c>
      <c r="AE1639">
        <f t="shared" si="25"/>
        <v>0</v>
      </c>
    </row>
    <row r="1640" spans="1:31" x14ac:dyDescent="0.35">
      <c r="A1640">
        <v>101639</v>
      </c>
      <c r="B1640" s="3">
        <v>46001</v>
      </c>
      <c r="C1640">
        <v>1033</v>
      </c>
      <c r="D1640" t="s">
        <v>30</v>
      </c>
      <c r="E1640" t="s">
        <v>62</v>
      </c>
      <c r="F1640" t="s">
        <v>61</v>
      </c>
      <c r="G1640" t="s">
        <v>33</v>
      </c>
      <c r="H1640" t="s">
        <v>51</v>
      </c>
      <c r="I1640" t="s">
        <v>35</v>
      </c>
      <c r="J1640" s="4">
        <v>30.95</v>
      </c>
      <c r="K1640" s="4">
        <v>19.63</v>
      </c>
      <c r="L1640">
        <v>15</v>
      </c>
      <c r="M1640" s="4">
        <v>91.13</v>
      </c>
      <c r="N1640" s="4">
        <v>516.41999999999996</v>
      </c>
      <c r="O1640" s="4">
        <v>231.34</v>
      </c>
      <c r="P1640" s="4">
        <v>6.94</v>
      </c>
      <c r="Q1640" s="4">
        <v>4.25</v>
      </c>
      <c r="R1640" s="4">
        <v>12.6</v>
      </c>
      <c r="S1640" s="4">
        <v>0</v>
      </c>
      <c r="T1640" s="4">
        <v>0</v>
      </c>
      <c r="U1640" s="4">
        <v>255.13</v>
      </c>
      <c r="V1640" s="4">
        <v>261.29000000000002</v>
      </c>
      <c r="W1640" t="s">
        <v>21</v>
      </c>
      <c r="X1640" t="s">
        <v>36</v>
      </c>
      <c r="Y1640" s="4">
        <v>8</v>
      </c>
      <c r="Z1640" s="4">
        <v>7</v>
      </c>
      <c r="AA1640" t="s">
        <v>37</v>
      </c>
      <c r="AB1640" t="s">
        <v>38</v>
      </c>
      <c r="AC1640" s="7">
        <v>1</v>
      </c>
      <c r="AD1640" t="s">
        <v>39</v>
      </c>
      <c r="AE1640">
        <f t="shared" si="25"/>
        <v>0</v>
      </c>
    </row>
    <row r="1641" spans="1:31" x14ac:dyDescent="0.35">
      <c r="A1641">
        <v>101640</v>
      </c>
      <c r="B1641" s="3">
        <v>46008</v>
      </c>
      <c r="C1641">
        <v>1130</v>
      </c>
      <c r="D1641" t="s">
        <v>64</v>
      </c>
      <c r="E1641" t="s">
        <v>75</v>
      </c>
      <c r="F1641" t="s">
        <v>49</v>
      </c>
      <c r="G1641" t="s">
        <v>33</v>
      </c>
      <c r="H1641" t="s">
        <v>34</v>
      </c>
      <c r="I1641" t="s">
        <v>35</v>
      </c>
      <c r="J1641" s="4">
        <v>31.41</v>
      </c>
      <c r="K1641" s="4">
        <v>19.05</v>
      </c>
      <c r="L1641">
        <v>10</v>
      </c>
      <c r="M1641" s="4">
        <v>59.84</v>
      </c>
      <c r="N1641" s="4">
        <v>538.52</v>
      </c>
      <c r="O1641" s="4">
        <v>262.39</v>
      </c>
      <c r="P1641" s="4">
        <v>8.09</v>
      </c>
      <c r="Q1641" s="4">
        <v>4.1900000000000004</v>
      </c>
      <c r="R1641" s="4">
        <v>4.78</v>
      </c>
      <c r="S1641" s="4">
        <v>0</v>
      </c>
      <c r="T1641" s="4">
        <v>0</v>
      </c>
      <c r="U1641" s="4">
        <v>279.45</v>
      </c>
      <c r="V1641" s="4">
        <v>259.07</v>
      </c>
      <c r="W1641" t="s">
        <v>21</v>
      </c>
      <c r="X1641" t="s">
        <v>36</v>
      </c>
      <c r="Y1641" s="4">
        <v>7</v>
      </c>
      <c r="Z1641" s="4">
        <v>6</v>
      </c>
      <c r="AA1641" t="s">
        <v>37</v>
      </c>
      <c r="AB1641" t="s">
        <v>38</v>
      </c>
      <c r="AC1641" s="7">
        <v>0</v>
      </c>
      <c r="AD1641" t="s">
        <v>39</v>
      </c>
      <c r="AE1641">
        <f t="shared" si="25"/>
        <v>0</v>
      </c>
    </row>
    <row r="1642" spans="1:31" x14ac:dyDescent="0.35">
      <c r="A1642">
        <v>101641</v>
      </c>
      <c r="B1642" s="3">
        <v>46002</v>
      </c>
      <c r="C1642">
        <v>1049</v>
      </c>
      <c r="D1642" t="s">
        <v>64</v>
      </c>
      <c r="E1642" t="s">
        <v>76</v>
      </c>
      <c r="F1642" t="s">
        <v>61</v>
      </c>
      <c r="G1642" t="s">
        <v>63</v>
      </c>
      <c r="H1642" t="s">
        <v>34</v>
      </c>
      <c r="I1642" t="s">
        <v>69</v>
      </c>
      <c r="J1642" s="4">
        <v>23.45</v>
      </c>
      <c r="K1642" s="4">
        <v>11.85</v>
      </c>
      <c r="L1642">
        <v>0</v>
      </c>
      <c r="M1642" s="4">
        <v>0</v>
      </c>
      <c r="N1642" s="4">
        <v>277.88</v>
      </c>
      <c r="O1642" s="4">
        <v>162.56</v>
      </c>
      <c r="P1642" s="4">
        <v>9.4600000000000009</v>
      </c>
      <c r="Q1642" s="4">
        <v>1.1100000000000001</v>
      </c>
      <c r="R1642" s="4">
        <v>9.11</v>
      </c>
      <c r="S1642" s="4">
        <v>0</v>
      </c>
      <c r="T1642" s="4">
        <v>0</v>
      </c>
      <c r="U1642" s="4">
        <v>182.24</v>
      </c>
      <c r="V1642" s="4">
        <v>95.64</v>
      </c>
      <c r="W1642" t="s">
        <v>21</v>
      </c>
      <c r="X1642" t="s">
        <v>36</v>
      </c>
      <c r="Y1642" s="4">
        <v>0</v>
      </c>
      <c r="Z1642" s="4">
        <v>3</v>
      </c>
      <c r="AA1642" t="s">
        <v>37</v>
      </c>
      <c r="AB1642" t="s">
        <v>38</v>
      </c>
      <c r="AC1642" s="7">
        <v>1</v>
      </c>
      <c r="AD1642" t="s">
        <v>39</v>
      </c>
      <c r="AE1642">
        <f t="shared" si="25"/>
        <v>0</v>
      </c>
    </row>
    <row r="1643" spans="1:31" x14ac:dyDescent="0.35">
      <c r="A1643">
        <v>101642</v>
      </c>
      <c r="B1643" s="3">
        <v>46006</v>
      </c>
      <c r="C1643">
        <v>1122</v>
      </c>
      <c r="D1643" t="s">
        <v>30</v>
      </c>
      <c r="E1643" t="s">
        <v>40</v>
      </c>
      <c r="F1643" t="s">
        <v>41</v>
      </c>
      <c r="G1643" t="s">
        <v>63</v>
      </c>
      <c r="H1643" t="s">
        <v>34</v>
      </c>
      <c r="I1643" t="s">
        <v>42</v>
      </c>
      <c r="J1643" s="4">
        <v>9.09</v>
      </c>
      <c r="K1643" s="4">
        <v>12.01</v>
      </c>
      <c r="L1643">
        <v>0</v>
      </c>
      <c r="M1643" s="4">
        <v>0</v>
      </c>
      <c r="N1643" s="4">
        <v>109.17</v>
      </c>
      <c r="O1643" s="4">
        <v>59.23</v>
      </c>
      <c r="P1643" s="4">
        <v>6.64</v>
      </c>
      <c r="Q1643" s="4">
        <v>1.64</v>
      </c>
      <c r="R1643" s="4">
        <v>7.18</v>
      </c>
      <c r="S1643" s="4">
        <v>74.81</v>
      </c>
      <c r="T1643" s="4">
        <v>0</v>
      </c>
      <c r="U1643" s="4">
        <v>149.5</v>
      </c>
      <c r="V1643" s="4">
        <v>-40.33</v>
      </c>
      <c r="W1643" t="s">
        <v>58</v>
      </c>
      <c r="X1643" t="s">
        <v>55</v>
      </c>
      <c r="Y1643" s="4">
        <v>45</v>
      </c>
      <c r="Z1643" s="4">
        <v>5</v>
      </c>
      <c r="AA1643" t="s">
        <v>43</v>
      </c>
      <c r="AB1643" t="s">
        <v>44</v>
      </c>
      <c r="AC1643" s="7">
        <v>2</v>
      </c>
      <c r="AD1643" t="s">
        <v>45</v>
      </c>
      <c r="AE1643">
        <f t="shared" si="25"/>
        <v>1</v>
      </c>
    </row>
    <row r="1644" spans="1:31" x14ac:dyDescent="0.35">
      <c r="A1644">
        <v>101643</v>
      </c>
      <c r="B1644" s="3">
        <v>45957</v>
      </c>
      <c r="C1644">
        <v>1088</v>
      </c>
      <c r="D1644" t="s">
        <v>59</v>
      </c>
      <c r="E1644" t="s">
        <v>70</v>
      </c>
      <c r="F1644" t="s">
        <v>32</v>
      </c>
      <c r="G1644" t="s">
        <v>63</v>
      </c>
      <c r="H1644" t="s">
        <v>57</v>
      </c>
      <c r="I1644" t="s">
        <v>54</v>
      </c>
      <c r="J1644" s="4">
        <v>14.96</v>
      </c>
      <c r="K1644" s="4">
        <v>11.72</v>
      </c>
      <c r="L1644">
        <v>5</v>
      </c>
      <c r="M1644" s="4">
        <v>8.77</v>
      </c>
      <c r="N1644" s="4">
        <v>166.56</v>
      </c>
      <c r="O1644" s="4">
        <v>91.13</v>
      </c>
      <c r="P1644" s="4">
        <v>3.19</v>
      </c>
      <c r="Q1644" s="4">
        <v>2.1</v>
      </c>
      <c r="R1644" s="4">
        <v>4.83</v>
      </c>
      <c r="S1644" s="4">
        <v>0</v>
      </c>
      <c r="T1644" s="4">
        <v>0</v>
      </c>
      <c r="U1644" s="4">
        <v>101.25</v>
      </c>
      <c r="V1644" s="4">
        <v>65.31</v>
      </c>
      <c r="W1644" t="s">
        <v>21</v>
      </c>
      <c r="X1644" t="s">
        <v>36</v>
      </c>
      <c r="Y1644" s="4">
        <v>9</v>
      </c>
      <c r="Z1644" s="4">
        <v>4</v>
      </c>
      <c r="AA1644" t="s">
        <v>37</v>
      </c>
      <c r="AB1644" t="s">
        <v>38</v>
      </c>
      <c r="AC1644" s="7">
        <v>0</v>
      </c>
      <c r="AD1644" t="s">
        <v>39</v>
      </c>
      <c r="AE1644">
        <f t="shared" si="25"/>
        <v>0</v>
      </c>
    </row>
    <row r="1645" spans="1:31" x14ac:dyDescent="0.35">
      <c r="A1645">
        <v>101644</v>
      </c>
      <c r="B1645" s="3">
        <v>46002</v>
      </c>
      <c r="C1645">
        <v>1026</v>
      </c>
      <c r="D1645" t="s">
        <v>30</v>
      </c>
      <c r="E1645" t="s">
        <v>72</v>
      </c>
      <c r="F1645" t="s">
        <v>49</v>
      </c>
      <c r="G1645" t="s">
        <v>63</v>
      </c>
      <c r="H1645" t="s">
        <v>57</v>
      </c>
      <c r="I1645" t="s">
        <v>69</v>
      </c>
      <c r="J1645" s="4">
        <v>22.53</v>
      </c>
      <c r="K1645" s="4">
        <v>13.58</v>
      </c>
      <c r="L1645">
        <v>10</v>
      </c>
      <c r="M1645" s="4">
        <v>30.6</v>
      </c>
      <c r="N1645" s="4">
        <v>275.36</v>
      </c>
      <c r="O1645" s="4">
        <v>139.11000000000001</v>
      </c>
      <c r="P1645" s="4">
        <v>6.54</v>
      </c>
      <c r="Q1645" s="4">
        <v>1.22</v>
      </c>
      <c r="R1645" s="4">
        <v>14.65</v>
      </c>
      <c r="S1645" s="4">
        <v>0</v>
      </c>
      <c r="T1645" s="4">
        <v>0</v>
      </c>
      <c r="U1645" s="4">
        <v>161.52000000000001</v>
      </c>
      <c r="V1645" s="4">
        <v>113.84</v>
      </c>
      <c r="W1645" t="s">
        <v>21</v>
      </c>
      <c r="X1645" t="s">
        <v>36</v>
      </c>
      <c r="Y1645" s="4">
        <v>2</v>
      </c>
      <c r="Z1645" s="4">
        <v>1</v>
      </c>
      <c r="AA1645" t="s">
        <v>37</v>
      </c>
      <c r="AB1645" t="s">
        <v>38</v>
      </c>
      <c r="AC1645" s="7">
        <v>0</v>
      </c>
      <c r="AD1645" t="s">
        <v>39</v>
      </c>
      <c r="AE1645">
        <f t="shared" si="25"/>
        <v>0</v>
      </c>
    </row>
    <row r="1646" spans="1:31" x14ac:dyDescent="0.35">
      <c r="A1646">
        <v>101645</v>
      </c>
      <c r="B1646" s="3">
        <v>45936</v>
      </c>
      <c r="C1646">
        <v>1071</v>
      </c>
      <c r="D1646" t="s">
        <v>30</v>
      </c>
      <c r="E1646" t="s">
        <v>62</v>
      </c>
      <c r="F1646" t="s">
        <v>41</v>
      </c>
      <c r="G1646" t="s">
        <v>63</v>
      </c>
      <c r="H1646" t="s">
        <v>34</v>
      </c>
      <c r="I1646" t="s">
        <v>35</v>
      </c>
      <c r="J1646" s="4">
        <v>13.45</v>
      </c>
      <c r="K1646" s="4">
        <v>14.18</v>
      </c>
      <c r="L1646">
        <v>20</v>
      </c>
      <c r="M1646" s="4">
        <v>38.14</v>
      </c>
      <c r="N1646" s="4">
        <v>152.58000000000001</v>
      </c>
      <c r="O1646" s="4">
        <v>89.83</v>
      </c>
      <c r="P1646" s="4">
        <v>8.06</v>
      </c>
      <c r="Q1646" s="4">
        <v>1.34</v>
      </c>
      <c r="R1646" s="4">
        <v>11.64</v>
      </c>
      <c r="S1646" s="4">
        <v>0</v>
      </c>
      <c r="T1646" s="4">
        <v>0</v>
      </c>
      <c r="U1646" s="4">
        <v>110.87</v>
      </c>
      <c r="V1646" s="4">
        <v>41.71</v>
      </c>
      <c r="W1646" t="s">
        <v>21</v>
      </c>
      <c r="X1646" t="s">
        <v>36</v>
      </c>
      <c r="Y1646" s="4">
        <v>0</v>
      </c>
      <c r="Z1646" s="4">
        <v>16</v>
      </c>
      <c r="AA1646" t="s">
        <v>37</v>
      </c>
      <c r="AB1646" t="s">
        <v>44</v>
      </c>
      <c r="AC1646" s="7">
        <v>1</v>
      </c>
      <c r="AD1646" t="s">
        <v>45</v>
      </c>
      <c r="AE1646">
        <f t="shared" si="25"/>
        <v>1</v>
      </c>
    </row>
    <row r="1647" spans="1:31" x14ac:dyDescent="0.35">
      <c r="A1647">
        <v>101646</v>
      </c>
      <c r="B1647" s="3">
        <v>45976</v>
      </c>
      <c r="C1647">
        <v>1016</v>
      </c>
      <c r="D1647" t="s">
        <v>47</v>
      </c>
      <c r="E1647" t="s">
        <v>53</v>
      </c>
      <c r="F1647" t="s">
        <v>61</v>
      </c>
      <c r="G1647" t="s">
        <v>63</v>
      </c>
      <c r="H1647" t="s">
        <v>34</v>
      </c>
      <c r="I1647" t="s">
        <v>69</v>
      </c>
      <c r="J1647" s="4">
        <v>19.75</v>
      </c>
      <c r="K1647" s="4">
        <v>12.81</v>
      </c>
      <c r="L1647">
        <v>0</v>
      </c>
      <c r="M1647" s="4">
        <v>0</v>
      </c>
      <c r="N1647" s="4">
        <v>253</v>
      </c>
      <c r="O1647" s="4">
        <v>130.49</v>
      </c>
      <c r="P1647" s="4">
        <v>7.79</v>
      </c>
      <c r="Q1647" s="4">
        <v>1.01</v>
      </c>
      <c r="R1647" s="4">
        <v>6.76</v>
      </c>
      <c r="S1647" s="4">
        <v>228.8</v>
      </c>
      <c r="T1647" s="4">
        <v>0</v>
      </c>
      <c r="U1647" s="4">
        <v>374.85</v>
      </c>
      <c r="V1647" s="4">
        <v>-121.85</v>
      </c>
      <c r="W1647" t="s">
        <v>58</v>
      </c>
      <c r="X1647" t="s">
        <v>55</v>
      </c>
      <c r="Y1647" s="4">
        <v>8</v>
      </c>
      <c r="Z1647" s="4">
        <v>8</v>
      </c>
      <c r="AA1647" t="s">
        <v>37</v>
      </c>
      <c r="AB1647" t="s">
        <v>44</v>
      </c>
      <c r="AC1647" s="7">
        <v>2</v>
      </c>
      <c r="AD1647" t="s">
        <v>45</v>
      </c>
      <c r="AE1647">
        <f t="shared" si="25"/>
        <v>1</v>
      </c>
    </row>
    <row r="1648" spans="1:31" x14ac:dyDescent="0.35">
      <c r="A1648">
        <v>101647</v>
      </c>
      <c r="B1648" s="3">
        <v>45934</v>
      </c>
      <c r="C1648">
        <v>1024</v>
      </c>
      <c r="D1648" t="s">
        <v>30</v>
      </c>
      <c r="E1648" t="s">
        <v>40</v>
      </c>
      <c r="F1648" t="s">
        <v>32</v>
      </c>
      <c r="G1648" t="s">
        <v>46</v>
      </c>
      <c r="H1648" t="s">
        <v>57</v>
      </c>
      <c r="I1648" t="s">
        <v>42</v>
      </c>
      <c r="J1648" s="4">
        <v>34.909999999999997</v>
      </c>
      <c r="K1648" s="4">
        <v>16.45</v>
      </c>
      <c r="L1648">
        <v>0</v>
      </c>
      <c r="M1648" s="4">
        <v>0</v>
      </c>
      <c r="N1648" s="4">
        <v>574.27</v>
      </c>
      <c r="O1648" s="4">
        <v>276.26</v>
      </c>
      <c r="P1648" s="4">
        <v>11.39</v>
      </c>
      <c r="Q1648" s="4">
        <v>8.61</v>
      </c>
      <c r="R1648" s="4">
        <v>3.78</v>
      </c>
      <c r="S1648" s="4">
        <v>0</v>
      </c>
      <c r="T1648" s="4">
        <v>0</v>
      </c>
      <c r="U1648" s="4">
        <v>300.04000000000002</v>
      </c>
      <c r="V1648" s="4">
        <v>274.23</v>
      </c>
      <c r="W1648" t="s">
        <v>21</v>
      </c>
      <c r="X1648" t="s">
        <v>36</v>
      </c>
      <c r="Y1648" s="4">
        <v>8</v>
      </c>
      <c r="Z1648" s="4">
        <v>1</v>
      </c>
      <c r="AA1648" t="s">
        <v>37</v>
      </c>
      <c r="AB1648" t="s">
        <v>38</v>
      </c>
      <c r="AC1648" s="7">
        <v>0</v>
      </c>
      <c r="AD1648" t="s">
        <v>39</v>
      </c>
      <c r="AE1648">
        <f t="shared" si="25"/>
        <v>0</v>
      </c>
    </row>
    <row r="1649" spans="1:31" x14ac:dyDescent="0.35">
      <c r="A1649">
        <v>101648</v>
      </c>
      <c r="B1649" s="3">
        <v>45969</v>
      </c>
      <c r="C1649">
        <v>1027</v>
      </c>
      <c r="D1649" t="s">
        <v>64</v>
      </c>
      <c r="E1649" t="s">
        <v>76</v>
      </c>
      <c r="F1649" t="s">
        <v>41</v>
      </c>
      <c r="G1649" t="s">
        <v>63</v>
      </c>
      <c r="H1649" t="s">
        <v>34</v>
      </c>
      <c r="I1649" t="s">
        <v>35</v>
      </c>
      <c r="J1649" s="4">
        <v>19.84</v>
      </c>
      <c r="K1649" s="4">
        <v>13.48</v>
      </c>
      <c r="L1649">
        <v>5</v>
      </c>
      <c r="M1649" s="4">
        <v>13.37</v>
      </c>
      <c r="N1649" s="4">
        <v>254.07</v>
      </c>
      <c r="O1649" s="4">
        <v>146.05000000000001</v>
      </c>
      <c r="P1649" s="4">
        <v>6.92</v>
      </c>
      <c r="Q1649" s="4">
        <v>1.87</v>
      </c>
      <c r="R1649" s="4">
        <v>3.77</v>
      </c>
      <c r="S1649" s="4">
        <v>0</v>
      </c>
      <c r="T1649" s="4">
        <v>0</v>
      </c>
      <c r="U1649" s="4">
        <v>158.61000000000001</v>
      </c>
      <c r="V1649" s="4">
        <v>95.46</v>
      </c>
      <c r="W1649" t="s">
        <v>21</v>
      </c>
      <c r="X1649" t="s">
        <v>36</v>
      </c>
      <c r="Y1649" s="4">
        <v>1</v>
      </c>
      <c r="Z1649" s="4">
        <v>11</v>
      </c>
      <c r="AA1649" t="s">
        <v>37</v>
      </c>
      <c r="AB1649" t="s">
        <v>38</v>
      </c>
      <c r="AC1649" s="7">
        <v>0</v>
      </c>
      <c r="AD1649" t="s">
        <v>39</v>
      </c>
      <c r="AE1649">
        <f t="shared" si="25"/>
        <v>0</v>
      </c>
    </row>
    <row r="1650" spans="1:31" x14ac:dyDescent="0.35">
      <c r="A1650">
        <v>101649</v>
      </c>
      <c r="B1650" s="3">
        <v>46001</v>
      </c>
      <c r="C1650">
        <v>1123</v>
      </c>
      <c r="D1650" t="s">
        <v>47</v>
      </c>
      <c r="E1650" t="s">
        <v>53</v>
      </c>
      <c r="F1650" t="s">
        <v>32</v>
      </c>
      <c r="G1650" t="s">
        <v>63</v>
      </c>
      <c r="H1650" t="s">
        <v>57</v>
      </c>
      <c r="I1650" t="s">
        <v>42</v>
      </c>
      <c r="J1650" s="4">
        <v>28.17</v>
      </c>
      <c r="K1650" s="4">
        <v>12.58</v>
      </c>
      <c r="L1650">
        <v>5</v>
      </c>
      <c r="M1650" s="4">
        <v>17.72</v>
      </c>
      <c r="N1650" s="4">
        <v>336.66</v>
      </c>
      <c r="O1650" s="4">
        <v>220.06</v>
      </c>
      <c r="P1650" s="4">
        <v>7.09</v>
      </c>
      <c r="Q1650" s="4">
        <v>5.32</v>
      </c>
      <c r="R1650" s="4">
        <v>4.07</v>
      </c>
      <c r="S1650" s="4">
        <v>0</v>
      </c>
      <c r="T1650" s="4">
        <v>0</v>
      </c>
      <c r="U1650" s="4">
        <v>236.54</v>
      </c>
      <c r="V1650" s="4">
        <v>100.12</v>
      </c>
      <c r="W1650" t="s">
        <v>21</v>
      </c>
      <c r="X1650" t="s">
        <v>36</v>
      </c>
      <c r="Y1650" s="4">
        <v>2</v>
      </c>
      <c r="Z1650" s="4">
        <v>1</v>
      </c>
      <c r="AA1650" t="s">
        <v>37</v>
      </c>
      <c r="AB1650" t="s">
        <v>38</v>
      </c>
      <c r="AC1650" s="7">
        <v>1</v>
      </c>
      <c r="AD1650" t="s">
        <v>39</v>
      </c>
      <c r="AE1650">
        <f t="shared" si="25"/>
        <v>0</v>
      </c>
    </row>
    <row r="1651" spans="1:31" x14ac:dyDescent="0.35">
      <c r="A1651">
        <v>101650</v>
      </c>
      <c r="B1651" s="3">
        <v>46016</v>
      </c>
      <c r="C1651">
        <v>1008</v>
      </c>
      <c r="D1651" t="s">
        <v>30</v>
      </c>
      <c r="E1651" t="s">
        <v>62</v>
      </c>
      <c r="F1651" t="s">
        <v>32</v>
      </c>
      <c r="G1651" t="s">
        <v>33</v>
      </c>
      <c r="H1651" t="s">
        <v>34</v>
      </c>
      <c r="I1651" t="s">
        <v>35</v>
      </c>
      <c r="J1651" s="4">
        <v>29.61</v>
      </c>
      <c r="K1651" s="4">
        <v>18.78</v>
      </c>
      <c r="L1651">
        <v>10</v>
      </c>
      <c r="M1651" s="4">
        <v>55.61</v>
      </c>
      <c r="N1651" s="4">
        <v>500.47</v>
      </c>
      <c r="O1651" s="4">
        <v>194.3</v>
      </c>
      <c r="P1651" s="4">
        <v>6.42</v>
      </c>
      <c r="Q1651" s="4">
        <v>3.89</v>
      </c>
      <c r="R1651" s="4">
        <v>1.73</v>
      </c>
      <c r="S1651" s="4">
        <v>0</v>
      </c>
      <c r="T1651" s="4">
        <v>0</v>
      </c>
      <c r="U1651" s="4">
        <v>206.34</v>
      </c>
      <c r="V1651" s="4">
        <v>294.13</v>
      </c>
      <c r="W1651" t="s">
        <v>21</v>
      </c>
      <c r="X1651" t="s">
        <v>36</v>
      </c>
      <c r="Y1651" s="4">
        <v>18</v>
      </c>
      <c r="Z1651" s="4">
        <v>2</v>
      </c>
      <c r="AA1651" t="s">
        <v>52</v>
      </c>
      <c r="AB1651" t="s">
        <v>38</v>
      </c>
      <c r="AC1651" s="7">
        <v>0</v>
      </c>
      <c r="AD1651" t="s">
        <v>39</v>
      </c>
      <c r="AE1651">
        <f t="shared" si="25"/>
        <v>0</v>
      </c>
    </row>
    <row r="1652" spans="1:31" x14ac:dyDescent="0.35">
      <c r="A1652">
        <v>101651</v>
      </c>
      <c r="B1652" s="3">
        <v>45984</v>
      </c>
      <c r="C1652">
        <v>1121</v>
      </c>
      <c r="D1652" t="s">
        <v>30</v>
      </c>
      <c r="E1652" t="s">
        <v>31</v>
      </c>
      <c r="F1652" t="s">
        <v>32</v>
      </c>
      <c r="G1652" t="s">
        <v>50</v>
      </c>
      <c r="H1652" t="s">
        <v>34</v>
      </c>
      <c r="I1652" t="s">
        <v>35</v>
      </c>
      <c r="J1652" s="4">
        <v>27.29</v>
      </c>
      <c r="K1652" s="4">
        <v>18.309999999999999</v>
      </c>
      <c r="L1652">
        <v>0</v>
      </c>
      <c r="M1652" s="4">
        <v>0</v>
      </c>
      <c r="N1652" s="4">
        <v>499.68</v>
      </c>
      <c r="O1652" s="4">
        <v>213.33</v>
      </c>
      <c r="P1652" s="4">
        <v>13.83</v>
      </c>
      <c r="Q1652" s="4">
        <v>3.5</v>
      </c>
      <c r="R1652" s="4">
        <v>6.42</v>
      </c>
      <c r="S1652" s="4">
        <v>0</v>
      </c>
      <c r="T1652" s="4">
        <v>0</v>
      </c>
      <c r="U1652" s="4">
        <v>237.08</v>
      </c>
      <c r="V1652" s="4">
        <v>262.60000000000002</v>
      </c>
      <c r="W1652" t="s">
        <v>21</v>
      </c>
      <c r="X1652" t="s">
        <v>36</v>
      </c>
      <c r="Y1652" s="4">
        <v>35</v>
      </c>
      <c r="Z1652" s="4">
        <v>0</v>
      </c>
      <c r="AA1652" t="s">
        <v>43</v>
      </c>
      <c r="AB1652" t="s">
        <v>44</v>
      </c>
      <c r="AC1652" s="7">
        <v>3</v>
      </c>
      <c r="AD1652" t="s">
        <v>45</v>
      </c>
      <c r="AE1652">
        <f t="shared" si="25"/>
        <v>1</v>
      </c>
    </row>
    <row r="1653" spans="1:31" x14ac:dyDescent="0.35">
      <c r="A1653">
        <v>101652</v>
      </c>
      <c r="B1653" s="3">
        <v>45991</v>
      </c>
      <c r="C1653">
        <v>1126</v>
      </c>
      <c r="D1653" t="s">
        <v>64</v>
      </c>
      <c r="E1653" t="s">
        <v>75</v>
      </c>
      <c r="F1653" t="s">
        <v>41</v>
      </c>
      <c r="G1653" t="s">
        <v>33</v>
      </c>
      <c r="H1653" t="s">
        <v>51</v>
      </c>
      <c r="I1653" t="s">
        <v>35</v>
      </c>
      <c r="J1653" s="4">
        <v>37.270000000000003</v>
      </c>
      <c r="K1653" s="4">
        <v>19.649999999999999</v>
      </c>
      <c r="L1653">
        <v>10</v>
      </c>
      <c r="M1653" s="4">
        <v>73.239999999999995</v>
      </c>
      <c r="N1653" s="4">
        <v>659.12</v>
      </c>
      <c r="O1653" s="4">
        <v>242.32</v>
      </c>
      <c r="P1653" s="4">
        <v>7.58</v>
      </c>
      <c r="Q1653" s="4">
        <v>5.13</v>
      </c>
      <c r="R1653" s="4">
        <v>0</v>
      </c>
      <c r="S1653" s="4">
        <v>0</v>
      </c>
      <c r="T1653" s="4">
        <v>0</v>
      </c>
      <c r="U1653" s="4">
        <v>255.03</v>
      </c>
      <c r="V1653" s="4">
        <v>404.09</v>
      </c>
      <c r="W1653" t="s">
        <v>21</v>
      </c>
      <c r="X1653" t="s">
        <v>36</v>
      </c>
      <c r="Y1653" s="4">
        <v>3</v>
      </c>
      <c r="Z1653" s="4">
        <v>9</v>
      </c>
      <c r="AA1653" t="s">
        <v>37</v>
      </c>
      <c r="AB1653" t="s">
        <v>38</v>
      </c>
      <c r="AC1653" s="7">
        <v>0</v>
      </c>
      <c r="AD1653" t="s">
        <v>39</v>
      </c>
      <c r="AE1653">
        <f t="shared" si="25"/>
        <v>0</v>
      </c>
    </row>
    <row r="1654" spans="1:31" x14ac:dyDescent="0.35">
      <c r="A1654">
        <v>101653</v>
      </c>
      <c r="B1654" s="3">
        <v>45943</v>
      </c>
      <c r="C1654">
        <v>1057</v>
      </c>
      <c r="D1654" t="s">
        <v>59</v>
      </c>
      <c r="E1654" t="s">
        <v>70</v>
      </c>
      <c r="F1654" t="s">
        <v>41</v>
      </c>
      <c r="G1654" t="s">
        <v>46</v>
      </c>
      <c r="H1654" t="s">
        <v>34</v>
      </c>
      <c r="I1654" t="s">
        <v>35</v>
      </c>
      <c r="J1654" s="4">
        <v>23.21</v>
      </c>
      <c r="K1654" s="4">
        <v>16.72</v>
      </c>
      <c r="L1654">
        <v>0</v>
      </c>
      <c r="M1654" s="4">
        <v>0</v>
      </c>
      <c r="N1654" s="4">
        <v>388.07</v>
      </c>
      <c r="O1654" s="4">
        <v>169.6</v>
      </c>
      <c r="P1654" s="4">
        <v>6.82</v>
      </c>
      <c r="Q1654" s="4">
        <v>2.72</v>
      </c>
      <c r="R1654" s="4">
        <v>3.17</v>
      </c>
      <c r="S1654" s="4">
        <v>0</v>
      </c>
      <c r="T1654" s="4">
        <v>0</v>
      </c>
      <c r="U1654" s="4">
        <v>182.31</v>
      </c>
      <c r="V1654" s="4">
        <v>205.76</v>
      </c>
      <c r="W1654" t="s">
        <v>21</v>
      </c>
      <c r="X1654" t="s">
        <v>36</v>
      </c>
      <c r="Y1654" s="4">
        <v>11</v>
      </c>
      <c r="Z1654" s="4">
        <v>4</v>
      </c>
      <c r="AA1654" t="s">
        <v>37</v>
      </c>
      <c r="AB1654" t="s">
        <v>38</v>
      </c>
      <c r="AC1654" s="7">
        <v>1</v>
      </c>
      <c r="AD1654" t="s">
        <v>39</v>
      </c>
      <c r="AE1654">
        <f t="shared" si="25"/>
        <v>0</v>
      </c>
    </row>
    <row r="1655" spans="1:31" x14ac:dyDescent="0.35">
      <c r="A1655">
        <v>101654</v>
      </c>
      <c r="B1655" s="3">
        <v>45993</v>
      </c>
      <c r="C1655">
        <v>1125</v>
      </c>
      <c r="D1655" t="s">
        <v>64</v>
      </c>
      <c r="E1655" t="s">
        <v>65</v>
      </c>
      <c r="F1655" t="s">
        <v>32</v>
      </c>
      <c r="G1655" t="s">
        <v>63</v>
      </c>
      <c r="H1655" t="s">
        <v>34</v>
      </c>
      <c r="I1655" t="s">
        <v>35</v>
      </c>
      <c r="J1655" s="4">
        <v>13.38</v>
      </c>
      <c r="K1655" s="4">
        <v>12.97</v>
      </c>
      <c r="L1655">
        <v>0</v>
      </c>
      <c r="M1655" s="4">
        <v>0</v>
      </c>
      <c r="N1655" s="4">
        <v>173.54</v>
      </c>
      <c r="O1655" s="4">
        <v>86.2</v>
      </c>
      <c r="P1655" s="4">
        <v>4.9800000000000004</v>
      </c>
      <c r="Q1655" s="4">
        <v>1.21</v>
      </c>
      <c r="R1655" s="4">
        <v>4.3499999999999996</v>
      </c>
      <c r="S1655" s="4">
        <v>0</v>
      </c>
      <c r="T1655" s="4">
        <v>0</v>
      </c>
      <c r="U1655" s="4">
        <v>96.74</v>
      </c>
      <c r="V1655" s="4">
        <v>76.8</v>
      </c>
      <c r="W1655" t="s">
        <v>21</v>
      </c>
      <c r="X1655" t="s">
        <v>36</v>
      </c>
      <c r="Y1655" s="4">
        <v>16</v>
      </c>
      <c r="Z1655" s="4">
        <v>2</v>
      </c>
      <c r="AA1655" t="s">
        <v>52</v>
      </c>
      <c r="AB1655" t="s">
        <v>38</v>
      </c>
      <c r="AC1655" s="7">
        <v>0</v>
      </c>
      <c r="AD1655" t="s">
        <v>39</v>
      </c>
      <c r="AE1655">
        <f t="shared" si="25"/>
        <v>0</v>
      </c>
    </row>
    <row r="1656" spans="1:31" x14ac:dyDescent="0.35">
      <c r="A1656">
        <v>101655</v>
      </c>
      <c r="B1656" s="3">
        <v>46017</v>
      </c>
      <c r="C1656">
        <v>1094</v>
      </c>
      <c r="D1656" t="s">
        <v>30</v>
      </c>
      <c r="E1656" t="s">
        <v>31</v>
      </c>
      <c r="F1656" t="s">
        <v>71</v>
      </c>
      <c r="G1656" t="s">
        <v>33</v>
      </c>
      <c r="H1656" t="s">
        <v>34</v>
      </c>
      <c r="I1656" t="s">
        <v>35</v>
      </c>
      <c r="J1656" s="4">
        <v>27.88</v>
      </c>
      <c r="K1656" s="4">
        <v>19.399999999999999</v>
      </c>
      <c r="L1656">
        <v>0</v>
      </c>
      <c r="M1656" s="4">
        <v>0</v>
      </c>
      <c r="N1656" s="4">
        <v>540.87</v>
      </c>
      <c r="O1656" s="4">
        <v>232.12</v>
      </c>
      <c r="P1656" s="4">
        <v>10.220000000000001</v>
      </c>
      <c r="Q1656" s="4">
        <v>3.79</v>
      </c>
      <c r="R1656" s="4">
        <v>6.09</v>
      </c>
      <c r="S1656" s="4">
        <v>0</v>
      </c>
      <c r="T1656" s="4">
        <v>0</v>
      </c>
      <c r="U1656" s="4">
        <v>252.22</v>
      </c>
      <c r="V1656" s="4">
        <v>288.64999999999998</v>
      </c>
      <c r="W1656" t="s">
        <v>21</v>
      </c>
      <c r="X1656" t="s">
        <v>36</v>
      </c>
      <c r="Y1656" s="4">
        <v>20</v>
      </c>
      <c r="Z1656" s="4">
        <v>7</v>
      </c>
      <c r="AA1656" t="s">
        <v>52</v>
      </c>
      <c r="AB1656" t="s">
        <v>38</v>
      </c>
      <c r="AC1656" s="7">
        <v>0</v>
      </c>
      <c r="AD1656" t="s">
        <v>39</v>
      </c>
      <c r="AE1656">
        <f t="shared" si="25"/>
        <v>0</v>
      </c>
    </row>
    <row r="1657" spans="1:31" x14ac:dyDescent="0.35">
      <c r="A1657">
        <v>101656</v>
      </c>
      <c r="B1657" s="3">
        <v>45969</v>
      </c>
      <c r="C1657">
        <v>1046</v>
      </c>
      <c r="D1657" t="s">
        <v>30</v>
      </c>
      <c r="E1657" t="s">
        <v>40</v>
      </c>
      <c r="F1657" t="s">
        <v>61</v>
      </c>
      <c r="G1657" t="s">
        <v>50</v>
      </c>
      <c r="H1657" t="s">
        <v>51</v>
      </c>
      <c r="I1657" t="s">
        <v>35</v>
      </c>
      <c r="J1657" s="4">
        <v>13.91</v>
      </c>
      <c r="K1657" s="4">
        <v>16.21</v>
      </c>
      <c r="L1657">
        <v>5</v>
      </c>
      <c r="M1657" s="4">
        <v>11.27</v>
      </c>
      <c r="N1657" s="4">
        <v>214.21</v>
      </c>
      <c r="O1657" s="4">
        <v>100.74</v>
      </c>
      <c r="P1657" s="4">
        <v>12.83</v>
      </c>
      <c r="Q1657" s="4">
        <v>1.58</v>
      </c>
      <c r="R1657" s="4">
        <v>12.07</v>
      </c>
      <c r="S1657" s="4">
        <v>0</v>
      </c>
      <c r="T1657" s="4">
        <v>0</v>
      </c>
      <c r="U1657" s="4">
        <v>127.22</v>
      </c>
      <c r="V1657" s="4">
        <v>86.99</v>
      </c>
      <c r="W1657" t="s">
        <v>21</v>
      </c>
      <c r="X1657" t="s">
        <v>36</v>
      </c>
      <c r="Y1657" s="4">
        <v>1</v>
      </c>
      <c r="Z1657" s="4">
        <v>6</v>
      </c>
      <c r="AA1657" t="s">
        <v>37</v>
      </c>
      <c r="AB1657" t="s">
        <v>38</v>
      </c>
      <c r="AC1657" s="7">
        <v>0</v>
      </c>
      <c r="AD1657" t="s">
        <v>39</v>
      </c>
      <c r="AE1657">
        <f t="shared" si="25"/>
        <v>0</v>
      </c>
    </row>
    <row r="1658" spans="1:31" x14ac:dyDescent="0.35">
      <c r="A1658">
        <v>101657</v>
      </c>
      <c r="B1658" s="3">
        <v>46009</v>
      </c>
      <c r="C1658">
        <v>1045</v>
      </c>
      <c r="D1658" t="s">
        <v>64</v>
      </c>
      <c r="E1658" t="s">
        <v>76</v>
      </c>
      <c r="F1658" t="s">
        <v>61</v>
      </c>
      <c r="G1658" t="s">
        <v>63</v>
      </c>
      <c r="H1658" t="s">
        <v>57</v>
      </c>
      <c r="I1658" t="s">
        <v>54</v>
      </c>
      <c r="J1658" s="4">
        <v>30.73</v>
      </c>
      <c r="K1658" s="4">
        <v>12.74</v>
      </c>
      <c r="L1658">
        <v>0</v>
      </c>
      <c r="M1658" s="4">
        <v>0</v>
      </c>
      <c r="N1658" s="4">
        <v>391.5</v>
      </c>
      <c r="O1658" s="4">
        <v>248.04</v>
      </c>
      <c r="P1658" s="4">
        <v>3.99</v>
      </c>
      <c r="Q1658" s="4">
        <v>4.7</v>
      </c>
      <c r="R1658" s="4">
        <v>5.96</v>
      </c>
      <c r="S1658" s="4">
        <v>0</v>
      </c>
      <c r="T1658" s="4">
        <v>0</v>
      </c>
      <c r="U1658" s="4">
        <v>262.69</v>
      </c>
      <c r="V1658" s="4">
        <v>128.81</v>
      </c>
      <c r="W1658" t="s">
        <v>21</v>
      </c>
      <c r="X1658" t="s">
        <v>36</v>
      </c>
      <c r="Y1658" s="4">
        <v>14</v>
      </c>
      <c r="Z1658" s="4">
        <v>3</v>
      </c>
      <c r="AA1658" t="s">
        <v>37</v>
      </c>
      <c r="AB1658" t="s">
        <v>38</v>
      </c>
      <c r="AC1658" s="7">
        <v>0</v>
      </c>
      <c r="AD1658" t="s">
        <v>39</v>
      </c>
      <c r="AE1658">
        <f t="shared" si="25"/>
        <v>0</v>
      </c>
    </row>
    <row r="1659" spans="1:31" x14ac:dyDescent="0.35">
      <c r="A1659">
        <v>101658</v>
      </c>
      <c r="B1659" s="3">
        <v>46012</v>
      </c>
      <c r="C1659">
        <v>1020</v>
      </c>
      <c r="D1659" t="s">
        <v>47</v>
      </c>
      <c r="E1659" t="s">
        <v>56</v>
      </c>
      <c r="F1659" t="s">
        <v>41</v>
      </c>
      <c r="G1659" t="s">
        <v>46</v>
      </c>
      <c r="H1659" t="s">
        <v>34</v>
      </c>
      <c r="I1659" t="s">
        <v>42</v>
      </c>
      <c r="J1659" s="4">
        <v>42.98</v>
      </c>
      <c r="K1659" s="4">
        <v>15.62</v>
      </c>
      <c r="L1659">
        <v>15</v>
      </c>
      <c r="M1659" s="4">
        <v>100.7</v>
      </c>
      <c r="N1659" s="4">
        <v>570.65</v>
      </c>
      <c r="O1659" s="4">
        <v>316.56</v>
      </c>
      <c r="P1659" s="4">
        <v>10.63</v>
      </c>
      <c r="Q1659" s="4">
        <v>10.07</v>
      </c>
      <c r="R1659" s="4">
        <v>7.68</v>
      </c>
      <c r="S1659" s="4">
        <v>0</v>
      </c>
      <c r="T1659" s="4">
        <v>0</v>
      </c>
      <c r="U1659" s="4">
        <v>344.94</v>
      </c>
      <c r="V1659" s="4">
        <v>225.71</v>
      </c>
      <c r="W1659" t="s">
        <v>21</v>
      </c>
      <c r="X1659" t="s">
        <v>36</v>
      </c>
      <c r="Y1659" s="4">
        <v>5</v>
      </c>
      <c r="Z1659" s="4">
        <v>7</v>
      </c>
      <c r="AA1659" t="s">
        <v>37</v>
      </c>
      <c r="AB1659" t="s">
        <v>38</v>
      </c>
      <c r="AC1659" s="7">
        <v>0</v>
      </c>
      <c r="AD1659" t="s">
        <v>39</v>
      </c>
      <c r="AE1659">
        <f t="shared" si="25"/>
        <v>0</v>
      </c>
    </row>
    <row r="1660" spans="1:31" x14ac:dyDescent="0.35">
      <c r="A1660">
        <v>101659</v>
      </c>
      <c r="B1660" s="3">
        <v>45939</v>
      </c>
      <c r="C1660">
        <v>1068</v>
      </c>
      <c r="D1660" t="s">
        <v>64</v>
      </c>
      <c r="E1660" t="s">
        <v>76</v>
      </c>
      <c r="F1660" t="s">
        <v>41</v>
      </c>
      <c r="G1660" t="s">
        <v>63</v>
      </c>
      <c r="H1660" t="s">
        <v>57</v>
      </c>
      <c r="I1660" t="s">
        <v>35</v>
      </c>
      <c r="J1660" s="4">
        <v>18.8</v>
      </c>
      <c r="K1660" s="4">
        <v>11.95</v>
      </c>
      <c r="L1660">
        <v>20</v>
      </c>
      <c r="M1660" s="4">
        <v>44.93</v>
      </c>
      <c r="N1660" s="4">
        <v>179.73</v>
      </c>
      <c r="O1660" s="4">
        <v>146.19999999999999</v>
      </c>
      <c r="P1660" s="4">
        <v>7.6</v>
      </c>
      <c r="Q1660" s="4">
        <v>1.57</v>
      </c>
      <c r="R1660" s="4">
        <v>4.95</v>
      </c>
      <c r="S1660" s="4">
        <v>0</v>
      </c>
      <c r="T1660" s="4">
        <v>0</v>
      </c>
      <c r="U1660" s="4">
        <v>160.32</v>
      </c>
      <c r="V1660" s="4">
        <v>19.41</v>
      </c>
      <c r="W1660" t="s">
        <v>21</v>
      </c>
      <c r="X1660" t="s">
        <v>36</v>
      </c>
      <c r="Y1660" s="4">
        <v>2</v>
      </c>
      <c r="Z1660" s="4">
        <v>1</v>
      </c>
      <c r="AA1660" t="s">
        <v>37</v>
      </c>
      <c r="AB1660" t="s">
        <v>38</v>
      </c>
      <c r="AC1660" s="7">
        <v>0</v>
      </c>
      <c r="AD1660" t="s">
        <v>39</v>
      </c>
      <c r="AE1660">
        <f t="shared" si="25"/>
        <v>0</v>
      </c>
    </row>
    <row r="1661" spans="1:31" x14ac:dyDescent="0.35">
      <c r="A1661">
        <v>101660</v>
      </c>
      <c r="B1661" s="3">
        <v>45946</v>
      </c>
      <c r="C1661">
        <v>1096</v>
      </c>
      <c r="D1661" t="s">
        <v>30</v>
      </c>
      <c r="E1661" t="s">
        <v>40</v>
      </c>
      <c r="F1661" t="s">
        <v>49</v>
      </c>
      <c r="G1661" t="s">
        <v>63</v>
      </c>
      <c r="H1661" t="s">
        <v>57</v>
      </c>
      <c r="I1661" t="s">
        <v>35</v>
      </c>
      <c r="J1661" s="4">
        <v>25.67</v>
      </c>
      <c r="K1661" s="4">
        <v>11.82</v>
      </c>
      <c r="L1661">
        <v>0</v>
      </c>
      <c r="M1661" s="4">
        <v>0</v>
      </c>
      <c r="N1661" s="4">
        <v>303.42</v>
      </c>
      <c r="O1661" s="4">
        <v>205.64</v>
      </c>
      <c r="P1661" s="4">
        <v>5.95</v>
      </c>
      <c r="Q1661" s="4">
        <v>2.12</v>
      </c>
      <c r="R1661" s="4">
        <v>3.22</v>
      </c>
      <c r="S1661" s="4">
        <v>0</v>
      </c>
      <c r="T1661" s="4">
        <v>0</v>
      </c>
      <c r="U1661" s="4">
        <v>216.93</v>
      </c>
      <c r="V1661" s="4">
        <v>86.49</v>
      </c>
      <c r="W1661" t="s">
        <v>21</v>
      </c>
      <c r="X1661" t="s">
        <v>36</v>
      </c>
      <c r="Y1661" s="4">
        <v>5</v>
      </c>
      <c r="Z1661" s="4">
        <v>0</v>
      </c>
      <c r="AA1661" t="s">
        <v>37</v>
      </c>
      <c r="AB1661" t="s">
        <v>38</v>
      </c>
      <c r="AC1661" s="7">
        <v>1</v>
      </c>
      <c r="AD1661" t="s">
        <v>39</v>
      </c>
      <c r="AE1661">
        <f t="shared" si="25"/>
        <v>0</v>
      </c>
    </row>
    <row r="1662" spans="1:31" x14ac:dyDescent="0.35">
      <c r="A1662">
        <v>101661</v>
      </c>
      <c r="B1662" s="3">
        <v>46006</v>
      </c>
      <c r="C1662">
        <v>1112</v>
      </c>
      <c r="D1662" t="s">
        <v>64</v>
      </c>
      <c r="E1662" t="s">
        <v>76</v>
      </c>
      <c r="F1662" t="s">
        <v>49</v>
      </c>
      <c r="G1662" t="s">
        <v>46</v>
      </c>
      <c r="H1662" t="s">
        <v>57</v>
      </c>
      <c r="I1662" t="s">
        <v>35</v>
      </c>
      <c r="J1662" s="4">
        <v>34.33</v>
      </c>
      <c r="K1662" s="4">
        <v>16.21</v>
      </c>
      <c r="L1662">
        <v>5</v>
      </c>
      <c r="M1662" s="4">
        <v>27.82</v>
      </c>
      <c r="N1662" s="4">
        <v>528.66999999999996</v>
      </c>
      <c r="O1662" s="4">
        <v>253.72</v>
      </c>
      <c r="P1662" s="4">
        <v>11.47</v>
      </c>
      <c r="Q1662" s="4">
        <v>3.9</v>
      </c>
      <c r="R1662" s="4">
        <v>8.89</v>
      </c>
      <c r="S1662" s="4">
        <v>0</v>
      </c>
      <c r="T1662" s="4">
        <v>0</v>
      </c>
      <c r="U1662" s="4">
        <v>277.98</v>
      </c>
      <c r="V1662" s="4">
        <v>250.69</v>
      </c>
      <c r="W1662" t="s">
        <v>21</v>
      </c>
      <c r="X1662" t="s">
        <v>36</v>
      </c>
      <c r="Y1662" s="4">
        <v>14</v>
      </c>
      <c r="Z1662" s="4">
        <v>46</v>
      </c>
      <c r="AA1662" t="s">
        <v>37</v>
      </c>
      <c r="AB1662" t="s">
        <v>44</v>
      </c>
      <c r="AC1662" s="7">
        <v>2</v>
      </c>
      <c r="AD1662" t="s">
        <v>45</v>
      </c>
      <c r="AE1662">
        <f t="shared" si="25"/>
        <v>1</v>
      </c>
    </row>
    <row r="1663" spans="1:31" x14ac:dyDescent="0.35">
      <c r="A1663">
        <v>101662</v>
      </c>
      <c r="B1663" s="3">
        <v>45996</v>
      </c>
      <c r="C1663">
        <v>1018</v>
      </c>
      <c r="D1663" t="s">
        <v>47</v>
      </c>
      <c r="E1663" t="s">
        <v>48</v>
      </c>
      <c r="F1663" t="s">
        <v>61</v>
      </c>
      <c r="G1663" t="s">
        <v>63</v>
      </c>
      <c r="H1663" t="s">
        <v>34</v>
      </c>
      <c r="I1663" t="s">
        <v>35</v>
      </c>
      <c r="J1663" s="4">
        <v>17.62</v>
      </c>
      <c r="K1663" s="4">
        <v>12.01</v>
      </c>
      <c r="L1663">
        <v>15</v>
      </c>
      <c r="M1663" s="4">
        <v>31.74</v>
      </c>
      <c r="N1663" s="4">
        <v>179.88</v>
      </c>
      <c r="O1663" s="4">
        <v>134.41</v>
      </c>
      <c r="P1663" s="4">
        <v>9.65</v>
      </c>
      <c r="Q1663" s="4">
        <v>1.48</v>
      </c>
      <c r="R1663" s="4">
        <v>4.3099999999999996</v>
      </c>
      <c r="S1663" s="4">
        <v>0</v>
      </c>
      <c r="T1663" s="4">
        <v>0</v>
      </c>
      <c r="U1663" s="4">
        <v>149.85</v>
      </c>
      <c r="V1663" s="4">
        <v>30.03</v>
      </c>
      <c r="W1663" t="s">
        <v>21</v>
      </c>
      <c r="X1663" t="s">
        <v>36</v>
      </c>
      <c r="Y1663" s="4">
        <v>7</v>
      </c>
      <c r="Z1663" s="4">
        <v>24</v>
      </c>
      <c r="AA1663" t="s">
        <v>37</v>
      </c>
      <c r="AB1663" t="s">
        <v>44</v>
      </c>
      <c r="AC1663" s="7">
        <v>1</v>
      </c>
      <c r="AD1663" t="s">
        <v>45</v>
      </c>
      <c r="AE1663">
        <f t="shared" si="25"/>
        <v>1</v>
      </c>
    </row>
    <row r="1664" spans="1:31" x14ac:dyDescent="0.35">
      <c r="A1664">
        <v>101663</v>
      </c>
      <c r="B1664" s="3">
        <v>45969</v>
      </c>
      <c r="C1664">
        <v>1067</v>
      </c>
      <c r="D1664" t="s">
        <v>64</v>
      </c>
      <c r="E1664" t="s">
        <v>67</v>
      </c>
      <c r="F1664" t="s">
        <v>61</v>
      </c>
      <c r="G1664" t="s">
        <v>33</v>
      </c>
      <c r="H1664" t="s">
        <v>34</v>
      </c>
      <c r="I1664" t="s">
        <v>54</v>
      </c>
      <c r="J1664" s="4">
        <v>34.840000000000003</v>
      </c>
      <c r="K1664" s="4">
        <v>19.329999999999998</v>
      </c>
      <c r="L1664">
        <v>15</v>
      </c>
      <c r="M1664" s="4">
        <v>101.02</v>
      </c>
      <c r="N1664" s="4">
        <v>572.44000000000005</v>
      </c>
      <c r="O1664" s="4">
        <v>247.98</v>
      </c>
      <c r="P1664" s="4">
        <v>5.75</v>
      </c>
      <c r="Q1664" s="4">
        <v>8.08</v>
      </c>
      <c r="R1664" s="4">
        <v>3.74</v>
      </c>
      <c r="S1664" s="4">
        <v>0</v>
      </c>
      <c r="T1664" s="4">
        <v>0</v>
      </c>
      <c r="U1664" s="4">
        <v>265.55</v>
      </c>
      <c r="V1664" s="4">
        <v>306.89</v>
      </c>
      <c r="W1664" t="s">
        <v>21</v>
      </c>
      <c r="X1664" t="s">
        <v>36</v>
      </c>
      <c r="Y1664" s="4">
        <v>14</v>
      </c>
      <c r="Z1664" s="4">
        <v>2</v>
      </c>
      <c r="AA1664" t="s">
        <v>37</v>
      </c>
      <c r="AB1664" t="s">
        <v>38</v>
      </c>
      <c r="AC1664" s="7">
        <v>0</v>
      </c>
      <c r="AD1664" t="s">
        <v>39</v>
      </c>
      <c r="AE1664">
        <f t="shared" si="25"/>
        <v>0</v>
      </c>
    </row>
    <row r="1665" spans="1:31" x14ac:dyDescent="0.35">
      <c r="A1665">
        <v>101664</v>
      </c>
      <c r="B1665" s="3">
        <v>45936</v>
      </c>
      <c r="C1665">
        <v>1017</v>
      </c>
      <c r="D1665" t="s">
        <v>47</v>
      </c>
      <c r="E1665" t="s">
        <v>56</v>
      </c>
      <c r="F1665" t="s">
        <v>49</v>
      </c>
      <c r="G1665" t="s">
        <v>63</v>
      </c>
      <c r="H1665" t="s">
        <v>57</v>
      </c>
      <c r="I1665" t="s">
        <v>35</v>
      </c>
      <c r="J1665" s="4">
        <v>13.75</v>
      </c>
      <c r="K1665" s="4">
        <v>13.15</v>
      </c>
      <c r="L1665">
        <v>0</v>
      </c>
      <c r="M1665" s="4">
        <v>0</v>
      </c>
      <c r="N1665" s="4">
        <v>180.81</v>
      </c>
      <c r="O1665" s="4">
        <v>102.01</v>
      </c>
      <c r="P1665" s="4">
        <v>5.83</v>
      </c>
      <c r="Q1665" s="4">
        <v>1.27</v>
      </c>
      <c r="R1665" s="4">
        <v>8.19</v>
      </c>
      <c r="S1665" s="4">
        <v>0</v>
      </c>
      <c r="T1665" s="4">
        <v>0</v>
      </c>
      <c r="U1665" s="4">
        <v>117.3</v>
      </c>
      <c r="V1665" s="4">
        <v>63.51</v>
      </c>
      <c r="W1665" t="s">
        <v>21</v>
      </c>
      <c r="X1665" t="s">
        <v>36</v>
      </c>
      <c r="Y1665" s="4">
        <v>26</v>
      </c>
      <c r="Z1665" s="4">
        <v>11</v>
      </c>
      <c r="AA1665" t="s">
        <v>52</v>
      </c>
      <c r="AB1665" t="s">
        <v>44</v>
      </c>
      <c r="AC1665" s="7">
        <v>2</v>
      </c>
      <c r="AD1665" t="s">
        <v>45</v>
      </c>
      <c r="AE1665">
        <f t="shared" si="25"/>
        <v>1</v>
      </c>
    </row>
    <row r="1666" spans="1:31" x14ac:dyDescent="0.35">
      <c r="A1666">
        <v>101665</v>
      </c>
      <c r="B1666" s="3">
        <v>45931</v>
      </c>
      <c r="C1666">
        <v>1075</v>
      </c>
      <c r="D1666" t="s">
        <v>47</v>
      </c>
      <c r="E1666" t="s">
        <v>48</v>
      </c>
      <c r="F1666" t="s">
        <v>41</v>
      </c>
      <c r="G1666" t="s">
        <v>50</v>
      </c>
      <c r="H1666" t="s">
        <v>57</v>
      </c>
      <c r="I1666" t="s">
        <v>54</v>
      </c>
      <c r="J1666" s="4">
        <v>20.329999999999998</v>
      </c>
      <c r="K1666" s="4">
        <v>16.739999999999998</v>
      </c>
      <c r="L1666">
        <v>0</v>
      </c>
      <c r="M1666" s="4">
        <v>0</v>
      </c>
      <c r="N1666" s="4">
        <v>340.32</v>
      </c>
      <c r="O1666" s="4">
        <v>159.47</v>
      </c>
      <c r="P1666" s="4">
        <v>4.8899999999999997</v>
      </c>
      <c r="Q1666" s="4">
        <v>4.08</v>
      </c>
      <c r="R1666" s="4">
        <v>5.78</v>
      </c>
      <c r="S1666" s="4">
        <v>0</v>
      </c>
      <c r="T1666" s="4">
        <v>0</v>
      </c>
      <c r="U1666" s="4">
        <v>174.22</v>
      </c>
      <c r="V1666" s="4">
        <v>166.1</v>
      </c>
      <c r="W1666" t="s">
        <v>21</v>
      </c>
      <c r="X1666" t="s">
        <v>36</v>
      </c>
      <c r="Y1666" s="4">
        <v>9</v>
      </c>
      <c r="Z1666" s="4">
        <v>2</v>
      </c>
      <c r="AA1666" t="s">
        <v>37</v>
      </c>
      <c r="AB1666" t="s">
        <v>38</v>
      </c>
      <c r="AC1666" s="7">
        <v>0</v>
      </c>
      <c r="AD1666" t="s">
        <v>39</v>
      </c>
      <c r="AE1666">
        <f t="shared" si="25"/>
        <v>0</v>
      </c>
    </row>
    <row r="1667" spans="1:31" x14ac:dyDescent="0.35">
      <c r="A1667">
        <v>101666</v>
      </c>
      <c r="B1667" s="3">
        <v>45985</v>
      </c>
      <c r="C1667">
        <v>1035</v>
      </c>
      <c r="D1667" t="s">
        <v>30</v>
      </c>
      <c r="E1667" t="s">
        <v>31</v>
      </c>
      <c r="F1667" t="s">
        <v>49</v>
      </c>
      <c r="G1667" t="s">
        <v>63</v>
      </c>
      <c r="H1667" t="s">
        <v>34</v>
      </c>
      <c r="I1667" t="s">
        <v>69</v>
      </c>
      <c r="J1667" s="4">
        <v>17.88</v>
      </c>
      <c r="K1667" s="4">
        <v>12.09</v>
      </c>
      <c r="L1667">
        <v>5</v>
      </c>
      <c r="M1667" s="4">
        <v>10.81</v>
      </c>
      <c r="N1667" s="4">
        <v>205.36</v>
      </c>
      <c r="O1667" s="4">
        <v>114.83</v>
      </c>
      <c r="P1667" s="4">
        <v>9.07</v>
      </c>
      <c r="Q1667" s="4">
        <v>0.86</v>
      </c>
      <c r="R1667" s="4">
        <v>10.1</v>
      </c>
      <c r="S1667" s="4">
        <v>0</v>
      </c>
      <c r="T1667" s="4">
        <v>0</v>
      </c>
      <c r="U1667" s="4">
        <v>134.86000000000001</v>
      </c>
      <c r="V1667" s="4">
        <v>70.5</v>
      </c>
      <c r="W1667" t="s">
        <v>21</v>
      </c>
      <c r="X1667" t="s">
        <v>36</v>
      </c>
      <c r="Y1667" s="4">
        <v>64</v>
      </c>
      <c r="Z1667" s="4">
        <v>29</v>
      </c>
      <c r="AA1667" t="s">
        <v>43</v>
      </c>
      <c r="AB1667" t="s">
        <v>44</v>
      </c>
      <c r="AC1667" s="7">
        <v>3</v>
      </c>
      <c r="AD1667" t="s">
        <v>45</v>
      </c>
      <c r="AE1667">
        <f t="shared" ref="AE1667:AE1730" si="26">IF(AB1667="Yes",1,0)</f>
        <v>1</v>
      </c>
    </row>
    <row r="1668" spans="1:31" x14ac:dyDescent="0.35">
      <c r="A1668">
        <v>101667</v>
      </c>
      <c r="B1668" s="3">
        <v>46019</v>
      </c>
      <c r="C1668">
        <v>1006</v>
      </c>
      <c r="D1668" t="s">
        <v>30</v>
      </c>
      <c r="E1668" t="s">
        <v>72</v>
      </c>
      <c r="F1668" t="s">
        <v>49</v>
      </c>
      <c r="G1668" t="s">
        <v>33</v>
      </c>
      <c r="H1668" t="s">
        <v>34</v>
      </c>
      <c r="I1668" t="s">
        <v>35</v>
      </c>
      <c r="J1668" s="4">
        <v>37.369999999999997</v>
      </c>
      <c r="K1668" s="4">
        <v>19.239999999999998</v>
      </c>
      <c r="L1668">
        <v>5</v>
      </c>
      <c r="M1668" s="4">
        <v>35.950000000000003</v>
      </c>
      <c r="N1668" s="4">
        <v>683.05</v>
      </c>
      <c r="O1668" s="4">
        <v>272.67</v>
      </c>
      <c r="P1668" s="4">
        <v>3.2</v>
      </c>
      <c r="Q1668" s="4">
        <v>5.03</v>
      </c>
      <c r="R1668" s="4">
        <v>11.72</v>
      </c>
      <c r="S1668" s="4">
        <v>0</v>
      </c>
      <c r="T1668" s="4">
        <v>0</v>
      </c>
      <c r="U1668" s="4">
        <v>292.62</v>
      </c>
      <c r="V1668" s="4">
        <v>390.43</v>
      </c>
      <c r="W1668" t="s">
        <v>21</v>
      </c>
      <c r="X1668" t="s">
        <v>36</v>
      </c>
      <c r="Y1668" s="4">
        <v>5</v>
      </c>
      <c r="Z1668" s="4">
        <v>2</v>
      </c>
      <c r="AA1668" t="s">
        <v>37</v>
      </c>
      <c r="AB1668" t="s">
        <v>38</v>
      </c>
      <c r="AC1668" s="7">
        <v>0</v>
      </c>
      <c r="AD1668" t="s">
        <v>39</v>
      </c>
      <c r="AE1668">
        <f t="shared" si="26"/>
        <v>0</v>
      </c>
    </row>
    <row r="1669" spans="1:31" x14ac:dyDescent="0.35">
      <c r="A1669">
        <v>101668</v>
      </c>
      <c r="B1669" s="3">
        <v>45970</v>
      </c>
      <c r="C1669">
        <v>1016</v>
      </c>
      <c r="D1669" t="s">
        <v>47</v>
      </c>
      <c r="E1669" t="s">
        <v>48</v>
      </c>
      <c r="F1669" t="s">
        <v>71</v>
      </c>
      <c r="G1669" t="s">
        <v>63</v>
      </c>
      <c r="H1669" t="s">
        <v>34</v>
      </c>
      <c r="I1669" t="s">
        <v>35</v>
      </c>
      <c r="J1669" s="4">
        <v>12.04</v>
      </c>
      <c r="K1669" s="4">
        <v>14.21</v>
      </c>
      <c r="L1669">
        <v>0</v>
      </c>
      <c r="M1669" s="4">
        <v>0</v>
      </c>
      <c r="N1669" s="4">
        <v>171.09</v>
      </c>
      <c r="O1669" s="4">
        <v>94</v>
      </c>
      <c r="P1669" s="4">
        <v>12.16</v>
      </c>
      <c r="Q1669" s="4">
        <v>1.2</v>
      </c>
      <c r="R1669" s="4">
        <v>8.81</v>
      </c>
      <c r="S1669" s="4">
        <v>139.81</v>
      </c>
      <c r="T1669" s="4">
        <v>0</v>
      </c>
      <c r="U1669" s="4">
        <v>255.98</v>
      </c>
      <c r="V1669" s="4">
        <v>-84.89</v>
      </c>
      <c r="W1669" t="s">
        <v>58</v>
      </c>
      <c r="X1669" t="s">
        <v>66</v>
      </c>
      <c r="Y1669" s="4">
        <v>7</v>
      </c>
      <c r="Z1669" s="4">
        <v>1</v>
      </c>
      <c r="AA1669" t="s">
        <v>37</v>
      </c>
      <c r="AB1669" t="s">
        <v>38</v>
      </c>
      <c r="AC1669" s="7">
        <v>2</v>
      </c>
      <c r="AD1669" t="s">
        <v>45</v>
      </c>
      <c r="AE1669">
        <f t="shared" si="26"/>
        <v>0</v>
      </c>
    </row>
    <row r="1670" spans="1:31" x14ac:dyDescent="0.35">
      <c r="A1670">
        <v>101669</v>
      </c>
      <c r="B1670" s="3">
        <v>46014</v>
      </c>
      <c r="C1670">
        <v>1106</v>
      </c>
      <c r="D1670" t="s">
        <v>59</v>
      </c>
      <c r="E1670" t="s">
        <v>68</v>
      </c>
      <c r="F1670" t="s">
        <v>71</v>
      </c>
      <c r="G1670" t="s">
        <v>33</v>
      </c>
      <c r="H1670" t="s">
        <v>34</v>
      </c>
      <c r="I1670" t="s">
        <v>35</v>
      </c>
      <c r="J1670" s="4">
        <v>30.22</v>
      </c>
      <c r="K1670" s="4">
        <v>18.309999999999999</v>
      </c>
      <c r="L1670">
        <v>0</v>
      </c>
      <c r="M1670" s="4">
        <v>0</v>
      </c>
      <c r="N1670" s="4">
        <v>553.33000000000004</v>
      </c>
      <c r="O1670" s="4">
        <v>171.19</v>
      </c>
      <c r="P1670" s="4">
        <v>7.62</v>
      </c>
      <c r="Q1670" s="4">
        <v>3.87</v>
      </c>
      <c r="R1670" s="4">
        <v>11.91</v>
      </c>
      <c r="S1670" s="4">
        <v>0</v>
      </c>
      <c r="T1670" s="4">
        <v>0</v>
      </c>
      <c r="U1670" s="4">
        <v>194.59</v>
      </c>
      <c r="V1670" s="4">
        <v>358.74</v>
      </c>
      <c r="W1670" t="s">
        <v>21</v>
      </c>
      <c r="X1670" t="s">
        <v>36</v>
      </c>
      <c r="Y1670" s="4">
        <v>1</v>
      </c>
      <c r="Z1670" s="4">
        <v>17</v>
      </c>
      <c r="AA1670" t="s">
        <v>37</v>
      </c>
      <c r="AB1670" t="s">
        <v>44</v>
      </c>
      <c r="AC1670" s="7">
        <v>3</v>
      </c>
      <c r="AD1670" t="s">
        <v>45</v>
      </c>
      <c r="AE1670">
        <f t="shared" si="26"/>
        <v>1</v>
      </c>
    </row>
    <row r="1671" spans="1:31" x14ac:dyDescent="0.35">
      <c r="A1671">
        <v>101670</v>
      </c>
      <c r="B1671" s="3">
        <v>45973</v>
      </c>
      <c r="C1671">
        <v>1058</v>
      </c>
      <c r="D1671" t="s">
        <v>64</v>
      </c>
      <c r="E1671" t="s">
        <v>67</v>
      </c>
      <c r="F1671" t="s">
        <v>41</v>
      </c>
      <c r="G1671" t="s">
        <v>46</v>
      </c>
      <c r="H1671" t="s">
        <v>57</v>
      </c>
      <c r="I1671" t="s">
        <v>35</v>
      </c>
      <c r="J1671" s="4">
        <v>29.11</v>
      </c>
      <c r="K1671" s="4">
        <v>14.92</v>
      </c>
      <c r="L1671">
        <v>5</v>
      </c>
      <c r="M1671" s="4">
        <v>21.72</v>
      </c>
      <c r="N1671" s="4">
        <v>412.6</v>
      </c>
      <c r="O1671" s="4">
        <v>218.59</v>
      </c>
      <c r="P1671" s="4">
        <v>7.44</v>
      </c>
      <c r="Q1671" s="4">
        <v>3.04</v>
      </c>
      <c r="R1671" s="4">
        <v>5.95</v>
      </c>
      <c r="S1671" s="4">
        <v>246.2</v>
      </c>
      <c r="T1671" s="4">
        <v>14.46</v>
      </c>
      <c r="U1671" s="4">
        <v>495.68</v>
      </c>
      <c r="V1671" s="4">
        <v>-83.08</v>
      </c>
      <c r="W1671" t="s">
        <v>58</v>
      </c>
      <c r="X1671" t="s">
        <v>55</v>
      </c>
      <c r="Y1671" s="4">
        <v>1</v>
      </c>
      <c r="Z1671" s="4">
        <v>15</v>
      </c>
      <c r="AA1671" t="s">
        <v>37</v>
      </c>
      <c r="AB1671" t="s">
        <v>44</v>
      </c>
      <c r="AC1671" s="7">
        <v>4</v>
      </c>
      <c r="AD1671" t="s">
        <v>45</v>
      </c>
      <c r="AE1671">
        <f t="shared" si="26"/>
        <v>1</v>
      </c>
    </row>
    <row r="1672" spans="1:31" x14ac:dyDescent="0.35">
      <c r="A1672">
        <v>101671</v>
      </c>
      <c r="B1672" s="3">
        <v>45996</v>
      </c>
      <c r="C1672">
        <v>1043</v>
      </c>
      <c r="D1672" t="s">
        <v>59</v>
      </c>
      <c r="E1672" t="s">
        <v>68</v>
      </c>
      <c r="F1672" t="s">
        <v>71</v>
      </c>
      <c r="G1672" t="s">
        <v>63</v>
      </c>
      <c r="H1672" t="s">
        <v>34</v>
      </c>
      <c r="I1672" t="s">
        <v>54</v>
      </c>
      <c r="J1672" s="4">
        <v>20.52</v>
      </c>
      <c r="K1672" s="4">
        <v>12.58</v>
      </c>
      <c r="L1672">
        <v>0</v>
      </c>
      <c r="M1672" s="4">
        <v>0</v>
      </c>
      <c r="N1672" s="4">
        <v>258.14</v>
      </c>
      <c r="O1672" s="4">
        <v>122.99</v>
      </c>
      <c r="P1672" s="4">
        <v>12.34</v>
      </c>
      <c r="Q1672" s="4">
        <v>3.1</v>
      </c>
      <c r="R1672" s="4">
        <v>7.88</v>
      </c>
      <c r="S1672" s="4">
        <v>0</v>
      </c>
      <c r="T1672" s="4">
        <v>0</v>
      </c>
      <c r="U1672" s="4">
        <v>146.31</v>
      </c>
      <c r="V1672" s="4">
        <v>111.83</v>
      </c>
      <c r="W1672" t="s">
        <v>21</v>
      </c>
      <c r="X1672" t="s">
        <v>36</v>
      </c>
      <c r="Y1672" s="4">
        <v>34</v>
      </c>
      <c r="Z1672" s="4">
        <v>3</v>
      </c>
      <c r="AA1672" t="s">
        <v>43</v>
      </c>
      <c r="AB1672" t="s">
        <v>44</v>
      </c>
      <c r="AC1672" s="7">
        <v>4</v>
      </c>
      <c r="AD1672" t="s">
        <v>45</v>
      </c>
      <c r="AE1672">
        <f t="shared" si="26"/>
        <v>1</v>
      </c>
    </row>
    <row r="1673" spans="1:31" x14ac:dyDescent="0.35">
      <c r="A1673">
        <v>101672</v>
      </c>
      <c r="B1673" s="3">
        <v>45983</v>
      </c>
      <c r="C1673">
        <v>1126</v>
      </c>
      <c r="D1673" t="s">
        <v>30</v>
      </c>
      <c r="E1673" t="s">
        <v>40</v>
      </c>
      <c r="F1673" t="s">
        <v>49</v>
      </c>
      <c r="G1673" t="s">
        <v>33</v>
      </c>
      <c r="H1673" t="s">
        <v>34</v>
      </c>
      <c r="I1673" t="s">
        <v>35</v>
      </c>
      <c r="J1673" s="4">
        <v>29.41</v>
      </c>
      <c r="K1673" s="4">
        <v>18.78</v>
      </c>
      <c r="L1673">
        <v>0</v>
      </c>
      <c r="M1673" s="4">
        <v>0</v>
      </c>
      <c r="N1673" s="4">
        <v>552.32000000000005</v>
      </c>
      <c r="O1673" s="4">
        <v>205.13</v>
      </c>
      <c r="P1673" s="4">
        <v>13.73</v>
      </c>
      <c r="Q1673" s="4">
        <v>3.87</v>
      </c>
      <c r="R1673" s="4">
        <v>7.61</v>
      </c>
      <c r="S1673" s="4">
        <v>0</v>
      </c>
      <c r="T1673" s="4">
        <v>0</v>
      </c>
      <c r="U1673" s="4">
        <v>230.34</v>
      </c>
      <c r="V1673" s="4">
        <v>321.98</v>
      </c>
      <c r="W1673" t="s">
        <v>21</v>
      </c>
      <c r="X1673" t="s">
        <v>36</v>
      </c>
      <c r="Y1673" s="4">
        <v>1</v>
      </c>
      <c r="Z1673" s="4">
        <v>9</v>
      </c>
      <c r="AA1673" t="s">
        <v>37</v>
      </c>
      <c r="AB1673" t="s">
        <v>38</v>
      </c>
      <c r="AC1673" s="7">
        <v>0</v>
      </c>
      <c r="AD1673" t="s">
        <v>39</v>
      </c>
      <c r="AE1673">
        <f t="shared" si="26"/>
        <v>0</v>
      </c>
    </row>
    <row r="1674" spans="1:31" x14ac:dyDescent="0.35">
      <c r="A1674">
        <v>101673</v>
      </c>
      <c r="B1674" s="3">
        <v>45972</v>
      </c>
      <c r="C1674">
        <v>1027</v>
      </c>
      <c r="D1674" t="s">
        <v>30</v>
      </c>
      <c r="E1674" t="s">
        <v>72</v>
      </c>
      <c r="F1674" t="s">
        <v>49</v>
      </c>
      <c r="G1674" t="s">
        <v>33</v>
      </c>
      <c r="H1674" t="s">
        <v>57</v>
      </c>
      <c r="I1674" t="s">
        <v>35</v>
      </c>
      <c r="J1674" s="4">
        <v>23.38</v>
      </c>
      <c r="K1674" s="4">
        <v>19.12</v>
      </c>
      <c r="L1674">
        <v>0</v>
      </c>
      <c r="M1674" s="4">
        <v>0</v>
      </c>
      <c r="N1674" s="4">
        <v>447.03</v>
      </c>
      <c r="O1674" s="4">
        <v>159.19999999999999</v>
      </c>
      <c r="P1674" s="4">
        <v>3.82</v>
      </c>
      <c r="Q1674" s="4">
        <v>3.13</v>
      </c>
      <c r="R1674" s="4">
        <v>6.36</v>
      </c>
      <c r="S1674" s="4">
        <v>0</v>
      </c>
      <c r="T1674" s="4">
        <v>0</v>
      </c>
      <c r="U1674" s="4">
        <v>172.51</v>
      </c>
      <c r="V1674" s="4">
        <v>274.52</v>
      </c>
      <c r="W1674" t="s">
        <v>21</v>
      </c>
      <c r="X1674" t="s">
        <v>36</v>
      </c>
      <c r="Y1674" s="4">
        <v>6</v>
      </c>
      <c r="Z1674" s="4">
        <v>8</v>
      </c>
      <c r="AA1674" t="s">
        <v>37</v>
      </c>
      <c r="AB1674" t="s">
        <v>38</v>
      </c>
      <c r="AC1674" s="7">
        <v>0</v>
      </c>
      <c r="AD1674" t="s">
        <v>39</v>
      </c>
      <c r="AE1674">
        <f t="shared" si="26"/>
        <v>0</v>
      </c>
    </row>
    <row r="1675" spans="1:31" x14ac:dyDescent="0.35">
      <c r="A1675">
        <v>101674</v>
      </c>
      <c r="B1675" s="3">
        <v>46020</v>
      </c>
      <c r="C1675">
        <v>1085</v>
      </c>
      <c r="D1675" t="s">
        <v>30</v>
      </c>
      <c r="E1675" t="s">
        <v>62</v>
      </c>
      <c r="F1675" t="s">
        <v>61</v>
      </c>
      <c r="G1675" t="s">
        <v>46</v>
      </c>
      <c r="H1675" t="s">
        <v>34</v>
      </c>
      <c r="I1675" t="s">
        <v>69</v>
      </c>
      <c r="J1675" s="4">
        <v>37.69</v>
      </c>
      <c r="K1675" s="4">
        <v>15.22</v>
      </c>
      <c r="L1675">
        <v>0</v>
      </c>
      <c r="M1675" s="4">
        <v>0</v>
      </c>
      <c r="N1675" s="4">
        <v>573.64</v>
      </c>
      <c r="O1675" s="4">
        <v>273.93</v>
      </c>
      <c r="P1675" s="4">
        <v>11.49</v>
      </c>
      <c r="Q1675" s="4">
        <v>2.29</v>
      </c>
      <c r="R1675" s="4">
        <v>5.01</v>
      </c>
      <c r="S1675" s="4">
        <v>0</v>
      </c>
      <c r="T1675" s="4">
        <v>0</v>
      </c>
      <c r="U1675" s="4">
        <v>292.72000000000003</v>
      </c>
      <c r="V1675" s="4">
        <v>280.92</v>
      </c>
      <c r="W1675" t="s">
        <v>21</v>
      </c>
      <c r="X1675" t="s">
        <v>36</v>
      </c>
      <c r="Y1675" s="4">
        <v>11</v>
      </c>
      <c r="Z1675" s="4">
        <v>6</v>
      </c>
      <c r="AA1675" t="s">
        <v>37</v>
      </c>
      <c r="AB1675" t="s">
        <v>38</v>
      </c>
      <c r="AC1675" s="7">
        <v>0</v>
      </c>
      <c r="AD1675" t="s">
        <v>39</v>
      </c>
      <c r="AE1675">
        <f t="shared" si="26"/>
        <v>0</v>
      </c>
    </row>
    <row r="1676" spans="1:31" x14ac:dyDescent="0.35">
      <c r="A1676">
        <v>101675</v>
      </c>
      <c r="B1676" s="3">
        <v>46008</v>
      </c>
      <c r="C1676">
        <v>1098</v>
      </c>
      <c r="D1676" t="s">
        <v>47</v>
      </c>
      <c r="E1676" t="s">
        <v>48</v>
      </c>
      <c r="F1676" t="s">
        <v>61</v>
      </c>
      <c r="G1676" t="s">
        <v>63</v>
      </c>
      <c r="H1676" t="s">
        <v>57</v>
      </c>
      <c r="I1676" t="s">
        <v>35</v>
      </c>
      <c r="J1676" s="4">
        <v>22.47</v>
      </c>
      <c r="K1676" s="4">
        <v>12.5</v>
      </c>
      <c r="L1676">
        <v>0</v>
      </c>
      <c r="M1676" s="4">
        <v>0</v>
      </c>
      <c r="N1676" s="4">
        <v>280.88</v>
      </c>
      <c r="O1676" s="4">
        <v>172.75</v>
      </c>
      <c r="P1676" s="4">
        <v>13.41</v>
      </c>
      <c r="Q1676" s="4">
        <v>1.97</v>
      </c>
      <c r="R1676" s="4">
        <v>2.93</v>
      </c>
      <c r="S1676" s="4">
        <v>0</v>
      </c>
      <c r="T1676" s="4">
        <v>0</v>
      </c>
      <c r="U1676" s="4">
        <v>191.06</v>
      </c>
      <c r="V1676" s="4">
        <v>89.82</v>
      </c>
      <c r="W1676" t="s">
        <v>21</v>
      </c>
      <c r="X1676" t="s">
        <v>36</v>
      </c>
      <c r="Y1676" s="4">
        <v>17</v>
      </c>
      <c r="Z1676" s="4">
        <v>14</v>
      </c>
      <c r="AA1676" t="s">
        <v>52</v>
      </c>
      <c r="AB1676" t="s">
        <v>38</v>
      </c>
      <c r="AC1676" s="7">
        <v>0</v>
      </c>
      <c r="AD1676" t="s">
        <v>39</v>
      </c>
      <c r="AE1676">
        <f t="shared" si="26"/>
        <v>0</v>
      </c>
    </row>
    <row r="1677" spans="1:31" x14ac:dyDescent="0.35">
      <c r="A1677">
        <v>101676</v>
      </c>
      <c r="B1677" s="3">
        <v>45997</v>
      </c>
      <c r="C1677">
        <v>1042</v>
      </c>
      <c r="D1677" t="s">
        <v>59</v>
      </c>
      <c r="E1677" t="s">
        <v>70</v>
      </c>
      <c r="F1677" t="s">
        <v>49</v>
      </c>
      <c r="G1677" t="s">
        <v>46</v>
      </c>
      <c r="H1677" t="s">
        <v>34</v>
      </c>
      <c r="I1677" t="s">
        <v>35</v>
      </c>
      <c r="J1677" s="4">
        <v>31.32</v>
      </c>
      <c r="K1677" s="4">
        <v>15.43</v>
      </c>
      <c r="L1677">
        <v>5</v>
      </c>
      <c r="M1677" s="4">
        <v>24.16</v>
      </c>
      <c r="N1677" s="4">
        <v>459.11</v>
      </c>
      <c r="O1677" s="4">
        <v>222.51</v>
      </c>
      <c r="P1677" s="4">
        <v>12.85</v>
      </c>
      <c r="Q1677" s="4">
        <v>3.38</v>
      </c>
      <c r="R1677" s="4">
        <v>2.0299999999999998</v>
      </c>
      <c r="S1677" s="4">
        <v>0</v>
      </c>
      <c r="T1677" s="4">
        <v>0</v>
      </c>
      <c r="U1677" s="4">
        <v>240.77</v>
      </c>
      <c r="V1677" s="4">
        <v>218.34</v>
      </c>
      <c r="W1677" t="s">
        <v>21</v>
      </c>
      <c r="X1677" t="s">
        <v>36</v>
      </c>
      <c r="Y1677" s="4">
        <v>0</v>
      </c>
      <c r="Z1677" s="4">
        <v>22</v>
      </c>
      <c r="AA1677" t="s">
        <v>37</v>
      </c>
      <c r="AB1677" t="s">
        <v>44</v>
      </c>
      <c r="AC1677" s="7">
        <v>3</v>
      </c>
      <c r="AD1677" t="s">
        <v>45</v>
      </c>
      <c r="AE1677">
        <f t="shared" si="26"/>
        <v>1</v>
      </c>
    </row>
    <row r="1678" spans="1:31" x14ac:dyDescent="0.35">
      <c r="A1678">
        <v>101677</v>
      </c>
      <c r="B1678" s="3">
        <v>45957</v>
      </c>
      <c r="C1678">
        <v>1078</v>
      </c>
      <c r="D1678" t="s">
        <v>64</v>
      </c>
      <c r="E1678" t="s">
        <v>76</v>
      </c>
      <c r="F1678" t="s">
        <v>32</v>
      </c>
      <c r="G1678" t="s">
        <v>50</v>
      </c>
      <c r="H1678" t="s">
        <v>34</v>
      </c>
      <c r="I1678" t="s">
        <v>42</v>
      </c>
      <c r="J1678" s="4">
        <v>26.53</v>
      </c>
      <c r="K1678" s="4">
        <v>17.3</v>
      </c>
      <c r="L1678">
        <v>0</v>
      </c>
      <c r="M1678" s="4">
        <v>0</v>
      </c>
      <c r="N1678" s="4">
        <v>458.97</v>
      </c>
      <c r="O1678" s="4">
        <v>228.51</v>
      </c>
      <c r="P1678" s="4">
        <v>2.14</v>
      </c>
      <c r="Q1678" s="4">
        <v>6.88</v>
      </c>
      <c r="R1678" s="4">
        <v>4.09</v>
      </c>
      <c r="S1678" s="4">
        <v>0</v>
      </c>
      <c r="T1678" s="4">
        <v>0</v>
      </c>
      <c r="U1678" s="4">
        <v>241.62</v>
      </c>
      <c r="V1678" s="4">
        <v>217.35</v>
      </c>
      <c r="W1678" t="s">
        <v>21</v>
      </c>
      <c r="X1678" t="s">
        <v>36</v>
      </c>
      <c r="Y1678" s="4">
        <v>28</v>
      </c>
      <c r="Z1678" s="4">
        <v>9</v>
      </c>
      <c r="AA1678" t="s">
        <v>52</v>
      </c>
      <c r="AB1678" t="s">
        <v>44</v>
      </c>
      <c r="AC1678" s="7">
        <v>2</v>
      </c>
      <c r="AD1678" t="s">
        <v>45</v>
      </c>
      <c r="AE1678">
        <f t="shared" si="26"/>
        <v>1</v>
      </c>
    </row>
    <row r="1679" spans="1:31" x14ac:dyDescent="0.35">
      <c r="A1679">
        <v>101678</v>
      </c>
      <c r="B1679" s="3">
        <v>46001</v>
      </c>
      <c r="C1679">
        <v>1022</v>
      </c>
      <c r="D1679" t="s">
        <v>59</v>
      </c>
      <c r="E1679" t="s">
        <v>60</v>
      </c>
      <c r="F1679" t="s">
        <v>49</v>
      </c>
      <c r="G1679" t="s">
        <v>46</v>
      </c>
      <c r="H1679" t="s">
        <v>51</v>
      </c>
      <c r="I1679" t="s">
        <v>69</v>
      </c>
      <c r="J1679" s="4">
        <v>39.1</v>
      </c>
      <c r="K1679" s="4">
        <v>16.09</v>
      </c>
      <c r="L1679">
        <v>5</v>
      </c>
      <c r="M1679" s="4">
        <v>31.46</v>
      </c>
      <c r="N1679" s="4">
        <v>597.66</v>
      </c>
      <c r="O1679" s="4">
        <v>284.75</v>
      </c>
      <c r="P1679" s="4">
        <v>13.52</v>
      </c>
      <c r="Q1679" s="4">
        <v>2.52</v>
      </c>
      <c r="R1679" s="4">
        <v>6.65</v>
      </c>
      <c r="S1679" s="4">
        <v>0</v>
      </c>
      <c r="T1679" s="4">
        <v>0</v>
      </c>
      <c r="U1679" s="4">
        <v>307.44</v>
      </c>
      <c r="V1679" s="4">
        <v>290.22000000000003</v>
      </c>
      <c r="W1679" t="s">
        <v>21</v>
      </c>
      <c r="X1679" t="s">
        <v>36</v>
      </c>
      <c r="Y1679" s="4">
        <v>5</v>
      </c>
      <c r="Z1679" s="4">
        <v>0</v>
      </c>
      <c r="AA1679" t="s">
        <v>37</v>
      </c>
      <c r="AB1679" t="s">
        <v>38</v>
      </c>
      <c r="AC1679" s="7">
        <v>1</v>
      </c>
      <c r="AD1679" t="s">
        <v>39</v>
      </c>
      <c r="AE1679">
        <f t="shared" si="26"/>
        <v>0</v>
      </c>
    </row>
    <row r="1680" spans="1:31" x14ac:dyDescent="0.35">
      <c r="A1680">
        <v>101679</v>
      </c>
      <c r="B1680" s="3">
        <v>45942</v>
      </c>
      <c r="C1680">
        <v>1091</v>
      </c>
      <c r="D1680" t="s">
        <v>64</v>
      </c>
      <c r="E1680" t="s">
        <v>75</v>
      </c>
      <c r="F1680" t="s">
        <v>71</v>
      </c>
      <c r="G1680" t="s">
        <v>63</v>
      </c>
      <c r="H1680" t="s">
        <v>57</v>
      </c>
      <c r="I1680" t="s">
        <v>35</v>
      </c>
      <c r="J1680" s="4">
        <v>5.43</v>
      </c>
      <c r="K1680" s="4">
        <v>12.6</v>
      </c>
      <c r="L1680">
        <v>0</v>
      </c>
      <c r="M1680" s="4">
        <v>0</v>
      </c>
      <c r="N1680" s="4">
        <v>68.42</v>
      </c>
      <c r="O1680" s="4">
        <v>42.05</v>
      </c>
      <c r="P1680" s="4">
        <v>8.5299999999999994</v>
      </c>
      <c r="Q1680" s="4">
        <v>0.48</v>
      </c>
      <c r="R1680" s="4">
        <v>12.15</v>
      </c>
      <c r="S1680" s="4">
        <v>0</v>
      </c>
      <c r="T1680" s="4">
        <v>0</v>
      </c>
      <c r="U1680" s="4">
        <v>63.21</v>
      </c>
      <c r="V1680" s="4">
        <v>5.21</v>
      </c>
      <c r="W1680" t="s">
        <v>21</v>
      </c>
      <c r="X1680" t="s">
        <v>36</v>
      </c>
      <c r="Y1680" s="4">
        <v>6</v>
      </c>
      <c r="Z1680" s="4">
        <v>16</v>
      </c>
      <c r="AA1680" t="s">
        <v>37</v>
      </c>
      <c r="AB1680" t="s">
        <v>44</v>
      </c>
      <c r="AC1680" s="7">
        <v>2</v>
      </c>
      <c r="AD1680" t="s">
        <v>45</v>
      </c>
      <c r="AE1680">
        <f t="shared" si="26"/>
        <v>1</v>
      </c>
    </row>
    <row r="1681" spans="1:31" x14ac:dyDescent="0.35">
      <c r="A1681">
        <v>101680</v>
      </c>
      <c r="B1681" s="3">
        <v>45993</v>
      </c>
      <c r="C1681">
        <v>1088</v>
      </c>
      <c r="D1681" t="s">
        <v>59</v>
      </c>
      <c r="E1681" t="s">
        <v>68</v>
      </c>
      <c r="F1681" t="s">
        <v>71</v>
      </c>
      <c r="G1681" t="s">
        <v>46</v>
      </c>
      <c r="H1681" t="s">
        <v>34</v>
      </c>
      <c r="I1681" t="s">
        <v>35</v>
      </c>
      <c r="J1681" s="4">
        <v>33.76</v>
      </c>
      <c r="K1681" s="4">
        <v>14.99</v>
      </c>
      <c r="L1681">
        <v>20</v>
      </c>
      <c r="M1681" s="4">
        <v>101.21</v>
      </c>
      <c r="N1681" s="4">
        <v>404.85</v>
      </c>
      <c r="O1681" s="4">
        <v>227.89</v>
      </c>
      <c r="P1681" s="4">
        <v>6.22</v>
      </c>
      <c r="Q1681" s="4">
        <v>3.54</v>
      </c>
      <c r="R1681" s="4">
        <v>8.31</v>
      </c>
      <c r="S1681" s="4">
        <v>0</v>
      </c>
      <c r="T1681" s="4">
        <v>0</v>
      </c>
      <c r="U1681" s="4">
        <v>245.96</v>
      </c>
      <c r="V1681" s="4">
        <v>158.88999999999999</v>
      </c>
      <c r="W1681" t="s">
        <v>21</v>
      </c>
      <c r="X1681" t="s">
        <v>36</v>
      </c>
      <c r="Y1681" s="4">
        <v>18</v>
      </c>
      <c r="Z1681" s="4">
        <v>7</v>
      </c>
      <c r="AA1681" t="s">
        <v>52</v>
      </c>
      <c r="AB1681" t="s">
        <v>38</v>
      </c>
      <c r="AC1681" s="7">
        <v>0</v>
      </c>
      <c r="AD1681" t="s">
        <v>39</v>
      </c>
      <c r="AE1681">
        <f t="shared" si="26"/>
        <v>0</v>
      </c>
    </row>
    <row r="1682" spans="1:31" x14ac:dyDescent="0.35">
      <c r="A1682">
        <v>101681</v>
      </c>
      <c r="B1682" s="3">
        <v>45970</v>
      </c>
      <c r="C1682">
        <v>1085</v>
      </c>
      <c r="D1682" t="s">
        <v>30</v>
      </c>
      <c r="E1682" t="s">
        <v>31</v>
      </c>
      <c r="F1682" t="s">
        <v>32</v>
      </c>
      <c r="G1682" t="s">
        <v>46</v>
      </c>
      <c r="H1682" t="s">
        <v>34</v>
      </c>
      <c r="I1682" t="s">
        <v>42</v>
      </c>
      <c r="J1682" s="4">
        <v>27.8</v>
      </c>
      <c r="K1682" s="4">
        <v>15.97</v>
      </c>
      <c r="L1682">
        <v>0</v>
      </c>
      <c r="M1682" s="4">
        <v>0</v>
      </c>
      <c r="N1682" s="4">
        <v>443.97</v>
      </c>
      <c r="O1682" s="4">
        <v>174.4</v>
      </c>
      <c r="P1682" s="4">
        <v>12.78</v>
      </c>
      <c r="Q1682" s="4">
        <v>6.66</v>
      </c>
      <c r="R1682" s="4">
        <v>7.47</v>
      </c>
      <c r="S1682" s="4">
        <v>0</v>
      </c>
      <c r="T1682" s="4">
        <v>0</v>
      </c>
      <c r="U1682" s="4">
        <v>201.31</v>
      </c>
      <c r="V1682" s="4">
        <v>242.66</v>
      </c>
      <c r="W1682" t="s">
        <v>21</v>
      </c>
      <c r="X1682" t="s">
        <v>36</v>
      </c>
      <c r="Y1682" s="4">
        <v>35</v>
      </c>
      <c r="Z1682" s="4">
        <v>7</v>
      </c>
      <c r="AA1682" t="s">
        <v>43</v>
      </c>
      <c r="AB1682" t="s">
        <v>44</v>
      </c>
      <c r="AC1682" s="7">
        <v>1</v>
      </c>
      <c r="AD1682" t="s">
        <v>45</v>
      </c>
      <c r="AE1682">
        <f t="shared" si="26"/>
        <v>1</v>
      </c>
    </row>
    <row r="1683" spans="1:31" x14ac:dyDescent="0.35">
      <c r="A1683">
        <v>101682</v>
      </c>
      <c r="B1683" s="3">
        <v>46005</v>
      </c>
      <c r="C1683">
        <v>1126</v>
      </c>
      <c r="D1683" t="s">
        <v>30</v>
      </c>
      <c r="E1683" t="s">
        <v>62</v>
      </c>
      <c r="F1683" t="s">
        <v>49</v>
      </c>
      <c r="G1683" t="s">
        <v>50</v>
      </c>
      <c r="H1683" t="s">
        <v>34</v>
      </c>
      <c r="I1683" t="s">
        <v>69</v>
      </c>
      <c r="J1683" s="4">
        <v>33.64</v>
      </c>
      <c r="K1683" s="4">
        <v>18.190000000000001</v>
      </c>
      <c r="L1683">
        <v>0</v>
      </c>
      <c r="M1683" s="4">
        <v>0</v>
      </c>
      <c r="N1683" s="4">
        <v>611.91</v>
      </c>
      <c r="O1683" s="4">
        <v>244.45</v>
      </c>
      <c r="P1683" s="4">
        <v>10.35</v>
      </c>
      <c r="Q1683" s="4">
        <v>2.4500000000000002</v>
      </c>
      <c r="R1683" s="4">
        <v>3.76</v>
      </c>
      <c r="S1683" s="4">
        <v>381.96</v>
      </c>
      <c r="T1683" s="4">
        <v>0</v>
      </c>
      <c r="U1683" s="4">
        <v>642.97</v>
      </c>
      <c r="V1683" s="4">
        <v>-31.06</v>
      </c>
      <c r="W1683" t="s">
        <v>58</v>
      </c>
      <c r="X1683" t="s">
        <v>66</v>
      </c>
      <c r="Y1683" s="4">
        <v>23</v>
      </c>
      <c r="Z1683" s="4">
        <v>3</v>
      </c>
      <c r="AA1683" t="s">
        <v>52</v>
      </c>
      <c r="AB1683" t="s">
        <v>44</v>
      </c>
      <c r="AC1683" s="7">
        <v>2</v>
      </c>
      <c r="AD1683" t="s">
        <v>45</v>
      </c>
      <c r="AE1683">
        <f t="shared" si="26"/>
        <v>1</v>
      </c>
    </row>
    <row r="1684" spans="1:31" x14ac:dyDescent="0.35">
      <c r="A1684">
        <v>101683</v>
      </c>
      <c r="B1684" s="3">
        <v>45977</v>
      </c>
      <c r="C1684">
        <v>1131</v>
      </c>
      <c r="D1684" t="s">
        <v>59</v>
      </c>
      <c r="E1684" t="s">
        <v>70</v>
      </c>
      <c r="F1684" t="s">
        <v>71</v>
      </c>
      <c r="G1684" t="s">
        <v>63</v>
      </c>
      <c r="H1684" t="s">
        <v>57</v>
      </c>
      <c r="I1684" t="s">
        <v>35</v>
      </c>
      <c r="J1684" s="4">
        <v>11.8</v>
      </c>
      <c r="K1684" s="4">
        <v>12.36</v>
      </c>
      <c r="L1684">
        <v>10</v>
      </c>
      <c r="M1684" s="4">
        <v>14.58</v>
      </c>
      <c r="N1684" s="4">
        <v>131.27000000000001</v>
      </c>
      <c r="O1684" s="4">
        <v>97.82</v>
      </c>
      <c r="P1684" s="4">
        <v>5.62</v>
      </c>
      <c r="Q1684" s="4">
        <v>1.02</v>
      </c>
      <c r="R1684" s="4">
        <v>3.98</v>
      </c>
      <c r="S1684" s="4">
        <v>0</v>
      </c>
      <c r="T1684" s="4">
        <v>0</v>
      </c>
      <c r="U1684" s="4">
        <v>108.44</v>
      </c>
      <c r="V1684" s="4">
        <v>22.83</v>
      </c>
      <c r="W1684" t="s">
        <v>21</v>
      </c>
      <c r="X1684" t="s">
        <v>36</v>
      </c>
      <c r="Y1684" s="4">
        <v>20</v>
      </c>
      <c r="Z1684" s="4">
        <v>17</v>
      </c>
      <c r="AA1684" t="s">
        <v>52</v>
      </c>
      <c r="AB1684" t="s">
        <v>44</v>
      </c>
      <c r="AC1684" s="7">
        <v>4</v>
      </c>
      <c r="AD1684" t="s">
        <v>45</v>
      </c>
      <c r="AE1684">
        <f t="shared" si="26"/>
        <v>1</v>
      </c>
    </row>
    <row r="1685" spans="1:31" x14ac:dyDescent="0.35">
      <c r="A1685">
        <v>101684</v>
      </c>
      <c r="B1685" s="3">
        <v>45953</v>
      </c>
      <c r="C1685">
        <v>1008</v>
      </c>
      <c r="D1685" t="s">
        <v>59</v>
      </c>
      <c r="E1685" t="s">
        <v>70</v>
      </c>
      <c r="F1685" t="s">
        <v>71</v>
      </c>
      <c r="G1685" t="s">
        <v>46</v>
      </c>
      <c r="H1685" t="s">
        <v>34</v>
      </c>
      <c r="I1685" t="s">
        <v>35</v>
      </c>
      <c r="J1685" s="4">
        <v>33.83</v>
      </c>
      <c r="K1685" s="4">
        <v>16.21</v>
      </c>
      <c r="L1685">
        <v>20</v>
      </c>
      <c r="M1685" s="4">
        <v>109.68</v>
      </c>
      <c r="N1685" s="4">
        <v>438.7</v>
      </c>
      <c r="O1685" s="4">
        <v>268.5</v>
      </c>
      <c r="P1685" s="4">
        <v>9.3699999999999992</v>
      </c>
      <c r="Q1685" s="4">
        <v>3.84</v>
      </c>
      <c r="R1685" s="4">
        <v>6</v>
      </c>
      <c r="S1685" s="4">
        <v>0</v>
      </c>
      <c r="T1685" s="4">
        <v>0</v>
      </c>
      <c r="U1685" s="4">
        <v>287.70999999999998</v>
      </c>
      <c r="V1685" s="4">
        <v>150.99</v>
      </c>
      <c r="W1685" t="s">
        <v>21</v>
      </c>
      <c r="X1685" t="s">
        <v>36</v>
      </c>
      <c r="Y1685" s="4">
        <v>27</v>
      </c>
      <c r="Z1685" s="4">
        <v>22</v>
      </c>
      <c r="AA1685" t="s">
        <v>52</v>
      </c>
      <c r="AB1685" t="s">
        <v>44</v>
      </c>
      <c r="AC1685" s="7">
        <v>2</v>
      </c>
      <c r="AD1685" t="s">
        <v>45</v>
      </c>
      <c r="AE1685">
        <f t="shared" si="26"/>
        <v>1</v>
      </c>
    </row>
    <row r="1686" spans="1:31" x14ac:dyDescent="0.35">
      <c r="A1686">
        <v>101685</v>
      </c>
      <c r="B1686" s="3">
        <v>46017</v>
      </c>
      <c r="C1686">
        <v>1044</v>
      </c>
      <c r="D1686" t="s">
        <v>64</v>
      </c>
      <c r="E1686" t="s">
        <v>75</v>
      </c>
      <c r="F1686" t="s">
        <v>49</v>
      </c>
      <c r="G1686" t="s">
        <v>63</v>
      </c>
      <c r="H1686" t="s">
        <v>34</v>
      </c>
      <c r="I1686" t="s">
        <v>54</v>
      </c>
      <c r="J1686" s="4">
        <v>6.37</v>
      </c>
      <c r="K1686" s="4">
        <v>12.91</v>
      </c>
      <c r="L1686">
        <v>10</v>
      </c>
      <c r="M1686" s="4">
        <v>8.2200000000000006</v>
      </c>
      <c r="N1686" s="4">
        <v>74.02</v>
      </c>
      <c r="O1686" s="4">
        <v>47.2</v>
      </c>
      <c r="P1686" s="4">
        <v>6.45</v>
      </c>
      <c r="Q1686" s="4">
        <v>0.99</v>
      </c>
      <c r="R1686" s="4">
        <v>3.53</v>
      </c>
      <c r="S1686" s="4">
        <v>0</v>
      </c>
      <c r="T1686" s="4">
        <v>0</v>
      </c>
      <c r="U1686" s="4">
        <v>58.17</v>
      </c>
      <c r="V1686" s="4">
        <v>15.85</v>
      </c>
      <c r="W1686" t="s">
        <v>21</v>
      </c>
      <c r="X1686" t="s">
        <v>36</v>
      </c>
      <c r="Y1686" s="4">
        <v>1</v>
      </c>
      <c r="Z1686" s="4">
        <v>15</v>
      </c>
      <c r="AA1686" t="s">
        <v>37</v>
      </c>
      <c r="AB1686" t="s">
        <v>38</v>
      </c>
      <c r="AC1686" s="7">
        <v>1</v>
      </c>
      <c r="AD1686" t="s">
        <v>39</v>
      </c>
      <c r="AE1686">
        <f t="shared" si="26"/>
        <v>0</v>
      </c>
    </row>
    <row r="1687" spans="1:31" x14ac:dyDescent="0.35">
      <c r="A1687">
        <v>101686</v>
      </c>
      <c r="B1687" s="3">
        <v>45949</v>
      </c>
      <c r="C1687">
        <v>1129</v>
      </c>
      <c r="D1687" t="s">
        <v>47</v>
      </c>
      <c r="E1687" t="s">
        <v>53</v>
      </c>
      <c r="F1687" t="s">
        <v>32</v>
      </c>
      <c r="G1687" t="s">
        <v>46</v>
      </c>
      <c r="H1687" t="s">
        <v>34</v>
      </c>
      <c r="I1687" t="s">
        <v>42</v>
      </c>
      <c r="J1687" s="4">
        <v>35.130000000000003</v>
      </c>
      <c r="K1687" s="4">
        <v>15.35</v>
      </c>
      <c r="L1687">
        <v>0</v>
      </c>
      <c r="M1687" s="4">
        <v>0</v>
      </c>
      <c r="N1687" s="4">
        <v>539.25</v>
      </c>
      <c r="O1687" s="4">
        <v>256.44</v>
      </c>
      <c r="P1687" s="4">
        <v>5.55</v>
      </c>
      <c r="Q1687" s="4">
        <v>8.09</v>
      </c>
      <c r="R1687" s="4">
        <v>6.76</v>
      </c>
      <c r="S1687" s="4">
        <v>0</v>
      </c>
      <c r="T1687" s="4">
        <v>0</v>
      </c>
      <c r="U1687" s="4">
        <v>276.83999999999997</v>
      </c>
      <c r="V1687" s="4">
        <v>262.41000000000003</v>
      </c>
      <c r="W1687" t="s">
        <v>21</v>
      </c>
      <c r="X1687" t="s">
        <v>36</v>
      </c>
      <c r="Y1687" s="4">
        <v>18</v>
      </c>
      <c r="Z1687" s="4">
        <v>3</v>
      </c>
      <c r="AA1687" t="s">
        <v>52</v>
      </c>
      <c r="AB1687" t="s">
        <v>38</v>
      </c>
      <c r="AC1687" s="7">
        <v>1</v>
      </c>
      <c r="AD1687" t="s">
        <v>39</v>
      </c>
      <c r="AE1687">
        <f t="shared" si="26"/>
        <v>0</v>
      </c>
    </row>
    <row r="1688" spans="1:31" x14ac:dyDescent="0.35">
      <c r="A1688">
        <v>101687</v>
      </c>
      <c r="B1688" s="3">
        <v>45944</v>
      </c>
      <c r="C1688">
        <v>1086</v>
      </c>
      <c r="D1688" t="s">
        <v>30</v>
      </c>
      <c r="E1688" t="s">
        <v>31</v>
      </c>
      <c r="F1688" t="s">
        <v>41</v>
      </c>
      <c r="G1688" t="s">
        <v>46</v>
      </c>
      <c r="H1688" t="s">
        <v>34</v>
      </c>
      <c r="I1688" t="s">
        <v>35</v>
      </c>
      <c r="J1688" s="4">
        <v>19.41</v>
      </c>
      <c r="K1688" s="4">
        <v>15.7</v>
      </c>
      <c r="L1688">
        <v>0</v>
      </c>
      <c r="M1688" s="4">
        <v>0</v>
      </c>
      <c r="N1688" s="4">
        <v>304.74</v>
      </c>
      <c r="O1688" s="4">
        <v>92.73</v>
      </c>
      <c r="P1688" s="4">
        <v>8.61</v>
      </c>
      <c r="Q1688" s="4">
        <v>2.13</v>
      </c>
      <c r="R1688" s="4">
        <v>0</v>
      </c>
      <c r="S1688" s="4">
        <v>0</v>
      </c>
      <c r="T1688" s="4">
        <v>0</v>
      </c>
      <c r="U1688" s="4">
        <v>103.47</v>
      </c>
      <c r="V1688" s="4">
        <v>201.27</v>
      </c>
      <c r="W1688" t="s">
        <v>21</v>
      </c>
      <c r="X1688" t="s">
        <v>36</v>
      </c>
      <c r="Y1688" s="4">
        <v>10</v>
      </c>
      <c r="Z1688" s="4">
        <v>7</v>
      </c>
      <c r="AA1688" t="s">
        <v>37</v>
      </c>
      <c r="AB1688" t="s">
        <v>38</v>
      </c>
      <c r="AC1688" s="7">
        <v>0</v>
      </c>
      <c r="AD1688" t="s">
        <v>39</v>
      </c>
      <c r="AE1688">
        <f t="shared" si="26"/>
        <v>0</v>
      </c>
    </row>
    <row r="1689" spans="1:31" x14ac:dyDescent="0.35">
      <c r="A1689">
        <v>101688</v>
      </c>
      <c r="B1689" s="3">
        <v>46000</v>
      </c>
      <c r="C1689">
        <v>1047</v>
      </c>
      <c r="D1689" t="s">
        <v>59</v>
      </c>
      <c r="E1689" t="s">
        <v>60</v>
      </c>
      <c r="F1689" t="s">
        <v>32</v>
      </c>
      <c r="G1689" t="s">
        <v>63</v>
      </c>
      <c r="H1689" t="s">
        <v>51</v>
      </c>
      <c r="I1689" t="s">
        <v>69</v>
      </c>
      <c r="J1689" s="4">
        <v>24.64</v>
      </c>
      <c r="K1689" s="4">
        <v>15.22</v>
      </c>
      <c r="L1689">
        <v>10</v>
      </c>
      <c r="M1689" s="4">
        <v>37.5</v>
      </c>
      <c r="N1689" s="4">
        <v>337.52</v>
      </c>
      <c r="O1689" s="4">
        <v>195.04</v>
      </c>
      <c r="P1689" s="4">
        <v>7.99</v>
      </c>
      <c r="Q1689" s="4">
        <v>1.5</v>
      </c>
      <c r="R1689" s="4">
        <v>13.06</v>
      </c>
      <c r="S1689" s="4">
        <v>0</v>
      </c>
      <c r="T1689" s="4">
        <v>0</v>
      </c>
      <c r="U1689" s="4">
        <v>217.59</v>
      </c>
      <c r="V1689" s="4">
        <v>119.93</v>
      </c>
      <c r="W1689" t="s">
        <v>21</v>
      </c>
      <c r="X1689" t="s">
        <v>36</v>
      </c>
      <c r="Y1689" s="4">
        <v>21</v>
      </c>
      <c r="Z1689" s="4">
        <v>1</v>
      </c>
      <c r="AA1689" t="s">
        <v>52</v>
      </c>
      <c r="AB1689" t="s">
        <v>44</v>
      </c>
      <c r="AC1689" s="7">
        <v>2</v>
      </c>
      <c r="AD1689" t="s">
        <v>45</v>
      </c>
      <c r="AE1689">
        <f t="shared" si="26"/>
        <v>1</v>
      </c>
    </row>
    <row r="1690" spans="1:31" x14ac:dyDescent="0.35">
      <c r="A1690">
        <v>101689</v>
      </c>
      <c r="B1690" s="3">
        <v>45946</v>
      </c>
      <c r="C1690">
        <v>1133</v>
      </c>
      <c r="D1690" t="s">
        <v>64</v>
      </c>
      <c r="E1690" t="s">
        <v>75</v>
      </c>
      <c r="F1690" t="s">
        <v>49</v>
      </c>
      <c r="G1690" t="s">
        <v>50</v>
      </c>
      <c r="H1690" t="s">
        <v>51</v>
      </c>
      <c r="I1690" t="s">
        <v>54</v>
      </c>
      <c r="J1690" s="4">
        <v>22.12</v>
      </c>
      <c r="K1690" s="4">
        <v>18.21</v>
      </c>
      <c r="L1690">
        <v>20</v>
      </c>
      <c r="M1690" s="4">
        <v>80.56</v>
      </c>
      <c r="N1690" s="4">
        <v>322.25</v>
      </c>
      <c r="O1690" s="4">
        <v>159.59</v>
      </c>
      <c r="P1690" s="4">
        <v>8.7799999999999994</v>
      </c>
      <c r="Q1690" s="4">
        <v>4.83</v>
      </c>
      <c r="R1690" s="4">
        <v>9.06</v>
      </c>
      <c r="S1690" s="4">
        <v>0</v>
      </c>
      <c r="T1690" s="4">
        <v>0</v>
      </c>
      <c r="U1690" s="4">
        <v>182.26</v>
      </c>
      <c r="V1690" s="4">
        <v>139.99</v>
      </c>
      <c r="W1690" t="s">
        <v>21</v>
      </c>
      <c r="X1690" t="s">
        <v>36</v>
      </c>
      <c r="Y1690" s="4">
        <v>7</v>
      </c>
      <c r="Z1690" s="4">
        <v>5</v>
      </c>
      <c r="AA1690" t="s">
        <v>37</v>
      </c>
      <c r="AB1690" t="s">
        <v>38</v>
      </c>
      <c r="AC1690" s="7">
        <v>0</v>
      </c>
      <c r="AD1690" t="s">
        <v>39</v>
      </c>
      <c r="AE1690">
        <f t="shared" si="26"/>
        <v>0</v>
      </c>
    </row>
    <row r="1691" spans="1:31" x14ac:dyDescent="0.35">
      <c r="A1691">
        <v>101690</v>
      </c>
      <c r="B1691" s="3">
        <v>45963</v>
      </c>
      <c r="C1691">
        <v>1010</v>
      </c>
      <c r="D1691" t="s">
        <v>64</v>
      </c>
      <c r="E1691" t="s">
        <v>76</v>
      </c>
      <c r="F1691" t="s">
        <v>71</v>
      </c>
      <c r="G1691" t="s">
        <v>63</v>
      </c>
      <c r="H1691" t="s">
        <v>57</v>
      </c>
      <c r="I1691" t="s">
        <v>35</v>
      </c>
      <c r="J1691" s="4">
        <v>16.97</v>
      </c>
      <c r="K1691" s="4">
        <v>13.01</v>
      </c>
      <c r="L1691">
        <v>0</v>
      </c>
      <c r="M1691" s="4">
        <v>0</v>
      </c>
      <c r="N1691" s="4">
        <v>220.78</v>
      </c>
      <c r="O1691" s="4">
        <v>124.28</v>
      </c>
      <c r="P1691" s="4">
        <v>11.62</v>
      </c>
      <c r="Q1691" s="4">
        <v>1.55</v>
      </c>
      <c r="R1691" s="4">
        <v>7.44</v>
      </c>
      <c r="S1691" s="4">
        <v>0</v>
      </c>
      <c r="T1691" s="4">
        <v>0</v>
      </c>
      <c r="U1691" s="4">
        <v>144.88999999999999</v>
      </c>
      <c r="V1691" s="4">
        <v>75.89</v>
      </c>
      <c r="W1691" t="s">
        <v>21</v>
      </c>
      <c r="X1691" t="s">
        <v>36</v>
      </c>
      <c r="Y1691" s="4">
        <v>6</v>
      </c>
      <c r="Z1691" s="4">
        <v>2</v>
      </c>
      <c r="AA1691" t="s">
        <v>37</v>
      </c>
      <c r="AB1691" t="s">
        <v>38</v>
      </c>
      <c r="AC1691" s="7">
        <v>0</v>
      </c>
      <c r="AD1691" t="s">
        <v>39</v>
      </c>
      <c r="AE1691">
        <f t="shared" si="26"/>
        <v>0</v>
      </c>
    </row>
    <row r="1692" spans="1:31" x14ac:dyDescent="0.35">
      <c r="A1692">
        <v>101691</v>
      </c>
      <c r="B1692" s="3">
        <v>45978</v>
      </c>
      <c r="C1692">
        <v>1133</v>
      </c>
      <c r="D1692" t="s">
        <v>30</v>
      </c>
      <c r="E1692" t="s">
        <v>62</v>
      </c>
      <c r="F1692" t="s">
        <v>61</v>
      </c>
      <c r="G1692" t="s">
        <v>46</v>
      </c>
      <c r="H1692" t="s">
        <v>57</v>
      </c>
      <c r="I1692" t="s">
        <v>69</v>
      </c>
      <c r="J1692" s="4">
        <v>19.37</v>
      </c>
      <c r="K1692" s="4">
        <v>16.27</v>
      </c>
      <c r="L1692">
        <v>0</v>
      </c>
      <c r="M1692" s="4">
        <v>0</v>
      </c>
      <c r="N1692" s="4">
        <v>315.14999999999998</v>
      </c>
      <c r="O1692" s="4">
        <v>136.5</v>
      </c>
      <c r="P1692" s="4">
        <v>8.15</v>
      </c>
      <c r="Q1692" s="4">
        <v>1.26</v>
      </c>
      <c r="R1692" s="4">
        <v>7.72</v>
      </c>
      <c r="S1692" s="4">
        <v>248.56</v>
      </c>
      <c r="T1692" s="4">
        <v>16.399999999999999</v>
      </c>
      <c r="U1692" s="4">
        <v>418.59</v>
      </c>
      <c r="V1692" s="4">
        <v>-103.44</v>
      </c>
      <c r="W1692" t="s">
        <v>58</v>
      </c>
      <c r="X1692" t="s">
        <v>55</v>
      </c>
      <c r="Y1692" s="4">
        <v>2</v>
      </c>
      <c r="Z1692" s="4">
        <v>1</v>
      </c>
      <c r="AA1692" t="s">
        <v>37</v>
      </c>
      <c r="AB1692" t="s">
        <v>44</v>
      </c>
      <c r="AC1692" s="7">
        <v>1</v>
      </c>
      <c r="AD1692" t="s">
        <v>45</v>
      </c>
      <c r="AE1692">
        <f t="shared" si="26"/>
        <v>1</v>
      </c>
    </row>
    <row r="1693" spans="1:31" x14ac:dyDescent="0.35">
      <c r="A1693">
        <v>101692</v>
      </c>
      <c r="B1693" s="3">
        <v>46014</v>
      </c>
      <c r="C1693">
        <v>1145</v>
      </c>
      <c r="D1693" t="s">
        <v>59</v>
      </c>
      <c r="E1693" t="s">
        <v>68</v>
      </c>
      <c r="F1693" t="s">
        <v>61</v>
      </c>
      <c r="G1693" t="s">
        <v>33</v>
      </c>
      <c r="H1693" t="s">
        <v>34</v>
      </c>
      <c r="I1693" t="s">
        <v>35</v>
      </c>
      <c r="J1693" s="4">
        <v>26.65</v>
      </c>
      <c r="K1693" s="4">
        <v>18.649999999999999</v>
      </c>
      <c r="L1693">
        <v>20</v>
      </c>
      <c r="M1693" s="4">
        <v>99.4</v>
      </c>
      <c r="N1693" s="4">
        <v>397.62</v>
      </c>
      <c r="O1693" s="4">
        <v>211.97</v>
      </c>
      <c r="P1693" s="4">
        <v>7.7</v>
      </c>
      <c r="Q1693" s="4">
        <v>3.48</v>
      </c>
      <c r="R1693" s="4">
        <v>5.14</v>
      </c>
      <c r="S1693" s="4">
        <v>0</v>
      </c>
      <c r="T1693" s="4">
        <v>0</v>
      </c>
      <c r="U1693" s="4">
        <v>228.29</v>
      </c>
      <c r="V1693" s="4">
        <v>169.33</v>
      </c>
      <c r="W1693" t="s">
        <v>21</v>
      </c>
      <c r="X1693" t="s">
        <v>36</v>
      </c>
      <c r="Y1693" s="4">
        <v>18</v>
      </c>
      <c r="Z1693" s="4">
        <v>5</v>
      </c>
      <c r="AA1693" t="s">
        <v>52</v>
      </c>
      <c r="AB1693" t="s">
        <v>38</v>
      </c>
      <c r="AC1693" s="7">
        <v>0</v>
      </c>
      <c r="AD1693" t="s">
        <v>39</v>
      </c>
      <c r="AE1693">
        <f t="shared" si="26"/>
        <v>0</v>
      </c>
    </row>
    <row r="1694" spans="1:31" x14ac:dyDescent="0.35">
      <c r="A1694">
        <v>101693</v>
      </c>
      <c r="B1694" s="3">
        <v>45957</v>
      </c>
      <c r="C1694">
        <v>1131</v>
      </c>
      <c r="D1694" t="s">
        <v>47</v>
      </c>
      <c r="E1694" t="s">
        <v>56</v>
      </c>
      <c r="F1694" t="s">
        <v>41</v>
      </c>
      <c r="G1694" t="s">
        <v>63</v>
      </c>
      <c r="H1694" t="s">
        <v>34</v>
      </c>
      <c r="I1694" t="s">
        <v>35</v>
      </c>
      <c r="J1694" s="4">
        <v>20.85</v>
      </c>
      <c r="K1694" s="4">
        <v>12.51</v>
      </c>
      <c r="L1694">
        <v>20</v>
      </c>
      <c r="M1694" s="4">
        <v>52.17</v>
      </c>
      <c r="N1694" s="4">
        <v>208.66</v>
      </c>
      <c r="O1694" s="4">
        <v>135.27000000000001</v>
      </c>
      <c r="P1694" s="4">
        <v>7.34</v>
      </c>
      <c r="Q1694" s="4">
        <v>1.83</v>
      </c>
      <c r="R1694" s="4">
        <v>3.92</v>
      </c>
      <c r="S1694" s="4">
        <v>0</v>
      </c>
      <c r="T1694" s="4">
        <v>0</v>
      </c>
      <c r="U1694" s="4">
        <v>148.36000000000001</v>
      </c>
      <c r="V1694" s="4">
        <v>60.3</v>
      </c>
      <c r="W1694" t="s">
        <v>21</v>
      </c>
      <c r="X1694" t="s">
        <v>36</v>
      </c>
      <c r="Y1694" s="4">
        <v>4</v>
      </c>
      <c r="Z1694" s="4">
        <v>6</v>
      </c>
      <c r="AA1694" t="s">
        <v>37</v>
      </c>
      <c r="AB1694" t="s">
        <v>38</v>
      </c>
      <c r="AC1694" s="7">
        <v>0</v>
      </c>
      <c r="AD1694" t="s">
        <v>39</v>
      </c>
      <c r="AE1694">
        <f t="shared" si="26"/>
        <v>0</v>
      </c>
    </row>
    <row r="1695" spans="1:31" x14ac:dyDescent="0.35">
      <c r="A1695">
        <v>101694</v>
      </c>
      <c r="B1695" s="3">
        <v>45942</v>
      </c>
      <c r="C1695">
        <v>1128</v>
      </c>
      <c r="D1695" t="s">
        <v>59</v>
      </c>
      <c r="E1695" t="s">
        <v>68</v>
      </c>
      <c r="F1695" t="s">
        <v>71</v>
      </c>
      <c r="G1695" t="s">
        <v>63</v>
      </c>
      <c r="H1695" t="s">
        <v>34</v>
      </c>
      <c r="I1695" t="s">
        <v>35</v>
      </c>
      <c r="J1695" s="4">
        <v>12.46</v>
      </c>
      <c r="K1695" s="4">
        <v>12.84</v>
      </c>
      <c r="L1695">
        <v>20</v>
      </c>
      <c r="M1695" s="4">
        <v>32</v>
      </c>
      <c r="N1695" s="4">
        <v>127.99</v>
      </c>
      <c r="O1695" s="4">
        <v>78.36</v>
      </c>
      <c r="P1695" s="4">
        <v>9.75</v>
      </c>
      <c r="Q1695" s="4">
        <v>1.1200000000000001</v>
      </c>
      <c r="R1695" s="4">
        <v>7.79</v>
      </c>
      <c r="S1695" s="4">
        <v>0</v>
      </c>
      <c r="T1695" s="4">
        <v>0</v>
      </c>
      <c r="U1695" s="4">
        <v>97.02</v>
      </c>
      <c r="V1695" s="4">
        <v>30.97</v>
      </c>
      <c r="W1695" t="s">
        <v>21</v>
      </c>
      <c r="X1695" t="s">
        <v>36</v>
      </c>
      <c r="Y1695" s="4">
        <v>2</v>
      </c>
      <c r="Z1695" s="4">
        <v>2</v>
      </c>
      <c r="AA1695" t="s">
        <v>37</v>
      </c>
      <c r="AB1695" t="s">
        <v>38</v>
      </c>
      <c r="AC1695" s="7">
        <v>0</v>
      </c>
      <c r="AD1695" t="s">
        <v>39</v>
      </c>
      <c r="AE1695">
        <f t="shared" si="26"/>
        <v>0</v>
      </c>
    </row>
    <row r="1696" spans="1:31" x14ac:dyDescent="0.35">
      <c r="A1696">
        <v>101695</v>
      </c>
      <c r="B1696" s="3">
        <v>45995</v>
      </c>
      <c r="C1696">
        <v>1098</v>
      </c>
      <c r="D1696" t="s">
        <v>30</v>
      </c>
      <c r="E1696" t="s">
        <v>72</v>
      </c>
      <c r="F1696" t="s">
        <v>71</v>
      </c>
      <c r="G1696" t="s">
        <v>33</v>
      </c>
      <c r="H1696" t="s">
        <v>34</v>
      </c>
      <c r="I1696" t="s">
        <v>54</v>
      </c>
      <c r="J1696" s="4">
        <v>17.440000000000001</v>
      </c>
      <c r="K1696" s="4">
        <v>18.87</v>
      </c>
      <c r="L1696">
        <v>5</v>
      </c>
      <c r="M1696" s="4">
        <v>16.45</v>
      </c>
      <c r="N1696" s="4">
        <v>312.64</v>
      </c>
      <c r="O1696" s="4">
        <v>146.56</v>
      </c>
      <c r="P1696" s="4">
        <v>5.49</v>
      </c>
      <c r="Q1696" s="4">
        <v>3.95</v>
      </c>
      <c r="R1696" s="4">
        <v>7.17</v>
      </c>
      <c r="S1696" s="4">
        <v>0</v>
      </c>
      <c r="T1696" s="4">
        <v>0</v>
      </c>
      <c r="U1696" s="4">
        <v>163.16999999999999</v>
      </c>
      <c r="V1696" s="4">
        <v>149.47</v>
      </c>
      <c r="W1696" t="s">
        <v>21</v>
      </c>
      <c r="X1696" t="s">
        <v>36</v>
      </c>
      <c r="Y1696" s="4">
        <v>5</v>
      </c>
      <c r="Z1696" s="4">
        <v>12</v>
      </c>
      <c r="AA1696" t="s">
        <v>37</v>
      </c>
      <c r="AB1696" t="s">
        <v>38</v>
      </c>
      <c r="AC1696" s="7">
        <v>0</v>
      </c>
      <c r="AD1696" t="s">
        <v>39</v>
      </c>
      <c r="AE1696">
        <f t="shared" si="26"/>
        <v>0</v>
      </c>
    </row>
    <row r="1697" spans="1:31" x14ac:dyDescent="0.35">
      <c r="A1697">
        <v>101696</v>
      </c>
      <c r="B1697" s="3">
        <v>46010</v>
      </c>
      <c r="C1697">
        <v>1120</v>
      </c>
      <c r="D1697" t="s">
        <v>59</v>
      </c>
      <c r="E1697" t="s">
        <v>70</v>
      </c>
      <c r="F1697" t="s">
        <v>71</v>
      </c>
      <c r="G1697" t="s">
        <v>50</v>
      </c>
      <c r="H1697" t="s">
        <v>34</v>
      </c>
      <c r="I1697" t="s">
        <v>35</v>
      </c>
      <c r="J1697" s="4">
        <v>26.39</v>
      </c>
      <c r="K1697" s="4">
        <v>16.829999999999998</v>
      </c>
      <c r="L1697">
        <v>5</v>
      </c>
      <c r="M1697" s="4">
        <v>22.21</v>
      </c>
      <c r="N1697" s="4">
        <v>421.93</v>
      </c>
      <c r="O1697" s="4">
        <v>196.01</v>
      </c>
      <c r="P1697" s="4">
        <v>9.07</v>
      </c>
      <c r="Q1697" s="4">
        <v>3.11</v>
      </c>
      <c r="R1697" s="4">
        <v>11.68</v>
      </c>
      <c r="S1697" s="4">
        <v>0</v>
      </c>
      <c r="T1697" s="4">
        <v>0</v>
      </c>
      <c r="U1697" s="4">
        <v>219.87</v>
      </c>
      <c r="V1697" s="4">
        <v>202.06</v>
      </c>
      <c r="W1697" t="s">
        <v>21</v>
      </c>
      <c r="X1697" t="s">
        <v>36</v>
      </c>
      <c r="Y1697" s="4">
        <v>13</v>
      </c>
      <c r="Z1697" s="4">
        <v>11</v>
      </c>
      <c r="AA1697" t="s">
        <v>37</v>
      </c>
      <c r="AB1697" t="s">
        <v>38</v>
      </c>
      <c r="AC1697" s="7">
        <v>0</v>
      </c>
      <c r="AD1697" t="s">
        <v>39</v>
      </c>
      <c r="AE1697">
        <f t="shared" si="26"/>
        <v>0</v>
      </c>
    </row>
    <row r="1698" spans="1:31" x14ac:dyDescent="0.35">
      <c r="A1698">
        <v>101697</v>
      </c>
      <c r="B1698" s="3">
        <v>45966</v>
      </c>
      <c r="C1698">
        <v>1043</v>
      </c>
      <c r="D1698" t="s">
        <v>30</v>
      </c>
      <c r="E1698" t="s">
        <v>40</v>
      </c>
      <c r="F1698" t="s">
        <v>71</v>
      </c>
      <c r="G1698" t="s">
        <v>46</v>
      </c>
      <c r="H1698" t="s">
        <v>51</v>
      </c>
      <c r="I1698" t="s">
        <v>35</v>
      </c>
      <c r="J1698" s="4">
        <v>20.59</v>
      </c>
      <c r="K1698" s="4">
        <v>15.4</v>
      </c>
      <c r="L1698">
        <v>0</v>
      </c>
      <c r="M1698" s="4">
        <v>0</v>
      </c>
      <c r="N1698" s="4">
        <v>317.08999999999997</v>
      </c>
      <c r="O1698" s="4">
        <v>157.97</v>
      </c>
      <c r="P1698" s="4">
        <v>8.85</v>
      </c>
      <c r="Q1698" s="4">
        <v>2.2200000000000002</v>
      </c>
      <c r="R1698" s="4">
        <v>16.45</v>
      </c>
      <c r="S1698" s="4">
        <v>0</v>
      </c>
      <c r="T1698" s="4">
        <v>0</v>
      </c>
      <c r="U1698" s="4">
        <v>185.49</v>
      </c>
      <c r="V1698" s="4">
        <v>131.6</v>
      </c>
      <c r="W1698" t="s">
        <v>21</v>
      </c>
      <c r="X1698" t="s">
        <v>36</v>
      </c>
      <c r="Y1698" s="4">
        <v>2</v>
      </c>
      <c r="Z1698" s="4">
        <v>7</v>
      </c>
      <c r="AA1698" t="s">
        <v>37</v>
      </c>
      <c r="AB1698" t="s">
        <v>38</v>
      </c>
      <c r="AC1698" s="7">
        <v>1</v>
      </c>
      <c r="AD1698" t="s">
        <v>39</v>
      </c>
      <c r="AE1698">
        <f t="shared" si="26"/>
        <v>0</v>
      </c>
    </row>
    <row r="1699" spans="1:31" x14ac:dyDescent="0.35">
      <c r="A1699">
        <v>101698</v>
      </c>
      <c r="B1699" s="3">
        <v>46004</v>
      </c>
      <c r="C1699">
        <v>1015</v>
      </c>
      <c r="D1699" t="s">
        <v>59</v>
      </c>
      <c r="E1699" t="s">
        <v>60</v>
      </c>
      <c r="F1699" t="s">
        <v>41</v>
      </c>
      <c r="G1699" t="s">
        <v>33</v>
      </c>
      <c r="H1699" t="s">
        <v>34</v>
      </c>
      <c r="I1699" t="s">
        <v>69</v>
      </c>
      <c r="J1699" s="4">
        <v>30.45</v>
      </c>
      <c r="K1699" s="4">
        <v>18.170000000000002</v>
      </c>
      <c r="L1699">
        <v>5</v>
      </c>
      <c r="M1699" s="4">
        <v>27.66</v>
      </c>
      <c r="N1699" s="4">
        <v>525.62</v>
      </c>
      <c r="O1699" s="4">
        <v>212.24</v>
      </c>
      <c r="P1699" s="4">
        <v>5.7</v>
      </c>
      <c r="Q1699" s="4">
        <v>2.21</v>
      </c>
      <c r="R1699" s="4">
        <v>8.56</v>
      </c>
      <c r="S1699" s="4">
        <v>0</v>
      </c>
      <c r="T1699" s="4">
        <v>0</v>
      </c>
      <c r="U1699" s="4">
        <v>228.71</v>
      </c>
      <c r="V1699" s="4">
        <v>296.91000000000003</v>
      </c>
      <c r="W1699" t="s">
        <v>21</v>
      </c>
      <c r="X1699" t="s">
        <v>36</v>
      </c>
      <c r="Y1699" s="4">
        <v>0</v>
      </c>
      <c r="Z1699" s="4">
        <v>64</v>
      </c>
      <c r="AA1699" t="s">
        <v>37</v>
      </c>
      <c r="AB1699" t="s">
        <v>44</v>
      </c>
      <c r="AC1699" s="7">
        <v>1</v>
      </c>
      <c r="AD1699" t="s">
        <v>45</v>
      </c>
      <c r="AE1699">
        <f t="shared" si="26"/>
        <v>1</v>
      </c>
    </row>
    <row r="1700" spans="1:31" x14ac:dyDescent="0.35">
      <c r="A1700">
        <v>101699</v>
      </c>
      <c r="B1700" s="3">
        <v>46000</v>
      </c>
      <c r="C1700">
        <v>1059</v>
      </c>
      <c r="D1700" t="s">
        <v>30</v>
      </c>
      <c r="E1700" t="s">
        <v>62</v>
      </c>
      <c r="F1700" t="s">
        <v>61</v>
      </c>
      <c r="G1700" t="s">
        <v>46</v>
      </c>
      <c r="H1700" t="s">
        <v>34</v>
      </c>
      <c r="I1700" t="s">
        <v>42</v>
      </c>
      <c r="J1700" s="4">
        <v>25.9</v>
      </c>
      <c r="K1700" s="4">
        <v>16.12</v>
      </c>
      <c r="L1700">
        <v>0</v>
      </c>
      <c r="M1700" s="4">
        <v>0</v>
      </c>
      <c r="N1700" s="4">
        <v>417.51</v>
      </c>
      <c r="O1700" s="4">
        <v>178.55</v>
      </c>
      <c r="P1700" s="4">
        <v>10.5</v>
      </c>
      <c r="Q1700" s="4">
        <v>6.26</v>
      </c>
      <c r="R1700" s="4">
        <v>8.91</v>
      </c>
      <c r="S1700" s="4">
        <v>0</v>
      </c>
      <c r="T1700" s="4">
        <v>0</v>
      </c>
      <c r="U1700" s="4">
        <v>204.22</v>
      </c>
      <c r="V1700" s="4">
        <v>213.29</v>
      </c>
      <c r="W1700" t="s">
        <v>21</v>
      </c>
      <c r="X1700" t="s">
        <v>36</v>
      </c>
      <c r="Y1700" s="4">
        <v>5</v>
      </c>
      <c r="Z1700" s="4">
        <v>0</v>
      </c>
      <c r="AA1700" t="s">
        <v>37</v>
      </c>
      <c r="AB1700" t="s">
        <v>38</v>
      </c>
      <c r="AC1700" s="7">
        <v>0</v>
      </c>
      <c r="AD1700" t="s">
        <v>39</v>
      </c>
      <c r="AE1700">
        <f t="shared" si="26"/>
        <v>0</v>
      </c>
    </row>
    <row r="1701" spans="1:31" x14ac:dyDescent="0.35">
      <c r="A1701">
        <v>101700</v>
      </c>
      <c r="B1701" s="3">
        <v>45935</v>
      </c>
      <c r="C1701">
        <v>1003</v>
      </c>
      <c r="D1701" t="s">
        <v>59</v>
      </c>
      <c r="E1701" t="s">
        <v>68</v>
      </c>
      <c r="F1701" t="s">
        <v>61</v>
      </c>
      <c r="G1701" t="s">
        <v>46</v>
      </c>
      <c r="H1701" t="s">
        <v>57</v>
      </c>
      <c r="I1701" t="s">
        <v>35</v>
      </c>
      <c r="J1701" s="4">
        <v>35.950000000000003</v>
      </c>
      <c r="K1701" s="4">
        <v>15.31</v>
      </c>
      <c r="L1701">
        <v>15</v>
      </c>
      <c r="M1701" s="4">
        <v>82.56</v>
      </c>
      <c r="N1701" s="4">
        <v>467.83</v>
      </c>
      <c r="O1701" s="4">
        <v>254.64</v>
      </c>
      <c r="P1701" s="4">
        <v>9.4700000000000006</v>
      </c>
      <c r="Q1701" s="4">
        <v>3.85</v>
      </c>
      <c r="R1701" s="4">
        <v>0</v>
      </c>
      <c r="S1701" s="4">
        <v>0</v>
      </c>
      <c r="T1701" s="4">
        <v>0</v>
      </c>
      <c r="U1701" s="4">
        <v>267.95999999999998</v>
      </c>
      <c r="V1701" s="4">
        <v>199.87</v>
      </c>
      <c r="W1701" t="s">
        <v>21</v>
      </c>
      <c r="X1701" t="s">
        <v>36</v>
      </c>
      <c r="Y1701" s="4">
        <v>21</v>
      </c>
      <c r="Z1701" s="4">
        <v>13</v>
      </c>
      <c r="AA1701" t="s">
        <v>52</v>
      </c>
      <c r="AB1701" t="s">
        <v>44</v>
      </c>
      <c r="AC1701" s="7">
        <v>2</v>
      </c>
      <c r="AD1701" t="s">
        <v>45</v>
      </c>
      <c r="AE1701">
        <f t="shared" si="26"/>
        <v>1</v>
      </c>
    </row>
    <row r="1702" spans="1:31" x14ac:dyDescent="0.35">
      <c r="A1702">
        <v>101701</v>
      </c>
      <c r="B1702" s="3">
        <v>45954</v>
      </c>
      <c r="C1702">
        <v>1114</v>
      </c>
      <c r="D1702" t="s">
        <v>59</v>
      </c>
      <c r="E1702" t="s">
        <v>60</v>
      </c>
      <c r="F1702" t="s">
        <v>61</v>
      </c>
      <c r="G1702" t="s">
        <v>46</v>
      </c>
      <c r="H1702" t="s">
        <v>34</v>
      </c>
      <c r="I1702" t="s">
        <v>54</v>
      </c>
      <c r="J1702" s="4">
        <v>30.79</v>
      </c>
      <c r="K1702" s="4">
        <v>15.44</v>
      </c>
      <c r="L1702">
        <v>0</v>
      </c>
      <c r="M1702" s="4">
        <v>0</v>
      </c>
      <c r="N1702" s="4">
        <v>475.4</v>
      </c>
      <c r="O1702" s="4">
        <v>203</v>
      </c>
      <c r="P1702" s="4">
        <v>8.5399999999999991</v>
      </c>
      <c r="Q1702" s="4">
        <v>5.7</v>
      </c>
      <c r="R1702" s="4">
        <v>7.25</v>
      </c>
      <c r="S1702" s="4">
        <v>0</v>
      </c>
      <c r="T1702" s="4">
        <v>0</v>
      </c>
      <c r="U1702" s="4">
        <v>224.49</v>
      </c>
      <c r="V1702" s="4">
        <v>250.91</v>
      </c>
      <c r="W1702" t="s">
        <v>21</v>
      </c>
      <c r="X1702" t="s">
        <v>36</v>
      </c>
      <c r="Y1702" s="4">
        <v>4</v>
      </c>
      <c r="Z1702" s="4">
        <v>1</v>
      </c>
      <c r="AA1702" t="s">
        <v>37</v>
      </c>
      <c r="AB1702" t="s">
        <v>38</v>
      </c>
      <c r="AC1702" s="7">
        <v>0</v>
      </c>
      <c r="AD1702" t="s">
        <v>39</v>
      </c>
      <c r="AE1702">
        <f t="shared" si="26"/>
        <v>0</v>
      </c>
    </row>
    <row r="1703" spans="1:31" x14ac:dyDescent="0.35">
      <c r="A1703">
        <v>101702</v>
      </c>
      <c r="B1703" s="3">
        <v>45995</v>
      </c>
      <c r="C1703">
        <v>1106</v>
      </c>
      <c r="D1703" t="s">
        <v>30</v>
      </c>
      <c r="E1703" t="s">
        <v>40</v>
      </c>
      <c r="F1703" t="s">
        <v>71</v>
      </c>
      <c r="G1703" t="s">
        <v>63</v>
      </c>
      <c r="H1703" t="s">
        <v>57</v>
      </c>
      <c r="I1703" t="s">
        <v>35</v>
      </c>
      <c r="J1703" s="4">
        <v>26.67</v>
      </c>
      <c r="K1703" s="4">
        <v>12.48</v>
      </c>
      <c r="L1703">
        <v>0</v>
      </c>
      <c r="M1703" s="4">
        <v>0</v>
      </c>
      <c r="N1703" s="4">
        <v>332.84</v>
      </c>
      <c r="O1703" s="4">
        <v>180.71</v>
      </c>
      <c r="P1703" s="4">
        <v>14.3</v>
      </c>
      <c r="Q1703" s="4">
        <v>2.33</v>
      </c>
      <c r="R1703" s="4">
        <v>5.0199999999999996</v>
      </c>
      <c r="S1703" s="4">
        <v>0</v>
      </c>
      <c r="T1703" s="4">
        <v>0</v>
      </c>
      <c r="U1703" s="4">
        <v>202.36</v>
      </c>
      <c r="V1703" s="4">
        <v>130.47999999999999</v>
      </c>
      <c r="W1703" t="s">
        <v>21</v>
      </c>
      <c r="X1703" t="s">
        <v>36</v>
      </c>
      <c r="Y1703" s="4">
        <v>9</v>
      </c>
      <c r="Z1703" s="4">
        <v>13</v>
      </c>
      <c r="AA1703" t="s">
        <v>37</v>
      </c>
      <c r="AB1703" t="s">
        <v>38</v>
      </c>
      <c r="AC1703" s="7">
        <v>0</v>
      </c>
      <c r="AD1703" t="s">
        <v>39</v>
      </c>
      <c r="AE1703">
        <f t="shared" si="26"/>
        <v>0</v>
      </c>
    </row>
    <row r="1704" spans="1:31" x14ac:dyDescent="0.35">
      <c r="A1704">
        <v>101703</v>
      </c>
      <c r="B1704" s="3">
        <v>45971</v>
      </c>
      <c r="C1704">
        <v>1111</v>
      </c>
      <c r="D1704" t="s">
        <v>47</v>
      </c>
      <c r="E1704" t="s">
        <v>74</v>
      </c>
      <c r="F1704" t="s">
        <v>41</v>
      </c>
      <c r="G1704" t="s">
        <v>33</v>
      </c>
      <c r="H1704" t="s">
        <v>34</v>
      </c>
      <c r="I1704" t="s">
        <v>69</v>
      </c>
      <c r="J1704" s="4">
        <v>12.87</v>
      </c>
      <c r="K1704" s="4">
        <v>19.05</v>
      </c>
      <c r="L1704">
        <v>0</v>
      </c>
      <c r="M1704" s="4">
        <v>0</v>
      </c>
      <c r="N1704" s="4">
        <v>245.17</v>
      </c>
      <c r="O1704" s="4">
        <v>69.900000000000006</v>
      </c>
      <c r="P1704" s="4">
        <v>14.59</v>
      </c>
      <c r="Q1704" s="4">
        <v>0.98</v>
      </c>
      <c r="R1704" s="4">
        <v>8.07</v>
      </c>
      <c r="S1704" s="4">
        <v>0</v>
      </c>
      <c r="T1704" s="4">
        <v>0</v>
      </c>
      <c r="U1704" s="4">
        <v>93.54</v>
      </c>
      <c r="V1704" s="4">
        <v>151.63</v>
      </c>
      <c r="W1704" t="s">
        <v>21</v>
      </c>
      <c r="X1704" t="s">
        <v>36</v>
      </c>
      <c r="Y1704" s="4">
        <v>10</v>
      </c>
      <c r="Z1704" s="4">
        <v>0</v>
      </c>
      <c r="AA1704" t="s">
        <v>37</v>
      </c>
      <c r="AB1704" t="s">
        <v>38</v>
      </c>
      <c r="AC1704" s="7">
        <v>0</v>
      </c>
      <c r="AD1704" t="s">
        <v>39</v>
      </c>
      <c r="AE1704">
        <f t="shared" si="26"/>
        <v>0</v>
      </c>
    </row>
    <row r="1705" spans="1:31" x14ac:dyDescent="0.35">
      <c r="A1705">
        <v>101704</v>
      </c>
      <c r="B1705" s="3">
        <v>45995</v>
      </c>
      <c r="C1705">
        <v>1078</v>
      </c>
      <c r="D1705" t="s">
        <v>59</v>
      </c>
      <c r="E1705" t="s">
        <v>73</v>
      </c>
      <c r="F1705" t="s">
        <v>71</v>
      </c>
      <c r="G1705" t="s">
        <v>63</v>
      </c>
      <c r="H1705" t="s">
        <v>34</v>
      </c>
      <c r="I1705" t="s">
        <v>42</v>
      </c>
      <c r="J1705" s="4">
        <v>21.1</v>
      </c>
      <c r="K1705" s="4">
        <v>15.66</v>
      </c>
      <c r="L1705">
        <v>5</v>
      </c>
      <c r="M1705" s="4">
        <v>16.52</v>
      </c>
      <c r="N1705" s="4">
        <v>313.91000000000003</v>
      </c>
      <c r="O1705" s="4">
        <v>141.59</v>
      </c>
      <c r="P1705" s="4">
        <v>5.99</v>
      </c>
      <c r="Q1705" s="4">
        <v>4.96</v>
      </c>
      <c r="R1705" s="4">
        <v>6.23</v>
      </c>
      <c r="S1705" s="4">
        <v>0</v>
      </c>
      <c r="T1705" s="4">
        <v>0</v>
      </c>
      <c r="U1705" s="4">
        <v>158.77000000000001</v>
      </c>
      <c r="V1705" s="4">
        <v>155.13999999999999</v>
      </c>
      <c r="W1705" t="s">
        <v>21</v>
      </c>
      <c r="X1705" t="s">
        <v>36</v>
      </c>
      <c r="Y1705" s="4">
        <v>10</v>
      </c>
      <c r="Z1705" s="4">
        <v>3</v>
      </c>
      <c r="AA1705" t="s">
        <v>37</v>
      </c>
      <c r="AB1705" t="s">
        <v>38</v>
      </c>
      <c r="AC1705" s="7">
        <v>0</v>
      </c>
      <c r="AD1705" t="s">
        <v>39</v>
      </c>
      <c r="AE1705">
        <f t="shared" si="26"/>
        <v>0</v>
      </c>
    </row>
    <row r="1706" spans="1:31" x14ac:dyDescent="0.35">
      <c r="A1706">
        <v>101705</v>
      </c>
      <c r="B1706" s="3">
        <v>45992</v>
      </c>
      <c r="C1706">
        <v>1107</v>
      </c>
      <c r="D1706" t="s">
        <v>59</v>
      </c>
      <c r="E1706" t="s">
        <v>73</v>
      </c>
      <c r="F1706" t="s">
        <v>41</v>
      </c>
      <c r="G1706" t="s">
        <v>33</v>
      </c>
      <c r="H1706" t="s">
        <v>57</v>
      </c>
      <c r="I1706" t="s">
        <v>69</v>
      </c>
      <c r="J1706" s="4">
        <v>33.33</v>
      </c>
      <c r="K1706" s="4">
        <v>18.899999999999999</v>
      </c>
      <c r="L1706">
        <v>0</v>
      </c>
      <c r="M1706" s="4">
        <v>0</v>
      </c>
      <c r="N1706" s="4">
        <v>629.94000000000005</v>
      </c>
      <c r="O1706" s="4">
        <v>193.7</v>
      </c>
      <c r="P1706" s="4">
        <v>5.15</v>
      </c>
      <c r="Q1706" s="4">
        <v>2.52</v>
      </c>
      <c r="R1706" s="4">
        <v>9.1199999999999992</v>
      </c>
      <c r="S1706" s="4">
        <v>0</v>
      </c>
      <c r="T1706" s="4">
        <v>0</v>
      </c>
      <c r="U1706" s="4">
        <v>210.49</v>
      </c>
      <c r="V1706" s="4">
        <v>419.45</v>
      </c>
      <c r="W1706" t="s">
        <v>21</v>
      </c>
      <c r="X1706" t="s">
        <v>36</v>
      </c>
      <c r="Y1706" s="4">
        <v>11</v>
      </c>
      <c r="Z1706" s="4">
        <v>0</v>
      </c>
      <c r="AA1706" t="s">
        <v>37</v>
      </c>
      <c r="AB1706" t="s">
        <v>38</v>
      </c>
      <c r="AC1706" s="7">
        <v>1</v>
      </c>
      <c r="AD1706" t="s">
        <v>39</v>
      </c>
      <c r="AE1706">
        <f t="shared" si="26"/>
        <v>0</v>
      </c>
    </row>
    <row r="1707" spans="1:31" x14ac:dyDescent="0.35">
      <c r="A1707">
        <v>101706</v>
      </c>
      <c r="B1707" s="3">
        <v>46017</v>
      </c>
      <c r="C1707">
        <v>1067</v>
      </c>
      <c r="D1707" t="s">
        <v>47</v>
      </c>
      <c r="E1707" t="s">
        <v>48</v>
      </c>
      <c r="F1707" t="s">
        <v>61</v>
      </c>
      <c r="G1707" t="s">
        <v>46</v>
      </c>
      <c r="H1707" t="s">
        <v>34</v>
      </c>
      <c r="I1707" t="s">
        <v>35</v>
      </c>
      <c r="J1707" s="4">
        <v>33.729999999999997</v>
      </c>
      <c r="K1707" s="4">
        <v>15.17</v>
      </c>
      <c r="L1707">
        <v>0</v>
      </c>
      <c r="M1707" s="4">
        <v>0</v>
      </c>
      <c r="N1707" s="4">
        <v>511.68</v>
      </c>
      <c r="O1707" s="4">
        <v>202.31</v>
      </c>
      <c r="P1707" s="4">
        <v>8.94</v>
      </c>
      <c r="Q1707" s="4">
        <v>3.58</v>
      </c>
      <c r="R1707" s="4">
        <v>7.7</v>
      </c>
      <c r="S1707" s="4">
        <v>0</v>
      </c>
      <c r="T1707" s="4">
        <v>0</v>
      </c>
      <c r="U1707" s="4">
        <v>222.53</v>
      </c>
      <c r="V1707" s="4">
        <v>289.14999999999998</v>
      </c>
      <c r="W1707" t="s">
        <v>21</v>
      </c>
      <c r="X1707" t="s">
        <v>36</v>
      </c>
      <c r="Y1707" s="4">
        <v>21</v>
      </c>
      <c r="Z1707" s="4">
        <v>8</v>
      </c>
      <c r="AA1707" t="s">
        <v>52</v>
      </c>
      <c r="AB1707" t="s">
        <v>44</v>
      </c>
      <c r="AC1707" s="7">
        <v>1</v>
      </c>
      <c r="AD1707" t="s">
        <v>45</v>
      </c>
      <c r="AE1707">
        <f t="shared" si="26"/>
        <v>1</v>
      </c>
    </row>
    <row r="1708" spans="1:31" x14ac:dyDescent="0.35">
      <c r="A1708">
        <v>101707</v>
      </c>
      <c r="B1708" s="3">
        <v>46014</v>
      </c>
      <c r="C1708">
        <v>1145</v>
      </c>
      <c r="D1708" t="s">
        <v>59</v>
      </c>
      <c r="E1708" t="s">
        <v>73</v>
      </c>
      <c r="F1708" t="s">
        <v>71</v>
      </c>
      <c r="G1708" t="s">
        <v>50</v>
      </c>
      <c r="H1708" t="s">
        <v>51</v>
      </c>
      <c r="I1708" t="s">
        <v>54</v>
      </c>
      <c r="J1708" s="4">
        <v>20.010000000000002</v>
      </c>
      <c r="K1708" s="4">
        <v>17.649999999999999</v>
      </c>
      <c r="L1708">
        <v>0</v>
      </c>
      <c r="M1708" s="4">
        <v>0</v>
      </c>
      <c r="N1708" s="4">
        <v>353.18</v>
      </c>
      <c r="O1708" s="4">
        <v>149.71</v>
      </c>
      <c r="P1708" s="4">
        <v>13.33</v>
      </c>
      <c r="Q1708" s="4">
        <v>4.24</v>
      </c>
      <c r="R1708" s="4">
        <v>3.84</v>
      </c>
      <c r="S1708" s="4">
        <v>213.07</v>
      </c>
      <c r="T1708" s="4">
        <v>15.75</v>
      </c>
      <c r="U1708" s="4">
        <v>399.94</v>
      </c>
      <c r="V1708" s="4">
        <v>-46.76</v>
      </c>
      <c r="W1708" t="s">
        <v>58</v>
      </c>
      <c r="X1708" t="s">
        <v>66</v>
      </c>
      <c r="Y1708" s="4">
        <v>0</v>
      </c>
      <c r="Z1708" s="4">
        <v>4</v>
      </c>
      <c r="AA1708" t="s">
        <v>37</v>
      </c>
      <c r="AB1708" t="s">
        <v>38</v>
      </c>
      <c r="AC1708" s="7">
        <v>1</v>
      </c>
      <c r="AD1708" t="s">
        <v>45</v>
      </c>
      <c r="AE1708">
        <f t="shared" si="26"/>
        <v>0</v>
      </c>
    </row>
    <row r="1709" spans="1:31" x14ac:dyDescent="0.35">
      <c r="A1709">
        <v>101708</v>
      </c>
      <c r="B1709" s="3">
        <v>45985</v>
      </c>
      <c r="C1709">
        <v>1033</v>
      </c>
      <c r="D1709" t="s">
        <v>30</v>
      </c>
      <c r="E1709" t="s">
        <v>31</v>
      </c>
      <c r="F1709" t="s">
        <v>49</v>
      </c>
      <c r="G1709" t="s">
        <v>63</v>
      </c>
      <c r="H1709" t="s">
        <v>34</v>
      </c>
      <c r="I1709" t="s">
        <v>35</v>
      </c>
      <c r="J1709" s="4">
        <v>16.63</v>
      </c>
      <c r="K1709" s="4">
        <v>12.48</v>
      </c>
      <c r="L1709">
        <v>0</v>
      </c>
      <c r="M1709" s="4">
        <v>0</v>
      </c>
      <c r="N1709" s="4">
        <v>207.54</v>
      </c>
      <c r="O1709" s="4">
        <v>132.24</v>
      </c>
      <c r="P1709" s="4">
        <v>4.18</v>
      </c>
      <c r="Q1709" s="4">
        <v>1.45</v>
      </c>
      <c r="R1709" s="4">
        <v>9.36</v>
      </c>
      <c r="S1709" s="4">
        <v>0</v>
      </c>
      <c r="T1709" s="4">
        <v>0</v>
      </c>
      <c r="U1709" s="4">
        <v>147.22999999999999</v>
      </c>
      <c r="V1709" s="4">
        <v>60.31</v>
      </c>
      <c r="W1709" t="s">
        <v>21</v>
      </c>
      <c r="X1709" t="s">
        <v>36</v>
      </c>
      <c r="Y1709" s="4">
        <v>1</v>
      </c>
      <c r="Z1709" s="4">
        <v>16</v>
      </c>
      <c r="AA1709" t="s">
        <v>37</v>
      </c>
      <c r="AB1709" t="s">
        <v>44</v>
      </c>
      <c r="AC1709" s="7">
        <v>2</v>
      </c>
      <c r="AD1709" t="s">
        <v>45</v>
      </c>
      <c r="AE1709">
        <f t="shared" si="26"/>
        <v>1</v>
      </c>
    </row>
    <row r="1710" spans="1:31" x14ac:dyDescent="0.35">
      <c r="A1710">
        <v>101709</v>
      </c>
      <c r="B1710" s="3">
        <v>45951</v>
      </c>
      <c r="C1710">
        <v>1099</v>
      </c>
      <c r="D1710" t="s">
        <v>59</v>
      </c>
      <c r="E1710" t="s">
        <v>68</v>
      </c>
      <c r="F1710" t="s">
        <v>41</v>
      </c>
      <c r="G1710" t="s">
        <v>63</v>
      </c>
      <c r="H1710" t="s">
        <v>34</v>
      </c>
      <c r="I1710" t="s">
        <v>69</v>
      </c>
      <c r="J1710" s="4">
        <v>20.69</v>
      </c>
      <c r="K1710" s="4">
        <v>14.07</v>
      </c>
      <c r="L1710">
        <v>0</v>
      </c>
      <c r="M1710" s="4">
        <v>0</v>
      </c>
      <c r="N1710" s="4">
        <v>291.11</v>
      </c>
      <c r="O1710" s="4">
        <v>142.97999999999999</v>
      </c>
      <c r="P1710" s="4">
        <v>7.25</v>
      </c>
      <c r="Q1710" s="4">
        <v>1.1599999999999999</v>
      </c>
      <c r="R1710" s="4">
        <v>1.89</v>
      </c>
      <c r="S1710" s="4">
        <v>248.12</v>
      </c>
      <c r="T1710" s="4">
        <v>0</v>
      </c>
      <c r="U1710" s="4">
        <v>401.4</v>
      </c>
      <c r="V1710" s="4">
        <v>-110.29</v>
      </c>
      <c r="W1710" t="s">
        <v>58</v>
      </c>
      <c r="X1710" t="s">
        <v>55</v>
      </c>
      <c r="Y1710" s="4">
        <v>6</v>
      </c>
      <c r="Z1710" s="4">
        <v>9</v>
      </c>
      <c r="AA1710" t="s">
        <v>37</v>
      </c>
      <c r="AB1710" t="s">
        <v>44</v>
      </c>
      <c r="AC1710" s="7">
        <v>1</v>
      </c>
      <c r="AD1710" t="s">
        <v>45</v>
      </c>
      <c r="AE1710">
        <f t="shared" si="26"/>
        <v>1</v>
      </c>
    </row>
    <row r="1711" spans="1:31" x14ac:dyDescent="0.35">
      <c r="A1711">
        <v>101710</v>
      </c>
      <c r="B1711" s="3">
        <v>45962</v>
      </c>
      <c r="C1711">
        <v>1147</v>
      </c>
      <c r="D1711" t="s">
        <v>59</v>
      </c>
      <c r="E1711" t="s">
        <v>68</v>
      </c>
      <c r="F1711" t="s">
        <v>41</v>
      </c>
      <c r="G1711" t="s">
        <v>33</v>
      </c>
      <c r="H1711" t="s">
        <v>57</v>
      </c>
      <c r="I1711" t="s">
        <v>35</v>
      </c>
      <c r="J1711" s="4">
        <v>9.07</v>
      </c>
      <c r="K1711" s="4">
        <v>19.79</v>
      </c>
      <c r="L1711">
        <v>5</v>
      </c>
      <c r="M1711" s="4">
        <v>8.98</v>
      </c>
      <c r="N1711" s="4">
        <v>170.52</v>
      </c>
      <c r="O1711" s="4">
        <v>64.97</v>
      </c>
      <c r="P1711" s="4">
        <v>8.77</v>
      </c>
      <c r="Q1711" s="4">
        <v>1.26</v>
      </c>
      <c r="R1711" s="4">
        <v>8.61</v>
      </c>
      <c r="S1711" s="4">
        <v>0</v>
      </c>
      <c r="T1711" s="4">
        <v>0</v>
      </c>
      <c r="U1711" s="4">
        <v>83.61</v>
      </c>
      <c r="V1711" s="4">
        <v>86.91</v>
      </c>
      <c r="W1711" t="s">
        <v>21</v>
      </c>
      <c r="X1711" t="s">
        <v>36</v>
      </c>
      <c r="Y1711" s="4">
        <v>76</v>
      </c>
      <c r="Z1711" s="4">
        <v>2</v>
      </c>
      <c r="AA1711" t="s">
        <v>43</v>
      </c>
      <c r="AB1711" t="s">
        <v>44</v>
      </c>
      <c r="AC1711" s="7">
        <v>3</v>
      </c>
      <c r="AD1711" t="s">
        <v>45</v>
      </c>
      <c r="AE1711">
        <f t="shared" si="26"/>
        <v>1</v>
      </c>
    </row>
    <row r="1712" spans="1:31" x14ac:dyDescent="0.35">
      <c r="A1712">
        <v>101711</v>
      </c>
      <c r="B1712" s="3">
        <v>45953</v>
      </c>
      <c r="C1712">
        <v>1149</v>
      </c>
      <c r="D1712" t="s">
        <v>30</v>
      </c>
      <c r="E1712" t="s">
        <v>72</v>
      </c>
      <c r="F1712" t="s">
        <v>32</v>
      </c>
      <c r="G1712" t="s">
        <v>46</v>
      </c>
      <c r="H1712" t="s">
        <v>57</v>
      </c>
      <c r="I1712" t="s">
        <v>35</v>
      </c>
      <c r="J1712" s="4">
        <v>38.68</v>
      </c>
      <c r="K1712" s="4">
        <v>16.22</v>
      </c>
      <c r="L1712">
        <v>0</v>
      </c>
      <c r="M1712" s="4">
        <v>0</v>
      </c>
      <c r="N1712" s="4">
        <v>627.39</v>
      </c>
      <c r="O1712" s="4">
        <v>291.49</v>
      </c>
      <c r="P1712" s="4">
        <v>12.08</v>
      </c>
      <c r="Q1712" s="4">
        <v>4.3899999999999997</v>
      </c>
      <c r="R1712" s="4">
        <v>2.36</v>
      </c>
      <c r="S1712" s="4">
        <v>0</v>
      </c>
      <c r="T1712" s="4">
        <v>0</v>
      </c>
      <c r="U1712" s="4">
        <v>310.32</v>
      </c>
      <c r="V1712" s="4">
        <v>317.07</v>
      </c>
      <c r="W1712" t="s">
        <v>21</v>
      </c>
      <c r="X1712" t="s">
        <v>36</v>
      </c>
      <c r="Y1712" s="4">
        <v>4</v>
      </c>
      <c r="Z1712" s="4">
        <v>22</v>
      </c>
      <c r="AA1712" t="s">
        <v>37</v>
      </c>
      <c r="AB1712" t="s">
        <v>44</v>
      </c>
      <c r="AC1712" s="7">
        <v>1</v>
      </c>
      <c r="AD1712" t="s">
        <v>45</v>
      </c>
      <c r="AE1712">
        <f t="shared" si="26"/>
        <v>1</v>
      </c>
    </row>
    <row r="1713" spans="1:31" x14ac:dyDescent="0.35">
      <c r="A1713">
        <v>101712</v>
      </c>
      <c r="B1713" s="3">
        <v>45967</v>
      </c>
      <c r="C1713">
        <v>1141</v>
      </c>
      <c r="D1713" t="s">
        <v>64</v>
      </c>
      <c r="E1713" t="s">
        <v>76</v>
      </c>
      <c r="F1713" t="s">
        <v>61</v>
      </c>
      <c r="G1713" t="s">
        <v>63</v>
      </c>
      <c r="H1713" t="s">
        <v>57</v>
      </c>
      <c r="I1713" t="s">
        <v>35</v>
      </c>
      <c r="J1713" s="4">
        <v>29.19</v>
      </c>
      <c r="K1713" s="4">
        <v>12</v>
      </c>
      <c r="L1713">
        <v>5</v>
      </c>
      <c r="M1713" s="4">
        <v>17.510000000000002</v>
      </c>
      <c r="N1713" s="4">
        <v>332.77</v>
      </c>
      <c r="O1713" s="4">
        <v>202.6</v>
      </c>
      <c r="P1713" s="4">
        <v>3.47</v>
      </c>
      <c r="Q1713" s="4">
        <v>2.4500000000000002</v>
      </c>
      <c r="R1713" s="4">
        <v>6.47</v>
      </c>
      <c r="S1713" s="4">
        <v>0</v>
      </c>
      <c r="T1713" s="4">
        <v>0</v>
      </c>
      <c r="U1713" s="4">
        <v>214.99</v>
      </c>
      <c r="V1713" s="4">
        <v>117.78</v>
      </c>
      <c r="W1713" t="s">
        <v>21</v>
      </c>
      <c r="X1713" t="s">
        <v>36</v>
      </c>
      <c r="Y1713" s="4">
        <v>16</v>
      </c>
      <c r="Z1713" s="4">
        <v>7</v>
      </c>
      <c r="AA1713" t="s">
        <v>52</v>
      </c>
      <c r="AB1713" t="s">
        <v>38</v>
      </c>
      <c r="AC1713" s="7">
        <v>0</v>
      </c>
      <c r="AD1713" t="s">
        <v>39</v>
      </c>
      <c r="AE1713">
        <f t="shared" si="26"/>
        <v>0</v>
      </c>
    </row>
    <row r="1714" spans="1:31" x14ac:dyDescent="0.35">
      <c r="A1714">
        <v>101713</v>
      </c>
      <c r="B1714" s="3">
        <v>46019</v>
      </c>
      <c r="C1714">
        <v>1087</v>
      </c>
      <c r="D1714" t="s">
        <v>64</v>
      </c>
      <c r="E1714" t="s">
        <v>75</v>
      </c>
      <c r="F1714" t="s">
        <v>71</v>
      </c>
      <c r="G1714" t="s">
        <v>46</v>
      </c>
      <c r="H1714" t="s">
        <v>34</v>
      </c>
      <c r="I1714" t="s">
        <v>54</v>
      </c>
      <c r="J1714" s="4">
        <v>23.96</v>
      </c>
      <c r="K1714" s="4">
        <v>15.21</v>
      </c>
      <c r="L1714">
        <v>0</v>
      </c>
      <c r="M1714" s="4">
        <v>0</v>
      </c>
      <c r="N1714" s="4">
        <v>364.43</v>
      </c>
      <c r="O1714" s="4">
        <v>163.78</v>
      </c>
      <c r="P1714" s="4">
        <v>12.01</v>
      </c>
      <c r="Q1714" s="4">
        <v>4.37</v>
      </c>
      <c r="R1714" s="4">
        <v>10.28</v>
      </c>
      <c r="S1714" s="4">
        <v>0</v>
      </c>
      <c r="T1714" s="4">
        <v>0</v>
      </c>
      <c r="U1714" s="4">
        <v>190.44</v>
      </c>
      <c r="V1714" s="4">
        <v>173.99</v>
      </c>
      <c r="W1714" t="s">
        <v>21</v>
      </c>
      <c r="X1714" t="s">
        <v>36</v>
      </c>
      <c r="Y1714" s="4">
        <v>2</v>
      </c>
      <c r="Z1714" s="4">
        <v>3</v>
      </c>
      <c r="AA1714" t="s">
        <v>37</v>
      </c>
      <c r="AB1714" t="s">
        <v>38</v>
      </c>
      <c r="AC1714" s="7">
        <v>0</v>
      </c>
      <c r="AD1714" t="s">
        <v>39</v>
      </c>
      <c r="AE1714">
        <f t="shared" si="26"/>
        <v>0</v>
      </c>
    </row>
    <row r="1715" spans="1:31" x14ac:dyDescent="0.35">
      <c r="A1715">
        <v>101714</v>
      </c>
      <c r="B1715" s="3">
        <v>45988</v>
      </c>
      <c r="C1715">
        <v>1005</v>
      </c>
      <c r="D1715" t="s">
        <v>30</v>
      </c>
      <c r="E1715" t="s">
        <v>72</v>
      </c>
      <c r="F1715" t="s">
        <v>61</v>
      </c>
      <c r="G1715" t="s">
        <v>33</v>
      </c>
      <c r="H1715" t="s">
        <v>34</v>
      </c>
      <c r="I1715" t="s">
        <v>35</v>
      </c>
      <c r="J1715" s="4">
        <v>34.840000000000003</v>
      </c>
      <c r="K1715" s="4">
        <v>22.55</v>
      </c>
      <c r="L1715">
        <v>0</v>
      </c>
      <c r="M1715" s="4">
        <v>0</v>
      </c>
      <c r="N1715" s="4">
        <v>785.64</v>
      </c>
      <c r="O1715" s="4">
        <v>278.44</v>
      </c>
      <c r="P1715" s="4">
        <v>14.89</v>
      </c>
      <c r="Q1715" s="4">
        <v>5.5</v>
      </c>
      <c r="R1715" s="4">
        <v>5.45</v>
      </c>
      <c r="S1715" s="4">
        <v>0</v>
      </c>
      <c r="T1715" s="4">
        <v>0</v>
      </c>
      <c r="U1715" s="4">
        <v>304.27999999999997</v>
      </c>
      <c r="V1715" s="4">
        <v>481.36</v>
      </c>
      <c r="W1715" t="s">
        <v>21</v>
      </c>
      <c r="X1715" t="s">
        <v>36</v>
      </c>
      <c r="Y1715" s="4">
        <v>2</v>
      </c>
      <c r="Z1715" s="4">
        <v>4</v>
      </c>
      <c r="AA1715" t="s">
        <v>37</v>
      </c>
      <c r="AB1715" t="s">
        <v>38</v>
      </c>
      <c r="AC1715" s="7">
        <v>0</v>
      </c>
      <c r="AD1715" t="s">
        <v>39</v>
      </c>
      <c r="AE1715">
        <f t="shared" si="26"/>
        <v>0</v>
      </c>
    </row>
    <row r="1716" spans="1:31" x14ac:dyDescent="0.35">
      <c r="A1716">
        <v>101715</v>
      </c>
      <c r="B1716" s="3">
        <v>45940</v>
      </c>
      <c r="C1716">
        <v>1004</v>
      </c>
      <c r="D1716" t="s">
        <v>47</v>
      </c>
      <c r="E1716" t="s">
        <v>48</v>
      </c>
      <c r="F1716" t="s">
        <v>41</v>
      </c>
      <c r="G1716" t="s">
        <v>63</v>
      </c>
      <c r="H1716" t="s">
        <v>34</v>
      </c>
      <c r="I1716" t="s">
        <v>69</v>
      </c>
      <c r="J1716" s="4">
        <v>20.13</v>
      </c>
      <c r="K1716" s="4">
        <v>11.69</v>
      </c>
      <c r="L1716">
        <v>10</v>
      </c>
      <c r="M1716" s="4">
        <v>23.53</v>
      </c>
      <c r="N1716" s="4">
        <v>211.79</v>
      </c>
      <c r="O1716" s="4">
        <v>156.16</v>
      </c>
      <c r="P1716" s="4">
        <v>11.25</v>
      </c>
      <c r="Q1716" s="4">
        <v>0.94</v>
      </c>
      <c r="R1716" s="4">
        <v>4.6500000000000004</v>
      </c>
      <c r="S1716" s="4">
        <v>0</v>
      </c>
      <c r="T1716" s="4">
        <v>0</v>
      </c>
      <c r="U1716" s="4">
        <v>173</v>
      </c>
      <c r="V1716" s="4">
        <v>38.79</v>
      </c>
      <c r="W1716" t="s">
        <v>21</v>
      </c>
      <c r="X1716" t="s">
        <v>36</v>
      </c>
      <c r="Y1716" s="4">
        <v>12</v>
      </c>
      <c r="Z1716" s="4">
        <v>1</v>
      </c>
      <c r="AA1716" t="s">
        <v>37</v>
      </c>
      <c r="AB1716" t="s">
        <v>38</v>
      </c>
      <c r="AC1716" s="7">
        <v>2</v>
      </c>
      <c r="AD1716" t="s">
        <v>39</v>
      </c>
      <c r="AE1716">
        <f t="shared" si="26"/>
        <v>0</v>
      </c>
    </row>
    <row r="1717" spans="1:31" x14ac:dyDescent="0.35">
      <c r="A1717">
        <v>101716</v>
      </c>
      <c r="B1717" s="3">
        <v>45945</v>
      </c>
      <c r="C1717">
        <v>1005</v>
      </c>
      <c r="D1717" t="s">
        <v>59</v>
      </c>
      <c r="E1717" t="s">
        <v>73</v>
      </c>
      <c r="F1717" t="s">
        <v>61</v>
      </c>
      <c r="G1717" t="s">
        <v>46</v>
      </c>
      <c r="H1717" t="s">
        <v>34</v>
      </c>
      <c r="I1717" t="s">
        <v>54</v>
      </c>
      <c r="J1717" s="4">
        <v>21.32</v>
      </c>
      <c r="K1717" s="4">
        <v>15.52</v>
      </c>
      <c r="L1717">
        <v>0</v>
      </c>
      <c r="M1717" s="4">
        <v>0</v>
      </c>
      <c r="N1717" s="4">
        <v>330.89</v>
      </c>
      <c r="O1717" s="4">
        <v>179.31</v>
      </c>
      <c r="P1717" s="4">
        <v>10.32</v>
      </c>
      <c r="Q1717" s="4">
        <v>3.97</v>
      </c>
      <c r="R1717" s="4">
        <v>5.76</v>
      </c>
      <c r="S1717" s="4">
        <v>0</v>
      </c>
      <c r="T1717" s="4">
        <v>0</v>
      </c>
      <c r="U1717" s="4">
        <v>199.36</v>
      </c>
      <c r="V1717" s="4">
        <v>131.53</v>
      </c>
      <c r="W1717" t="s">
        <v>21</v>
      </c>
      <c r="X1717" t="s">
        <v>36</v>
      </c>
      <c r="Y1717" s="4">
        <v>3</v>
      </c>
      <c r="Z1717" s="4">
        <v>6</v>
      </c>
      <c r="AA1717" t="s">
        <v>37</v>
      </c>
      <c r="AB1717" t="s">
        <v>38</v>
      </c>
      <c r="AC1717" s="7">
        <v>0</v>
      </c>
      <c r="AD1717" t="s">
        <v>39</v>
      </c>
      <c r="AE1717">
        <f t="shared" si="26"/>
        <v>0</v>
      </c>
    </row>
    <row r="1718" spans="1:31" x14ac:dyDescent="0.35">
      <c r="A1718">
        <v>101717</v>
      </c>
      <c r="B1718" s="3">
        <v>45998</v>
      </c>
      <c r="C1718">
        <v>1031</v>
      </c>
      <c r="D1718" t="s">
        <v>59</v>
      </c>
      <c r="E1718" t="s">
        <v>73</v>
      </c>
      <c r="F1718" t="s">
        <v>71</v>
      </c>
      <c r="G1718" t="s">
        <v>46</v>
      </c>
      <c r="H1718" t="s">
        <v>51</v>
      </c>
      <c r="I1718" t="s">
        <v>35</v>
      </c>
      <c r="J1718" s="4">
        <v>21.21</v>
      </c>
      <c r="K1718" s="4">
        <v>15.78</v>
      </c>
      <c r="L1718">
        <v>10</v>
      </c>
      <c r="M1718" s="4">
        <v>33.47</v>
      </c>
      <c r="N1718" s="4">
        <v>301.22000000000003</v>
      </c>
      <c r="O1718" s="4">
        <v>158</v>
      </c>
      <c r="P1718" s="4">
        <v>7.25</v>
      </c>
      <c r="Q1718" s="4">
        <v>2.34</v>
      </c>
      <c r="R1718" s="4">
        <v>6.62</v>
      </c>
      <c r="S1718" s="4">
        <v>163.04</v>
      </c>
      <c r="T1718" s="4">
        <v>1.89</v>
      </c>
      <c r="U1718" s="4">
        <v>339.14</v>
      </c>
      <c r="V1718" s="4">
        <v>-37.92</v>
      </c>
      <c r="W1718" t="s">
        <v>58</v>
      </c>
      <c r="X1718" t="s">
        <v>55</v>
      </c>
      <c r="Y1718" s="4">
        <v>3</v>
      </c>
      <c r="Z1718" s="4">
        <v>7</v>
      </c>
      <c r="AA1718" t="s">
        <v>37</v>
      </c>
      <c r="AB1718" t="s">
        <v>44</v>
      </c>
      <c r="AC1718" s="7">
        <v>3</v>
      </c>
      <c r="AD1718" t="s">
        <v>45</v>
      </c>
      <c r="AE1718">
        <f t="shared" si="26"/>
        <v>1</v>
      </c>
    </row>
    <row r="1719" spans="1:31" x14ac:dyDescent="0.35">
      <c r="A1719">
        <v>101718</v>
      </c>
      <c r="B1719" s="3">
        <v>45946</v>
      </c>
      <c r="C1719">
        <v>1047</v>
      </c>
      <c r="D1719" t="s">
        <v>64</v>
      </c>
      <c r="E1719" t="s">
        <v>65</v>
      </c>
      <c r="F1719" t="s">
        <v>61</v>
      </c>
      <c r="G1719" t="s">
        <v>46</v>
      </c>
      <c r="H1719" t="s">
        <v>34</v>
      </c>
      <c r="I1719" t="s">
        <v>54</v>
      </c>
      <c r="J1719" s="4">
        <v>28.32</v>
      </c>
      <c r="K1719" s="4">
        <v>14.69</v>
      </c>
      <c r="L1719">
        <v>5</v>
      </c>
      <c r="M1719" s="4">
        <v>20.8</v>
      </c>
      <c r="N1719" s="4">
        <v>395.22</v>
      </c>
      <c r="O1719" s="4">
        <v>171</v>
      </c>
      <c r="P1719" s="4">
        <v>5.0199999999999996</v>
      </c>
      <c r="Q1719" s="4">
        <v>4.99</v>
      </c>
      <c r="R1719" s="4">
        <v>7.03</v>
      </c>
      <c r="S1719" s="4">
        <v>0</v>
      </c>
      <c r="T1719" s="4">
        <v>0</v>
      </c>
      <c r="U1719" s="4">
        <v>188.04</v>
      </c>
      <c r="V1719" s="4">
        <v>207.18</v>
      </c>
      <c r="W1719" t="s">
        <v>21</v>
      </c>
      <c r="X1719" t="s">
        <v>36</v>
      </c>
      <c r="Y1719" s="4">
        <v>22</v>
      </c>
      <c r="Z1719" s="4">
        <v>7</v>
      </c>
      <c r="AA1719" t="s">
        <v>52</v>
      </c>
      <c r="AB1719" t="s">
        <v>44</v>
      </c>
      <c r="AC1719" s="7">
        <v>1</v>
      </c>
      <c r="AD1719" t="s">
        <v>45</v>
      </c>
      <c r="AE1719">
        <f t="shared" si="26"/>
        <v>1</v>
      </c>
    </row>
    <row r="1720" spans="1:31" x14ac:dyDescent="0.35">
      <c r="A1720">
        <v>101719</v>
      </c>
      <c r="B1720" s="3">
        <v>45935</v>
      </c>
      <c r="C1720">
        <v>1030</v>
      </c>
      <c r="D1720" t="s">
        <v>47</v>
      </c>
      <c r="E1720" t="s">
        <v>53</v>
      </c>
      <c r="F1720" t="s">
        <v>61</v>
      </c>
      <c r="G1720" t="s">
        <v>63</v>
      </c>
      <c r="H1720" t="s">
        <v>57</v>
      </c>
      <c r="I1720" t="s">
        <v>35</v>
      </c>
      <c r="J1720" s="4">
        <v>4.07</v>
      </c>
      <c r="K1720" s="4">
        <v>12.29</v>
      </c>
      <c r="L1720">
        <v>15</v>
      </c>
      <c r="M1720" s="4">
        <v>7.5</v>
      </c>
      <c r="N1720" s="4">
        <v>42.52</v>
      </c>
      <c r="O1720" s="4">
        <v>34.5</v>
      </c>
      <c r="P1720" s="4">
        <v>6.14</v>
      </c>
      <c r="Q1720" s="4">
        <v>0.35</v>
      </c>
      <c r="R1720" s="4">
        <v>9.81</v>
      </c>
      <c r="S1720" s="4">
        <v>0</v>
      </c>
      <c r="T1720" s="4">
        <v>0</v>
      </c>
      <c r="U1720" s="4">
        <v>50.8</v>
      </c>
      <c r="V1720" s="4">
        <v>-8.2799999999999994</v>
      </c>
      <c r="W1720" t="s">
        <v>58</v>
      </c>
      <c r="X1720" t="s">
        <v>36</v>
      </c>
      <c r="Y1720" s="4">
        <v>11</v>
      </c>
      <c r="Z1720" s="4">
        <v>9</v>
      </c>
      <c r="AA1720" t="s">
        <v>37</v>
      </c>
      <c r="AB1720" t="s">
        <v>38</v>
      </c>
      <c r="AC1720" s="7">
        <v>0</v>
      </c>
      <c r="AD1720" t="s">
        <v>45</v>
      </c>
      <c r="AE1720">
        <f t="shared" si="26"/>
        <v>0</v>
      </c>
    </row>
    <row r="1721" spans="1:31" x14ac:dyDescent="0.35">
      <c r="A1721">
        <v>101720</v>
      </c>
      <c r="B1721" s="3">
        <v>45978</v>
      </c>
      <c r="C1721">
        <v>1078</v>
      </c>
      <c r="D1721" t="s">
        <v>59</v>
      </c>
      <c r="E1721" t="s">
        <v>70</v>
      </c>
      <c r="F1721" t="s">
        <v>71</v>
      </c>
      <c r="G1721" t="s">
        <v>46</v>
      </c>
      <c r="H1721" t="s">
        <v>34</v>
      </c>
      <c r="I1721" t="s">
        <v>35</v>
      </c>
      <c r="J1721" s="4">
        <v>28.49</v>
      </c>
      <c r="K1721" s="4">
        <v>15.59</v>
      </c>
      <c r="L1721">
        <v>0</v>
      </c>
      <c r="M1721" s="4">
        <v>0</v>
      </c>
      <c r="N1721" s="4">
        <v>444.16</v>
      </c>
      <c r="O1721" s="4">
        <v>237.5</v>
      </c>
      <c r="P1721" s="4">
        <v>9.1199999999999992</v>
      </c>
      <c r="Q1721" s="4">
        <v>3.11</v>
      </c>
      <c r="R1721" s="4">
        <v>7.38</v>
      </c>
      <c r="S1721" s="4">
        <v>0</v>
      </c>
      <c r="T1721" s="4">
        <v>0</v>
      </c>
      <c r="U1721" s="4">
        <v>257.11</v>
      </c>
      <c r="V1721" s="4">
        <v>187.05</v>
      </c>
      <c r="W1721" t="s">
        <v>21</v>
      </c>
      <c r="X1721" t="s">
        <v>36</v>
      </c>
      <c r="Y1721" s="4">
        <v>4</v>
      </c>
      <c r="Z1721" s="4">
        <v>0</v>
      </c>
      <c r="AA1721" t="s">
        <v>37</v>
      </c>
      <c r="AB1721" t="s">
        <v>38</v>
      </c>
      <c r="AC1721" s="7">
        <v>0</v>
      </c>
      <c r="AD1721" t="s">
        <v>39</v>
      </c>
      <c r="AE1721">
        <f t="shared" si="26"/>
        <v>0</v>
      </c>
    </row>
    <row r="1722" spans="1:31" x14ac:dyDescent="0.35">
      <c r="A1722">
        <v>101721</v>
      </c>
      <c r="B1722" s="3">
        <v>46011</v>
      </c>
      <c r="C1722">
        <v>1112</v>
      </c>
      <c r="D1722" t="s">
        <v>59</v>
      </c>
      <c r="E1722" t="s">
        <v>73</v>
      </c>
      <c r="F1722" t="s">
        <v>71</v>
      </c>
      <c r="G1722" t="s">
        <v>63</v>
      </c>
      <c r="H1722" t="s">
        <v>34</v>
      </c>
      <c r="I1722" t="s">
        <v>69</v>
      </c>
      <c r="J1722" s="4">
        <v>29.53</v>
      </c>
      <c r="K1722" s="4">
        <v>12.78</v>
      </c>
      <c r="L1722">
        <v>0</v>
      </c>
      <c r="M1722" s="4">
        <v>0</v>
      </c>
      <c r="N1722" s="4">
        <v>377.39</v>
      </c>
      <c r="O1722" s="4">
        <v>231.62</v>
      </c>
      <c r="P1722" s="4">
        <v>8.43</v>
      </c>
      <c r="Q1722" s="4">
        <v>1.51</v>
      </c>
      <c r="R1722" s="4">
        <v>0.75</v>
      </c>
      <c r="S1722" s="4">
        <v>0</v>
      </c>
      <c r="T1722" s="4">
        <v>0</v>
      </c>
      <c r="U1722" s="4">
        <v>242.31</v>
      </c>
      <c r="V1722" s="4">
        <v>135.08000000000001</v>
      </c>
      <c r="W1722" t="s">
        <v>21</v>
      </c>
      <c r="X1722" t="s">
        <v>36</v>
      </c>
      <c r="Y1722" s="4">
        <v>16</v>
      </c>
      <c r="Z1722" s="4">
        <v>6</v>
      </c>
      <c r="AA1722" t="s">
        <v>52</v>
      </c>
      <c r="AB1722" t="s">
        <v>38</v>
      </c>
      <c r="AC1722" s="7">
        <v>0</v>
      </c>
      <c r="AD1722" t="s">
        <v>39</v>
      </c>
      <c r="AE1722">
        <f t="shared" si="26"/>
        <v>0</v>
      </c>
    </row>
    <row r="1723" spans="1:31" x14ac:dyDescent="0.35">
      <c r="A1723">
        <v>101722</v>
      </c>
      <c r="B1723" s="3">
        <v>45938</v>
      </c>
      <c r="C1723">
        <v>1145</v>
      </c>
      <c r="D1723" t="s">
        <v>59</v>
      </c>
      <c r="E1723" t="s">
        <v>70</v>
      </c>
      <c r="F1723" t="s">
        <v>71</v>
      </c>
      <c r="G1723" t="s">
        <v>46</v>
      </c>
      <c r="H1723" t="s">
        <v>57</v>
      </c>
      <c r="I1723" t="s">
        <v>54</v>
      </c>
      <c r="J1723" s="4">
        <v>36.119999999999997</v>
      </c>
      <c r="K1723" s="4">
        <v>15.31</v>
      </c>
      <c r="L1723">
        <v>15</v>
      </c>
      <c r="M1723" s="4">
        <v>82.95</v>
      </c>
      <c r="N1723" s="4">
        <v>470.05</v>
      </c>
      <c r="O1723" s="4">
        <v>273.63</v>
      </c>
      <c r="P1723" s="4">
        <v>9.2899999999999991</v>
      </c>
      <c r="Q1723" s="4">
        <v>6.64</v>
      </c>
      <c r="R1723" s="4">
        <v>3.76</v>
      </c>
      <c r="S1723" s="4">
        <v>0</v>
      </c>
      <c r="T1723" s="4">
        <v>0</v>
      </c>
      <c r="U1723" s="4">
        <v>293.32</v>
      </c>
      <c r="V1723" s="4">
        <v>176.73</v>
      </c>
      <c r="W1723" t="s">
        <v>21</v>
      </c>
      <c r="X1723" t="s">
        <v>36</v>
      </c>
      <c r="Y1723" s="4">
        <v>6</v>
      </c>
      <c r="Z1723" s="4">
        <v>4</v>
      </c>
      <c r="AA1723" t="s">
        <v>37</v>
      </c>
      <c r="AB1723" t="s">
        <v>38</v>
      </c>
      <c r="AC1723" s="7">
        <v>0</v>
      </c>
      <c r="AD1723" t="s">
        <v>39</v>
      </c>
      <c r="AE1723">
        <f t="shared" si="26"/>
        <v>0</v>
      </c>
    </row>
    <row r="1724" spans="1:31" x14ac:dyDescent="0.35">
      <c r="A1724">
        <v>101723</v>
      </c>
      <c r="B1724" s="3">
        <v>45976</v>
      </c>
      <c r="C1724">
        <v>1022</v>
      </c>
      <c r="D1724" t="s">
        <v>59</v>
      </c>
      <c r="E1724" t="s">
        <v>60</v>
      </c>
      <c r="F1724" t="s">
        <v>41</v>
      </c>
      <c r="G1724" t="s">
        <v>33</v>
      </c>
      <c r="H1724" t="s">
        <v>34</v>
      </c>
      <c r="I1724" t="s">
        <v>42</v>
      </c>
      <c r="J1724" s="4">
        <v>21.93</v>
      </c>
      <c r="K1724" s="4">
        <v>19.07</v>
      </c>
      <c r="L1724">
        <v>5</v>
      </c>
      <c r="M1724" s="4">
        <v>20.91</v>
      </c>
      <c r="N1724" s="4">
        <v>397.3</v>
      </c>
      <c r="O1724" s="4">
        <v>144.30000000000001</v>
      </c>
      <c r="P1724" s="4">
        <v>8.36</v>
      </c>
      <c r="Q1724" s="4">
        <v>6.27</v>
      </c>
      <c r="R1724" s="4">
        <v>9.73</v>
      </c>
      <c r="S1724" s="4">
        <v>0</v>
      </c>
      <c r="T1724" s="4">
        <v>0</v>
      </c>
      <c r="U1724" s="4">
        <v>168.66</v>
      </c>
      <c r="V1724" s="4">
        <v>228.64</v>
      </c>
      <c r="W1724" t="s">
        <v>21</v>
      </c>
      <c r="X1724" t="s">
        <v>36</v>
      </c>
      <c r="Y1724" s="4">
        <v>7</v>
      </c>
      <c r="Z1724" s="4">
        <v>1</v>
      </c>
      <c r="AA1724" t="s">
        <v>37</v>
      </c>
      <c r="AB1724" t="s">
        <v>38</v>
      </c>
      <c r="AC1724" s="7">
        <v>0</v>
      </c>
      <c r="AD1724" t="s">
        <v>39</v>
      </c>
      <c r="AE1724">
        <f t="shared" si="26"/>
        <v>0</v>
      </c>
    </row>
    <row r="1725" spans="1:31" x14ac:dyDescent="0.35">
      <c r="A1725">
        <v>101724</v>
      </c>
      <c r="B1725" s="3">
        <v>45980</v>
      </c>
      <c r="C1725">
        <v>1006</v>
      </c>
      <c r="D1725" t="s">
        <v>47</v>
      </c>
      <c r="E1725" t="s">
        <v>56</v>
      </c>
      <c r="F1725" t="s">
        <v>49</v>
      </c>
      <c r="G1725" t="s">
        <v>50</v>
      </c>
      <c r="H1725" t="s">
        <v>34</v>
      </c>
      <c r="I1725" t="s">
        <v>35</v>
      </c>
      <c r="J1725" s="4">
        <v>22.38</v>
      </c>
      <c r="K1725" s="4">
        <v>17.8</v>
      </c>
      <c r="L1725">
        <v>0</v>
      </c>
      <c r="M1725" s="4">
        <v>0</v>
      </c>
      <c r="N1725" s="4">
        <v>398.36</v>
      </c>
      <c r="O1725" s="4">
        <v>170.15</v>
      </c>
      <c r="P1725" s="4">
        <v>6.91</v>
      </c>
      <c r="Q1725" s="4">
        <v>2.79</v>
      </c>
      <c r="R1725" s="4">
        <v>8.39</v>
      </c>
      <c r="S1725" s="4">
        <v>0</v>
      </c>
      <c r="T1725" s="4">
        <v>0</v>
      </c>
      <c r="U1725" s="4">
        <v>188.24</v>
      </c>
      <c r="V1725" s="4">
        <v>210.12</v>
      </c>
      <c r="W1725" t="s">
        <v>21</v>
      </c>
      <c r="X1725" t="s">
        <v>36</v>
      </c>
      <c r="Y1725" s="4">
        <v>2</v>
      </c>
      <c r="Z1725" s="4">
        <v>40</v>
      </c>
      <c r="AA1725" t="s">
        <v>37</v>
      </c>
      <c r="AB1725" t="s">
        <v>44</v>
      </c>
      <c r="AC1725" s="7">
        <v>1</v>
      </c>
      <c r="AD1725" t="s">
        <v>45</v>
      </c>
      <c r="AE1725">
        <f t="shared" si="26"/>
        <v>1</v>
      </c>
    </row>
    <row r="1726" spans="1:31" x14ac:dyDescent="0.35">
      <c r="A1726">
        <v>101725</v>
      </c>
      <c r="B1726" s="3">
        <v>45966</v>
      </c>
      <c r="C1726">
        <v>1002</v>
      </c>
      <c r="D1726" t="s">
        <v>64</v>
      </c>
      <c r="E1726" t="s">
        <v>67</v>
      </c>
      <c r="F1726" t="s">
        <v>49</v>
      </c>
      <c r="G1726" t="s">
        <v>63</v>
      </c>
      <c r="H1726" t="s">
        <v>57</v>
      </c>
      <c r="I1726" t="s">
        <v>35</v>
      </c>
      <c r="J1726" s="4">
        <v>21.32</v>
      </c>
      <c r="K1726" s="4">
        <v>13.81</v>
      </c>
      <c r="L1726">
        <v>10</v>
      </c>
      <c r="M1726" s="4">
        <v>29.44</v>
      </c>
      <c r="N1726" s="4">
        <v>264.99</v>
      </c>
      <c r="O1726" s="4">
        <v>171.27</v>
      </c>
      <c r="P1726" s="4">
        <v>9.4700000000000006</v>
      </c>
      <c r="Q1726" s="4">
        <v>2.06</v>
      </c>
      <c r="R1726" s="4">
        <v>1.39</v>
      </c>
      <c r="S1726" s="4">
        <v>0</v>
      </c>
      <c r="T1726" s="4">
        <v>0</v>
      </c>
      <c r="U1726" s="4">
        <v>184.19</v>
      </c>
      <c r="V1726" s="4">
        <v>80.8</v>
      </c>
      <c r="W1726" t="s">
        <v>21</v>
      </c>
      <c r="X1726" t="s">
        <v>36</v>
      </c>
      <c r="Y1726" s="4">
        <v>3</v>
      </c>
      <c r="Z1726" s="4">
        <v>8</v>
      </c>
      <c r="AA1726" t="s">
        <v>37</v>
      </c>
      <c r="AB1726" t="s">
        <v>38</v>
      </c>
      <c r="AC1726" s="7">
        <v>0</v>
      </c>
      <c r="AD1726" t="s">
        <v>39</v>
      </c>
      <c r="AE1726">
        <f t="shared" si="26"/>
        <v>0</v>
      </c>
    </row>
    <row r="1727" spans="1:31" x14ac:dyDescent="0.35">
      <c r="A1727">
        <v>101726</v>
      </c>
      <c r="B1727" s="3">
        <v>45986</v>
      </c>
      <c r="C1727">
        <v>1008</v>
      </c>
      <c r="D1727" t="s">
        <v>30</v>
      </c>
      <c r="E1727" t="s">
        <v>72</v>
      </c>
      <c r="F1727" t="s">
        <v>71</v>
      </c>
      <c r="G1727" t="s">
        <v>63</v>
      </c>
      <c r="H1727" t="s">
        <v>34</v>
      </c>
      <c r="I1727" t="s">
        <v>35</v>
      </c>
      <c r="J1727" s="4">
        <v>32.520000000000003</v>
      </c>
      <c r="K1727" s="4">
        <v>12.66</v>
      </c>
      <c r="L1727">
        <v>5</v>
      </c>
      <c r="M1727" s="4">
        <v>20.58</v>
      </c>
      <c r="N1727" s="4">
        <v>391.12</v>
      </c>
      <c r="O1727" s="4">
        <v>277.62</v>
      </c>
      <c r="P1727" s="4">
        <v>5</v>
      </c>
      <c r="Q1727" s="4">
        <v>2.88</v>
      </c>
      <c r="R1727" s="4">
        <v>7.27</v>
      </c>
      <c r="S1727" s="4">
        <v>329.8</v>
      </c>
      <c r="T1727" s="4">
        <v>0</v>
      </c>
      <c r="U1727" s="4">
        <v>622.57000000000005</v>
      </c>
      <c r="V1727" s="4">
        <v>-231.45</v>
      </c>
      <c r="W1727" t="s">
        <v>58</v>
      </c>
      <c r="X1727" t="s">
        <v>66</v>
      </c>
      <c r="Y1727" s="4">
        <v>2</v>
      </c>
      <c r="Z1727" s="4">
        <v>6</v>
      </c>
      <c r="AA1727" t="s">
        <v>37</v>
      </c>
      <c r="AB1727" t="s">
        <v>38</v>
      </c>
      <c r="AC1727" s="7">
        <v>1</v>
      </c>
      <c r="AD1727" t="s">
        <v>45</v>
      </c>
      <c r="AE1727">
        <f t="shared" si="26"/>
        <v>0</v>
      </c>
    </row>
    <row r="1728" spans="1:31" x14ac:dyDescent="0.35">
      <c r="A1728">
        <v>101727</v>
      </c>
      <c r="B1728" s="3">
        <v>46009</v>
      </c>
      <c r="C1728">
        <v>1052</v>
      </c>
      <c r="D1728" t="s">
        <v>59</v>
      </c>
      <c r="E1728" t="s">
        <v>70</v>
      </c>
      <c r="F1728" t="s">
        <v>71</v>
      </c>
      <c r="G1728" t="s">
        <v>63</v>
      </c>
      <c r="H1728" t="s">
        <v>34</v>
      </c>
      <c r="I1728" t="s">
        <v>35</v>
      </c>
      <c r="J1728" s="4">
        <v>16.03</v>
      </c>
      <c r="K1728" s="4">
        <v>13.13</v>
      </c>
      <c r="L1728">
        <v>10</v>
      </c>
      <c r="M1728" s="4">
        <v>21.05</v>
      </c>
      <c r="N1728" s="4">
        <v>189.42</v>
      </c>
      <c r="O1728" s="4">
        <v>122.63</v>
      </c>
      <c r="P1728" s="4">
        <v>5</v>
      </c>
      <c r="Q1728" s="4">
        <v>1.47</v>
      </c>
      <c r="R1728" s="4">
        <v>6.4</v>
      </c>
      <c r="S1728" s="4">
        <v>0</v>
      </c>
      <c r="T1728" s="4">
        <v>0</v>
      </c>
      <c r="U1728" s="4">
        <v>135.5</v>
      </c>
      <c r="V1728" s="4">
        <v>53.92</v>
      </c>
      <c r="W1728" t="s">
        <v>21</v>
      </c>
      <c r="X1728" t="s">
        <v>36</v>
      </c>
      <c r="Y1728" s="4">
        <v>1</v>
      </c>
      <c r="Z1728" s="4">
        <v>7</v>
      </c>
      <c r="AA1728" t="s">
        <v>37</v>
      </c>
      <c r="AB1728" t="s">
        <v>38</v>
      </c>
      <c r="AC1728" s="7">
        <v>2</v>
      </c>
      <c r="AD1728" t="s">
        <v>39</v>
      </c>
      <c r="AE1728">
        <f t="shared" si="26"/>
        <v>0</v>
      </c>
    </row>
    <row r="1729" spans="1:31" x14ac:dyDescent="0.35">
      <c r="A1729">
        <v>101728</v>
      </c>
      <c r="B1729" s="3">
        <v>45956</v>
      </c>
      <c r="C1729">
        <v>1060</v>
      </c>
      <c r="D1729" t="s">
        <v>47</v>
      </c>
      <c r="E1729" t="s">
        <v>56</v>
      </c>
      <c r="F1729" t="s">
        <v>32</v>
      </c>
      <c r="G1729" t="s">
        <v>63</v>
      </c>
      <c r="H1729" t="s">
        <v>34</v>
      </c>
      <c r="I1729" t="s">
        <v>69</v>
      </c>
      <c r="J1729" s="4">
        <v>3</v>
      </c>
      <c r="K1729" s="4">
        <v>12.94</v>
      </c>
      <c r="L1729">
        <v>5</v>
      </c>
      <c r="M1729" s="4">
        <v>1.94</v>
      </c>
      <c r="N1729" s="4">
        <v>36.880000000000003</v>
      </c>
      <c r="O1729" s="4">
        <v>21.53</v>
      </c>
      <c r="P1729" s="4">
        <v>8.33</v>
      </c>
      <c r="Q1729" s="4">
        <v>0.16</v>
      </c>
      <c r="R1729" s="4">
        <v>2.94</v>
      </c>
      <c r="S1729" s="4">
        <v>0</v>
      </c>
      <c r="T1729" s="4">
        <v>0</v>
      </c>
      <c r="U1729" s="4">
        <v>32.96</v>
      </c>
      <c r="V1729" s="4">
        <v>3.92</v>
      </c>
      <c r="W1729" t="s">
        <v>21</v>
      </c>
      <c r="X1729" t="s">
        <v>36</v>
      </c>
      <c r="Y1729" s="4">
        <v>0</v>
      </c>
      <c r="Z1729" s="4">
        <v>0</v>
      </c>
      <c r="AA1729" t="s">
        <v>37</v>
      </c>
      <c r="AB1729" t="s">
        <v>38</v>
      </c>
      <c r="AC1729" s="7">
        <v>1</v>
      </c>
      <c r="AD1729" t="s">
        <v>39</v>
      </c>
      <c r="AE1729">
        <f t="shared" si="26"/>
        <v>0</v>
      </c>
    </row>
    <row r="1730" spans="1:31" x14ac:dyDescent="0.35">
      <c r="A1730">
        <v>101729</v>
      </c>
      <c r="B1730" s="3">
        <v>46005</v>
      </c>
      <c r="C1730">
        <v>1123</v>
      </c>
      <c r="D1730" t="s">
        <v>59</v>
      </c>
      <c r="E1730" t="s">
        <v>70</v>
      </c>
      <c r="F1730" t="s">
        <v>61</v>
      </c>
      <c r="G1730" t="s">
        <v>46</v>
      </c>
      <c r="H1730" t="s">
        <v>34</v>
      </c>
      <c r="I1730" t="s">
        <v>54</v>
      </c>
      <c r="J1730" s="4">
        <v>35.01</v>
      </c>
      <c r="K1730" s="4">
        <v>17.07</v>
      </c>
      <c r="L1730">
        <v>0</v>
      </c>
      <c r="M1730" s="4">
        <v>0</v>
      </c>
      <c r="N1730" s="4">
        <v>597.62</v>
      </c>
      <c r="O1730" s="4">
        <v>220</v>
      </c>
      <c r="P1730" s="4">
        <v>8.44</v>
      </c>
      <c r="Q1730" s="4">
        <v>7.17</v>
      </c>
      <c r="R1730" s="4">
        <v>3.54</v>
      </c>
      <c r="S1730" s="4">
        <v>0</v>
      </c>
      <c r="T1730" s="4">
        <v>0</v>
      </c>
      <c r="U1730" s="4">
        <v>239.15</v>
      </c>
      <c r="V1730" s="4">
        <v>358.47</v>
      </c>
      <c r="W1730" t="s">
        <v>21</v>
      </c>
      <c r="X1730" t="s">
        <v>36</v>
      </c>
      <c r="Y1730" s="4">
        <v>15</v>
      </c>
      <c r="Z1730" s="4">
        <v>1</v>
      </c>
      <c r="AA1730" t="s">
        <v>37</v>
      </c>
      <c r="AB1730" t="s">
        <v>38</v>
      </c>
      <c r="AC1730" s="7">
        <v>1</v>
      </c>
      <c r="AD1730" t="s">
        <v>39</v>
      </c>
      <c r="AE1730">
        <f t="shared" si="26"/>
        <v>0</v>
      </c>
    </row>
    <row r="1731" spans="1:31" x14ac:dyDescent="0.35">
      <c r="A1731">
        <v>101730</v>
      </c>
      <c r="B1731" s="3">
        <v>45971</v>
      </c>
      <c r="C1731">
        <v>1131</v>
      </c>
      <c r="D1731" t="s">
        <v>59</v>
      </c>
      <c r="E1731" t="s">
        <v>60</v>
      </c>
      <c r="F1731" t="s">
        <v>49</v>
      </c>
      <c r="G1731" t="s">
        <v>33</v>
      </c>
      <c r="H1731" t="s">
        <v>51</v>
      </c>
      <c r="I1731" t="s">
        <v>54</v>
      </c>
      <c r="J1731" s="4">
        <v>28.26</v>
      </c>
      <c r="K1731" s="4">
        <v>19.68</v>
      </c>
      <c r="L1731">
        <v>10</v>
      </c>
      <c r="M1731" s="4">
        <v>55.62</v>
      </c>
      <c r="N1731" s="4">
        <v>500.54</v>
      </c>
      <c r="O1731" s="4">
        <v>201.19</v>
      </c>
      <c r="P1731" s="4">
        <v>6.38</v>
      </c>
      <c r="Q1731" s="4">
        <v>6.67</v>
      </c>
      <c r="R1731" s="4">
        <v>10</v>
      </c>
      <c r="S1731" s="4">
        <v>0</v>
      </c>
      <c r="T1731" s="4">
        <v>0</v>
      </c>
      <c r="U1731" s="4">
        <v>224.24</v>
      </c>
      <c r="V1731" s="4">
        <v>276.3</v>
      </c>
      <c r="W1731" t="s">
        <v>21</v>
      </c>
      <c r="X1731" t="s">
        <v>36</v>
      </c>
      <c r="Y1731" s="4">
        <v>1</v>
      </c>
      <c r="Z1731" s="4">
        <v>2</v>
      </c>
      <c r="AA1731" t="s">
        <v>37</v>
      </c>
      <c r="AB1731" t="s">
        <v>38</v>
      </c>
      <c r="AC1731" s="7">
        <v>0</v>
      </c>
      <c r="AD1731" t="s">
        <v>39</v>
      </c>
      <c r="AE1731">
        <f t="shared" ref="AE1731:AE1794" si="27">IF(AB1731="Yes",1,0)</f>
        <v>0</v>
      </c>
    </row>
    <row r="1732" spans="1:31" x14ac:dyDescent="0.35">
      <c r="A1732">
        <v>101731</v>
      </c>
      <c r="B1732" s="3">
        <v>45994</v>
      </c>
      <c r="C1732">
        <v>1092</v>
      </c>
      <c r="D1732" t="s">
        <v>30</v>
      </c>
      <c r="E1732" t="s">
        <v>40</v>
      </c>
      <c r="F1732" t="s">
        <v>41</v>
      </c>
      <c r="G1732" t="s">
        <v>46</v>
      </c>
      <c r="H1732" t="s">
        <v>34</v>
      </c>
      <c r="I1732" t="s">
        <v>54</v>
      </c>
      <c r="J1732" s="4">
        <v>24.24</v>
      </c>
      <c r="K1732" s="4">
        <v>16.38</v>
      </c>
      <c r="L1732">
        <v>10</v>
      </c>
      <c r="M1732" s="4">
        <v>39.71</v>
      </c>
      <c r="N1732" s="4">
        <v>357.34</v>
      </c>
      <c r="O1732" s="4">
        <v>160.46</v>
      </c>
      <c r="P1732" s="4">
        <v>5.5</v>
      </c>
      <c r="Q1732" s="4">
        <v>4.76</v>
      </c>
      <c r="R1732" s="4">
        <v>6.07</v>
      </c>
      <c r="S1732" s="4">
        <v>0</v>
      </c>
      <c r="T1732" s="4">
        <v>0</v>
      </c>
      <c r="U1732" s="4">
        <v>176.79</v>
      </c>
      <c r="V1732" s="4">
        <v>180.55</v>
      </c>
      <c r="W1732" t="s">
        <v>21</v>
      </c>
      <c r="X1732" t="s">
        <v>36</v>
      </c>
      <c r="Y1732" s="4">
        <v>30</v>
      </c>
      <c r="Z1732" s="4">
        <v>1</v>
      </c>
      <c r="AA1732" t="s">
        <v>52</v>
      </c>
      <c r="AB1732" t="s">
        <v>44</v>
      </c>
      <c r="AC1732" s="7">
        <v>2</v>
      </c>
      <c r="AD1732" t="s">
        <v>45</v>
      </c>
      <c r="AE1732">
        <f t="shared" si="27"/>
        <v>1</v>
      </c>
    </row>
    <row r="1733" spans="1:31" x14ac:dyDescent="0.35">
      <c r="A1733">
        <v>101732</v>
      </c>
      <c r="B1733" s="3">
        <v>46013</v>
      </c>
      <c r="C1733">
        <v>1131</v>
      </c>
      <c r="D1733" t="s">
        <v>30</v>
      </c>
      <c r="E1733" t="s">
        <v>72</v>
      </c>
      <c r="F1733" t="s">
        <v>41</v>
      </c>
      <c r="G1733" t="s">
        <v>63</v>
      </c>
      <c r="H1733" t="s">
        <v>34</v>
      </c>
      <c r="I1733" t="s">
        <v>69</v>
      </c>
      <c r="J1733" s="4">
        <v>29.12</v>
      </c>
      <c r="K1733" s="4">
        <v>11.5</v>
      </c>
      <c r="L1733">
        <v>5</v>
      </c>
      <c r="M1733" s="4">
        <v>16.739999999999998</v>
      </c>
      <c r="N1733" s="4">
        <v>318.14</v>
      </c>
      <c r="O1733" s="4">
        <v>217.22</v>
      </c>
      <c r="P1733" s="4">
        <v>11.69</v>
      </c>
      <c r="Q1733" s="4">
        <v>1.34</v>
      </c>
      <c r="R1733" s="4">
        <v>6.53</v>
      </c>
      <c r="S1733" s="4">
        <v>0</v>
      </c>
      <c r="T1733" s="4">
        <v>0</v>
      </c>
      <c r="U1733" s="4">
        <v>236.78</v>
      </c>
      <c r="V1733" s="4">
        <v>81.36</v>
      </c>
      <c r="W1733" t="s">
        <v>21</v>
      </c>
      <c r="X1733" t="s">
        <v>36</v>
      </c>
      <c r="Y1733" s="4">
        <v>22</v>
      </c>
      <c r="Z1733" s="4">
        <v>0</v>
      </c>
      <c r="AA1733" t="s">
        <v>52</v>
      </c>
      <c r="AB1733" t="s">
        <v>44</v>
      </c>
      <c r="AC1733" s="7">
        <v>2</v>
      </c>
      <c r="AD1733" t="s">
        <v>45</v>
      </c>
      <c r="AE1733">
        <f t="shared" si="27"/>
        <v>1</v>
      </c>
    </row>
    <row r="1734" spans="1:31" x14ac:dyDescent="0.35">
      <c r="A1734">
        <v>101733</v>
      </c>
      <c r="B1734" s="3">
        <v>45965</v>
      </c>
      <c r="C1734">
        <v>1013</v>
      </c>
      <c r="D1734" t="s">
        <v>59</v>
      </c>
      <c r="E1734" t="s">
        <v>73</v>
      </c>
      <c r="F1734" t="s">
        <v>41</v>
      </c>
      <c r="G1734" t="s">
        <v>50</v>
      </c>
      <c r="H1734" t="s">
        <v>34</v>
      </c>
      <c r="I1734" t="s">
        <v>35</v>
      </c>
      <c r="J1734" s="4">
        <v>37.33</v>
      </c>
      <c r="K1734" s="4">
        <v>17.28</v>
      </c>
      <c r="L1734">
        <v>0</v>
      </c>
      <c r="M1734" s="4">
        <v>0</v>
      </c>
      <c r="N1734" s="4">
        <v>645.05999999999995</v>
      </c>
      <c r="O1734" s="4">
        <v>315.79000000000002</v>
      </c>
      <c r="P1734" s="4">
        <v>8.35</v>
      </c>
      <c r="Q1734" s="4">
        <v>4.5199999999999996</v>
      </c>
      <c r="R1734" s="4">
        <v>11.86</v>
      </c>
      <c r="S1734" s="4">
        <v>0</v>
      </c>
      <c r="T1734" s="4">
        <v>0</v>
      </c>
      <c r="U1734" s="4">
        <v>340.52</v>
      </c>
      <c r="V1734" s="4">
        <v>304.54000000000002</v>
      </c>
      <c r="W1734" t="s">
        <v>21</v>
      </c>
      <c r="X1734" t="s">
        <v>36</v>
      </c>
      <c r="Y1734" s="4">
        <v>11</v>
      </c>
      <c r="Z1734" s="4">
        <v>2</v>
      </c>
      <c r="AA1734" t="s">
        <v>37</v>
      </c>
      <c r="AB1734" t="s">
        <v>38</v>
      </c>
      <c r="AC1734" s="7">
        <v>0</v>
      </c>
      <c r="AD1734" t="s">
        <v>39</v>
      </c>
      <c r="AE1734">
        <f t="shared" si="27"/>
        <v>0</v>
      </c>
    </row>
    <row r="1735" spans="1:31" x14ac:dyDescent="0.35">
      <c r="A1735">
        <v>101734</v>
      </c>
      <c r="B1735" s="3">
        <v>45964</v>
      </c>
      <c r="C1735">
        <v>1129</v>
      </c>
      <c r="D1735" t="s">
        <v>30</v>
      </c>
      <c r="E1735" t="s">
        <v>72</v>
      </c>
      <c r="F1735" t="s">
        <v>61</v>
      </c>
      <c r="G1735" t="s">
        <v>63</v>
      </c>
      <c r="H1735" t="s">
        <v>34</v>
      </c>
      <c r="I1735" t="s">
        <v>35</v>
      </c>
      <c r="J1735" s="4">
        <v>19.7</v>
      </c>
      <c r="K1735" s="4">
        <v>12.53</v>
      </c>
      <c r="L1735">
        <v>0</v>
      </c>
      <c r="M1735" s="4">
        <v>0</v>
      </c>
      <c r="N1735" s="4">
        <v>246.84</v>
      </c>
      <c r="O1735" s="4">
        <v>138.05000000000001</v>
      </c>
      <c r="P1735" s="4">
        <v>3.93</v>
      </c>
      <c r="Q1735" s="4">
        <v>1.73</v>
      </c>
      <c r="R1735" s="4">
        <v>2.08</v>
      </c>
      <c r="S1735" s="4">
        <v>0</v>
      </c>
      <c r="T1735" s="4">
        <v>0</v>
      </c>
      <c r="U1735" s="4">
        <v>145.79</v>
      </c>
      <c r="V1735" s="4">
        <v>101.05</v>
      </c>
      <c r="W1735" t="s">
        <v>21</v>
      </c>
      <c r="X1735" t="s">
        <v>36</v>
      </c>
      <c r="Y1735" s="4">
        <v>17</v>
      </c>
      <c r="Z1735" s="4">
        <v>18</v>
      </c>
      <c r="AA1735" t="s">
        <v>52</v>
      </c>
      <c r="AB1735" t="s">
        <v>44</v>
      </c>
      <c r="AC1735" s="7">
        <v>2</v>
      </c>
      <c r="AD1735" t="s">
        <v>45</v>
      </c>
      <c r="AE1735">
        <f t="shared" si="27"/>
        <v>1</v>
      </c>
    </row>
    <row r="1736" spans="1:31" x14ac:dyDescent="0.35">
      <c r="A1736">
        <v>101735</v>
      </c>
      <c r="B1736" s="3">
        <v>46020</v>
      </c>
      <c r="C1736">
        <v>1117</v>
      </c>
      <c r="D1736" t="s">
        <v>64</v>
      </c>
      <c r="E1736" t="s">
        <v>67</v>
      </c>
      <c r="F1736" t="s">
        <v>41</v>
      </c>
      <c r="G1736" t="s">
        <v>50</v>
      </c>
      <c r="H1736" t="s">
        <v>57</v>
      </c>
      <c r="I1736" t="s">
        <v>54</v>
      </c>
      <c r="J1736" s="4">
        <v>21.84</v>
      </c>
      <c r="K1736" s="4">
        <v>17.97</v>
      </c>
      <c r="L1736">
        <v>10</v>
      </c>
      <c r="M1736" s="4">
        <v>39.25</v>
      </c>
      <c r="N1736" s="4">
        <v>353.21</v>
      </c>
      <c r="O1736" s="4">
        <v>148.91</v>
      </c>
      <c r="P1736" s="4">
        <v>7.4</v>
      </c>
      <c r="Q1736" s="4">
        <v>4.71</v>
      </c>
      <c r="R1736" s="4">
        <v>10.09</v>
      </c>
      <c r="S1736" s="4">
        <v>0</v>
      </c>
      <c r="T1736" s="4">
        <v>0</v>
      </c>
      <c r="U1736" s="4">
        <v>171.11</v>
      </c>
      <c r="V1736" s="4">
        <v>182.1</v>
      </c>
      <c r="W1736" t="s">
        <v>21</v>
      </c>
      <c r="X1736" t="s">
        <v>36</v>
      </c>
      <c r="Y1736" s="4">
        <v>10</v>
      </c>
      <c r="Z1736" s="4">
        <v>13</v>
      </c>
      <c r="AA1736" t="s">
        <v>37</v>
      </c>
      <c r="AB1736" t="s">
        <v>38</v>
      </c>
      <c r="AC1736" s="7">
        <v>0</v>
      </c>
      <c r="AD1736" t="s">
        <v>39</v>
      </c>
      <c r="AE1736">
        <f t="shared" si="27"/>
        <v>0</v>
      </c>
    </row>
    <row r="1737" spans="1:31" x14ac:dyDescent="0.35">
      <c r="A1737">
        <v>101736</v>
      </c>
      <c r="B1737" s="3">
        <v>46010</v>
      </c>
      <c r="C1737">
        <v>1006</v>
      </c>
      <c r="D1737" t="s">
        <v>30</v>
      </c>
      <c r="E1737" t="s">
        <v>40</v>
      </c>
      <c r="F1737" t="s">
        <v>61</v>
      </c>
      <c r="G1737" t="s">
        <v>63</v>
      </c>
      <c r="H1737" t="s">
        <v>34</v>
      </c>
      <c r="I1737" t="s">
        <v>35</v>
      </c>
      <c r="J1737" s="4">
        <v>15.9</v>
      </c>
      <c r="K1737" s="4">
        <v>12.75</v>
      </c>
      <c r="L1737">
        <v>0</v>
      </c>
      <c r="M1737" s="4">
        <v>0</v>
      </c>
      <c r="N1737" s="4">
        <v>202.72</v>
      </c>
      <c r="O1737" s="4">
        <v>132.38999999999999</v>
      </c>
      <c r="P1737" s="4">
        <v>9.2899999999999991</v>
      </c>
      <c r="Q1737" s="4">
        <v>1.42</v>
      </c>
      <c r="R1737" s="4">
        <v>8.23</v>
      </c>
      <c r="S1737" s="4">
        <v>0</v>
      </c>
      <c r="T1737" s="4">
        <v>0</v>
      </c>
      <c r="U1737" s="4">
        <v>151.33000000000001</v>
      </c>
      <c r="V1737" s="4">
        <v>51.39</v>
      </c>
      <c r="W1737" t="s">
        <v>21</v>
      </c>
      <c r="X1737" t="s">
        <v>36</v>
      </c>
      <c r="Y1737" s="4">
        <v>3</v>
      </c>
      <c r="Z1737" s="4">
        <v>15</v>
      </c>
      <c r="AA1737" t="s">
        <v>37</v>
      </c>
      <c r="AB1737" t="s">
        <v>38</v>
      </c>
      <c r="AC1737" s="7">
        <v>0</v>
      </c>
      <c r="AD1737" t="s">
        <v>39</v>
      </c>
      <c r="AE1737">
        <f t="shared" si="27"/>
        <v>0</v>
      </c>
    </row>
    <row r="1738" spans="1:31" x14ac:dyDescent="0.35">
      <c r="A1738">
        <v>101737</v>
      </c>
      <c r="B1738" s="3">
        <v>45955</v>
      </c>
      <c r="C1738">
        <v>1096</v>
      </c>
      <c r="D1738" t="s">
        <v>47</v>
      </c>
      <c r="E1738" t="s">
        <v>56</v>
      </c>
      <c r="F1738" t="s">
        <v>71</v>
      </c>
      <c r="G1738" t="s">
        <v>63</v>
      </c>
      <c r="H1738" t="s">
        <v>34</v>
      </c>
      <c r="I1738" t="s">
        <v>42</v>
      </c>
      <c r="J1738" s="4">
        <v>20.149999999999999</v>
      </c>
      <c r="K1738" s="4">
        <v>11.95</v>
      </c>
      <c r="L1738">
        <v>20</v>
      </c>
      <c r="M1738" s="4">
        <v>48.16</v>
      </c>
      <c r="N1738" s="4">
        <v>192.63</v>
      </c>
      <c r="O1738" s="4">
        <v>131.97</v>
      </c>
      <c r="P1738" s="4">
        <v>4.8600000000000003</v>
      </c>
      <c r="Q1738" s="4">
        <v>3.61</v>
      </c>
      <c r="R1738" s="4">
        <v>0</v>
      </c>
      <c r="S1738" s="4">
        <v>0</v>
      </c>
      <c r="T1738" s="4">
        <v>0</v>
      </c>
      <c r="U1738" s="4">
        <v>140.44</v>
      </c>
      <c r="V1738" s="4">
        <v>52.19</v>
      </c>
      <c r="W1738" t="s">
        <v>21</v>
      </c>
      <c r="X1738" t="s">
        <v>36</v>
      </c>
      <c r="Y1738" s="4">
        <v>1</v>
      </c>
      <c r="Z1738" s="4">
        <v>0</v>
      </c>
      <c r="AA1738" t="s">
        <v>37</v>
      </c>
      <c r="AB1738" t="s">
        <v>38</v>
      </c>
      <c r="AC1738" s="7">
        <v>0</v>
      </c>
      <c r="AD1738" t="s">
        <v>39</v>
      </c>
      <c r="AE1738">
        <f t="shared" si="27"/>
        <v>0</v>
      </c>
    </row>
    <row r="1739" spans="1:31" x14ac:dyDescent="0.35">
      <c r="A1739">
        <v>101738</v>
      </c>
      <c r="B1739" s="3">
        <v>46016</v>
      </c>
      <c r="C1739">
        <v>1078</v>
      </c>
      <c r="D1739" t="s">
        <v>30</v>
      </c>
      <c r="E1739" t="s">
        <v>62</v>
      </c>
      <c r="F1739" t="s">
        <v>41</v>
      </c>
      <c r="G1739" t="s">
        <v>63</v>
      </c>
      <c r="H1739" t="s">
        <v>57</v>
      </c>
      <c r="I1739" t="s">
        <v>54</v>
      </c>
      <c r="J1739" s="4">
        <v>16.34</v>
      </c>
      <c r="K1739" s="4">
        <v>12.92</v>
      </c>
      <c r="L1739">
        <v>0</v>
      </c>
      <c r="M1739" s="4">
        <v>0</v>
      </c>
      <c r="N1739" s="4">
        <v>211.11</v>
      </c>
      <c r="O1739" s="4">
        <v>123.65</v>
      </c>
      <c r="P1739" s="4">
        <v>9.8699999999999992</v>
      </c>
      <c r="Q1739" s="4">
        <v>2.5299999999999998</v>
      </c>
      <c r="R1739" s="4">
        <v>3.55</v>
      </c>
      <c r="S1739" s="4">
        <v>0</v>
      </c>
      <c r="T1739" s="4">
        <v>0</v>
      </c>
      <c r="U1739" s="4">
        <v>139.6</v>
      </c>
      <c r="V1739" s="4">
        <v>71.510000000000005</v>
      </c>
      <c r="W1739" t="s">
        <v>21</v>
      </c>
      <c r="X1739" t="s">
        <v>36</v>
      </c>
      <c r="Y1739" s="4">
        <v>8</v>
      </c>
      <c r="Z1739" s="4">
        <v>1</v>
      </c>
      <c r="AA1739" t="s">
        <v>37</v>
      </c>
      <c r="AB1739" t="s">
        <v>38</v>
      </c>
      <c r="AC1739" s="7">
        <v>0</v>
      </c>
      <c r="AD1739" t="s">
        <v>39</v>
      </c>
      <c r="AE1739">
        <f t="shared" si="27"/>
        <v>0</v>
      </c>
    </row>
    <row r="1740" spans="1:31" x14ac:dyDescent="0.35">
      <c r="A1740">
        <v>101739</v>
      </c>
      <c r="B1740" s="3">
        <v>45966</v>
      </c>
      <c r="C1740">
        <v>1130</v>
      </c>
      <c r="D1740" t="s">
        <v>59</v>
      </c>
      <c r="E1740" t="s">
        <v>60</v>
      </c>
      <c r="F1740" t="s">
        <v>41</v>
      </c>
      <c r="G1740" t="s">
        <v>50</v>
      </c>
      <c r="H1740" t="s">
        <v>57</v>
      </c>
      <c r="I1740" t="s">
        <v>35</v>
      </c>
      <c r="J1740" s="4">
        <v>29.74</v>
      </c>
      <c r="K1740" s="4">
        <v>17.079999999999998</v>
      </c>
      <c r="L1740">
        <v>15</v>
      </c>
      <c r="M1740" s="4">
        <v>76.19</v>
      </c>
      <c r="N1740" s="4">
        <v>431.77</v>
      </c>
      <c r="O1740" s="4">
        <v>172.26</v>
      </c>
      <c r="P1740" s="4">
        <v>4.6500000000000004</v>
      </c>
      <c r="Q1740" s="4">
        <v>3.56</v>
      </c>
      <c r="R1740" s="4">
        <v>6.78</v>
      </c>
      <c r="S1740" s="4">
        <v>0</v>
      </c>
      <c r="T1740" s="4">
        <v>0</v>
      </c>
      <c r="U1740" s="4">
        <v>187.25</v>
      </c>
      <c r="V1740" s="4">
        <v>244.52</v>
      </c>
      <c r="W1740" t="s">
        <v>21</v>
      </c>
      <c r="X1740" t="s">
        <v>36</v>
      </c>
      <c r="Y1740" s="4">
        <v>9</v>
      </c>
      <c r="Z1740" s="4">
        <v>10</v>
      </c>
      <c r="AA1740" t="s">
        <v>37</v>
      </c>
      <c r="AB1740" t="s">
        <v>38</v>
      </c>
      <c r="AC1740" s="7">
        <v>0</v>
      </c>
      <c r="AD1740" t="s">
        <v>39</v>
      </c>
      <c r="AE1740">
        <f t="shared" si="27"/>
        <v>0</v>
      </c>
    </row>
    <row r="1741" spans="1:31" x14ac:dyDescent="0.35">
      <c r="A1741">
        <v>101740</v>
      </c>
      <c r="B1741" s="3">
        <v>46022</v>
      </c>
      <c r="C1741">
        <v>1053</v>
      </c>
      <c r="D1741" t="s">
        <v>47</v>
      </c>
      <c r="E1741" t="s">
        <v>53</v>
      </c>
      <c r="F1741" t="s">
        <v>61</v>
      </c>
      <c r="G1741" t="s">
        <v>63</v>
      </c>
      <c r="H1741" t="s">
        <v>57</v>
      </c>
      <c r="I1741" t="s">
        <v>35</v>
      </c>
      <c r="J1741" s="4">
        <v>25.32</v>
      </c>
      <c r="K1741" s="4">
        <v>12.84</v>
      </c>
      <c r="L1741">
        <v>0</v>
      </c>
      <c r="M1741" s="4">
        <v>0</v>
      </c>
      <c r="N1741" s="4">
        <v>325.11</v>
      </c>
      <c r="O1741" s="4">
        <v>192.31</v>
      </c>
      <c r="P1741" s="4">
        <v>7.21</v>
      </c>
      <c r="Q1741" s="4">
        <v>2.2799999999999998</v>
      </c>
      <c r="R1741" s="4">
        <v>4.8899999999999997</v>
      </c>
      <c r="S1741" s="4">
        <v>0</v>
      </c>
      <c r="T1741" s="4">
        <v>0</v>
      </c>
      <c r="U1741" s="4">
        <v>206.69</v>
      </c>
      <c r="V1741" s="4">
        <v>118.42</v>
      </c>
      <c r="W1741" t="s">
        <v>21</v>
      </c>
      <c r="X1741" t="s">
        <v>36</v>
      </c>
      <c r="Y1741" s="4">
        <v>8</v>
      </c>
      <c r="Z1741" s="4">
        <v>2</v>
      </c>
      <c r="AA1741" t="s">
        <v>37</v>
      </c>
      <c r="AB1741" t="s">
        <v>38</v>
      </c>
      <c r="AC1741" s="7">
        <v>0</v>
      </c>
      <c r="AD1741" t="s">
        <v>39</v>
      </c>
      <c r="AE1741">
        <f t="shared" si="27"/>
        <v>0</v>
      </c>
    </row>
    <row r="1742" spans="1:31" x14ac:dyDescent="0.35">
      <c r="A1742">
        <v>101741</v>
      </c>
      <c r="B1742" s="3">
        <v>45952</v>
      </c>
      <c r="C1742">
        <v>1103</v>
      </c>
      <c r="D1742" t="s">
        <v>30</v>
      </c>
      <c r="E1742" t="s">
        <v>62</v>
      </c>
      <c r="F1742" t="s">
        <v>61</v>
      </c>
      <c r="G1742" t="s">
        <v>46</v>
      </c>
      <c r="H1742" t="s">
        <v>57</v>
      </c>
      <c r="I1742" t="s">
        <v>35</v>
      </c>
      <c r="J1742" s="4">
        <v>26.06</v>
      </c>
      <c r="K1742" s="4">
        <v>15.04</v>
      </c>
      <c r="L1742">
        <v>10</v>
      </c>
      <c r="M1742" s="4">
        <v>39.19</v>
      </c>
      <c r="N1742" s="4">
        <v>352.75</v>
      </c>
      <c r="O1742" s="4">
        <v>203.49</v>
      </c>
      <c r="P1742" s="4">
        <v>5.94</v>
      </c>
      <c r="Q1742" s="4">
        <v>2.74</v>
      </c>
      <c r="R1742" s="4">
        <v>9.0399999999999991</v>
      </c>
      <c r="S1742" s="4">
        <v>0</v>
      </c>
      <c r="T1742" s="4">
        <v>0</v>
      </c>
      <c r="U1742" s="4">
        <v>221.21</v>
      </c>
      <c r="V1742" s="4">
        <v>131.54</v>
      </c>
      <c r="W1742" t="s">
        <v>21</v>
      </c>
      <c r="X1742" t="s">
        <v>36</v>
      </c>
      <c r="Y1742" s="4">
        <v>4</v>
      </c>
      <c r="Z1742" s="4">
        <v>12</v>
      </c>
      <c r="AA1742" t="s">
        <v>37</v>
      </c>
      <c r="AB1742" t="s">
        <v>38</v>
      </c>
      <c r="AC1742" s="7">
        <v>0</v>
      </c>
      <c r="AD1742" t="s">
        <v>39</v>
      </c>
      <c r="AE1742">
        <f t="shared" si="27"/>
        <v>0</v>
      </c>
    </row>
    <row r="1743" spans="1:31" x14ac:dyDescent="0.35">
      <c r="A1743">
        <v>101742</v>
      </c>
      <c r="B1743" s="3">
        <v>45988</v>
      </c>
      <c r="C1743">
        <v>1148</v>
      </c>
      <c r="D1743" t="s">
        <v>59</v>
      </c>
      <c r="E1743" t="s">
        <v>68</v>
      </c>
      <c r="F1743" t="s">
        <v>49</v>
      </c>
      <c r="G1743" t="s">
        <v>63</v>
      </c>
      <c r="H1743" t="s">
        <v>51</v>
      </c>
      <c r="I1743" t="s">
        <v>42</v>
      </c>
      <c r="J1743" s="4">
        <v>4.24</v>
      </c>
      <c r="K1743" s="4">
        <v>14.14</v>
      </c>
      <c r="L1743">
        <v>5</v>
      </c>
      <c r="M1743" s="4">
        <v>3</v>
      </c>
      <c r="N1743" s="4">
        <v>56.95</v>
      </c>
      <c r="O1743" s="4">
        <v>31.73</v>
      </c>
      <c r="P1743" s="4">
        <v>2.93</v>
      </c>
      <c r="Q1743" s="4">
        <v>0.9</v>
      </c>
      <c r="R1743" s="4">
        <v>4.32</v>
      </c>
      <c r="S1743" s="4">
        <v>58.81</v>
      </c>
      <c r="T1743" s="4">
        <v>12.49</v>
      </c>
      <c r="U1743" s="4">
        <v>111.18</v>
      </c>
      <c r="V1743" s="4">
        <v>-54.23</v>
      </c>
      <c r="W1743" t="s">
        <v>58</v>
      </c>
      <c r="X1743" t="s">
        <v>55</v>
      </c>
      <c r="Y1743" s="4">
        <v>28</v>
      </c>
      <c r="Z1743" s="4">
        <v>0</v>
      </c>
      <c r="AA1743" t="s">
        <v>52</v>
      </c>
      <c r="AB1743" t="s">
        <v>44</v>
      </c>
      <c r="AC1743" s="7">
        <v>1</v>
      </c>
      <c r="AD1743" t="s">
        <v>45</v>
      </c>
      <c r="AE1743">
        <f t="shared" si="27"/>
        <v>1</v>
      </c>
    </row>
    <row r="1744" spans="1:31" x14ac:dyDescent="0.35">
      <c r="A1744">
        <v>101743</v>
      </c>
      <c r="B1744" s="3">
        <v>45970</v>
      </c>
      <c r="C1744">
        <v>1040</v>
      </c>
      <c r="D1744" t="s">
        <v>64</v>
      </c>
      <c r="E1744" t="s">
        <v>65</v>
      </c>
      <c r="F1744" t="s">
        <v>32</v>
      </c>
      <c r="G1744" t="s">
        <v>63</v>
      </c>
      <c r="H1744" t="s">
        <v>34</v>
      </c>
      <c r="I1744" t="s">
        <v>69</v>
      </c>
      <c r="J1744" s="4">
        <v>11.74</v>
      </c>
      <c r="K1744" s="4">
        <v>12.74</v>
      </c>
      <c r="L1744">
        <v>0</v>
      </c>
      <c r="M1744" s="4">
        <v>0</v>
      </c>
      <c r="N1744" s="4">
        <v>149.57</v>
      </c>
      <c r="O1744" s="4">
        <v>84.99</v>
      </c>
      <c r="P1744" s="4">
        <v>13.11</v>
      </c>
      <c r="Q1744" s="4">
        <v>0.6</v>
      </c>
      <c r="R1744" s="4">
        <v>1.18</v>
      </c>
      <c r="S1744" s="4">
        <v>0</v>
      </c>
      <c r="T1744" s="4">
        <v>0</v>
      </c>
      <c r="U1744" s="4">
        <v>99.88</v>
      </c>
      <c r="V1744" s="4">
        <v>49.69</v>
      </c>
      <c r="W1744" t="s">
        <v>21</v>
      </c>
      <c r="X1744" t="s">
        <v>36</v>
      </c>
      <c r="Y1744" s="4">
        <v>8</v>
      </c>
      <c r="Z1744" s="4">
        <v>28</v>
      </c>
      <c r="AA1744" t="s">
        <v>37</v>
      </c>
      <c r="AB1744" t="s">
        <v>44</v>
      </c>
      <c r="AC1744" s="7">
        <v>1</v>
      </c>
      <c r="AD1744" t="s">
        <v>45</v>
      </c>
      <c r="AE1744">
        <f t="shared" si="27"/>
        <v>1</v>
      </c>
    </row>
    <row r="1745" spans="1:31" x14ac:dyDescent="0.35">
      <c r="A1745">
        <v>101744</v>
      </c>
      <c r="B1745" s="3">
        <v>45997</v>
      </c>
      <c r="C1745">
        <v>1122</v>
      </c>
      <c r="D1745" t="s">
        <v>47</v>
      </c>
      <c r="E1745" t="s">
        <v>56</v>
      </c>
      <c r="F1745" t="s">
        <v>49</v>
      </c>
      <c r="G1745" t="s">
        <v>46</v>
      </c>
      <c r="H1745" t="s">
        <v>34</v>
      </c>
      <c r="I1745" t="s">
        <v>35</v>
      </c>
      <c r="J1745" s="4">
        <v>27.17</v>
      </c>
      <c r="K1745" s="4">
        <v>15.2</v>
      </c>
      <c r="L1745">
        <v>10</v>
      </c>
      <c r="M1745" s="4">
        <v>41.3</v>
      </c>
      <c r="N1745" s="4">
        <v>371.68</v>
      </c>
      <c r="O1745" s="4">
        <v>204.06</v>
      </c>
      <c r="P1745" s="4">
        <v>5.28</v>
      </c>
      <c r="Q1745" s="4">
        <v>2.89</v>
      </c>
      <c r="R1745" s="4">
        <v>3.85</v>
      </c>
      <c r="S1745" s="4">
        <v>0</v>
      </c>
      <c r="T1745" s="4">
        <v>0</v>
      </c>
      <c r="U1745" s="4">
        <v>216.08</v>
      </c>
      <c r="V1745" s="4">
        <v>155.6</v>
      </c>
      <c r="W1745" t="s">
        <v>21</v>
      </c>
      <c r="X1745" t="s">
        <v>36</v>
      </c>
      <c r="Y1745" s="4">
        <v>0</v>
      </c>
      <c r="Z1745" s="4">
        <v>18</v>
      </c>
      <c r="AA1745" t="s">
        <v>37</v>
      </c>
      <c r="AB1745" t="s">
        <v>44</v>
      </c>
      <c r="AC1745" s="7">
        <v>1</v>
      </c>
      <c r="AD1745" t="s">
        <v>45</v>
      </c>
      <c r="AE1745">
        <f t="shared" si="27"/>
        <v>1</v>
      </c>
    </row>
    <row r="1746" spans="1:31" x14ac:dyDescent="0.35">
      <c r="A1746">
        <v>101745</v>
      </c>
      <c r="B1746" s="3">
        <v>46018</v>
      </c>
      <c r="C1746">
        <v>1149</v>
      </c>
      <c r="D1746" t="s">
        <v>59</v>
      </c>
      <c r="E1746" t="s">
        <v>60</v>
      </c>
      <c r="F1746" t="s">
        <v>61</v>
      </c>
      <c r="G1746" t="s">
        <v>63</v>
      </c>
      <c r="H1746" t="s">
        <v>51</v>
      </c>
      <c r="I1746" t="s">
        <v>35</v>
      </c>
      <c r="J1746" s="4">
        <v>15.4</v>
      </c>
      <c r="K1746" s="4">
        <v>11.17</v>
      </c>
      <c r="L1746">
        <v>0</v>
      </c>
      <c r="M1746" s="4">
        <v>0</v>
      </c>
      <c r="N1746" s="4">
        <v>172.02</v>
      </c>
      <c r="O1746" s="4">
        <v>137.38</v>
      </c>
      <c r="P1746" s="4">
        <v>10.87</v>
      </c>
      <c r="Q1746" s="4">
        <v>1.2</v>
      </c>
      <c r="R1746" s="4">
        <v>0.47</v>
      </c>
      <c r="S1746" s="4">
        <v>0</v>
      </c>
      <c r="T1746" s="4">
        <v>0</v>
      </c>
      <c r="U1746" s="4">
        <v>149.91999999999999</v>
      </c>
      <c r="V1746" s="4">
        <v>22.1</v>
      </c>
      <c r="W1746" t="s">
        <v>21</v>
      </c>
      <c r="X1746" t="s">
        <v>36</v>
      </c>
      <c r="Y1746" s="4">
        <v>19</v>
      </c>
      <c r="Z1746" s="4">
        <v>1</v>
      </c>
      <c r="AA1746" t="s">
        <v>52</v>
      </c>
      <c r="AB1746" t="s">
        <v>38</v>
      </c>
      <c r="AC1746" s="7">
        <v>0</v>
      </c>
      <c r="AD1746" t="s">
        <v>39</v>
      </c>
      <c r="AE1746">
        <f t="shared" si="27"/>
        <v>0</v>
      </c>
    </row>
    <row r="1747" spans="1:31" x14ac:dyDescent="0.35">
      <c r="A1747">
        <v>101746</v>
      </c>
      <c r="B1747" s="3">
        <v>46014</v>
      </c>
      <c r="C1747">
        <v>1027</v>
      </c>
      <c r="D1747" t="s">
        <v>47</v>
      </c>
      <c r="E1747" t="s">
        <v>56</v>
      </c>
      <c r="F1747" t="s">
        <v>32</v>
      </c>
      <c r="G1747" t="s">
        <v>63</v>
      </c>
      <c r="H1747" t="s">
        <v>57</v>
      </c>
      <c r="I1747" t="s">
        <v>42</v>
      </c>
      <c r="J1747" s="4">
        <v>15.28</v>
      </c>
      <c r="K1747" s="4">
        <v>12.83</v>
      </c>
      <c r="L1747">
        <v>15</v>
      </c>
      <c r="M1747" s="4">
        <v>29.41</v>
      </c>
      <c r="N1747" s="4">
        <v>166.63</v>
      </c>
      <c r="O1747" s="4">
        <v>83.97</v>
      </c>
      <c r="P1747" s="4">
        <v>6.36</v>
      </c>
      <c r="Q1747" s="4">
        <v>2.94</v>
      </c>
      <c r="R1747" s="4">
        <v>5.83</v>
      </c>
      <c r="S1747" s="4">
        <v>0</v>
      </c>
      <c r="T1747" s="4">
        <v>0</v>
      </c>
      <c r="U1747" s="4">
        <v>99.1</v>
      </c>
      <c r="V1747" s="4">
        <v>67.53</v>
      </c>
      <c r="W1747" t="s">
        <v>21</v>
      </c>
      <c r="X1747" t="s">
        <v>36</v>
      </c>
      <c r="Y1747" s="4">
        <v>0</v>
      </c>
      <c r="Z1747" s="4">
        <v>5</v>
      </c>
      <c r="AA1747" t="s">
        <v>37</v>
      </c>
      <c r="AB1747" t="s">
        <v>38</v>
      </c>
      <c r="AC1747" s="7">
        <v>0</v>
      </c>
      <c r="AD1747" t="s">
        <v>39</v>
      </c>
      <c r="AE1747">
        <f t="shared" si="27"/>
        <v>0</v>
      </c>
    </row>
    <row r="1748" spans="1:31" x14ac:dyDescent="0.35">
      <c r="A1748">
        <v>101747</v>
      </c>
      <c r="B1748" s="3">
        <v>45951</v>
      </c>
      <c r="C1748">
        <v>1026</v>
      </c>
      <c r="D1748" t="s">
        <v>59</v>
      </c>
      <c r="E1748" t="s">
        <v>60</v>
      </c>
      <c r="F1748" t="s">
        <v>49</v>
      </c>
      <c r="G1748" t="s">
        <v>63</v>
      </c>
      <c r="H1748" t="s">
        <v>34</v>
      </c>
      <c r="I1748" t="s">
        <v>42</v>
      </c>
      <c r="J1748" s="4">
        <v>18.22</v>
      </c>
      <c r="K1748" s="4">
        <v>11.76</v>
      </c>
      <c r="L1748">
        <v>5</v>
      </c>
      <c r="M1748" s="4">
        <v>10.71</v>
      </c>
      <c r="N1748" s="4">
        <v>203.56</v>
      </c>
      <c r="O1748" s="4">
        <v>129.78</v>
      </c>
      <c r="P1748" s="4">
        <v>3.61</v>
      </c>
      <c r="Q1748" s="4">
        <v>3.21</v>
      </c>
      <c r="R1748" s="4">
        <v>3.08</v>
      </c>
      <c r="S1748" s="4">
        <v>128.68</v>
      </c>
      <c r="T1748" s="4">
        <v>0</v>
      </c>
      <c r="U1748" s="4">
        <v>268.36</v>
      </c>
      <c r="V1748" s="4">
        <v>-64.8</v>
      </c>
      <c r="W1748" t="s">
        <v>58</v>
      </c>
      <c r="X1748" t="s">
        <v>66</v>
      </c>
      <c r="Y1748" s="4">
        <v>7</v>
      </c>
      <c r="Z1748" s="4">
        <v>1</v>
      </c>
      <c r="AA1748" t="s">
        <v>37</v>
      </c>
      <c r="AB1748" t="s">
        <v>38</v>
      </c>
      <c r="AC1748" s="7">
        <v>1</v>
      </c>
      <c r="AD1748" t="s">
        <v>45</v>
      </c>
      <c r="AE1748">
        <f t="shared" si="27"/>
        <v>0</v>
      </c>
    </row>
    <row r="1749" spans="1:31" x14ac:dyDescent="0.35">
      <c r="A1749">
        <v>101748</v>
      </c>
      <c r="B1749" s="3">
        <v>45954</v>
      </c>
      <c r="C1749">
        <v>1038</v>
      </c>
      <c r="D1749" t="s">
        <v>47</v>
      </c>
      <c r="E1749" t="s">
        <v>74</v>
      </c>
      <c r="F1749" t="s">
        <v>41</v>
      </c>
      <c r="G1749" t="s">
        <v>63</v>
      </c>
      <c r="H1749" t="s">
        <v>34</v>
      </c>
      <c r="I1749" t="s">
        <v>69</v>
      </c>
      <c r="J1749" s="4">
        <v>17.77</v>
      </c>
      <c r="K1749" s="4">
        <v>12.41</v>
      </c>
      <c r="L1749">
        <v>10</v>
      </c>
      <c r="M1749" s="4">
        <v>22.05</v>
      </c>
      <c r="N1749" s="4">
        <v>198.48</v>
      </c>
      <c r="O1749" s="4">
        <v>155.43</v>
      </c>
      <c r="P1749" s="4">
        <v>10.94</v>
      </c>
      <c r="Q1749" s="4">
        <v>0.88</v>
      </c>
      <c r="R1749" s="4">
        <v>0.66</v>
      </c>
      <c r="S1749" s="4">
        <v>0</v>
      </c>
      <c r="T1749" s="4">
        <v>0</v>
      </c>
      <c r="U1749" s="4">
        <v>167.91</v>
      </c>
      <c r="V1749" s="4">
        <v>30.57</v>
      </c>
      <c r="W1749" t="s">
        <v>21</v>
      </c>
      <c r="X1749" t="s">
        <v>36</v>
      </c>
      <c r="Y1749" s="4">
        <v>19</v>
      </c>
      <c r="Z1749" s="4">
        <v>17</v>
      </c>
      <c r="AA1749" t="s">
        <v>52</v>
      </c>
      <c r="AB1749" t="s">
        <v>44</v>
      </c>
      <c r="AC1749" s="7">
        <v>3</v>
      </c>
      <c r="AD1749" t="s">
        <v>45</v>
      </c>
      <c r="AE1749">
        <f t="shared" si="27"/>
        <v>1</v>
      </c>
    </row>
    <row r="1750" spans="1:31" x14ac:dyDescent="0.35">
      <c r="A1750">
        <v>101749</v>
      </c>
      <c r="B1750" s="3">
        <v>45932</v>
      </c>
      <c r="C1750">
        <v>1024</v>
      </c>
      <c r="D1750" t="s">
        <v>30</v>
      </c>
      <c r="E1750" t="s">
        <v>72</v>
      </c>
      <c r="F1750" t="s">
        <v>71</v>
      </c>
      <c r="G1750" t="s">
        <v>46</v>
      </c>
      <c r="H1750" t="s">
        <v>34</v>
      </c>
      <c r="I1750" t="s">
        <v>35</v>
      </c>
      <c r="J1750" s="4">
        <v>17.32</v>
      </c>
      <c r="K1750" s="4">
        <v>15.82</v>
      </c>
      <c r="L1750">
        <v>20</v>
      </c>
      <c r="M1750" s="4">
        <v>54.8</v>
      </c>
      <c r="N1750" s="4">
        <v>219.2</v>
      </c>
      <c r="O1750" s="4">
        <v>136.29</v>
      </c>
      <c r="P1750" s="4">
        <v>5.57</v>
      </c>
      <c r="Q1750" s="4">
        <v>1.92</v>
      </c>
      <c r="R1750" s="4">
        <v>4.66</v>
      </c>
      <c r="S1750" s="4">
        <v>0</v>
      </c>
      <c r="T1750" s="4">
        <v>0</v>
      </c>
      <c r="U1750" s="4">
        <v>148.44</v>
      </c>
      <c r="V1750" s="4">
        <v>70.760000000000005</v>
      </c>
      <c r="W1750" t="s">
        <v>21</v>
      </c>
      <c r="X1750" t="s">
        <v>36</v>
      </c>
      <c r="Y1750" s="4">
        <v>11</v>
      </c>
      <c r="Z1750" s="4">
        <v>5</v>
      </c>
      <c r="AA1750" t="s">
        <v>37</v>
      </c>
      <c r="AB1750" t="s">
        <v>38</v>
      </c>
      <c r="AC1750" s="7">
        <v>0</v>
      </c>
      <c r="AD1750" t="s">
        <v>39</v>
      </c>
      <c r="AE1750">
        <f t="shared" si="27"/>
        <v>0</v>
      </c>
    </row>
    <row r="1751" spans="1:31" x14ac:dyDescent="0.35">
      <c r="A1751">
        <v>101750</v>
      </c>
      <c r="B1751" s="3">
        <v>45973</v>
      </c>
      <c r="C1751">
        <v>1028</v>
      </c>
      <c r="D1751" t="s">
        <v>59</v>
      </c>
      <c r="E1751" t="s">
        <v>70</v>
      </c>
      <c r="F1751" t="s">
        <v>41</v>
      </c>
      <c r="G1751" t="s">
        <v>46</v>
      </c>
      <c r="H1751" t="s">
        <v>34</v>
      </c>
      <c r="I1751" t="s">
        <v>69</v>
      </c>
      <c r="J1751" s="4">
        <v>28.37</v>
      </c>
      <c r="K1751" s="4">
        <v>14.64</v>
      </c>
      <c r="L1751">
        <v>5</v>
      </c>
      <c r="M1751" s="4">
        <v>20.77</v>
      </c>
      <c r="N1751" s="4">
        <v>394.57</v>
      </c>
      <c r="O1751" s="4">
        <v>198.48</v>
      </c>
      <c r="P1751" s="4">
        <v>9.61</v>
      </c>
      <c r="Q1751" s="4">
        <v>1.66</v>
      </c>
      <c r="R1751" s="4">
        <v>14.08</v>
      </c>
      <c r="S1751" s="4">
        <v>0</v>
      </c>
      <c r="T1751" s="4">
        <v>0</v>
      </c>
      <c r="U1751" s="4">
        <v>223.83</v>
      </c>
      <c r="V1751" s="4">
        <v>170.74</v>
      </c>
      <c r="W1751" t="s">
        <v>21</v>
      </c>
      <c r="X1751" t="s">
        <v>36</v>
      </c>
      <c r="Y1751" s="4">
        <v>4</v>
      </c>
      <c r="Z1751" s="4">
        <v>2</v>
      </c>
      <c r="AA1751" t="s">
        <v>37</v>
      </c>
      <c r="AB1751" t="s">
        <v>38</v>
      </c>
      <c r="AC1751" s="7">
        <v>0</v>
      </c>
      <c r="AD1751" t="s">
        <v>39</v>
      </c>
      <c r="AE1751">
        <f t="shared" si="27"/>
        <v>0</v>
      </c>
    </row>
    <row r="1752" spans="1:31" x14ac:dyDescent="0.35">
      <c r="A1752">
        <v>101751</v>
      </c>
      <c r="B1752" s="3">
        <v>45939</v>
      </c>
      <c r="C1752">
        <v>1142</v>
      </c>
      <c r="D1752" t="s">
        <v>30</v>
      </c>
      <c r="E1752" t="s">
        <v>40</v>
      </c>
      <c r="F1752" t="s">
        <v>49</v>
      </c>
      <c r="G1752" t="s">
        <v>63</v>
      </c>
      <c r="H1752" t="s">
        <v>51</v>
      </c>
      <c r="I1752" t="s">
        <v>35</v>
      </c>
      <c r="J1752" s="4">
        <v>25.2</v>
      </c>
      <c r="K1752" s="4">
        <v>12.2</v>
      </c>
      <c r="L1752">
        <v>10</v>
      </c>
      <c r="M1752" s="4">
        <v>30.74</v>
      </c>
      <c r="N1752" s="4">
        <v>276.7</v>
      </c>
      <c r="O1752" s="4">
        <v>194.38</v>
      </c>
      <c r="P1752" s="4">
        <v>6.63</v>
      </c>
      <c r="Q1752" s="4">
        <v>2.15</v>
      </c>
      <c r="R1752" s="4">
        <v>15.23</v>
      </c>
      <c r="S1752" s="4">
        <v>0</v>
      </c>
      <c r="T1752" s="4">
        <v>0</v>
      </c>
      <c r="U1752" s="4">
        <v>218.39</v>
      </c>
      <c r="V1752" s="4">
        <v>58.31</v>
      </c>
      <c r="W1752" t="s">
        <v>21</v>
      </c>
      <c r="X1752" t="s">
        <v>36</v>
      </c>
      <c r="Y1752" s="4">
        <v>10</v>
      </c>
      <c r="Z1752" s="4">
        <v>0</v>
      </c>
      <c r="AA1752" t="s">
        <v>37</v>
      </c>
      <c r="AB1752" t="s">
        <v>38</v>
      </c>
      <c r="AC1752" s="7">
        <v>0</v>
      </c>
      <c r="AD1752" t="s">
        <v>39</v>
      </c>
      <c r="AE1752">
        <f t="shared" si="27"/>
        <v>0</v>
      </c>
    </row>
    <row r="1753" spans="1:31" x14ac:dyDescent="0.35">
      <c r="A1753">
        <v>101752</v>
      </c>
      <c r="B1753" s="3">
        <v>46012</v>
      </c>
      <c r="C1753">
        <v>1079</v>
      </c>
      <c r="D1753" t="s">
        <v>47</v>
      </c>
      <c r="E1753" t="s">
        <v>53</v>
      </c>
      <c r="F1753" t="s">
        <v>32</v>
      </c>
      <c r="G1753" t="s">
        <v>33</v>
      </c>
      <c r="H1753" t="s">
        <v>34</v>
      </c>
      <c r="I1753" t="s">
        <v>35</v>
      </c>
      <c r="J1753" s="4">
        <v>35.450000000000003</v>
      </c>
      <c r="K1753" s="4">
        <v>19.8</v>
      </c>
      <c r="L1753">
        <v>15</v>
      </c>
      <c r="M1753" s="4">
        <v>105.29</v>
      </c>
      <c r="N1753" s="4">
        <v>596.62</v>
      </c>
      <c r="O1753" s="4">
        <v>265.26</v>
      </c>
      <c r="P1753" s="4">
        <v>5.12</v>
      </c>
      <c r="Q1753" s="4">
        <v>4.91</v>
      </c>
      <c r="R1753" s="4">
        <v>0</v>
      </c>
      <c r="S1753" s="4">
        <v>0</v>
      </c>
      <c r="T1753" s="4">
        <v>0</v>
      </c>
      <c r="U1753" s="4">
        <v>275.29000000000002</v>
      </c>
      <c r="V1753" s="4">
        <v>321.33</v>
      </c>
      <c r="W1753" t="s">
        <v>21</v>
      </c>
      <c r="X1753" t="s">
        <v>36</v>
      </c>
      <c r="Y1753" s="4">
        <v>22</v>
      </c>
      <c r="Z1753" s="4">
        <v>26</v>
      </c>
      <c r="AA1753" t="s">
        <v>52</v>
      </c>
      <c r="AB1753" t="s">
        <v>44</v>
      </c>
      <c r="AC1753" s="7">
        <v>2</v>
      </c>
      <c r="AD1753" t="s">
        <v>45</v>
      </c>
      <c r="AE1753">
        <f t="shared" si="27"/>
        <v>1</v>
      </c>
    </row>
    <row r="1754" spans="1:31" x14ac:dyDescent="0.35">
      <c r="A1754">
        <v>101753</v>
      </c>
      <c r="B1754" s="3">
        <v>45984</v>
      </c>
      <c r="C1754">
        <v>1114</v>
      </c>
      <c r="D1754" t="s">
        <v>47</v>
      </c>
      <c r="E1754" t="s">
        <v>48</v>
      </c>
      <c r="F1754" t="s">
        <v>71</v>
      </c>
      <c r="G1754" t="s">
        <v>63</v>
      </c>
      <c r="H1754" t="s">
        <v>57</v>
      </c>
      <c r="I1754" t="s">
        <v>35</v>
      </c>
      <c r="J1754" s="4">
        <v>34.93</v>
      </c>
      <c r="K1754" s="4">
        <v>12.51</v>
      </c>
      <c r="L1754">
        <v>5</v>
      </c>
      <c r="M1754" s="4">
        <v>21.85</v>
      </c>
      <c r="N1754" s="4">
        <v>415.12</v>
      </c>
      <c r="O1754" s="4">
        <v>268.45999999999998</v>
      </c>
      <c r="P1754" s="4">
        <v>10.08</v>
      </c>
      <c r="Q1754" s="4">
        <v>3.06</v>
      </c>
      <c r="R1754" s="4">
        <v>2.11</v>
      </c>
      <c r="S1754" s="4">
        <v>0</v>
      </c>
      <c r="T1754" s="4">
        <v>0</v>
      </c>
      <c r="U1754" s="4">
        <v>283.70999999999998</v>
      </c>
      <c r="V1754" s="4">
        <v>131.41</v>
      </c>
      <c r="W1754" t="s">
        <v>21</v>
      </c>
      <c r="X1754" t="s">
        <v>36</v>
      </c>
      <c r="Y1754" s="4">
        <v>3</v>
      </c>
      <c r="Z1754" s="4">
        <v>3</v>
      </c>
      <c r="AA1754" t="s">
        <v>37</v>
      </c>
      <c r="AB1754" t="s">
        <v>38</v>
      </c>
      <c r="AC1754" s="7">
        <v>0</v>
      </c>
      <c r="AD1754" t="s">
        <v>39</v>
      </c>
      <c r="AE1754">
        <f t="shared" si="27"/>
        <v>0</v>
      </c>
    </row>
    <row r="1755" spans="1:31" x14ac:dyDescent="0.35">
      <c r="A1755">
        <v>101754</v>
      </c>
      <c r="B1755" s="3">
        <v>46001</v>
      </c>
      <c r="C1755">
        <v>1050</v>
      </c>
      <c r="D1755" t="s">
        <v>47</v>
      </c>
      <c r="E1755" t="s">
        <v>74</v>
      </c>
      <c r="F1755" t="s">
        <v>41</v>
      </c>
      <c r="G1755" t="s">
        <v>46</v>
      </c>
      <c r="H1755" t="s">
        <v>34</v>
      </c>
      <c r="I1755" t="s">
        <v>35</v>
      </c>
      <c r="J1755" s="4">
        <v>17.309999999999999</v>
      </c>
      <c r="K1755" s="4">
        <v>17.3</v>
      </c>
      <c r="L1755">
        <v>10</v>
      </c>
      <c r="M1755" s="4">
        <v>29.95</v>
      </c>
      <c r="N1755" s="4">
        <v>269.51</v>
      </c>
      <c r="O1755" s="4">
        <v>129.47999999999999</v>
      </c>
      <c r="P1755" s="4">
        <v>5.86</v>
      </c>
      <c r="Q1755" s="4">
        <v>2.1</v>
      </c>
      <c r="R1755" s="4">
        <v>7.41</v>
      </c>
      <c r="S1755" s="4">
        <v>148.99</v>
      </c>
      <c r="T1755" s="4">
        <v>0</v>
      </c>
      <c r="U1755" s="4">
        <v>293.83999999999997</v>
      </c>
      <c r="V1755" s="4">
        <v>-24.33</v>
      </c>
      <c r="W1755" t="s">
        <v>58</v>
      </c>
      <c r="X1755" t="s">
        <v>55</v>
      </c>
      <c r="Y1755" s="4">
        <v>12</v>
      </c>
      <c r="Z1755" s="4">
        <v>2</v>
      </c>
      <c r="AA1755" t="s">
        <v>37</v>
      </c>
      <c r="AB1755" t="s">
        <v>44</v>
      </c>
      <c r="AC1755" s="7">
        <v>2</v>
      </c>
      <c r="AD1755" t="s">
        <v>45</v>
      </c>
      <c r="AE1755">
        <f t="shared" si="27"/>
        <v>1</v>
      </c>
    </row>
    <row r="1756" spans="1:31" x14ac:dyDescent="0.35">
      <c r="A1756">
        <v>101755</v>
      </c>
      <c r="B1756" s="3">
        <v>45980</v>
      </c>
      <c r="C1756">
        <v>1117</v>
      </c>
      <c r="D1756" t="s">
        <v>59</v>
      </c>
      <c r="E1756" t="s">
        <v>60</v>
      </c>
      <c r="F1756" t="s">
        <v>41</v>
      </c>
      <c r="G1756" t="s">
        <v>33</v>
      </c>
      <c r="H1756" t="s">
        <v>57</v>
      </c>
      <c r="I1756" t="s">
        <v>35</v>
      </c>
      <c r="J1756" s="4">
        <v>18.41</v>
      </c>
      <c r="K1756" s="4">
        <v>19.32</v>
      </c>
      <c r="L1756">
        <v>0</v>
      </c>
      <c r="M1756" s="4">
        <v>0</v>
      </c>
      <c r="N1756" s="4">
        <v>355.68</v>
      </c>
      <c r="O1756" s="4">
        <v>139.03</v>
      </c>
      <c r="P1756" s="4">
        <v>8.2200000000000006</v>
      </c>
      <c r="Q1756" s="4">
        <v>2.4900000000000002</v>
      </c>
      <c r="R1756" s="4">
        <v>4.2300000000000004</v>
      </c>
      <c r="S1756" s="4">
        <v>0</v>
      </c>
      <c r="T1756" s="4">
        <v>0</v>
      </c>
      <c r="U1756" s="4">
        <v>153.97</v>
      </c>
      <c r="V1756" s="4">
        <v>201.71</v>
      </c>
      <c r="W1756" t="s">
        <v>21</v>
      </c>
      <c r="X1756" t="s">
        <v>36</v>
      </c>
      <c r="Y1756" s="4">
        <v>0</v>
      </c>
      <c r="Z1756" s="4">
        <v>0</v>
      </c>
      <c r="AA1756" t="s">
        <v>37</v>
      </c>
      <c r="AB1756" t="s">
        <v>38</v>
      </c>
      <c r="AC1756" s="7">
        <v>0</v>
      </c>
      <c r="AD1756" t="s">
        <v>39</v>
      </c>
      <c r="AE1756">
        <f t="shared" si="27"/>
        <v>0</v>
      </c>
    </row>
    <row r="1757" spans="1:31" x14ac:dyDescent="0.35">
      <c r="A1757">
        <v>101756</v>
      </c>
      <c r="B1757" s="3">
        <v>45996</v>
      </c>
      <c r="C1757">
        <v>1035</v>
      </c>
      <c r="D1757" t="s">
        <v>30</v>
      </c>
      <c r="E1757" t="s">
        <v>31</v>
      </c>
      <c r="F1757" t="s">
        <v>71</v>
      </c>
      <c r="G1757" t="s">
        <v>63</v>
      </c>
      <c r="H1757" t="s">
        <v>57</v>
      </c>
      <c r="I1757" t="s">
        <v>35</v>
      </c>
      <c r="J1757" s="4">
        <v>12.24</v>
      </c>
      <c r="K1757" s="4">
        <v>13.52</v>
      </c>
      <c r="L1757">
        <v>10</v>
      </c>
      <c r="M1757" s="4">
        <v>16.55</v>
      </c>
      <c r="N1757" s="4">
        <v>148.93</v>
      </c>
      <c r="O1757" s="4">
        <v>72.47</v>
      </c>
      <c r="P1757" s="4">
        <v>10.27</v>
      </c>
      <c r="Q1757" s="4">
        <v>1.1599999999999999</v>
      </c>
      <c r="R1757" s="4">
        <v>8.51</v>
      </c>
      <c r="S1757" s="4">
        <v>0</v>
      </c>
      <c r="T1757" s="4">
        <v>0</v>
      </c>
      <c r="U1757" s="4">
        <v>92.41</v>
      </c>
      <c r="V1757" s="4">
        <v>56.52</v>
      </c>
      <c r="W1757" t="s">
        <v>21</v>
      </c>
      <c r="X1757" t="s">
        <v>36</v>
      </c>
      <c r="Y1757" s="4">
        <v>5</v>
      </c>
      <c r="Z1757" s="4">
        <v>13</v>
      </c>
      <c r="AA1757" t="s">
        <v>37</v>
      </c>
      <c r="AB1757" t="s">
        <v>38</v>
      </c>
      <c r="AC1757" s="7">
        <v>0</v>
      </c>
      <c r="AD1757" t="s">
        <v>39</v>
      </c>
      <c r="AE1757">
        <f t="shared" si="27"/>
        <v>0</v>
      </c>
    </row>
    <row r="1758" spans="1:31" x14ac:dyDescent="0.35">
      <c r="A1758">
        <v>101757</v>
      </c>
      <c r="B1758" s="3">
        <v>45936</v>
      </c>
      <c r="C1758">
        <v>1068</v>
      </c>
      <c r="D1758" t="s">
        <v>59</v>
      </c>
      <c r="E1758" t="s">
        <v>70</v>
      </c>
      <c r="F1758" t="s">
        <v>71</v>
      </c>
      <c r="G1758" t="s">
        <v>33</v>
      </c>
      <c r="H1758" t="s">
        <v>34</v>
      </c>
      <c r="I1758" t="s">
        <v>35</v>
      </c>
      <c r="J1758" s="4">
        <v>34.950000000000003</v>
      </c>
      <c r="K1758" s="4">
        <v>19.559999999999999</v>
      </c>
      <c r="L1758">
        <v>0</v>
      </c>
      <c r="M1758" s="4">
        <v>0</v>
      </c>
      <c r="N1758" s="4">
        <v>683.62</v>
      </c>
      <c r="O1758" s="4">
        <v>262.49</v>
      </c>
      <c r="P1758" s="4">
        <v>5.21</v>
      </c>
      <c r="Q1758" s="4">
        <v>4.79</v>
      </c>
      <c r="R1758" s="4">
        <v>0</v>
      </c>
      <c r="S1758" s="4">
        <v>0</v>
      </c>
      <c r="T1758" s="4">
        <v>0</v>
      </c>
      <c r="U1758" s="4">
        <v>272.49</v>
      </c>
      <c r="V1758" s="4">
        <v>411.13</v>
      </c>
      <c r="W1758" t="s">
        <v>21</v>
      </c>
      <c r="X1758" t="s">
        <v>36</v>
      </c>
      <c r="Y1758" s="4">
        <v>20</v>
      </c>
      <c r="Z1758" s="4">
        <v>1</v>
      </c>
      <c r="AA1758" t="s">
        <v>52</v>
      </c>
      <c r="AB1758" t="s">
        <v>38</v>
      </c>
      <c r="AC1758" s="7">
        <v>0</v>
      </c>
      <c r="AD1758" t="s">
        <v>39</v>
      </c>
      <c r="AE1758">
        <f t="shared" si="27"/>
        <v>0</v>
      </c>
    </row>
    <row r="1759" spans="1:31" x14ac:dyDescent="0.35">
      <c r="A1759">
        <v>101758</v>
      </c>
      <c r="B1759" s="3">
        <v>46003</v>
      </c>
      <c r="C1759">
        <v>1033</v>
      </c>
      <c r="D1759" t="s">
        <v>59</v>
      </c>
      <c r="E1759" t="s">
        <v>60</v>
      </c>
      <c r="F1759" t="s">
        <v>71</v>
      </c>
      <c r="G1759" t="s">
        <v>63</v>
      </c>
      <c r="H1759" t="s">
        <v>57</v>
      </c>
      <c r="I1759" t="s">
        <v>69</v>
      </c>
      <c r="J1759" s="4">
        <v>7.14</v>
      </c>
      <c r="K1759" s="4">
        <v>12.33</v>
      </c>
      <c r="L1759">
        <v>5</v>
      </c>
      <c r="M1759" s="4">
        <v>4.4000000000000004</v>
      </c>
      <c r="N1759" s="4">
        <v>83.64</v>
      </c>
      <c r="O1759" s="4">
        <v>46.01</v>
      </c>
      <c r="P1759" s="4">
        <v>3.98</v>
      </c>
      <c r="Q1759" s="4">
        <v>0.35</v>
      </c>
      <c r="R1759" s="4">
        <v>2.34</v>
      </c>
      <c r="S1759" s="4">
        <v>0</v>
      </c>
      <c r="T1759" s="4">
        <v>0</v>
      </c>
      <c r="U1759" s="4">
        <v>52.68</v>
      </c>
      <c r="V1759" s="4">
        <v>30.96</v>
      </c>
      <c r="W1759" t="s">
        <v>21</v>
      </c>
      <c r="X1759" t="s">
        <v>36</v>
      </c>
      <c r="Y1759" s="4">
        <v>3</v>
      </c>
      <c r="Z1759" s="4">
        <v>2</v>
      </c>
      <c r="AA1759" t="s">
        <v>37</v>
      </c>
      <c r="AB1759" t="s">
        <v>38</v>
      </c>
      <c r="AC1759" s="7">
        <v>0</v>
      </c>
      <c r="AD1759" t="s">
        <v>39</v>
      </c>
      <c r="AE1759">
        <f t="shared" si="27"/>
        <v>0</v>
      </c>
    </row>
    <row r="1760" spans="1:31" x14ac:dyDescent="0.35">
      <c r="A1760">
        <v>101759</v>
      </c>
      <c r="B1760" s="3">
        <v>45937</v>
      </c>
      <c r="C1760">
        <v>1016</v>
      </c>
      <c r="D1760" t="s">
        <v>47</v>
      </c>
      <c r="E1760" t="s">
        <v>56</v>
      </c>
      <c r="F1760" t="s">
        <v>61</v>
      </c>
      <c r="G1760" t="s">
        <v>63</v>
      </c>
      <c r="H1760" t="s">
        <v>34</v>
      </c>
      <c r="I1760" t="s">
        <v>54</v>
      </c>
      <c r="J1760" s="4">
        <v>23.88</v>
      </c>
      <c r="K1760" s="4">
        <v>12.68</v>
      </c>
      <c r="L1760">
        <v>5</v>
      </c>
      <c r="M1760" s="4">
        <v>15.14</v>
      </c>
      <c r="N1760" s="4">
        <v>287.66000000000003</v>
      </c>
      <c r="O1760" s="4">
        <v>174.57</v>
      </c>
      <c r="P1760" s="4">
        <v>9.39</v>
      </c>
      <c r="Q1760" s="4">
        <v>3.63</v>
      </c>
      <c r="R1760" s="4">
        <v>6.09</v>
      </c>
      <c r="S1760" s="4">
        <v>0</v>
      </c>
      <c r="T1760" s="4">
        <v>0</v>
      </c>
      <c r="U1760" s="4">
        <v>193.68</v>
      </c>
      <c r="V1760" s="4">
        <v>93.98</v>
      </c>
      <c r="W1760" t="s">
        <v>21</v>
      </c>
      <c r="X1760" t="s">
        <v>36</v>
      </c>
      <c r="Y1760" s="4">
        <v>2</v>
      </c>
      <c r="Z1760" s="4">
        <v>3</v>
      </c>
      <c r="AA1760" t="s">
        <v>37</v>
      </c>
      <c r="AB1760" t="s">
        <v>38</v>
      </c>
      <c r="AC1760" s="7">
        <v>0</v>
      </c>
      <c r="AD1760" t="s">
        <v>39</v>
      </c>
      <c r="AE1760">
        <f t="shared" si="27"/>
        <v>0</v>
      </c>
    </row>
    <row r="1761" spans="1:31" x14ac:dyDescent="0.35">
      <c r="A1761">
        <v>101760</v>
      </c>
      <c r="B1761" s="3">
        <v>45991</v>
      </c>
      <c r="C1761">
        <v>1128</v>
      </c>
      <c r="D1761" t="s">
        <v>59</v>
      </c>
      <c r="E1761" t="s">
        <v>60</v>
      </c>
      <c r="F1761" t="s">
        <v>61</v>
      </c>
      <c r="G1761" t="s">
        <v>50</v>
      </c>
      <c r="H1761" t="s">
        <v>34</v>
      </c>
      <c r="I1761" t="s">
        <v>35</v>
      </c>
      <c r="J1761" s="4">
        <v>28.92</v>
      </c>
      <c r="K1761" s="4">
        <v>16.829999999999998</v>
      </c>
      <c r="L1761">
        <v>0</v>
      </c>
      <c r="M1761" s="4">
        <v>0</v>
      </c>
      <c r="N1761" s="4">
        <v>486.72</v>
      </c>
      <c r="O1761" s="4">
        <v>190.14</v>
      </c>
      <c r="P1761" s="4">
        <v>6.64</v>
      </c>
      <c r="Q1761" s="4">
        <v>3.41</v>
      </c>
      <c r="R1761" s="4">
        <v>2.98</v>
      </c>
      <c r="S1761" s="4">
        <v>0</v>
      </c>
      <c r="T1761" s="4">
        <v>0</v>
      </c>
      <c r="U1761" s="4">
        <v>203.17</v>
      </c>
      <c r="V1761" s="4">
        <v>283.55</v>
      </c>
      <c r="W1761" t="s">
        <v>21</v>
      </c>
      <c r="X1761" t="s">
        <v>36</v>
      </c>
      <c r="Y1761" s="4">
        <v>0</v>
      </c>
      <c r="Z1761" s="4">
        <v>9</v>
      </c>
      <c r="AA1761" t="s">
        <v>37</v>
      </c>
      <c r="AB1761" t="s">
        <v>38</v>
      </c>
      <c r="AC1761" s="7">
        <v>0</v>
      </c>
      <c r="AD1761" t="s">
        <v>39</v>
      </c>
      <c r="AE1761">
        <f t="shared" si="27"/>
        <v>0</v>
      </c>
    </row>
    <row r="1762" spans="1:31" x14ac:dyDescent="0.35">
      <c r="A1762">
        <v>101761</v>
      </c>
      <c r="B1762" s="3">
        <v>45934</v>
      </c>
      <c r="C1762">
        <v>1059</v>
      </c>
      <c r="D1762" t="s">
        <v>64</v>
      </c>
      <c r="E1762" t="s">
        <v>75</v>
      </c>
      <c r="F1762" t="s">
        <v>32</v>
      </c>
      <c r="G1762" t="s">
        <v>63</v>
      </c>
      <c r="H1762" t="s">
        <v>51</v>
      </c>
      <c r="I1762" t="s">
        <v>42</v>
      </c>
      <c r="J1762" s="4">
        <v>25.92</v>
      </c>
      <c r="K1762" s="4">
        <v>12.38</v>
      </c>
      <c r="L1762">
        <v>5</v>
      </c>
      <c r="M1762" s="4">
        <v>16.04</v>
      </c>
      <c r="N1762" s="4">
        <v>304.85000000000002</v>
      </c>
      <c r="O1762" s="4">
        <v>190.61</v>
      </c>
      <c r="P1762" s="4">
        <v>8.42</v>
      </c>
      <c r="Q1762" s="4">
        <v>4.8099999999999996</v>
      </c>
      <c r="R1762" s="4">
        <v>3.25</v>
      </c>
      <c r="S1762" s="4">
        <v>0</v>
      </c>
      <c r="T1762" s="4">
        <v>0</v>
      </c>
      <c r="U1762" s="4">
        <v>207.09</v>
      </c>
      <c r="V1762" s="4">
        <v>97.76</v>
      </c>
      <c r="W1762" t="s">
        <v>21</v>
      </c>
      <c r="X1762" t="s">
        <v>36</v>
      </c>
      <c r="Y1762" s="4">
        <v>4</v>
      </c>
      <c r="Z1762" s="4">
        <v>2</v>
      </c>
      <c r="AA1762" t="s">
        <v>37</v>
      </c>
      <c r="AB1762" t="s">
        <v>38</v>
      </c>
      <c r="AC1762" s="7">
        <v>0</v>
      </c>
      <c r="AD1762" t="s">
        <v>39</v>
      </c>
      <c r="AE1762">
        <f t="shared" si="27"/>
        <v>0</v>
      </c>
    </row>
    <row r="1763" spans="1:31" x14ac:dyDescent="0.35">
      <c r="A1763">
        <v>101762</v>
      </c>
      <c r="B1763" s="3">
        <v>45989</v>
      </c>
      <c r="C1763">
        <v>1038</v>
      </c>
      <c r="D1763" t="s">
        <v>47</v>
      </c>
      <c r="E1763" t="s">
        <v>74</v>
      </c>
      <c r="F1763" t="s">
        <v>61</v>
      </c>
      <c r="G1763" t="s">
        <v>46</v>
      </c>
      <c r="H1763" t="s">
        <v>34</v>
      </c>
      <c r="I1763" t="s">
        <v>42</v>
      </c>
      <c r="J1763" s="4">
        <v>29</v>
      </c>
      <c r="K1763" s="4">
        <v>15.75</v>
      </c>
      <c r="L1763">
        <v>10</v>
      </c>
      <c r="M1763" s="4">
        <v>45.68</v>
      </c>
      <c r="N1763" s="4">
        <v>411.07</v>
      </c>
      <c r="O1763" s="4">
        <v>205.36</v>
      </c>
      <c r="P1763" s="4">
        <v>8.31</v>
      </c>
      <c r="Q1763" s="4">
        <v>6.85</v>
      </c>
      <c r="R1763" s="4">
        <v>5.0599999999999996</v>
      </c>
      <c r="S1763" s="4">
        <v>0</v>
      </c>
      <c r="T1763" s="4">
        <v>0</v>
      </c>
      <c r="U1763" s="4">
        <v>225.58</v>
      </c>
      <c r="V1763" s="4">
        <v>185.49</v>
      </c>
      <c r="W1763" t="s">
        <v>21</v>
      </c>
      <c r="X1763" t="s">
        <v>36</v>
      </c>
      <c r="Y1763" s="4">
        <v>16</v>
      </c>
      <c r="Z1763" s="4">
        <v>7</v>
      </c>
      <c r="AA1763" t="s">
        <v>52</v>
      </c>
      <c r="AB1763" t="s">
        <v>38</v>
      </c>
      <c r="AC1763" s="7">
        <v>0</v>
      </c>
      <c r="AD1763" t="s">
        <v>39</v>
      </c>
      <c r="AE1763">
        <f t="shared" si="27"/>
        <v>0</v>
      </c>
    </row>
    <row r="1764" spans="1:31" x14ac:dyDescent="0.35">
      <c r="A1764">
        <v>101763</v>
      </c>
      <c r="B1764" s="3">
        <v>45965</v>
      </c>
      <c r="C1764">
        <v>1105</v>
      </c>
      <c r="D1764" t="s">
        <v>30</v>
      </c>
      <c r="E1764" t="s">
        <v>40</v>
      </c>
      <c r="F1764" t="s">
        <v>61</v>
      </c>
      <c r="G1764" t="s">
        <v>63</v>
      </c>
      <c r="H1764" t="s">
        <v>34</v>
      </c>
      <c r="I1764" t="s">
        <v>54</v>
      </c>
      <c r="J1764" s="4">
        <v>22.04</v>
      </c>
      <c r="K1764" s="4">
        <v>12.75</v>
      </c>
      <c r="L1764">
        <v>0</v>
      </c>
      <c r="M1764" s="4">
        <v>0</v>
      </c>
      <c r="N1764" s="4">
        <v>281.01</v>
      </c>
      <c r="O1764" s="4">
        <v>155.35</v>
      </c>
      <c r="P1764" s="4">
        <v>8.98</v>
      </c>
      <c r="Q1764" s="4">
        <v>3.37</v>
      </c>
      <c r="R1764" s="4">
        <v>4.45</v>
      </c>
      <c r="S1764" s="4">
        <v>107.53</v>
      </c>
      <c r="T1764" s="4">
        <v>0</v>
      </c>
      <c r="U1764" s="4">
        <v>279.68</v>
      </c>
      <c r="V1764" s="4">
        <v>1.33</v>
      </c>
      <c r="W1764" t="s">
        <v>21</v>
      </c>
      <c r="X1764" t="s">
        <v>66</v>
      </c>
      <c r="Y1764" s="4">
        <v>1</v>
      </c>
      <c r="Z1764" s="4">
        <v>12</v>
      </c>
      <c r="AA1764" t="s">
        <v>37</v>
      </c>
      <c r="AB1764" t="s">
        <v>38</v>
      </c>
      <c r="AC1764" s="7">
        <v>3</v>
      </c>
      <c r="AD1764" t="s">
        <v>45</v>
      </c>
      <c r="AE1764">
        <f t="shared" si="27"/>
        <v>0</v>
      </c>
    </row>
    <row r="1765" spans="1:31" x14ac:dyDescent="0.35">
      <c r="A1765">
        <v>101764</v>
      </c>
      <c r="B1765" s="3">
        <v>46004</v>
      </c>
      <c r="C1765">
        <v>1122</v>
      </c>
      <c r="D1765" t="s">
        <v>47</v>
      </c>
      <c r="E1765" t="s">
        <v>74</v>
      </c>
      <c r="F1765" t="s">
        <v>49</v>
      </c>
      <c r="G1765" t="s">
        <v>63</v>
      </c>
      <c r="H1765" t="s">
        <v>51</v>
      </c>
      <c r="I1765" t="s">
        <v>54</v>
      </c>
      <c r="J1765" s="4">
        <v>24.84</v>
      </c>
      <c r="K1765" s="4">
        <v>12.54</v>
      </c>
      <c r="L1765">
        <v>0</v>
      </c>
      <c r="M1765" s="4">
        <v>0</v>
      </c>
      <c r="N1765" s="4">
        <v>311.49</v>
      </c>
      <c r="O1765" s="4">
        <v>169.61</v>
      </c>
      <c r="P1765" s="4">
        <v>12.16</v>
      </c>
      <c r="Q1765" s="4">
        <v>3.74</v>
      </c>
      <c r="R1765" s="4">
        <v>12.36</v>
      </c>
      <c r="S1765" s="4">
        <v>0</v>
      </c>
      <c r="T1765" s="4">
        <v>0</v>
      </c>
      <c r="U1765" s="4">
        <v>197.87</v>
      </c>
      <c r="V1765" s="4">
        <v>113.62</v>
      </c>
      <c r="W1765" t="s">
        <v>21</v>
      </c>
      <c r="X1765" t="s">
        <v>36</v>
      </c>
      <c r="Y1765" s="4">
        <v>6</v>
      </c>
      <c r="Z1765" s="4">
        <v>2</v>
      </c>
      <c r="AA1765" t="s">
        <v>37</v>
      </c>
      <c r="AB1765" t="s">
        <v>38</v>
      </c>
      <c r="AC1765" s="7">
        <v>0</v>
      </c>
      <c r="AD1765" t="s">
        <v>39</v>
      </c>
      <c r="AE1765">
        <f t="shared" si="27"/>
        <v>0</v>
      </c>
    </row>
    <row r="1766" spans="1:31" x14ac:dyDescent="0.35">
      <c r="A1766">
        <v>101765</v>
      </c>
      <c r="B1766" s="3">
        <v>46011</v>
      </c>
      <c r="C1766">
        <v>1055</v>
      </c>
      <c r="D1766" t="s">
        <v>47</v>
      </c>
      <c r="E1766" t="s">
        <v>48</v>
      </c>
      <c r="F1766" t="s">
        <v>71</v>
      </c>
      <c r="G1766" t="s">
        <v>50</v>
      </c>
      <c r="H1766" t="s">
        <v>57</v>
      </c>
      <c r="I1766" t="s">
        <v>35</v>
      </c>
      <c r="J1766" s="4">
        <v>29.7</v>
      </c>
      <c r="K1766" s="4">
        <v>17.23</v>
      </c>
      <c r="L1766">
        <v>5</v>
      </c>
      <c r="M1766" s="4">
        <v>25.59</v>
      </c>
      <c r="N1766" s="4">
        <v>486.14</v>
      </c>
      <c r="O1766" s="4">
        <v>241.63</v>
      </c>
      <c r="P1766" s="4">
        <v>9.27</v>
      </c>
      <c r="Q1766" s="4">
        <v>3.58</v>
      </c>
      <c r="R1766" s="4">
        <v>7.39</v>
      </c>
      <c r="S1766" s="4">
        <v>324.75</v>
      </c>
      <c r="T1766" s="4">
        <v>9.74</v>
      </c>
      <c r="U1766" s="4">
        <v>596.36</v>
      </c>
      <c r="V1766" s="4">
        <v>-110.22</v>
      </c>
      <c r="W1766" t="s">
        <v>58</v>
      </c>
      <c r="X1766" t="s">
        <v>55</v>
      </c>
      <c r="Y1766" s="4">
        <v>0</v>
      </c>
      <c r="Z1766" s="4">
        <v>1</v>
      </c>
      <c r="AA1766" t="s">
        <v>37</v>
      </c>
      <c r="AB1766" t="s">
        <v>44</v>
      </c>
      <c r="AC1766" s="7">
        <v>1</v>
      </c>
      <c r="AD1766" t="s">
        <v>45</v>
      </c>
      <c r="AE1766">
        <f t="shared" si="27"/>
        <v>1</v>
      </c>
    </row>
    <row r="1767" spans="1:31" x14ac:dyDescent="0.35">
      <c r="A1767">
        <v>101766</v>
      </c>
      <c r="B1767" s="3">
        <v>46004</v>
      </c>
      <c r="C1767">
        <v>1096</v>
      </c>
      <c r="D1767" t="s">
        <v>59</v>
      </c>
      <c r="E1767" t="s">
        <v>70</v>
      </c>
      <c r="F1767" t="s">
        <v>41</v>
      </c>
      <c r="G1767" t="s">
        <v>33</v>
      </c>
      <c r="H1767" t="s">
        <v>57</v>
      </c>
      <c r="I1767" t="s">
        <v>35</v>
      </c>
      <c r="J1767" s="4">
        <v>39.26</v>
      </c>
      <c r="K1767" s="4">
        <v>18.2</v>
      </c>
      <c r="L1767">
        <v>5</v>
      </c>
      <c r="M1767" s="4">
        <v>35.729999999999997</v>
      </c>
      <c r="N1767" s="4">
        <v>678.8</v>
      </c>
      <c r="O1767" s="4">
        <v>261.27999999999997</v>
      </c>
      <c r="P1767" s="4">
        <v>7.95</v>
      </c>
      <c r="Q1767" s="4">
        <v>5</v>
      </c>
      <c r="R1767" s="4">
        <v>6.41</v>
      </c>
      <c r="S1767" s="4">
        <v>258.64</v>
      </c>
      <c r="T1767" s="4">
        <v>9.49</v>
      </c>
      <c r="U1767" s="4">
        <v>548.77</v>
      </c>
      <c r="V1767" s="4">
        <v>130.03</v>
      </c>
      <c r="W1767" t="s">
        <v>21</v>
      </c>
      <c r="X1767" t="s">
        <v>55</v>
      </c>
      <c r="Y1767" s="4">
        <v>21</v>
      </c>
      <c r="Z1767" s="4">
        <v>26</v>
      </c>
      <c r="AA1767" t="s">
        <v>52</v>
      </c>
      <c r="AB1767" t="s">
        <v>44</v>
      </c>
      <c r="AC1767" s="7">
        <v>2</v>
      </c>
      <c r="AD1767" t="s">
        <v>45</v>
      </c>
      <c r="AE1767">
        <f t="shared" si="27"/>
        <v>1</v>
      </c>
    </row>
    <row r="1768" spans="1:31" x14ac:dyDescent="0.35">
      <c r="A1768">
        <v>101767</v>
      </c>
      <c r="B1768" s="3">
        <v>45947</v>
      </c>
      <c r="C1768">
        <v>1138</v>
      </c>
      <c r="D1768" t="s">
        <v>59</v>
      </c>
      <c r="E1768" t="s">
        <v>73</v>
      </c>
      <c r="F1768" t="s">
        <v>32</v>
      </c>
      <c r="G1768" t="s">
        <v>63</v>
      </c>
      <c r="H1768" t="s">
        <v>57</v>
      </c>
      <c r="I1768" t="s">
        <v>35</v>
      </c>
      <c r="J1768" s="4">
        <v>19.46</v>
      </c>
      <c r="K1768" s="4">
        <v>15.51</v>
      </c>
      <c r="L1768">
        <v>0</v>
      </c>
      <c r="M1768" s="4">
        <v>0</v>
      </c>
      <c r="N1768" s="4">
        <v>301.82</v>
      </c>
      <c r="O1768" s="4">
        <v>152.65</v>
      </c>
      <c r="P1768" s="4">
        <v>4.8099999999999996</v>
      </c>
      <c r="Q1768" s="4">
        <v>2.11</v>
      </c>
      <c r="R1768" s="4">
        <v>5.5</v>
      </c>
      <c r="S1768" s="4">
        <v>0</v>
      </c>
      <c r="T1768" s="4">
        <v>0</v>
      </c>
      <c r="U1768" s="4">
        <v>165.07</v>
      </c>
      <c r="V1768" s="4">
        <v>136.75</v>
      </c>
      <c r="W1768" t="s">
        <v>21</v>
      </c>
      <c r="X1768" t="s">
        <v>36</v>
      </c>
      <c r="Y1768" s="4">
        <v>1</v>
      </c>
      <c r="Z1768" s="4">
        <v>17</v>
      </c>
      <c r="AA1768" t="s">
        <v>37</v>
      </c>
      <c r="AB1768" t="s">
        <v>44</v>
      </c>
      <c r="AC1768" s="7">
        <v>2</v>
      </c>
      <c r="AD1768" t="s">
        <v>45</v>
      </c>
      <c r="AE1768">
        <f t="shared" si="27"/>
        <v>1</v>
      </c>
    </row>
    <row r="1769" spans="1:31" x14ac:dyDescent="0.35">
      <c r="A1769">
        <v>101768</v>
      </c>
      <c r="B1769" s="3">
        <v>45970</v>
      </c>
      <c r="C1769">
        <v>1065</v>
      </c>
      <c r="D1769" t="s">
        <v>47</v>
      </c>
      <c r="E1769" t="s">
        <v>74</v>
      </c>
      <c r="F1769" t="s">
        <v>41</v>
      </c>
      <c r="G1769" t="s">
        <v>46</v>
      </c>
      <c r="H1769" t="s">
        <v>34</v>
      </c>
      <c r="I1769" t="s">
        <v>35</v>
      </c>
      <c r="J1769" s="4">
        <v>18.89</v>
      </c>
      <c r="K1769" s="4">
        <v>15.91</v>
      </c>
      <c r="L1769">
        <v>0</v>
      </c>
      <c r="M1769" s="4">
        <v>0</v>
      </c>
      <c r="N1769" s="4">
        <v>300.54000000000002</v>
      </c>
      <c r="O1769" s="4">
        <v>127.78</v>
      </c>
      <c r="P1769" s="4">
        <v>7.29</v>
      </c>
      <c r="Q1769" s="4">
        <v>2.1</v>
      </c>
      <c r="R1769" s="4">
        <v>7.5</v>
      </c>
      <c r="S1769" s="4">
        <v>140.77000000000001</v>
      </c>
      <c r="T1769" s="4">
        <v>0</v>
      </c>
      <c r="U1769" s="4">
        <v>285.44</v>
      </c>
      <c r="V1769" s="4">
        <v>15.1</v>
      </c>
      <c r="W1769" t="s">
        <v>21</v>
      </c>
      <c r="X1769" t="s">
        <v>66</v>
      </c>
      <c r="Y1769" s="4">
        <v>51</v>
      </c>
      <c r="Z1769" s="4">
        <v>49</v>
      </c>
      <c r="AA1769" t="s">
        <v>43</v>
      </c>
      <c r="AB1769" t="s">
        <v>44</v>
      </c>
      <c r="AC1769" s="7">
        <v>1</v>
      </c>
      <c r="AD1769" t="s">
        <v>45</v>
      </c>
      <c r="AE1769">
        <f t="shared" si="27"/>
        <v>1</v>
      </c>
    </row>
    <row r="1770" spans="1:31" x14ac:dyDescent="0.35">
      <c r="A1770">
        <v>101769</v>
      </c>
      <c r="B1770" s="3">
        <v>45964</v>
      </c>
      <c r="C1770">
        <v>1003</v>
      </c>
      <c r="D1770" t="s">
        <v>64</v>
      </c>
      <c r="E1770" t="s">
        <v>75</v>
      </c>
      <c r="F1770" t="s">
        <v>32</v>
      </c>
      <c r="G1770" t="s">
        <v>63</v>
      </c>
      <c r="H1770" t="s">
        <v>51</v>
      </c>
      <c r="I1770" t="s">
        <v>35</v>
      </c>
      <c r="J1770" s="4">
        <v>6.17</v>
      </c>
      <c r="K1770" s="4">
        <v>11.7</v>
      </c>
      <c r="L1770">
        <v>15</v>
      </c>
      <c r="M1770" s="4">
        <v>10.83</v>
      </c>
      <c r="N1770" s="4">
        <v>61.36</v>
      </c>
      <c r="O1770" s="4">
        <v>48.89</v>
      </c>
      <c r="P1770" s="4">
        <v>5.97</v>
      </c>
      <c r="Q1770" s="4">
        <v>0.51</v>
      </c>
      <c r="R1770" s="4">
        <v>8.41</v>
      </c>
      <c r="S1770" s="4">
        <v>0</v>
      </c>
      <c r="T1770" s="4">
        <v>0</v>
      </c>
      <c r="U1770" s="4">
        <v>63.78</v>
      </c>
      <c r="V1770" s="4">
        <v>-2.42</v>
      </c>
      <c r="W1770" t="s">
        <v>58</v>
      </c>
      <c r="X1770" t="s">
        <v>36</v>
      </c>
      <c r="Y1770" s="4">
        <v>0</v>
      </c>
      <c r="Z1770" s="4">
        <v>3</v>
      </c>
      <c r="AA1770" t="s">
        <v>37</v>
      </c>
      <c r="AB1770" t="s">
        <v>38</v>
      </c>
      <c r="AC1770" s="7">
        <v>0</v>
      </c>
      <c r="AD1770" t="s">
        <v>39</v>
      </c>
      <c r="AE1770">
        <f t="shared" si="27"/>
        <v>0</v>
      </c>
    </row>
    <row r="1771" spans="1:31" x14ac:dyDescent="0.35">
      <c r="A1771">
        <v>101770</v>
      </c>
      <c r="B1771" s="3">
        <v>46003</v>
      </c>
      <c r="C1771">
        <v>1120</v>
      </c>
      <c r="D1771" t="s">
        <v>64</v>
      </c>
      <c r="E1771" t="s">
        <v>67</v>
      </c>
      <c r="F1771" t="s">
        <v>61</v>
      </c>
      <c r="G1771" t="s">
        <v>33</v>
      </c>
      <c r="H1771" t="s">
        <v>51</v>
      </c>
      <c r="I1771" t="s">
        <v>35</v>
      </c>
      <c r="J1771" s="4">
        <v>25.02</v>
      </c>
      <c r="K1771" s="4">
        <v>18.98</v>
      </c>
      <c r="L1771">
        <v>10</v>
      </c>
      <c r="M1771" s="4">
        <v>47.49</v>
      </c>
      <c r="N1771" s="4">
        <v>427.39</v>
      </c>
      <c r="O1771" s="4">
        <v>215.91</v>
      </c>
      <c r="P1771" s="4">
        <v>12.21</v>
      </c>
      <c r="Q1771" s="4">
        <v>3.32</v>
      </c>
      <c r="R1771" s="4">
        <v>0</v>
      </c>
      <c r="S1771" s="4">
        <v>0</v>
      </c>
      <c r="T1771" s="4">
        <v>0</v>
      </c>
      <c r="U1771" s="4">
        <v>231.44</v>
      </c>
      <c r="V1771" s="4">
        <v>195.95</v>
      </c>
      <c r="W1771" t="s">
        <v>21</v>
      </c>
      <c r="X1771" t="s">
        <v>36</v>
      </c>
      <c r="Y1771" s="4">
        <v>7</v>
      </c>
      <c r="Z1771" s="4">
        <v>7</v>
      </c>
      <c r="AA1771" t="s">
        <v>37</v>
      </c>
      <c r="AB1771" t="s">
        <v>38</v>
      </c>
      <c r="AC1771" s="7">
        <v>0</v>
      </c>
      <c r="AD1771" t="s">
        <v>39</v>
      </c>
      <c r="AE1771">
        <f t="shared" si="27"/>
        <v>0</v>
      </c>
    </row>
    <row r="1772" spans="1:31" x14ac:dyDescent="0.35">
      <c r="A1772">
        <v>101771</v>
      </c>
      <c r="B1772" s="3">
        <v>46008</v>
      </c>
      <c r="C1772">
        <v>1131</v>
      </c>
      <c r="D1772" t="s">
        <v>47</v>
      </c>
      <c r="E1772" t="s">
        <v>53</v>
      </c>
      <c r="F1772" t="s">
        <v>71</v>
      </c>
      <c r="G1772" t="s">
        <v>46</v>
      </c>
      <c r="H1772" t="s">
        <v>51</v>
      </c>
      <c r="I1772" t="s">
        <v>35</v>
      </c>
      <c r="J1772" s="4">
        <v>20.63</v>
      </c>
      <c r="K1772" s="4">
        <v>15.85</v>
      </c>
      <c r="L1772">
        <v>15</v>
      </c>
      <c r="M1772" s="4">
        <v>49.05</v>
      </c>
      <c r="N1772" s="4">
        <v>277.94</v>
      </c>
      <c r="O1772" s="4">
        <v>110.19</v>
      </c>
      <c r="P1772" s="4">
        <v>13.16</v>
      </c>
      <c r="Q1772" s="4">
        <v>2.29</v>
      </c>
      <c r="R1772" s="4">
        <v>5.46</v>
      </c>
      <c r="S1772" s="4">
        <v>0</v>
      </c>
      <c r="T1772" s="4">
        <v>0</v>
      </c>
      <c r="U1772" s="4">
        <v>131.1</v>
      </c>
      <c r="V1772" s="4">
        <v>146.84</v>
      </c>
      <c r="W1772" t="s">
        <v>21</v>
      </c>
      <c r="X1772" t="s">
        <v>36</v>
      </c>
      <c r="Y1772" s="4">
        <v>2</v>
      </c>
      <c r="Z1772" s="4">
        <v>24</v>
      </c>
      <c r="AA1772" t="s">
        <v>37</v>
      </c>
      <c r="AB1772" t="s">
        <v>44</v>
      </c>
      <c r="AC1772" s="7">
        <v>2</v>
      </c>
      <c r="AD1772" t="s">
        <v>45</v>
      </c>
      <c r="AE1772">
        <f t="shared" si="27"/>
        <v>1</v>
      </c>
    </row>
    <row r="1773" spans="1:31" x14ac:dyDescent="0.35">
      <c r="A1773">
        <v>101772</v>
      </c>
      <c r="B1773" s="3">
        <v>45945</v>
      </c>
      <c r="C1773">
        <v>1122</v>
      </c>
      <c r="D1773" t="s">
        <v>47</v>
      </c>
      <c r="E1773" t="s">
        <v>56</v>
      </c>
      <c r="F1773" t="s">
        <v>32</v>
      </c>
      <c r="G1773" t="s">
        <v>46</v>
      </c>
      <c r="H1773" t="s">
        <v>34</v>
      </c>
      <c r="I1773" t="s">
        <v>35</v>
      </c>
      <c r="J1773" s="4">
        <v>21.39</v>
      </c>
      <c r="K1773" s="4">
        <v>17.64</v>
      </c>
      <c r="L1773">
        <v>0</v>
      </c>
      <c r="M1773" s="4">
        <v>0</v>
      </c>
      <c r="N1773" s="4">
        <v>377.32</v>
      </c>
      <c r="O1773" s="4">
        <v>165.35</v>
      </c>
      <c r="P1773" s="4">
        <v>7.08</v>
      </c>
      <c r="Q1773" s="4">
        <v>2.64</v>
      </c>
      <c r="R1773" s="4">
        <v>1.42</v>
      </c>
      <c r="S1773" s="4">
        <v>0</v>
      </c>
      <c r="T1773" s="4">
        <v>0</v>
      </c>
      <c r="U1773" s="4">
        <v>176.49</v>
      </c>
      <c r="V1773" s="4">
        <v>200.83</v>
      </c>
      <c r="W1773" t="s">
        <v>21</v>
      </c>
      <c r="X1773" t="s">
        <v>36</v>
      </c>
      <c r="Y1773" s="4">
        <v>19</v>
      </c>
      <c r="Z1773" s="4">
        <v>5</v>
      </c>
      <c r="AA1773" t="s">
        <v>52</v>
      </c>
      <c r="AB1773" t="s">
        <v>38</v>
      </c>
      <c r="AC1773" s="7">
        <v>1</v>
      </c>
      <c r="AD1773" t="s">
        <v>39</v>
      </c>
      <c r="AE1773">
        <f t="shared" si="27"/>
        <v>0</v>
      </c>
    </row>
    <row r="1774" spans="1:31" x14ac:dyDescent="0.35">
      <c r="A1774">
        <v>101773</v>
      </c>
      <c r="B1774" s="3">
        <v>45947</v>
      </c>
      <c r="C1774">
        <v>1003</v>
      </c>
      <c r="D1774" t="s">
        <v>64</v>
      </c>
      <c r="E1774" t="s">
        <v>76</v>
      </c>
      <c r="F1774" t="s">
        <v>41</v>
      </c>
      <c r="G1774" t="s">
        <v>63</v>
      </c>
      <c r="H1774" t="s">
        <v>57</v>
      </c>
      <c r="I1774" t="s">
        <v>35</v>
      </c>
      <c r="J1774" s="4">
        <v>18.43</v>
      </c>
      <c r="K1774" s="4">
        <v>12.41</v>
      </c>
      <c r="L1774">
        <v>20</v>
      </c>
      <c r="M1774" s="4">
        <v>45.74</v>
      </c>
      <c r="N1774" s="4">
        <v>182.98</v>
      </c>
      <c r="O1774" s="4">
        <v>155.1</v>
      </c>
      <c r="P1774" s="4">
        <v>10.63</v>
      </c>
      <c r="Q1774" s="4">
        <v>1.6</v>
      </c>
      <c r="R1774" s="4">
        <v>8.93</v>
      </c>
      <c r="S1774" s="4">
        <v>0</v>
      </c>
      <c r="T1774" s="4">
        <v>0</v>
      </c>
      <c r="U1774" s="4">
        <v>176.26</v>
      </c>
      <c r="V1774" s="4">
        <v>6.72</v>
      </c>
      <c r="W1774" t="s">
        <v>21</v>
      </c>
      <c r="X1774" t="s">
        <v>36</v>
      </c>
      <c r="Y1774" s="4">
        <v>30</v>
      </c>
      <c r="Z1774" s="4">
        <v>7</v>
      </c>
      <c r="AA1774" t="s">
        <v>52</v>
      </c>
      <c r="AB1774" t="s">
        <v>44</v>
      </c>
      <c r="AC1774" s="7">
        <v>1</v>
      </c>
      <c r="AD1774" t="s">
        <v>45</v>
      </c>
      <c r="AE1774">
        <f t="shared" si="27"/>
        <v>1</v>
      </c>
    </row>
    <row r="1775" spans="1:31" x14ac:dyDescent="0.35">
      <c r="A1775">
        <v>101774</v>
      </c>
      <c r="B1775" s="3">
        <v>45949</v>
      </c>
      <c r="C1775">
        <v>1140</v>
      </c>
      <c r="D1775" t="s">
        <v>59</v>
      </c>
      <c r="E1775" t="s">
        <v>68</v>
      </c>
      <c r="F1775" t="s">
        <v>41</v>
      </c>
      <c r="G1775" t="s">
        <v>63</v>
      </c>
      <c r="H1775" t="s">
        <v>51</v>
      </c>
      <c r="I1775" t="s">
        <v>42</v>
      </c>
      <c r="J1775" s="4">
        <v>25.39</v>
      </c>
      <c r="K1775" s="4">
        <v>11.59</v>
      </c>
      <c r="L1775">
        <v>10</v>
      </c>
      <c r="M1775" s="4">
        <v>29.43</v>
      </c>
      <c r="N1775" s="4">
        <v>264.83999999999997</v>
      </c>
      <c r="O1775" s="4">
        <v>198.8</v>
      </c>
      <c r="P1775" s="4">
        <v>11.68</v>
      </c>
      <c r="Q1775" s="4">
        <v>4.41</v>
      </c>
      <c r="R1775" s="4">
        <v>9.8000000000000007</v>
      </c>
      <c r="S1775" s="4">
        <v>0</v>
      </c>
      <c r="T1775" s="4">
        <v>0</v>
      </c>
      <c r="U1775" s="4">
        <v>224.69</v>
      </c>
      <c r="V1775" s="4">
        <v>40.15</v>
      </c>
      <c r="W1775" t="s">
        <v>21</v>
      </c>
      <c r="X1775" t="s">
        <v>36</v>
      </c>
      <c r="Y1775" s="4">
        <v>9</v>
      </c>
      <c r="Z1775" s="4">
        <v>3</v>
      </c>
      <c r="AA1775" t="s">
        <v>37</v>
      </c>
      <c r="AB1775" t="s">
        <v>38</v>
      </c>
      <c r="AC1775" s="7">
        <v>0</v>
      </c>
      <c r="AD1775" t="s">
        <v>39</v>
      </c>
      <c r="AE1775">
        <f t="shared" si="27"/>
        <v>0</v>
      </c>
    </row>
    <row r="1776" spans="1:31" x14ac:dyDescent="0.35">
      <c r="A1776">
        <v>101775</v>
      </c>
      <c r="B1776" s="3">
        <v>45942</v>
      </c>
      <c r="C1776">
        <v>1111</v>
      </c>
      <c r="D1776" t="s">
        <v>47</v>
      </c>
      <c r="E1776" t="s">
        <v>56</v>
      </c>
      <c r="F1776" t="s">
        <v>32</v>
      </c>
      <c r="G1776" t="s">
        <v>46</v>
      </c>
      <c r="H1776" t="s">
        <v>51</v>
      </c>
      <c r="I1776" t="s">
        <v>42</v>
      </c>
      <c r="J1776" s="4">
        <v>29.98</v>
      </c>
      <c r="K1776" s="4">
        <v>15.77</v>
      </c>
      <c r="L1776">
        <v>0</v>
      </c>
      <c r="M1776" s="4">
        <v>0</v>
      </c>
      <c r="N1776" s="4">
        <v>472.78</v>
      </c>
      <c r="O1776" s="4">
        <v>261.97000000000003</v>
      </c>
      <c r="P1776" s="4">
        <v>8.5</v>
      </c>
      <c r="Q1776" s="4">
        <v>7.09</v>
      </c>
      <c r="R1776" s="4">
        <v>3.25</v>
      </c>
      <c r="S1776" s="4">
        <v>0</v>
      </c>
      <c r="T1776" s="4">
        <v>0</v>
      </c>
      <c r="U1776" s="4">
        <v>280.81</v>
      </c>
      <c r="V1776" s="4">
        <v>191.97</v>
      </c>
      <c r="W1776" t="s">
        <v>21</v>
      </c>
      <c r="X1776" t="s">
        <v>36</v>
      </c>
      <c r="Y1776" s="4">
        <v>1</v>
      </c>
      <c r="Z1776" s="4">
        <v>1</v>
      </c>
      <c r="AA1776" t="s">
        <v>37</v>
      </c>
      <c r="AB1776" t="s">
        <v>38</v>
      </c>
      <c r="AC1776" s="7">
        <v>0</v>
      </c>
      <c r="AD1776" t="s">
        <v>39</v>
      </c>
      <c r="AE1776">
        <f t="shared" si="27"/>
        <v>0</v>
      </c>
    </row>
    <row r="1777" spans="1:31" x14ac:dyDescent="0.35">
      <c r="A1777">
        <v>101776</v>
      </c>
      <c r="B1777" s="3">
        <v>45937</v>
      </c>
      <c r="C1777">
        <v>1039</v>
      </c>
      <c r="D1777" t="s">
        <v>30</v>
      </c>
      <c r="E1777" t="s">
        <v>31</v>
      </c>
      <c r="F1777" t="s">
        <v>41</v>
      </c>
      <c r="G1777" t="s">
        <v>63</v>
      </c>
      <c r="H1777" t="s">
        <v>57</v>
      </c>
      <c r="I1777" t="s">
        <v>35</v>
      </c>
      <c r="J1777" s="4">
        <v>10.5</v>
      </c>
      <c r="K1777" s="4">
        <v>11.51</v>
      </c>
      <c r="L1777">
        <v>20</v>
      </c>
      <c r="M1777" s="4">
        <v>24.17</v>
      </c>
      <c r="N1777" s="4">
        <v>96.69</v>
      </c>
      <c r="O1777" s="4">
        <v>84.74</v>
      </c>
      <c r="P1777" s="4">
        <v>4.12</v>
      </c>
      <c r="Q1777" s="4">
        <v>0.85</v>
      </c>
      <c r="R1777" s="4">
        <v>7.62</v>
      </c>
      <c r="S1777" s="4">
        <v>0</v>
      </c>
      <c r="T1777" s="4">
        <v>0</v>
      </c>
      <c r="U1777" s="4">
        <v>97.33</v>
      </c>
      <c r="V1777" s="4">
        <v>-0.64</v>
      </c>
      <c r="W1777" t="s">
        <v>58</v>
      </c>
      <c r="X1777" t="s">
        <v>36</v>
      </c>
      <c r="Y1777" s="4">
        <v>1</v>
      </c>
      <c r="Z1777" s="4">
        <v>0</v>
      </c>
      <c r="AA1777" t="s">
        <v>37</v>
      </c>
      <c r="AB1777" t="s">
        <v>38</v>
      </c>
      <c r="AC1777" s="7">
        <v>0</v>
      </c>
      <c r="AD1777" t="s">
        <v>39</v>
      </c>
      <c r="AE1777">
        <f t="shared" si="27"/>
        <v>0</v>
      </c>
    </row>
    <row r="1778" spans="1:31" x14ac:dyDescent="0.35">
      <c r="A1778">
        <v>101777</v>
      </c>
      <c r="B1778" s="3">
        <v>45988</v>
      </c>
      <c r="C1778">
        <v>1001</v>
      </c>
      <c r="D1778" t="s">
        <v>59</v>
      </c>
      <c r="E1778" t="s">
        <v>68</v>
      </c>
      <c r="F1778" t="s">
        <v>41</v>
      </c>
      <c r="G1778" t="s">
        <v>33</v>
      </c>
      <c r="H1778" t="s">
        <v>34</v>
      </c>
      <c r="I1778" t="s">
        <v>35</v>
      </c>
      <c r="J1778" s="4">
        <v>26.9</v>
      </c>
      <c r="K1778" s="4">
        <v>18.87</v>
      </c>
      <c r="L1778">
        <v>20</v>
      </c>
      <c r="M1778" s="4">
        <v>101.52</v>
      </c>
      <c r="N1778" s="4">
        <v>406.08</v>
      </c>
      <c r="O1778" s="4">
        <v>175.01</v>
      </c>
      <c r="P1778" s="4">
        <v>11.56</v>
      </c>
      <c r="Q1778" s="4">
        <v>3.55</v>
      </c>
      <c r="R1778" s="4">
        <v>12.26</v>
      </c>
      <c r="S1778" s="4">
        <v>0</v>
      </c>
      <c r="T1778" s="4">
        <v>0</v>
      </c>
      <c r="U1778" s="4">
        <v>202.38</v>
      </c>
      <c r="V1778" s="4">
        <v>203.7</v>
      </c>
      <c r="W1778" t="s">
        <v>21</v>
      </c>
      <c r="X1778" t="s">
        <v>36</v>
      </c>
      <c r="Y1778" s="4">
        <v>24</v>
      </c>
      <c r="Z1778" s="4">
        <v>0</v>
      </c>
      <c r="AA1778" t="s">
        <v>52</v>
      </c>
      <c r="AB1778" t="s">
        <v>44</v>
      </c>
      <c r="AC1778" s="7">
        <v>2</v>
      </c>
      <c r="AD1778" t="s">
        <v>45</v>
      </c>
      <c r="AE1778">
        <f t="shared" si="27"/>
        <v>1</v>
      </c>
    </row>
    <row r="1779" spans="1:31" x14ac:dyDescent="0.35">
      <c r="A1779">
        <v>101778</v>
      </c>
      <c r="B1779" s="3">
        <v>46003</v>
      </c>
      <c r="C1779">
        <v>1091</v>
      </c>
      <c r="D1779" t="s">
        <v>30</v>
      </c>
      <c r="E1779" t="s">
        <v>62</v>
      </c>
      <c r="F1779" t="s">
        <v>61</v>
      </c>
      <c r="G1779" t="s">
        <v>50</v>
      </c>
      <c r="H1779" t="s">
        <v>34</v>
      </c>
      <c r="I1779" t="s">
        <v>42</v>
      </c>
      <c r="J1779" s="4">
        <v>25.79</v>
      </c>
      <c r="K1779" s="4">
        <v>17.98</v>
      </c>
      <c r="L1779">
        <v>5</v>
      </c>
      <c r="M1779" s="4">
        <v>23.18</v>
      </c>
      <c r="N1779" s="4">
        <v>440.52</v>
      </c>
      <c r="O1779" s="4">
        <v>221.92</v>
      </c>
      <c r="P1779" s="4">
        <v>10.96</v>
      </c>
      <c r="Q1779" s="4">
        <v>6.96</v>
      </c>
      <c r="R1779" s="4">
        <v>2.2999999999999998</v>
      </c>
      <c r="S1779" s="4">
        <v>0</v>
      </c>
      <c r="T1779" s="4">
        <v>0</v>
      </c>
      <c r="U1779" s="4">
        <v>242.14</v>
      </c>
      <c r="V1779" s="4">
        <v>198.38</v>
      </c>
      <c r="W1779" t="s">
        <v>21</v>
      </c>
      <c r="X1779" t="s">
        <v>36</v>
      </c>
      <c r="Y1779" s="4">
        <v>3</v>
      </c>
      <c r="Z1779" s="4">
        <v>3</v>
      </c>
      <c r="AA1779" t="s">
        <v>37</v>
      </c>
      <c r="AB1779" t="s">
        <v>38</v>
      </c>
      <c r="AC1779" s="7">
        <v>0</v>
      </c>
      <c r="AD1779" t="s">
        <v>39</v>
      </c>
      <c r="AE1779">
        <f t="shared" si="27"/>
        <v>0</v>
      </c>
    </row>
    <row r="1780" spans="1:31" x14ac:dyDescent="0.35">
      <c r="A1780">
        <v>101779</v>
      </c>
      <c r="B1780" s="3">
        <v>45989</v>
      </c>
      <c r="C1780">
        <v>1030</v>
      </c>
      <c r="D1780" t="s">
        <v>59</v>
      </c>
      <c r="E1780" t="s">
        <v>68</v>
      </c>
      <c r="F1780" t="s">
        <v>61</v>
      </c>
      <c r="G1780" t="s">
        <v>46</v>
      </c>
      <c r="H1780" t="s">
        <v>34</v>
      </c>
      <c r="I1780" t="s">
        <v>69</v>
      </c>
      <c r="J1780" s="4">
        <v>31.19</v>
      </c>
      <c r="K1780" s="4">
        <v>15.72</v>
      </c>
      <c r="L1780">
        <v>15</v>
      </c>
      <c r="M1780" s="4">
        <v>73.55</v>
      </c>
      <c r="N1780" s="4">
        <v>416.76</v>
      </c>
      <c r="O1780" s="4">
        <v>178.53</v>
      </c>
      <c r="P1780" s="4">
        <v>5.89</v>
      </c>
      <c r="Q1780" s="4">
        <v>1.96</v>
      </c>
      <c r="R1780" s="4">
        <v>8.15</v>
      </c>
      <c r="S1780" s="4">
        <v>0</v>
      </c>
      <c r="T1780" s="4">
        <v>0</v>
      </c>
      <c r="U1780" s="4">
        <v>194.53</v>
      </c>
      <c r="V1780" s="4">
        <v>222.23</v>
      </c>
      <c r="W1780" t="s">
        <v>21</v>
      </c>
      <c r="X1780" t="s">
        <v>36</v>
      </c>
      <c r="Y1780" s="4">
        <v>1</v>
      </c>
      <c r="Z1780" s="4">
        <v>3</v>
      </c>
      <c r="AA1780" t="s">
        <v>37</v>
      </c>
      <c r="AB1780" t="s">
        <v>38</v>
      </c>
      <c r="AC1780" s="7">
        <v>0</v>
      </c>
      <c r="AD1780" t="s">
        <v>39</v>
      </c>
      <c r="AE1780">
        <f t="shared" si="27"/>
        <v>0</v>
      </c>
    </row>
    <row r="1781" spans="1:31" x14ac:dyDescent="0.35">
      <c r="A1781">
        <v>101780</v>
      </c>
      <c r="B1781" s="3">
        <v>46012</v>
      </c>
      <c r="C1781">
        <v>1085</v>
      </c>
      <c r="D1781" t="s">
        <v>47</v>
      </c>
      <c r="E1781" t="s">
        <v>74</v>
      </c>
      <c r="F1781" t="s">
        <v>71</v>
      </c>
      <c r="G1781" t="s">
        <v>63</v>
      </c>
      <c r="H1781" t="s">
        <v>51</v>
      </c>
      <c r="I1781" t="s">
        <v>35</v>
      </c>
      <c r="J1781" s="4">
        <v>18.489999999999998</v>
      </c>
      <c r="K1781" s="4">
        <v>13.17</v>
      </c>
      <c r="L1781">
        <v>15</v>
      </c>
      <c r="M1781" s="4">
        <v>36.53</v>
      </c>
      <c r="N1781" s="4">
        <v>206.98</v>
      </c>
      <c r="O1781" s="4">
        <v>129.37</v>
      </c>
      <c r="P1781" s="4">
        <v>4.3600000000000003</v>
      </c>
      <c r="Q1781" s="4">
        <v>1.7</v>
      </c>
      <c r="R1781" s="4">
        <v>11.31</v>
      </c>
      <c r="S1781" s="4">
        <v>173.25</v>
      </c>
      <c r="T1781" s="4">
        <v>11.01</v>
      </c>
      <c r="U1781" s="4">
        <v>331</v>
      </c>
      <c r="V1781" s="4">
        <v>-124.02</v>
      </c>
      <c r="W1781" t="s">
        <v>58</v>
      </c>
      <c r="X1781" t="s">
        <v>66</v>
      </c>
      <c r="Y1781" s="4">
        <v>3</v>
      </c>
      <c r="Z1781" s="4">
        <v>3</v>
      </c>
      <c r="AA1781" t="s">
        <v>37</v>
      </c>
      <c r="AB1781" t="s">
        <v>38</v>
      </c>
      <c r="AC1781" s="7">
        <v>1</v>
      </c>
      <c r="AD1781" t="s">
        <v>45</v>
      </c>
      <c r="AE1781">
        <f t="shared" si="27"/>
        <v>0</v>
      </c>
    </row>
    <row r="1782" spans="1:31" x14ac:dyDescent="0.35">
      <c r="A1782">
        <v>101781</v>
      </c>
      <c r="B1782" s="3">
        <v>46012</v>
      </c>
      <c r="C1782">
        <v>1115</v>
      </c>
      <c r="D1782" t="s">
        <v>47</v>
      </c>
      <c r="E1782" t="s">
        <v>74</v>
      </c>
      <c r="F1782" t="s">
        <v>49</v>
      </c>
      <c r="G1782" t="s">
        <v>63</v>
      </c>
      <c r="H1782" t="s">
        <v>34</v>
      </c>
      <c r="I1782" t="s">
        <v>54</v>
      </c>
      <c r="J1782" s="4">
        <v>18.760000000000002</v>
      </c>
      <c r="K1782" s="4">
        <v>12.5</v>
      </c>
      <c r="L1782">
        <v>0</v>
      </c>
      <c r="M1782" s="4">
        <v>0</v>
      </c>
      <c r="N1782" s="4">
        <v>234.5</v>
      </c>
      <c r="O1782" s="4">
        <v>135.19</v>
      </c>
      <c r="P1782" s="4">
        <v>7.5</v>
      </c>
      <c r="Q1782" s="4">
        <v>2.81</v>
      </c>
      <c r="R1782" s="4">
        <v>6</v>
      </c>
      <c r="S1782" s="4">
        <v>0</v>
      </c>
      <c r="T1782" s="4">
        <v>0</v>
      </c>
      <c r="U1782" s="4">
        <v>151.5</v>
      </c>
      <c r="V1782" s="4">
        <v>83</v>
      </c>
      <c r="W1782" t="s">
        <v>21</v>
      </c>
      <c r="X1782" t="s">
        <v>36</v>
      </c>
      <c r="Y1782" s="4">
        <v>7</v>
      </c>
      <c r="Z1782" s="4">
        <v>6</v>
      </c>
      <c r="AA1782" t="s">
        <v>37</v>
      </c>
      <c r="AB1782" t="s">
        <v>38</v>
      </c>
      <c r="AC1782" s="7">
        <v>0</v>
      </c>
      <c r="AD1782" t="s">
        <v>39</v>
      </c>
      <c r="AE1782">
        <f t="shared" si="27"/>
        <v>0</v>
      </c>
    </row>
    <row r="1783" spans="1:31" x14ac:dyDescent="0.35">
      <c r="A1783">
        <v>101782</v>
      </c>
      <c r="B1783" s="3">
        <v>45971</v>
      </c>
      <c r="C1783">
        <v>1057</v>
      </c>
      <c r="D1783" t="s">
        <v>47</v>
      </c>
      <c r="E1783" t="s">
        <v>56</v>
      </c>
      <c r="F1783" t="s">
        <v>71</v>
      </c>
      <c r="G1783" t="s">
        <v>33</v>
      </c>
      <c r="H1783" t="s">
        <v>34</v>
      </c>
      <c r="I1783" t="s">
        <v>69</v>
      </c>
      <c r="J1783" s="4">
        <v>32.590000000000003</v>
      </c>
      <c r="K1783" s="4">
        <v>19.71</v>
      </c>
      <c r="L1783">
        <v>0</v>
      </c>
      <c r="M1783" s="4">
        <v>0</v>
      </c>
      <c r="N1783" s="4">
        <v>642.35</v>
      </c>
      <c r="O1783" s="4">
        <v>177.04</v>
      </c>
      <c r="P1783" s="4">
        <v>9.99</v>
      </c>
      <c r="Q1783" s="4">
        <v>2.57</v>
      </c>
      <c r="R1783" s="4">
        <v>5.8</v>
      </c>
      <c r="S1783" s="4">
        <v>0</v>
      </c>
      <c r="T1783" s="4">
        <v>0</v>
      </c>
      <c r="U1783" s="4">
        <v>195.4</v>
      </c>
      <c r="V1783" s="4">
        <v>446.95</v>
      </c>
      <c r="W1783" t="s">
        <v>21</v>
      </c>
      <c r="X1783" t="s">
        <v>36</v>
      </c>
      <c r="Y1783" s="4">
        <v>5</v>
      </c>
      <c r="Z1783" s="4">
        <v>6</v>
      </c>
      <c r="AA1783" t="s">
        <v>37</v>
      </c>
      <c r="AB1783" t="s">
        <v>38</v>
      </c>
      <c r="AC1783" s="7">
        <v>0</v>
      </c>
      <c r="AD1783" t="s">
        <v>39</v>
      </c>
      <c r="AE1783">
        <f t="shared" si="27"/>
        <v>0</v>
      </c>
    </row>
    <row r="1784" spans="1:31" x14ac:dyDescent="0.35">
      <c r="A1784">
        <v>101783</v>
      </c>
      <c r="B1784" s="3">
        <v>45962</v>
      </c>
      <c r="C1784">
        <v>1048</v>
      </c>
      <c r="D1784" t="s">
        <v>30</v>
      </c>
      <c r="E1784" t="s">
        <v>40</v>
      </c>
      <c r="F1784" t="s">
        <v>61</v>
      </c>
      <c r="G1784" t="s">
        <v>50</v>
      </c>
      <c r="H1784" t="s">
        <v>34</v>
      </c>
      <c r="I1784" t="s">
        <v>35</v>
      </c>
      <c r="J1784" s="4">
        <v>23.63</v>
      </c>
      <c r="K1784" s="4">
        <v>16.829999999999998</v>
      </c>
      <c r="L1784">
        <v>15</v>
      </c>
      <c r="M1784" s="4">
        <v>59.65</v>
      </c>
      <c r="N1784" s="4">
        <v>338.04</v>
      </c>
      <c r="O1784" s="4">
        <v>136.88</v>
      </c>
      <c r="P1784" s="4">
        <v>8.0299999999999994</v>
      </c>
      <c r="Q1784" s="4">
        <v>2.78</v>
      </c>
      <c r="R1784" s="4">
        <v>10.88</v>
      </c>
      <c r="S1784" s="4">
        <v>0</v>
      </c>
      <c r="T1784" s="4">
        <v>0</v>
      </c>
      <c r="U1784" s="4">
        <v>158.57</v>
      </c>
      <c r="V1784" s="4">
        <v>179.47</v>
      </c>
      <c r="W1784" t="s">
        <v>21</v>
      </c>
      <c r="X1784" t="s">
        <v>36</v>
      </c>
      <c r="Y1784" s="4">
        <v>19</v>
      </c>
      <c r="Z1784" s="4">
        <v>9</v>
      </c>
      <c r="AA1784" t="s">
        <v>52</v>
      </c>
      <c r="AB1784" t="s">
        <v>38</v>
      </c>
      <c r="AC1784" s="7">
        <v>0</v>
      </c>
      <c r="AD1784" t="s">
        <v>39</v>
      </c>
      <c r="AE1784">
        <f t="shared" si="27"/>
        <v>0</v>
      </c>
    </row>
    <row r="1785" spans="1:31" x14ac:dyDescent="0.35">
      <c r="A1785">
        <v>101784</v>
      </c>
      <c r="B1785" s="3">
        <v>46004</v>
      </c>
      <c r="C1785">
        <v>1060</v>
      </c>
      <c r="D1785" t="s">
        <v>47</v>
      </c>
      <c r="E1785" t="s">
        <v>53</v>
      </c>
      <c r="F1785" t="s">
        <v>71</v>
      </c>
      <c r="G1785" t="s">
        <v>63</v>
      </c>
      <c r="H1785" t="s">
        <v>57</v>
      </c>
      <c r="I1785" t="s">
        <v>42</v>
      </c>
      <c r="J1785" s="4">
        <v>20.69</v>
      </c>
      <c r="K1785" s="4">
        <v>11.76</v>
      </c>
      <c r="L1785">
        <v>10</v>
      </c>
      <c r="M1785" s="4">
        <v>24.33</v>
      </c>
      <c r="N1785" s="4">
        <v>218.98</v>
      </c>
      <c r="O1785" s="4">
        <v>140.93</v>
      </c>
      <c r="P1785" s="4">
        <v>8.5299999999999994</v>
      </c>
      <c r="Q1785" s="4">
        <v>3.65</v>
      </c>
      <c r="R1785" s="4">
        <v>10.14</v>
      </c>
      <c r="S1785" s="4">
        <v>0</v>
      </c>
      <c r="T1785" s="4">
        <v>0</v>
      </c>
      <c r="U1785" s="4">
        <v>163.25</v>
      </c>
      <c r="V1785" s="4">
        <v>55.73</v>
      </c>
      <c r="W1785" t="s">
        <v>21</v>
      </c>
      <c r="X1785" t="s">
        <v>36</v>
      </c>
      <c r="Y1785" s="4">
        <v>2</v>
      </c>
      <c r="Z1785" s="4">
        <v>6</v>
      </c>
      <c r="AA1785" t="s">
        <v>37</v>
      </c>
      <c r="AB1785" t="s">
        <v>38</v>
      </c>
      <c r="AC1785" s="7">
        <v>2</v>
      </c>
      <c r="AD1785" t="s">
        <v>39</v>
      </c>
      <c r="AE1785">
        <f t="shared" si="27"/>
        <v>0</v>
      </c>
    </row>
    <row r="1786" spans="1:31" x14ac:dyDescent="0.35">
      <c r="A1786">
        <v>101785</v>
      </c>
      <c r="B1786" s="3">
        <v>45980</v>
      </c>
      <c r="C1786">
        <v>1086</v>
      </c>
      <c r="D1786" t="s">
        <v>59</v>
      </c>
      <c r="E1786" t="s">
        <v>60</v>
      </c>
      <c r="F1786" t="s">
        <v>32</v>
      </c>
      <c r="G1786" t="s">
        <v>33</v>
      </c>
      <c r="H1786" t="s">
        <v>34</v>
      </c>
      <c r="I1786" t="s">
        <v>69</v>
      </c>
      <c r="J1786" s="4">
        <v>35.799999999999997</v>
      </c>
      <c r="K1786" s="4">
        <v>19.3</v>
      </c>
      <c r="L1786">
        <v>10</v>
      </c>
      <c r="M1786" s="4">
        <v>69.09</v>
      </c>
      <c r="N1786" s="4">
        <v>621.85</v>
      </c>
      <c r="O1786" s="4">
        <v>259.39</v>
      </c>
      <c r="P1786" s="4">
        <v>7.15</v>
      </c>
      <c r="Q1786" s="4">
        <v>2.76</v>
      </c>
      <c r="R1786" s="4">
        <v>14.59</v>
      </c>
      <c r="S1786" s="4">
        <v>0</v>
      </c>
      <c r="T1786" s="4">
        <v>0</v>
      </c>
      <c r="U1786" s="4">
        <v>283.89</v>
      </c>
      <c r="V1786" s="4">
        <v>337.96</v>
      </c>
      <c r="W1786" t="s">
        <v>21</v>
      </c>
      <c r="X1786" t="s">
        <v>36</v>
      </c>
      <c r="Y1786" s="4">
        <v>4</v>
      </c>
      <c r="Z1786" s="4">
        <v>9</v>
      </c>
      <c r="AA1786" t="s">
        <v>37</v>
      </c>
      <c r="AB1786" t="s">
        <v>38</v>
      </c>
      <c r="AC1786" s="7">
        <v>1</v>
      </c>
      <c r="AD1786" t="s">
        <v>39</v>
      </c>
      <c r="AE1786">
        <f t="shared" si="27"/>
        <v>0</v>
      </c>
    </row>
    <row r="1787" spans="1:31" x14ac:dyDescent="0.35">
      <c r="A1787">
        <v>101786</v>
      </c>
      <c r="B1787" s="3">
        <v>45949</v>
      </c>
      <c r="C1787">
        <v>1012</v>
      </c>
      <c r="D1787" t="s">
        <v>30</v>
      </c>
      <c r="E1787" t="s">
        <v>62</v>
      </c>
      <c r="F1787" t="s">
        <v>49</v>
      </c>
      <c r="G1787" t="s">
        <v>63</v>
      </c>
      <c r="H1787" t="s">
        <v>34</v>
      </c>
      <c r="I1787" t="s">
        <v>42</v>
      </c>
      <c r="J1787" s="4">
        <v>23.65</v>
      </c>
      <c r="K1787" s="4">
        <v>12.09</v>
      </c>
      <c r="L1787">
        <v>5</v>
      </c>
      <c r="M1787" s="4">
        <v>14.3</v>
      </c>
      <c r="N1787" s="4">
        <v>271.63</v>
      </c>
      <c r="O1787" s="4">
        <v>170.87</v>
      </c>
      <c r="P1787" s="4">
        <v>6.72</v>
      </c>
      <c r="Q1787" s="4">
        <v>4.29</v>
      </c>
      <c r="R1787" s="4">
        <v>0.49</v>
      </c>
      <c r="S1787" s="4">
        <v>0</v>
      </c>
      <c r="T1787" s="4">
        <v>0</v>
      </c>
      <c r="U1787" s="4">
        <v>182.37</v>
      </c>
      <c r="V1787" s="4">
        <v>89.26</v>
      </c>
      <c r="W1787" t="s">
        <v>21</v>
      </c>
      <c r="X1787" t="s">
        <v>36</v>
      </c>
      <c r="Y1787" s="4">
        <v>8</v>
      </c>
      <c r="Z1787" s="4">
        <v>34</v>
      </c>
      <c r="AA1787" t="s">
        <v>37</v>
      </c>
      <c r="AB1787" t="s">
        <v>44</v>
      </c>
      <c r="AC1787" s="7">
        <v>1</v>
      </c>
      <c r="AD1787" t="s">
        <v>45</v>
      </c>
      <c r="AE1787">
        <f t="shared" si="27"/>
        <v>1</v>
      </c>
    </row>
    <row r="1788" spans="1:31" x14ac:dyDescent="0.35">
      <c r="A1788">
        <v>101787</v>
      </c>
      <c r="B1788" s="3">
        <v>46021</v>
      </c>
      <c r="C1788">
        <v>1096</v>
      </c>
      <c r="D1788" t="s">
        <v>64</v>
      </c>
      <c r="E1788" t="s">
        <v>65</v>
      </c>
      <c r="F1788" t="s">
        <v>61</v>
      </c>
      <c r="G1788" t="s">
        <v>50</v>
      </c>
      <c r="H1788" t="s">
        <v>34</v>
      </c>
      <c r="I1788" t="s">
        <v>35</v>
      </c>
      <c r="J1788" s="4">
        <v>26.45</v>
      </c>
      <c r="K1788" s="4">
        <v>17.329999999999998</v>
      </c>
      <c r="L1788">
        <v>0</v>
      </c>
      <c r="M1788" s="4">
        <v>0</v>
      </c>
      <c r="N1788" s="4">
        <v>458.38</v>
      </c>
      <c r="O1788" s="4">
        <v>234.8</v>
      </c>
      <c r="P1788" s="4">
        <v>11.42</v>
      </c>
      <c r="Q1788" s="4">
        <v>3.21</v>
      </c>
      <c r="R1788" s="4">
        <v>8.32</v>
      </c>
      <c r="S1788" s="4">
        <v>0</v>
      </c>
      <c r="T1788" s="4">
        <v>0</v>
      </c>
      <c r="U1788" s="4">
        <v>257.75</v>
      </c>
      <c r="V1788" s="4">
        <v>200.63</v>
      </c>
      <c r="W1788" t="s">
        <v>21</v>
      </c>
      <c r="X1788" t="s">
        <v>36</v>
      </c>
      <c r="Y1788" s="4">
        <v>23</v>
      </c>
      <c r="Z1788" s="4">
        <v>27</v>
      </c>
      <c r="AA1788" t="s">
        <v>52</v>
      </c>
      <c r="AB1788" t="s">
        <v>44</v>
      </c>
      <c r="AC1788" s="7">
        <v>2</v>
      </c>
      <c r="AD1788" t="s">
        <v>45</v>
      </c>
      <c r="AE1788">
        <f t="shared" si="27"/>
        <v>1</v>
      </c>
    </row>
    <row r="1789" spans="1:31" x14ac:dyDescent="0.35">
      <c r="A1789">
        <v>101788</v>
      </c>
      <c r="B1789" s="3">
        <v>45966</v>
      </c>
      <c r="C1789">
        <v>1130</v>
      </c>
      <c r="D1789" t="s">
        <v>59</v>
      </c>
      <c r="E1789" t="s">
        <v>73</v>
      </c>
      <c r="F1789" t="s">
        <v>41</v>
      </c>
      <c r="G1789" t="s">
        <v>63</v>
      </c>
      <c r="H1789" t="s">
        <v>34</v>
      </c>
      <c r="I1789" t="s">
        <v>35</v>
      </c>
      <c r="J1789" s="4">
        <v>29.42</v>
      </c>
      <c r="K1789" s="4">
        <v>13.97</v>
      </c>
      <c r="L1789">
        <v>0</v>
      </c>
      <c r="M1789" s="4">
        <v>0</v>
      </c>
      <c r="N1789" s="4">
        <v>411</v>
      </c>
      <c r="O1789" s="4">
        <v>214.11</v>
      </c>
      <c r="P1789" s="4">
        <v>8.94</v>
      </c>
      <c r="Q1789" s="4">
        <v>2.88</v>
      </c>
      <c r="R1789" s="4">
        <v>4.5599999999999996</v>
      </c>
      <c r="S1789" s="4">
        <v>0</v>
      </c>
      <c r="T1789" s="4">
        <v>0</v>
      </c>
      <c r="U1789" s="4">
        <v>230.49</v>
      </c>
      <c r="V1789" s="4">
        <v>180.51</v>
      </c>
      <c r="W1789" t="s">
        <v>21</v>
      </c>
      <c r="X1789" t="s">
        <v>36</v>
      </c>
      <c r="Y1789" s="4">
        <v>18</v>
      </c>
      <c r="Z1789" s="4">
        <v>3</v>
      </c>
      <c r="AA1789" t="s">
        <v>52</v>
      </c>
      <c r="AB1789" t="s">
        <v>38</v>
      </c>
      <c r="AC1789" s="7">
        <v>0</v>
      </c>
      <c r="AD1789" t="s">
        <v>39</v>
      </c>
      <c r="AE1789">
        <f t="shared" si="27"/>
        <v>0</v>
      </c>
    </row>
    <row r="1790" spans="1:31" x14ac:dyDescent="0.35">
      <c r="A1790">
        <v>101789</v>
      </c>
      <c r="B1790" s="3">
        <v>46019</v>
      </c>
      <c r="C1790">
        <v>1001</v>
      </c>
      <c r="D1790" t="s">
        <v>59</v>
      </c>
      <c r="E1790" t="s">
        <v>68</v>
      </c>
      <c r="F1790" t="s">
        <v>49</v>
      </c>
      <c r="G1790" t="s">
        <v>63</v>
      </c>
      <c r="H1790" t="s">
        <v>34</v>
      </c>
      <c r="I1790" t="s">
        <v>35</v>
      </c>
      <c r="J1790" s="4">
        <v>17.66</v>
      </c>
      <c r="K1790" s="4">
        <v>11.78</v>
      </c>
      <c r="L1790">
        <v>15</v>
      </c>
      <c r="M1790" s="4">
        <v>31.2</v>
      </c>
      <c r="N1790" s="4">
        <v>176.83</v>
      </c>
      <c r="O1790" s="4">
        <v>143.66999999999999</v>
      </c>
      <c r="P1790" s="4">
        <v>6.41</v>
      </c>
      <c r="Q1790" s="4">
        <v>1.46</v>
      </c>
      <c r="R1790" s="4">
        <v>6.92</v>
      </c>
      <c r="S1790" s="4">
        <v>0</v>
      </c>
      <c r="T1790" s="4">
        <v>0</v>
      </c>
      <c r="U1790" s="4">
        <v>158.46</v>
      </c>
      <c r="V1790" s="4">
        <v>18.37</v>
      </c>
      <c r="W1790" t="s">
        <v>21</v>
      </c>
      <c r="X1790" t="s">
        <v>36</v>
      </c>
      <c r="Y1790" s="4">
        <v>0</v>
      </c>
      <c r="Z1790" s="4">
        <v>2</v>
      </c>
      <c r="AA1790" t="s">
        <v>37</v>
      </c>
      <c r="AB1790" t="s">
        <v>38</v>
      </c>
      <c r="AC1790" s="7">
        <v>0</v>
      </c>
      <c r="AD1790" t="s">
        <v>39</v>
      </c>
      <c r="AE1790">
        <f t="shared" si="27"/>
        <v>0</v>
      </c>
    </row>
    <row r="1791" spans="1:31" x14ac:dyDescent="0.35">
      <c r="A1791">
        <v>101790</v>
      </c>
      <c r="B1791" s="3">
        <v>46020</v>
      </c>
      <c r="C1791">
        <v>1059</v>
      </c>
      <c r="D1791" t="s">
        <v>64</v>
      </c>
      <c r="E1791" t="s">
        <v>76</v>
      </c>
      <c r="F1791" t="s">
        <v>41</v>
      </c>
      <c r="G1791" t="s">
        <v>33</v>
      </c>
      <c r="H1791" t="s">
        <v>51</v>
      </c>
      <c r="I1791" t="s">
        <v>54</v>
      </c>
      <c r="J1791" s="4">
        <v>35.57</v>
      </c>
      <c r="K1791" s="4">
        <v>18.760000000000002</v>
      </c>
      <c r="L1791">
        <v>5</v>
      </c>
      <c r="M1791" s="4">
        <v>33.36</v>
      </c>
      <c r="N1791" s="4">
        <v>633.92999999999995</v>
      </c>
      <c r="O1791" s="4">
        <v>266.74</v>
      </c>
      <c r="P1791" s="4">
        <v>8.1999999999999993</v>
      </c>
      <c r="Q1791" s="4">
        <v>8.01</v>
      </c>
      <c r="R1791" s="4">
        <v>4.3600000000000003</v>
      </c>
      <c r="S1791" s="4">
        <v>0</v>
      </c>
      <c r="T1791" s="4">
        <v>0</v>
      </c>
      <c r="U1791" s="4">
        <v>287.31</v>
      </c>
      <c r="V1791" s="4">
        <v>346.62</v>
      </c>
      <c r="W1791" t="s">
        <v>21</v>
      </c>
      <c r="X1791" t="s">
        <v>36</v>
      </c>
      <c r="Y1791" s="4">
        <v>15</v>
      </c>
      <c r="Z1791" s="4">
        <v>1</v>
      </c>
      <c r="AA1791" t="s">
        <v>37</v>
      </c>
      <c r="AB1791" t="s">
        <v>38</v>
      </c>
      <c r="AC1791" s="7">
        <v>0</v>
      </c>
      <c r="AD1791" t="s">
        <v>39</v>
      </c>
      <c r="AE1791">
        <f t="shared" si="27"/>
        <v>0</v>
      </c>
    </row>
    <row r="1792" spans="1:31" x14ac:dyDescent="0.35">
      <c r="A1792">
        <v>101791</v>
      </c>
      <c r="B1792" s="3">
        <v>45963</v>
      </c>
      <c r="C1792">
        <v>1108</v>
      </c>
      <c r="D1792" t="s">
        <v>64</v>
      </c>
      <c r="E1792" t="s">
        <v>67</v>
      </c>
      <c r="F1792" t="s">
        <v>41</v>
      </c>
      <c r="G1792" t="s">
        <v>46</v>
      </c>
      <c r="H1792" t="s">
        <v>34</v>
      </c>
      <c r="I1792" t="s">
        <v>35</v>
      </c>
      <c r="J1792" s="4">
        <v>25.84</v>
      </c>
      <c r="K1792" s="4">
        <v>16.84</v>
      </c>
      <c r="L1792">
        <v>5</v>
      </c>
      <c r="M1792" s="4">
        <v>21.76</v>
      </c>
      <c r="N1792" s="4">
        <v>413.39</v>
      </c>
      <c r="O1792" s="4">
        <v>150.36000000000001</v>
      </c>
      <c r="P1792" s="4">
        <v>5.64</v>
      </c>
      <c r="Q1792" s="4">
        <v>3.05</v>
      </c>
      <c r="R1792" s="4">
        <v>11.17</v>
      </c>
      <c r="S1792" s="4">
        <v>0</v>
      </c>
      <c r="T1792" s="4">
        <v>0</v>
      </c>
      <c r="U1792" s="4">
        <v>170.22</v>
      </c>
      <c r="V1792" s="4">
        <v>243.17</v>
      </c>
      <c r="W1792" t="s">
        <v>21</v>
      </c>
      <c r="X1792" t="s">
        <v>36</v>
      </c>
      <c r="Y1792" s="4">
        <v>2</v>
      </c>
      <c r="Z1792" s="4">
        <v>3</v>
      </c>
      <c r="AA1792" t="s">
        <v>37</v>
      </c>
      <c r="AB1792" t="s">
        <v>38</v>
      </c>
      <c r="AC1792" s="7">
        <v>0</v>
      </c>
      <c r="AD1792" t="s">
        <v>39</v>
      </c>
      <c r="AE1792">
        <f t="shared" si="27"/>
        <v>0</v>
      </c>
    </row>
    <row r="1793" spans="1:31" x14ac:dyDescent="0.35">
      <c r="A1793">
        <v>101792</v>
      </c>
      <c r="B1793" s="3">
        <v>45985</v>
      </c>
      <c r="C1793">
        <v>1089</v>
      </c>
      <c r="D1793" t="s">
        <v>59</v>
      </c>
      <c r="E1793" t="s">
        <v>70</v>
      </c>
      <c r="F1793" t="s">
        <v>61</v>
      </c>
      <c r="G1793" t="s">
        <v>63</v>
      </c>
      <c r="H1793" t="s">
        <v>34</v>
      </c>
      <c r="I1793" t="s">
        <v>54</v>
      </c>
      <c r="J1793" s="4">
        <v>31.06</v>
      </c>
      <c r="K1793" s="4">
        <v>13.23</v>
      </c>
      <c r="L1793">
        <v>0</v>
      </c>
      <c r="M1793" s="4">
        <v>0</v>
      </c>
      <c r="N1793" s="4">
        <v>410.92</v>
      </c>
      <c r="O1793" s="4">
        <v>240.27</v>
      </c>
      <c r="P1793" s="4">
        <v>8.42</v>
      </c>
      <c r="Q1793" s="4">
        <v>4.93</v>
      </c>
      <c r="R1793" s="4">
        <v>7.45</v>
      </c>
      <c r="S1793" s="4">
        <v>0</v>
      </c>
      <c r="T1793" s="4">
        <v>0</v>
      </c>
      <c r="U1793" s="4">
        <v>261.07</v>
      </c>
      <c r="V1793" s="4">
        <v>149.85</v>
      </c>
      <c r="W1793" t="s">
        <v>21</v>
      </c>
      <c r="X1793" t="s">
        <v>36</v>
      </c>
      <c r="Y1793" s="4">
        <v>4</v>
      </c>
      <c r="Z1793" s="4">
        <v>9</v>
      </c>
      <c r="AA1793" t="s">
        <v>37</v>
      </c>
      <c r="AB1793" t="s">
        <v>38</v>
      </c>
      <c r="AC1793" s="7">
        <v>0</v>
      </c>
      <c r="AD1793" t="s">
        <v>39</v>
      </c>
      <c r="AE1793">
        <f t="shared" si="27"/>
        <v>0</v>
      </c>
    </row>
    <row r="1794" spans="1:31" x14ac:dyDescent="0.35">
      <c r="A1794">
        <v>101793</v>
      </c>
      <c r="B1794" s="3">
        <v>45954</v>
      </c>
      <c r="C1794">
        <v>1106</v>
      </c>
      <c r="D1794" t="s">
        <v>30</v>
      </c>
      <c r="E1794" t="s">
        <v>62</v>
      </c>
      <c r="F1794" t="s">
        <v>71</v>
      </c>
      <c r="G1794" t="s">
        <v>33</v>
      </c>
      <c r="H1794" t="s">
        <v>34</v>
      </c>
      <c r="I1794" t="s">
        <v>54</v>
      </c>
      <c r="J1794" s="4">
        <v>21.3</v>
      </c>
      <c r="K1794" s="4">
        <v>20.9</v>
      </c>
      <c r="L1794">
        <v>5</v>
      </c>
      <c r="M1794" s="4">
        <v>22.26</v>
      </c>
      <c r="N1794" s="4">
        <v>422.91</v>
      </c>
      <c r="O1794" s="4">
        <v>157.41</v>
      </c>
      <c r="P1794" s="4">
        <v>5.36</v>
      </c>
      <c r="Q1794" s="4">
        <v>5.34</v>
      </c>
      <c r="R1794" s="4">
        <v>5.66</v>
      </c>
      <c r="S1794" s="4">
        <v>0</v>
      </c>
      <c r="T1794" s="4">
        <v>0</v>
      </c>
      <c r="U1794" s="4">
        <v>173.77</v>
      </c>
      <c r="V1794" s="4">
        <v>249.14</v>
      </c>
      <c r="W1794" t="s">
        <v>21</v>
      </c>
      <c r="X1794" t="s">
        <v>36</v>
      </c>
      <c r="Y1794" s="4">
        <v>0</v>
      </c>
      <c r="Z1794" s="4">
        <v>15</v>
      </c>
      <c r="AA1794" t="s">
        <v>37</v>
      </c>
      <c r="AB1794" t="s">
        <v>38</v>
      </c>
      <c r="AC1794" s="7">
        <v>0</v>
      </c>
      <c r="AD1794" t="s">
        <v>39</v>
      </c>
      <c r="AE1794">
        <f t="shared" si="27"/>
        <v>0</v>
      </c>
    </row>
    <row r="1795" spans="1:31" x14ac:dyDescent="0.35">
      <c r="A1795">
        <v>101794</v>
      </c>
      <c r="B1795" s="3">
        <v>45951</v>
      </c>
      <c r="C1795">
        <v>1001</v>
      </c>
      <c r="D1795" t="s">
        <v>64</v>
      </c>
      <c r="E1795" t="s">
        <v>65</v>
      </c>
      <c r="F1795" t="s">
        <v>32</v>
      </c>
      <c r="G1795" t="s">
        <v>63</v>
      </c>
      <c r="H1795" t="s">
        <v>57</v>
      </c>
      <c r="I1795" t="s">
        <v>35</v>
      </c>
      <c r="J1795" s="4">
        <v>9.56</v>
      </c>
      <c r="K1795" s="4">
        <v>12.09</v>
      </c>
      <c r="L1795">
        <v>10</v>
      </c>
      <c r="M1795" s="4">
        <v>11.56</v>
      </c>
      <c r="N1795" s="4">
        <v>104.02</v>
      </c>
      <c r="O1795" s="4">
        <v>64.86</v>
      </c>
      <c r="P1795" s="4">
        <v>9.44</v>
      </c>
      <c r="Q1795" s="4">
        <v>0.81</v>
      </c>
      <c r="R1795" s="4">
        <v>8.6</v>
      </c>
      <c r="S1795" s="4">
        <v>0</v>
      </c>
      <c r="T1795" s="4">
        <v>0</v>
      </c>
      <c r="U1795" s="4">
        <v>83.71</v>
      </c>
      <c r="V1795" s="4">
        <v>20.309999999999999</v>
      </c>
      <c r="W1795" t="s">
        <v>21</v>
      </c>
      <c r="X1795" t="s">
        <v>36</v>
      </c>
      <c r="Y1795" s="4">
        <v>6</v>
      </c>
      <c r="Z1795" s="4">
        <v>0</v>
      </c>
      <c r="AA1795" t="s">
        <v>37</v>
      </c>
      <c r="AB1795" t="s">
        <v>38</v>
      </c>
      <c r="AC1795" s="7">
        <v>0</v>
      </c>
      <c r="AD1795" t="s">
        <v>39</v>
      </c>
      <c r="AE1795">
        <f t="shared" ref="AE1795:AE1858" si="28">IF(AB1795="Yes",1,0)</f>
        <v>0</v>
      </c>
    </row>
    <row r="1796" spans="1:31" x14ac:dyDescent="0.35">
      <c r="A1796">
        <v>101795</v>
      </c>
      <c r="B1796" s="3">
        <v>46022</v>
      </c>
      <c r="C1796">
        <v>1122</v>
      </c>
      <c r="D1796" t="s">
        <v>59</v>
      </c>
      <c r="E1796" t="s">
        <v>70</v>
      </c>
      <c r="F1796" t="s">
        <v>61</v>
      </c>
      <c r="G1796" t="s">
        <v>46</v>
      </c>
      <c r="H1796" t="s">
        <v>34</v>
      </c>
      <c r="I1796" t="s">
        <v>42</v>
      </c>
      <c r="J1796" s="4">
        <v>42.76</v>
      </c>
      <c r="K1796" s="4">
        <v>15.53</v>
      </c>
      <c r="L1796">
        <v>5</v>
      </c>
      <c r="M1796" s="4">
        <v>33.200000000000003</v>
      </c>
      <c r="N1796" s="4">
        <v>630.86</v>
      </c>
      <c r="O1796" s="4">
        <v>295.57</v>
      </c>
      <c r="P1796" s="4">
        <v>11.3</v>
      </c>
      <c r="Q1796" s="4">
        <v>9.9600000000000009</v>
      </c>
      <c r="R1796" s="4">
        <v>7.32</v>
      </c>
      <c r="S1796" s="4">
        <v>654.20000000000005</v>
      </c>
      <c r="T1796" s="4">
        <v>0</v>
      </c>
      <c r="U1796" s="4">
        <v>978.35</v>
      </c>
      <c r="V1796" s="4">
        <v>-347.49</v>
      </c>
      <c r="W1796" t="s">
        <v>58</v>
      </c>
      <c r="X1796" t="s">
        <v>55</v>
      </c>
      <c r="Y1796" s="4">
        <v>8</v>
      </c>
      <c r="Z1796" s="4">
        <v>0</v>
      </c>
      <c r="AA1796" t="s">
        <v>37</v>
      </c>
      <c r="AB1796" t="s">
        <v>44</v>
      </c>
      <c r="AC1796" s="7">
        <v>1</v>
      </c>
      <c r="AD1796" t="s">
        <v>45</v>
      </c>
      <c r="AE1796">
        <f t="shared" si="28"/>
        <v>1</v>
      </c>
    </row>
    <row r="1797" spans="1:31" x14ac:dyDescent="0.35">
      <c r="A1797">
        <v>101796</v>
      </c>
      <c r="B1797" s="3">
        <v>46008</v>
      </c>
      <c r="C1797">
        <v>1104</v>
      </c>
      <c r="D1797" t="s">
        <v>30</v>
      </c>
      <c r="E1797" t="s">
        <v>62</v>
      </c>
      <c r="F1797" t="s">
        <v>49</v>
      </c>
      <c r="G1797" t="s">
        <v>33</v>
      </c>
      <c r="H1797" t="s">
        <v>57</v>
      </c>
      <c r="I1797" t="s">
        <v>35</v>
      </c>
      <c r="J1797" s="4">
        <v>41.81</v>
      </c>
      <c r="K1797" s="4">
        <v>18.22</v>
      </c>
      <c r="L1797">
        <v>5</v>
      </c>
      <c r="M1797" s="4">
        <v>38.090000000000003</v>
      </c>
      <c r="N1797" s="4">
        <v>723.69</v>
      </c>
      <c r="O1797" s="4">
        <v>237.72</v>
      </c>
      <c r="P1797" s="4">
        <v>6.1</v>
      </c>
      <c r="Q1797" s="4">
        <v>5.33</v>
      </c>
      <c r="R1797" s="4">
        <v>2.31</v>
      </c>
      <c r="S1797" s="4">
        <v>0</v>
      </c>
      <c r="T1797" s="4">
        <v>0</v>
      </c>
      <c r="U1797" s="4">
        <v>251.46</v>
      </c>
      <c r="V1797" s="4">
        <v>472.23</v>
      </c>
      <c r="W1797" t="s">
        <v>21</v>
      </c>
      <c r="X1797" t="s">
        <v>36</v>
      </c>
      <c r="Y1797" s="4">
        <v>13</v>
      </c>
      <c r="Z1797" s="4">
        <v>2</v>
      </c>
      <c r="AA1797" t="s">
        <v>37</v>
      </c>
      <c r="AB1797" t="s">
        <v>38</v>
      </c>
      <c r="AC1797" s="7">
        <v>0</v>
      </c>
      <c r="AD1797" t="s">
        <v>39</v>
      </c>
      <c r="AE1797">
        <f t="shared" si="28"/>
        <v>0</v>
      </c>
    </row>
    <row r="1798" spans="1:31" x14ac:dyDescent="0.35">
      <c r="A1798">
        <v>101797</v>
      </c>
      <c r="B1798" s="3">
        <v>45992</v>
      </c>
      <c r="C1798">
        <v>1141</v>
      </c>
      <c r="D1798" t="s">
        <v>59</v>
      </c>
      <c r="E1798" t="s">
        <v>60</v>
      </c>
      <c r="F1798" t="s">
        <v>32</v>
      </c>
      <c r="G1798" t="s">
        <v>50</v>
      </c>
      <c r="H1798" t="s">
        <v>34</v>
      </c>
      <c r="I1798" t="s">
        <v>35</v>
      </c>
      <c r="J1798" s="4">
        <v>21.93</v>
      </c>
      <c r="K1798" s="4">
        <v>17.27</v>
      </c>
      <c r="L1798">
        <v>5</v>
      </c>
      <c r="M1798" s="4">
        <v>18.940000000000001</v>
      </c>
      <c r="N1798" s="4">
        <v>359.79</v>
      </c>
      <c r="O1798" s="4">
        <v>158.36000000000001</v>
      </c>
      <c r="P1798" s="4">
        <v>1</v>
      </c>
      <c r="Q1798" s="4">
        <v>2.65</v>
      </c>
      <c r="R1798" s="4">
        <v>15.57</v>
      </c>
      <c r="S1798" s="4">
        <v>0</v>
      </c>
      <c r="T1798" s="4">
        <v>0</v>
      </c>
      <c r="U1798" s="4">
        <v>177.58</v>
      </c>
      <c r="V1798" s="4">
        <v>182.21</v>
      </c>
      <c r="W1798" t="s">
        <v>21</v>
      </c>
      <c r="X1798" t="s">
        <v>36</v>
      </c>
      <c r="Y1798" s="4">
        <v>24</v>
      </c>
      <c r="Z1798" s="4">
        <v>10</v>
      </c>
      <c r="AA1798" t="s">
        <v>52</v>
      </c>
      <c r="AB1798" t="s">
        <v>44</v>
      </c>
      <c r="AC1798" s="7">
        <v>1</v>
      </c>
      <c r="AD1798" t="s">
        <v>45</v>
      </c>
      <c r="AE1798">
        <f t="shared" si="28"/>
        <v>1</v>
      </c>
    </row>
    <row r="1799" spans="1:31" x14ac:dyDescent="0.35">
      <c r="A1799">
        <v>101798</v>
      </c>
      <c r="B1799" s="3">
        <v>45937</v>
      </c>
      <c r="C1799">
        <v>1095</v>
      </c>
      <c r="D1799" t="s">
        <v>59</v>
      </c>
      <c r="E1799" t="s">
        <v>73</v>
      </c>
      <c r="F1799" t="s">
        <v>41</v>
      </c>
      <c r="G1799" t="s">
        <v>63</v>
      </c>
      <c r="H1799" t="s">
        <v>51</v>
      </c>
      <c r="I1799" t="s">
        <v>35</v>
      </c>
      <c r="J1799" s="4">
        <v>16.07</v>
      </c>
      <c r="K1799" s="4">
        <v>12.26</v>
      </c>
      <c r="L1799">
        <v>10</v>
      </c>
      <c r="M1799" s="4">
        <v>19.7</v>
      </c>
      <c r="N1799" s="4">
        <v>177.32</v>
      </c>
      <c r="O1799" s="4">
        <v>120.41</v>
      </c>
      <c r="P1799" s="4">
        <v>4.29</v>
      </c>
      <c r="Q1799" s="4">
        <v>1.38</v>
      </c>
      <c r="R1799" s="4">
        <v>4.71</v>
      </c>
      <c r="S1799" s="4">
        <v>0</v>
      </c>
      <c r="T1799" s="4">
        <v>0</v>
      </c>
      <c r="U1799" s="4">
        <v>130.79</v>
      </c>
      <c r="V1799" s="4">
        <v>46.53</v>
      </c>
      <c r="W1799" t="s">
        <v>21</v>
      </c>
      <c r="X1799" t="s">
        <v>36</v>
      </c>
      <c r="Y1799" s="4">
        <v>7</v>
      </c>
      <c r="Z1799" s="4">
        <v>3</v>
      </c>
      <c r="AA1799" t="s">
        <v>37</v>
      </c>
      <c r="AB1799" t="s">
        <v>38</v>
      </c>
      <c r="AC1799" s="7">
        <v>0</v>
      </c>
      <c r="AD1799" t="s">
        <v>39</v>
      </c>
      <c r="AE1799">
        <f t="shared" si="28"/>
        <v>0</v>
      </c>
    </row>
    <row r="1800" spans="1:31" x14ac:dyDescent="0.35">
      <c r="A1800">
        <v>101799</v>
      </c>
      <c r="B1800" s="3">
        <v>45990</v>
      </c>
      <c r="C1800">
        <v>1136</v>
      </c>
      <c r="D1800" t="s">
        <v>30</v>
      </c>
      <c r="E1800" t="s">
        <v>31</v>
      </c>
      <c r="F1800" t="s">
        <v>71</v>
      </c>
      <c r="G1800" t="s">
        <v>63</v>
      </c>
      <c r="H1800" t="s">
        <v>34</v>
      </c>
      <c r="I1800" t="s">
        <v>35</v>
      </c>
      <c r="J1800" s="4">
        <v>9.99</v>
      </c>
      <c r="K1800" s="4">
        <v>12.93</v>
      </c>
      <c r="L1800">
        <v>0</v>
      </c>
      <c r="M1800" s="4">
        <v>0</v>
      </c>
      <c r="N1800" s="4">
        <v>129.16999999999999</v>
      </c>
      <c r="O1800" s="4">
        <v>79.91</v>
      </c>
      <c r="P1800" s="4">
        <v>7.48</v>
      </c>
      <c r="Q1800" s="4">
        <v>0.9</v>
      </c>
      <c r="R1800" s="4">
        <v>4.8600000000000003</v>
      </c>
      <c r="S1800" s="4">
        <v>59.89</v>
      </c>
      <c r="T1800" s="4">
        <v>0</v>
      </c>
      <c r="U1800" s="4">
        <v>153.04</v>
      </c>
      <c r="V1800" s="4">
        <v>-23.87</v>
      </c>
      <c r="W1800" t="s">
        <v>58</v>
      </c>
      <c r="X1800" t="s">
        <v>66</v>
      </c>
      <c r="Y1800" s="4">
        <v>7</v>
      </c>
      <c r="Z1800" s="4">
        <v>2</v>
      </c>
      <c r="AA1800" t="s">
        <v>37</v>
      </c>
      <c r="AB1800" t="s">
        <v>38</v>
      </c>
      <c r="AC1800" s="7">
        <v>3</v>
      </c>
      <c r="AD1800" t="s">
        <v>45</v>
      </c>
      <c r="AE1800">
        <f t="shared" si="28"/>
        <v>0</v>
      </c>
    </row>
    <row r="1801" spans="1:31" x14ac:dyDescent="0.35">
      <c r="A1801">
        <v>101800</v>
      </c>
      <c r="B1801" s="3">
        <v>45940</v>
      </c>
      <c r="C1801">
        <v>1069</v>
      </c>
      <c r="D1801" t="s">
        <v>47</v>
      </c>
      <c r="E1801" t="s">
        <v>56</v>
      </c>
      <c r="F1801" t="s">
        <v>61</v>
      </c>
      <c r="G1801" t="s">
        <v>33</v>
      </c>
      <c r="H1801" t="s">
        <v>34</v>
      </c>
      <c r="I1801" t="s">
        <v>35</v>
      </c>
      <c r="J1801" s="4">
        <v>33.28</v>
      </c>
      <c r="K1801" s="4">
        <v>19.600000000000001</v>
      </c>
      <c r="L1801">
        <v>10</v>
      </c>
      <c r="M1801" s="4">
        <v>65.23</v>
      </c>
      <c r="N1801" s="4">
        <v>587.05999999999995</v>
      </c>
      <c r="O1801" s="4">
        <v>271.68</v>
      </c>
      <c r="P1801" s="4">
        <v>3.08</v>
      </c>
      <c r="Q1801" s="4">
        <v>4.57</v>
      </c>
      <c r="R1801" s="4">
        <v>4.5999999999999996</v>
      </c>
      <c r="S1801" s="4">
        <v>0</v>
      </c>
      <c r="T1801" s="4">
        <v>0</v>
      </c>
      <c r="U1801" s="4">
        <v>283.93</v>
      </c>
      <c r="V1801" s="4">
        <v>303.13</v>
      </c>
      <c r="W1801" t="s">
        <v>21</v>
      </c>
      <c r="X1801" t="s">
        <v>36</v>
      </c>
      <c r="Y1801" s="4">
        <v>1</v>
      </c>
      <c r="Z1801" s="4">
        <v>2</v>
      </c>
      <c r="AA1801" t="s">
        <v>37</v>
      </c>
      <c r="AB1801" t="s">
        <v>38</v>
      </c>
      <c r="AC1801" s="7">
        <v>0</v>
      </c>
      <c r="AD1801" t="s">
        <v>39</v>
      </c>
      <c r="AE1801">
        <f t="shared" si="28"/>
        <v>0</v>
      </c>
    </row>
    <row r="1802" spans="1:31" x14ac:dyDescent="0.35">
      <c r="A1802">
        <v>101801</v>
      </c>
      <c r="B1802" s="3">
        <v>45944</v>
      </c>
      <c r="C1802">
        <v>1089</v>
      </c>
      <c r="D1802" t="s">
        <v>64</v>
      </c>
      <c r="E1802" t="s">
        <v>76</v>
      </c>
      <c r="F1802" t="s">
        <v>61</v>
      </c>
      <c r="G1802" t="s">
        <v>63</v>
      </c>
      <c r="H1802" t="s">
        <v>51</v>
      </c>
      <c r="I1802" t="s">
        <v>54</v>
      </c>
      <c r="J1802" s="4">
        <v>16.61</v>
      </c>
      <c r="K1802" s="4">
        <v>12.98</v>
      </c>
      <c r="L1802">
        <v>0</v>
      </c>
      <c r="M1802" s="4">
        <v>0</v>
      </c>
      <c r="N1802" s="4">
        <v>215.6</v>
      </c>
      <c r="O1802" s="4">
        <v>116.05</v>
      </c>
      <c r="P1802" s="4">
        <v>7.56</v>
      </c>
      <c r="Q1802" s="4">
        <v>2.59</v>
      </c>
      <c r="R1802" s="4">
        <v>3.15</v>
      </c>
      <c r="S1802" s="4">
        <v>0</v>
      </c>
      <c r="T1802" s="4">
        <v>0</v>
      </c>
      <c r="U1802" s="4">
        <v>129.35</v>
      </c>
      <c r="V1802" s="4">
        <v>86.25</v>
      </c>
      <c r="W1802" t="s">
        <v>21</v>
      </c>
      <c r="X1802" t="s">
        <v>36</v>
      </c>
      <c r="Y1802" s="4">
        <v>3</v>
      </c>
      <c r="Z1802" s="4">
        <v>0</v>
      </c>
      <c r="AA1802" t="s">
        <v>37</v>
      </c>
      <c r="AB1802" t="s">
        <v>38</v>
      </c>
      <c r="AC1802" s="7">
        <v>0</v>
      </c>
      <c r="AD1802" t="s">
        <v>39</v>
      </c>
      <c r="AE1802">
        <f t="shared" si="28"/>
        <v>0</v>
      </c>
    </row>
    <row r="1803" spans="1:31" x14ac:dyDescent="0.35">
      <c r="A1803">
        <v>101802</v>
      </c>
      <c r="B1803" s="3">
        <v>45956</v>
      </c>
      <c r="C1803">
        <v>1044</v>
      </c>
      <c r="D1803" t="s">
        <v>30</v>
      </c>
      <c r="E1803" t="s">
        <v>62</v>
      </c>
      <c r="F1803" t="s">
        <v>41</v>
      </c>
      <c r="G1803" t="s">
        <v>63</v>
      </c>
      <c r="H1803" t="s">
        <v>34</v>
      </c>
      <c r="I1803" t="s">
        <v>42</v>
      </c>
      <c r="J1803" s="4">
        <v>14.21</v>
      </c>
      <c r="K1803" s="4">
        <v>12.23</v>
      </c>
      <c r="L1803">
        <v>5</v>
      </c>
      <c r="M1803" s="4">
        <v>8.69</v>
      </c>
      <c r="N1803" s="4">
        <v>165.1</v>
      </c>
      <c r="O1803" s="4">
        <v>103.27</v>
      </c>
      <c r="P1803" s="4">
        <v>12.91</v>
      </c>
      <c r="Q1803" s="4">
        <v>2.61</v>
      </c>
      <c r="R1803" s="4">
        <v>11.61</v>
      </c>
      <c r="S1803" s="4">
        <v>0</v>
      </c>
      <c r="T1803" s="4">
        <v>0</v>
      </c>
      <c r="U1803" s="4">
        <v>130.4</v>
      </c>
      <c r="V1803" s="4">
        <v>34.700000000000003</v>
      </c>
      <c r="W1803" t="s">
        <v>21</v>
      </c>
      <c r="X1803" t="s">
        <v>36</v>
      </c>
      <c r="Y1803" s="4">
        <v>0</v>
      </c>
      <c r="Z1803" s="4">
        <v>2</v>
      </c>
      <c r="AA1803" t="s">
        <v>37</v>
      </c>
      <c r="AB1803" t="s">
        <v>38</v>
      </c>
      <c r="AC1803" s="7">
        <v>0</v>
      </c>
      <c r="AD1803" t="s">
        <v>39</v>
      </c>
      <c r="AE1803">
        <f t="shared" si="28"/>
        <v>0</v>
      </c>
    </row>
    <row r="1804" spans="1:31" x14ac:dyDescent="0.35">
      <c r="A1804">
        <v>101803</v>
      </c>
      <c r="B1804" s="3">
        <v>45994</v>
      </c>
      <c r="C1804">
        <v>1083</v>
      </c>
      <c r="D1804" t="s">
        <v>59</v>
      </c>
      <c r="E1804" t="s">
        <v>68</v>
      </c>
      <c r="F1804" t="s">
        <v>49</v>
      </c>
      <c r="G1804" t="s">
        <v>33</v>
      </c>
      <c r="H1804" t="s">
        <v>34</v>
      </c>
      <c r="I1804" t="s">
        <v>54</v>
      </c>
      <c r="J1804" s="4">
        <v>21.53</v>
      </c>
      <c r="K1804" s="4">
        <v>18</v>
      </c>
      <c r="L1804">
        <v>10</v>
      </c>
      <c r="M1804" s="4">
        <v>38.75</v>
      </c>
      <c r="N1804" s="4">
        <v>348.79</v>
      </c>
      <c r="O1804" s="4">
        <v>162.31</v>
      </c>
      <c r="P1804" s="4">
        <v>6.32</v>
      </c>
      <c r="Q1804" s="4">
        <v>4.6500000000000004</v>
      </c>
      <c r="R1804" s="4">
        <v>11.63</v>
      </c>
      <c r="S1804" s="4">
        <v>0</v>
      </c>
      <c r="T1804" s="4">
        <v>0</v>
      </c>
      <c r="U1804" s="4">
        <v>184.91</v>
      </c>
      <c r="V1804" s="4">
        <v>163.88</v>
      </c>
      <c r="W1804" t="s">
        <v>21</v>
      </c>
      <c r="X1804" t="s">
        <v>36</v>
      </c>
      <c r="Y1804" s="4">
        <v>9</v>
      </c>
      <c r="Z1804" s="4">
        <v>15</v>
      </c>
      <c r="AA1804" t="s">
        <v>37</v>
      </c>
      <c r="AB1804" t="s">
        <v>38</v>
      </c>
      <c r="AC1804" s="7">
        <v>0</v>
      </c>
      <c r="AD1804" t="s">
        <v>39</v>
      </c>
      <c r="AE1804">
        <f t="shared" si="28"/>
        <v>0</v>
      </c>
    </row>
    <row r="1805" spans="1:31" x14ac:dyDescent="0.35">
      <c r="A1805">
        <v>101804</v>
      </c>
      <c r="B1805" s="3">
        <v>45981</v>
      </c>
      <c r="C1805">
        <v>1042</v>
      </c>
      <c r="D1805" t="s">
        <v>30</v>
      </c>
      <c r="E1805" t="s">
        <v>31</v>
      </c>
      <c r="F1805" t="s">
        <v>61</v>
      </c>
      <c r="G1805" t="s">
        <v>46</v>
      </c>
      <c r="H1805" t="s">
        <v>57</v>
      </c>
      <c r="I1805" t="s">
        <v>35</v>
      </c>
      <c r="J1805" s="4">
        <v>24.65</v>
      </c>
      <c r="K1805" s="4">
        <v>15.38</v>
      </c>
      <c r="L1805">
        <v>20</v>
      </c>
      <c r="M1805" s="4">
        <v>75.819999999999993</v>
      </c>
      <c r="N1805" s="4">
        <v>303.3</v>
      </c>
      <c r="O1805" s="4">
        <v>140.22999999999999</v>
      </c>
      <c r="P1805" s="4">
        <v>7.34</v>
      </c>
      <c r="Q1805" s="4">
        <v>2.65</v>
      </c>
      <c r="R1805" s="4">
        <v>0.99</v>
      </c>
      <c r="S1805" s="4">
        <v>0</v>
      </c>
      <c r="T1805" s="4">
        <v>0</v>
      </c>
      <c r="U1805" s="4">
        <v>151.21</v>
      </c>
      <c r="V1805" s="4">
        <v>152.09</v>
      </c>
      <c r="W1805" t="s">
        <v>21</v>
      </c>
      <c r="X1805" t="s">
        <v>36</v>
      </c>
      <c r="Y1805" s="4">
        <v>17</v>
      </c>
      <c r="Z1805" s="4">
        <v>3</v>
      </c>
      <c r="AA1805" t="s">
        <v>52</v>
      </c>
      <c r="AB1805" t="s">
        <v>38</v>
      </c>
      <c r="AC1805" s="7">
        <v>0</v>
      </c>
      <c r="AD1805" t="s">
        <v>39</v>
      </c>
      <c r="AE1805">
        <f t="shared" si="28"/>
        <v>0</v>
      </c>
    </row>
    <row r="1806" spans="1:31" x14ac:dyDescent="0.35">
      <c r="A1806">
        <v>101805</v>
      </c>
      <c r="B1806" s="3">
        <v>45994</v>
      </c>
      <c r="C1806">
        <v>1142</v>
      </c>
      <c r="D1806" t="s">
        <v>30</v>
      </c>
      <c r="E1806" t="s">
        <v>62</v>
      </c>
      <c r="F1806" t="s">
        <v>32</v>
      </c>
      <c r="G1806" t="s">
        <v>63</v>
      </c>
      <c r="H1806" t="s">
        <v>57</v>
      </c>
      <c r="I1806" t="s">
        <v>54</v>
      </c>
      <c r="J1806" s="4">
        <v>26.16</v>
      </c>
      <c r="K1806" s="4">
        <v>12.69</v>
      </c>
      <c r="L1806">
        <v>20</v>
      </c>
      <c r="M1806" s="4">
        <v>66.39</v>
      </c>
      <c r="N1806" s="4">
        <v>265.58</v>
      </c>
      <c r="O1806" s="4">
        <v>189.06</v>
      </c>
      <c r="P1806" s="4">
        <v>7.6</v>
      </c>
      <c r="Q1806" s="4">
        <v>3.98</v>
      </c>
      <c r="R1806" s="4">
        <v>4.1100000000000003</v>
      </c>
      <c r="S1806" s="4">
        <v>0</v>
      </c>
      <c r="T1806" s="4">
        <v>0</v>
      </c>
      <c r="U1806" s="4">
        <v>204.75</v>
      </c>
      <c r="V1806" s="4">
        <v>60.83</v>
      </c>
      <c r="W1806" t="s">
        <v>21</v>
      </c>
      <c r="X1806" t="s">
        <v>36</v>
      </c>
      <c r="Y1806" s="4">
        <v>14</v>
      </c>
      <c r="Z1806" s="4">
        <v>8</v>
      </c>
      <c r="AA1806" t="s">
        <v>37</v>
      </c>
      <c r="AB1806" t="s">
        <v>38</v>
      </c>
      <c r="AC1806" s="7">
        <v>0</v>
      </c>
      <c r="AD1806" t="s">
        <v>39</v>
      </c>
      <c r="AE1806">
        <f t="shared" si="28"/>
        <v>0</v>
      </c>
    </row>
    <row r="1807" spans="1:31" x14ac:dyDescent="0.35">
      <c r="A1807">
        <v>101806</v>
      </c>
      <c r="B1807" s="3">
        <v>46019</v>
      </c>
      <c r="C1807">
        <v>1097</v>
      </c>
      <c r="D1807" t="s">
        <v>64</v>
      </c>
      <c r="E1807" t="s">
        <v>65</v>
      </c>
      <c r="F1807" t="s">
        <v>71</v>
      </c>
      <c r="G1807" t="s">
        <v>63</v>
      </c>
      <c r="H1807" t="s">
        <v>34</v>
      </c>
      <c r="I1807" t="s">
        <v>69</v>
      </c>
      <c r="J1807" s="4">
        <v>25.35</v>
      </c>
      <c r="K1807" s="4">
        <v>14.18</v>
      </c>
      <c r="L1807">
        <v>15</v>
      </c>
      <c r="M1807" s="4">
        <v>53.92</v>
      </c>
      <c r="N1807" s="4">
        <v>305.54000000000002</v>
      </c>
      <c r="O1807" s="4">
        <v>179.34</v>
      </c>
      <c r="P1807" s="4">
        <v>1.64</v>
      </c>
      <c r="Q1807" s="4">
        <v>1.44</v>
      </c>
      <c r="R1807" s="4">
        <v>9.4499999999999993</v>
      </c>
      <c r="S1807" s="4">
        <v>0</v>
      </c>
      <c r="T1807" s="4">
        <v>0</v>
      </c>
      <c r="U1807" s="4">
        <v>191.87</v>
      </c>
      <c r="V1807" s="4">
        <v>113.67</v>
      </c>
      <c r="W1807" t="s">
        <v>21</v>
      </c>
      <c r="X1807" t="s">
        <v>36</v>
      </c>
      <c r="Y1807" s="4">
        <v>7</v>
      </c>
      <c r="Z1807" s="4">
        <v>10</v>
      </c>
      <c r="AA1807" t="s">
        <v>37</v>
      </c>
      <c r="AB1807" t="s">
        <v>38</v>
      </c>
      <c r="AC1807" s="7">
        <v>0</v>
      </c>
      <c r="AD1807" t="s">
        <v>39</v>
      </c>
      <c r="AE1807">
        <f t="shared" si="28"/>
        <v>0</v>
      </c>
    </row>
    <row r="1808" spans="1:31" x14ac:dyDescent="0.35">
      <c r="A1808">
        <v>101807</v>
      </c>
      <c r="B1808" s="3">
        <v>46015</v>
      </c>
      <c r="C1808">
        <v>1077</v>
      </c>
      <c r="D1808" t="s">
        <v>47</v>
      </c>
      <c r="E1808" t="s">
        <v>74</v>
      </c>
      <c r="F1808" t="s">
        <v>61</v>
      </c>
      <c r="G1808" t="s">
        <v>50</v>
      </c>
      <c r="H1808" t="s">
        <v>57</v>
      </c>
      <c r="I1808" t="s">
        <v>35</v>
      </c>
      <c r="J1808" s="4">
        <v>11.05</v>
      </c>
      <c r="K1808" s="4">
        <v>18.53</v>
      </c>
      <c r="L1808">
        <v>0</v>
      </c>
      <c r="M1808" s="4">
        <v>0</v>
      </c>
      <c r="N1808" s="4">
        <v>204.76</v>
      </c>
      <c r="O1808" s="4">
        <v>76.040000000000006</v>
      </c>
      <c r="P1808" s="4">
        <v>9.48</v>
      </c>
      <c r="Q1808" s="4">
        <v>1.43</v>
      </c>
      <c r="R1808" s="4">
        <v>5.77</v>
      </c>
      <c r="S1808" s="4">
        <v>0</v>
      </c>
      <c r="T1808" s="4">
        <v>0</v>
      </c>
      <c r="U1808" s="4">
        <v>92.72</v>
      </c>
      <c r="V1808" s="4">
        <v>112.04</v>
      </c>
      <c r="W1808" t="s">
        <v>21</v>
      </c>
      <c r="X1808" t="s">
        <v>36</v>
      </c>
      <c r="Y1808" s="4">
        <v>12</v>
      </c>
      <c r="Z1808" s="4">
        <v>2</v>
      </c>
      <c r="AA1808" t="s">
        <v>37</v>
      </c>
      <c r="AB1808" t="s">
        <v>38</v>
      </c>
      <c r="AC1808" s="7">
        <v>0</v>
      </c>
      <c r="AD1808" t="s">
        <v>39</v>
      </c>
      <c r="AE1808">
        <f t="shared" si="28"/>
        <v>0</v>
      </c>
    </row>
    <row r="1809" spans="1:31" x14ac:dyDescent="0.35">
      <c r="A1809">
        <v>101808</v>
      </c>
      <c r="B1809" s="3">
        <v>45944</v>
      </c>
      <c r="C1809">
        <v>1139</v>
      </c>
      <c r="D1809" t="s">
        <v>47</v>
      </c>
      <c r="E1809" t="s">
        <v>48</v>
      </c>
      <c r="F1809" t="s">
        <v>32</v>
      </c>
      <c r="G1809" t="s">
        <v>63</v>
      </c>
      <c r="H1809" t="s">
        <v>57</v>
      </c>
      <c r="I1809" t="s">
        <v>42</v>
      </c>
      <c r="J1809" s="4">
        <v>33.97</v>
      </c>
      <c r="K1809" s="4">
        <v>12.29</v>
      </c>
      <c r="L1809">
        <v>10</v>
      </c>
      <c r="M1809" s="4">
        <v>41.75</v>
      </c>
      <c r="N1809" s="4">
        <v>375.74</v>
      </c>
      <c r="O1809" s="4">
        <v>241.59</v>
      </c>
      <c r="P1809" s="4">
        <v>4.57</v>
      </c>
      <c r="Q1809" s="4">
        <v>6.26</v>
      </c>
      <c r="R1809" s="4">
        <v>3.8</v>
      </c>
      <c r="S1809" s="4">
        <v>404.65</v>
      </c>
      <c r="T1809" s="4">
        <v>12.64</v>
      </c>
      <c r="U1809" s="4">
        <v>673.51</v>
      </c>
      <c r="V1809" s="4">
        <v>-297.77</v>
      </c>
      <c r="W1809" t="s">
        <v>58</v>
      </c>
      <c r="X1809" t="s">
        <v>66</v>
      </c>
      <c r="Y1809" s="4">
        <v>10</v>
      </c>
      <c r="Z1809" s="4">
        <v>4</v>
      </c>
      <c r="AA1809" t="s">
        <v>37</v>
      </c>
      <c r="AB1809" t="s">
        <v>38</v>
      </c>
      <c r="AC1809" s="7">
        <v>2</v>
      </c>
      <c r="AD1809" t="s">
        <v>45</v>
      </c>
      <c r="AE1809">
        <f t="shared" si="28"/>
        <v>0</v>
      </c>
    </row>
    <row r="1810" spans="1:31" x14ac:dyDescent="0.35">
      <c r="A1810">
        <v>101809</v>
      </c>
      <c r="B1810" s="3">
        <v>45933</v>
      </c>
      <c r="C1810">
        <v>1062</v>
      </c>
      <c r="D1810" t="s">
        <v>30</v>
      </c>
      <c r="E1810" t="s">
        <v>62</v>
      </c>
      <c r="F1810" t="s">
        <v>71</v>
      </c>
      <c r="G1810" t="s">
        <v>63</v>
      </c>
      <c r="H1810" t="s">
        <v>34</v>
      </c>
      <c r="I1810" t="s">
        <v>35</v>
      </c>
      <c r="J1810" s="4">
        <v>27.48</v>
      </c>
      <c r="K1810" s="4">
        <v>12.24</v>
      </c>
      <c r="L1810">
        <v>0</v>
      </c>
      <c r="M1810" s="4">
        <v>0</v>
      </c>
      <c r="N1810" s="4">
        <v>336.36</v>
      </c>
      <c r="O1810" s="4">
        <v>194.28</v>
      </c>
      <c r="P1810" s="4">
        <v>9.8699999999999992</v>
      </c>
      <c r="Q1810" s="4">
        <v>2.35</v>
      </c>
      <c r="R1810" s="4">
        <v>8.8800000000000008</v>
      </c>
      <c r="S1810" s="4">
        <v>0</v>
      </c>
      <c r="T1810" s="4">
        <v>0</v>
      </c>
      <c r="U1810" s="4">
        <v>215.38</v>
      </c>
      <c r="V1810" s="4">
        <v>120.98</v>
      </c>
      <c r="W1810" t="s">
        <v>21</v>
      </c>
      <c r="X1810" t="s">
        <v>36</v>
      </c>
      <c r="Y1810" s="4">
        <v>5</v>
      </c>
      <c r="Z1810" s="4">
        <v>2</v>
      </c>
      <c r="AA1810" t="s">
        <v>37</v>
      </c>
      <c r="AB1810" t="s">
        <v>38</v>
      </c>
      <c r="AC1810" s="7">
        <v>0</v>
      </c>
      <c r="AD1810" t="s">
        <v>39</v>
      </c>
      <c r="AE1810">
        <f t="shared" si="28"/>
        <v>0</v>
      </c>
    </row>
    <row r="1811" spans="1:31" x14ac:dyDescent="0.35">
      <c r="A1811">
        <v>101810</v>
      </c>
      <c r="B1811" s="3">
        <v>45969</v>
      </c>
      <c r="C1811">
        <v>1130</v>
      </c>
      <c r="D1811" t="s">
        <v>59</v>
      </c>
      <c r="E1811" t="s">
        <v>60</v>
      </c>
      <c r="F1811" t="s">
        <v>32</v>
      </c>
      <c r="G1811" t="s">
        <v>63</v>
      </c>
      <c r="H1811" t="s">
        <v>34</v>
      </c>
      <c r="I1811" t="s">
        <v>69</v>
      </c>
      <c r="J1811" s="4">
        <v>18.72</v>
      </c>
      <c r="K1811" s="4">
        <v>13.31</v>
      </c>
      <c r="L1811">
        <v>10</v>
      </c>
      <c r="M1811" s="4">
        <v>24.92</v>
      </c>
      <c r="N1811" s="4">
        <v>224.24</v>
      </c>
      <c r="O1811" s="4">
        <v>118.93</v>
      </c>
      <c r="P1811" s="4">
        <v>6.91</v>
      </c>
      <c r="Q1811" s="4">
        <v>1</v>
      </c>
      <c r="R1811" s="4">
        <v>6.71</v>
      </c>
      <c r="S1811" s="4">
        <v>0</v>
      </c>
      <c r="T1811" s="4">
        <v>0</v>
      </c>
      <c r="U1811" s="4">
        <v>133.55000000000001</v>
      </c>
      <c r="V1811" s="4">
        <v>90.69</v>
      </c>
      <c r="W1811" t="s">
        <v>21</v>
      </c>
      <c r="X1811" t="s">
        <v>36</v>
      </c>
      <c r="Y1811" s="4">
        <v>21</v>
      </c>
      <c r="Z1811" s="4">
        <v>4</v>
      </c>
      <c r="AA1811" t="s">
        <v>52</v>
      </c>
      <c r="AB1811" t="s">
        <v>44</v>
      </c>
      <c r="AC1811" s="7">
        <v>2</v>
      </c>
      <c r="AD1811" t="s">
        <v>45</v>
      </c>
      <c r="AE1811">
        <f t="shared" si="28"/>
        <v>1</v>
      </c>
    </row>
    <row r="1812" spans="1:31" x14ac:dyDescent="0.35">
      <c r="A1812">
        <v>101811</v>
      </c>
      <c r="B1812" s="3">
        <v>45954</v>
      </c>
      <c r="C1812">
        <v>1005</v>
      </c>
      <c r="D1812" t="s">
        <v>30</v>
      </c>
      <c r="E1812" t="s">
        <v>72</v>
      </c>
      <c r="F1812" t="s">
        <v>71</v>
      </c>
      <c r="G1812" t="s">
        <v>63</v>
      </c>
      <c r="H1812" t="s">
        <v>34</v>
      </c>
      <c r="I1812" t="s">
        <v>42</v>
      </c>
      <c r="J1812" s="4">
        <v>17.29</v>
      </c>
      <c r="K1812" s="4">
        <v>12.07</v>
      </c>
      <c r="L1812">
        <v>15</v>
      </c>
      <c r="M1812" s="4">
        <v>31.3</v>
      </c>
      <c r="N1812" s="4">
        <v>177.39</v>
      </c>
      <c r="O1812" s="4">
        <v>130.44</v>
      </c>
      <c r="P1812" s="4">
        <v>12.49</v>
      </c>
      <c r="Q1812" s="4">
        <v>3.13</v>
      </c>
      <c r="R1812" s="4">
        <v>0.56000000000000005</v>
      </c>
      <c r="S1812" s="4">
        <v>0</v>
      </c>
      <c r="T1812" s="4">
        <v>0</v>
      </c>
      <c r="U1812" s="4">
        <v>146.62</v>
      </c>
      <c r="V1812" s="4">
        <v>30.77</v>
      </c>
      <c r="W1812" t="s">
        <v>21</v>
      </c>
      <c r="X1812" t="s">
        <v>36</v>
      </c>
      <c r="Y1812" s="4">
        <v>6</v>
      </c>
      <c r="Z1812" s="4">
        <v>9</v>
      </c>
      <c r="AA1812" t="s">
        <v>37</v>
      </c>
      <c r="AB1812" t="s">
        <v>38</v>
      </c>
      <c r="AC1812" s="7">
        <v>0</v>
      </c>
      <c r="AD1812" t="s">
        <v>39</v>
      </c>
      <c r="AE1812">
        <f t="shared" si="28"/>
        <v>0</v>
      </c>
    </row>
    <row r="1813" spans="1:31" x14ac:dyDescent="0.35">
      <c r="A1813">
        <v>101812</v>
      </c>
      <c r="B1813" s="3">
        <v>46009</v>
      </c>
      <c r="C1813">
        <v>1094</v>
      </c>
      <c r="D1813" t="s">
        <v>59</v>
      </c>
      <c r="E1813" t="s">
        <v>73</v>
      </c>
      <c r="F1813" t="s">
        <v>49</v>
      </c>
      <c r="G1813" t="s">
        <v>46</v>
      </c>
      <c r="H1813" t="s">
        <v>34</v>
      </c>
      <c r="I1813" t="s">
        <v>54</v>
      </c>
      <c r="J1813" s="4">
        <v>40.04</v>
      </c>
      <c r="K1813" s="4">
        <v>15.77</v>
      </c>
      <c r="L1813">
        <v>5</v>
      </c>
      <c r="M1813" s="4">
        <v>31.57</v>
      </c>
      <c r="N1813" s="4">
        <v>599.86</v>
      </c>
      <c r="O1813" s="4">
        <v>252.12</v>
      </c>
      <c r="P1813" s="4">
        <v>14.2</v>
      </c>
      <c r="Q1813" s="4">
        <v>7.58</v>
      </c>
      <c r="R1813" s="4">
        <v>1.36</v>
      </c>
      <c r="S1813" s="4">
        <v>602.44000000000005</v>
      </c>
      <c r="T1813" s="4">
        <v>0</v>
      </c>
      <c r="U1813" s="4">
        <v>877.7</v>
      </c>
      <c r="V1813" s="4">
        <v>-277.83999999999997</v>
      </c>
      <c r="W1813" t="s">
        <v>58</v>
      </c>
      <c r="X1813" t="s">
        <v>55</v>
      </c>
      <c r="Y1813" s="4">
        <v>4</v>
      </c>
      <c r="Z1813" s="4">
        <v>19</v>
      </c>
      <c r="AA1813" t="s">
        <v>37</v>
      </c>
      <c r="AB1813" t="s">
        <v>44</v>
      </c>
      <c r="AC1813" s="7">
        <v>3</v>
      </c>
      <c r="AD1813" t="s">
        <v>45</v>
      </c>
      <c r="AE1813">
        <f t="shared" si="28"/>
        <v>1</v>
      </c>
    </row>
    <row r="1814" spans="1:31" x14ac:dyDescent="0.35">
      <c r="A1814">
        <v>101813</v>
      </c>
      <c r="B1814" s="3">
        <v>45939</v>
      </c>
      <c r="C1814">
        <v>1092</v>
      </c>
      <c r="D1814" t="s">
        <v>30</v>
      </c>
      <c r="E1814" t="s">
        <v>72</v>
      </c>
      <c r="F1814" t="s">
        <v>71</v>
      </c>
      <c r="G1814" t="s">
        <v>63</v>
      </c>
      <c r="H1814" t="s">
        <v>34</v>
      </c>
      <c r="I1814" t="s">
        <v>35</v>
      </c>
      <c r="J1814" s="4">
        <v>21.26</v>
      </c>
      <c r="K1814" s="4">
        <v>14.34</v>
      </c>
      <c r="L1814">
        <v>20</v>
      </c>
      <c r="M1814" s="4">
        <v>60.97</v>
      </c>
      <c r="N1814" s="4">
        <v>243.9</v>
      </c>
      <c r="O1814" s="4">
        <v>143.54</v>
      </c>
      <c r="P1814" s="4">
        <v>8.65</v>
      </c>
      <c r="Q1814" s="4">
        <v>2.13</v>
      </c>
      <c r="R1814" s="4">
        <v>4.05</v>
      </c>
      <c r="S1814" s="4">
        <v>0</v>
      </c>
      <c r="T1814" s="4">
        <v>0</v>
      </c>
      <c r="U1814" s="4">
        <v>158.37</v>
      </c>
      <c r="V1814" s="4">
        <v>85.53</v>
      </c>
      <c r="W1814" t="s">
        <v>21</v>
      </c>
      <c r="X1814" t="s">
        <v>36</v>
      </c>
      <c r="Y1814" s="4">
        <v>3</v>
      </c>
      <c r="Z1814" s="4">
        <v>15</v>
      </c>
      <c r="AA1814" t="s">
        <v>37</v>
      </c>
      <c r="AB1814" t="s">
        <v>38</v>
      </c>
      <c r="AC1814" s="7">
        <v>0</v>
      </c>
      <c r="AD1814" t="s">
        <v>39</v>
      </c>
      <c r="AE1814">
        <f t="shared" si="28"/>
        <v>0</v>
      </c>
    </row>
    <row r="1815" spans="1:31" x14ac:dyDescent="0.35">
      <c r="A1815">
        <v>101814</v>
      </c>
      <c r="B1815" s="3">
        <v>45994</v>
      </c>
      <c r="C1815">
        <v>1072</v>
      </c>
      <c r="D1815" t="s">
        <v>64</v>
      </c>
      <c r="E1815" t="s">
        <v>67</v>
      </c>
      <c r="F1815" t="s">
        <v>49</v>
      </c>
      <c r="G1815" t="s">
        <v>63</v>
      </c>
      <c r="H1815" t="s">
        <v>51</v>
      </c>
      <c r="I1815" t="s">
        <v>42</v>
      </c>
      <c r="J1815" s="4">
        <v>32.58</v>
      </c>
      <c r="K1815" s="4">
        <v>12.37</v>
      </c>
      <c r="L1815">
        <v>0</v>
      </c>
      <c r="M1815" s="4">
        <v>0</v>
      </c>
      <c r="N1815" s="4">
        <v>403.01</v>
      </c>
      <c r="O1815" s="4">
        <v>238.35</v>
      </c>
      <c r="P1815" s="4">
        <v>2.35</v>
      </c>
      <c r="Q1815" s="4">
        <v>6.05</v>
      </c>
      <c r="R1815" s="4">
        <v>4.87</v>
      </c>
      <c r="S1815" s="4">
        <v>0</v>
      </c>
      <c r="T1815" s="4">
        <v>0</v>
      </c>
      <c r="U1815" s="4">
        <v>251.62</v>
      </c>
      <c r="V1815" s="4">
        <v>151.38999999999999</v>
      </c>
      <c r="W1815" t="s">
        <v>21</v>
      </c>
      <c r="X1815" t="s">
        <v>36</v>
      </c>
      <c r="Y1815" s="4">
        <v>7</v>
      </c>
      <c r="Z1815" s="4">
        <v>3</v>
      </c>
      <c r="AA1815" t="s">
        <v>37</v>
      </c>
      <c r="AB1815" t="s">
        <v>38</v>
      </c>
      <c r="AC1815" s="7">
        <v>0</v>
      </c>
      <c r="AD1815" t="s">
        <v>39</v>
      </c>
      <c r="AE1815">
        <f t="shared" si="28"/>
        <v>0</v>
      </c>
    </row>
    <row r="1816" spans="1:31" x14ac:dyDescent="0.35">
      <c r="A1816">
        <v>101815</v>
      </c>
      <c r="B1816" s="3">
        <v>45948</v>
      </c>
      <c r="C1816">
        <v>1073</v>
      </c>
      <c r="D1816" t="s">
        <v>47</v>
      </c>
      <c r="E1816" t="s">
        <v>53</v>
      </c>
      <c r="F1816" t="s">
        <v>49</v>
      </c>
      <c r="G1816" t="s">
        <v>63</v>
      </c>
      <c r="H1816" t="s">
        <v>34</v>
      </c>
      <c r="I1816" t="s">
        <v>42</v>
      </c>
      <c r="J1816" s="4">
        <v>33.43</v>
      </c>
      <c r="K1816" s="4">
        <v>11.78</v>
      </c>
      <c r="L1816">
        <v>0</v>
      </c>
      <c r="M1816" s="4">
        <v>0</v>
      </c>
      <c r="N1816" s="4">
        <v>393.81</v>
      </c>
      <c r="O1816" s="4">
        <v>222.57</v>
      </c>
      <c r="P1816" s="4">
        <v>11.44</v>
      </c>
      <c r="Q1816" s="4">
        <v>5.91</v>
      </c>
      <c r="R1816" s="4">
        <v>7.36</v>
      </c>
      <c r="S1816" s="4">
        <v>0</v>
      </c>
      <c r="T1816" s="4">
        <v>0</v>
      </c>
      <c r="U1816" s="4">
        <v>247.28</v>
      </c>
      <c r="V1816" s="4">
        <v>146.53</v>
      </c>
      <c r="W1816" t="s">
        <v>21</v>
      </c>
      <c r="X1816" t="s">
        <v>36</v>
      </c>
      <c r="Y1816" s="4">
        <v>0</v>
      </c>
      <c r="Z1816" s="4">
        <v>4</v>
      </c>
      <c r="AA1816" t="s">
        <v>37</v>
      </c>
      <c r="AB1816" t="s">
        <v>38</v>
      </c>
      <c r="AC1816" s="7">
        <v>0</v>
      </c>
      <c r="AD1816" t="s">
        <v>39</v>
      </c>
      <c r="AE1816">
        <f t="shared" si="28"/>
        <v>0</v>
      </c>
    </row>
    <row r="1817" spans="1:31" x14ac:dyDescent="0.35">
      <c r="A1817">
        <v>101816</v>
      </c>
      <c r="B1817" s="3">
        <v>45966</v>
      </c>
      <c r="C1817">
        <v>1127</v>
      </c>
      <c r="D1817" t="s">
        <v>64</v>
      </c>
      <c r="E1817" t="s">
        <v>76</v>
      </c>
      <c r="F1817" t="s">
        <v>49</v>
      </c>
      <c r="G1817" t="s">
        <v>33</v>
      </c>
      <c r="H1817" t="s">
        <v>34</v>
      </c>
      <c r="I1817" t="s">
        <v>35</v>
      </c>
      <c r="J1817" s="4">
        <v>26.1</v>
      </c>
      <c r="K1817" s="4">
        <v>19.46</v>
      </c>
      <c r="L1817">
        <v>5</v>
      </c>
      <c r="M1817" s="4">
        <v>25.4</v>
      </c>
      <c r="N1817" s="4">
        <v>482.51</v>
      </c>
      <c r="O1817" s="4">
        <v>190.43</v>
      </c>
      <c r="P1817" s="4">
        <v>8.19</v>
      </c>
      <c r="Q1817" s="4">
        <v>3.56</v>
      </c>
      <c r="R1817" s="4">
        <v>6.13</v>
      </c>
      <c r="S1817" s="4">
        <v>0</v>
      </c>
      <c r="T1817" s="4">
        <v>0</v>
      </c>
      <c r="U1817" s="4">
        <v>208.31</v>
      </c>
      <c r="V1817" s="4">
        <v>274.2</v>
      </c>
      <c r="W1817" t="s">
        <v>21</v>
      </c>
      <c r="X1817" t="s">
        <v>36</v>
      </c>
      <c r="Y1817" s="4">
        <v>0</v>
      </c>
      <c r="Z1817" s="4">
        <v>2</v>
      </c>
      <c r="AA1817" t="s">
        <v>37</v>
      </c>
      <c r="AB1817" t="s">
        <v>38</v>
      </c>
      <c r="AC1817" s="7">
        <v>0</v>
      </c>
      <c r="AD1817" t="s">
        <v>39</v>
      </c>
      <c r="AE1817">
        <f t="shared" si="28"/>
        <v>0</v>
      </c>
    </row>
    <row r="1818" spans="1:31" x14ac:dyDescent="0.35">
      <c r="A1818">
        <v>101817</v>
      </c>
      <c r="B1818" s="3">
        <v>45980</v>
      </c>
      <c r="C1818">
        <v>1005</v>
      </c>
      <c r="D1818" t="s">
        <v>64</v>
      </c>
      <c r="E1818" t="s">
        <v>67</v>
      </c>
      <c r="F1818" t="s">
        <v>32</v>
      </c>
      <c r="G1818" t="s">
        <v>50</v>
      </c>
      <c r="H1818" t="s">
        <v>34</v>
      </c>
      <c r="I1818" t="s">
        <v>69</v>
      </c>
      <c r="J1818" s="4">
        <v>22.08</v>
      </c>
      <c r="K1818" s="4">
        <v>17.5</v>
      </c>
      <c r="L1818">
        <v>20</v>
      </c>
      <c r="M1818" s="4">
        <v>77.28</v>
      </c>
      <c r="N1818" s="4">
        <v>309.12</v>
      </c>
      <c r="O1818" s="4">
        <v>147.26</v>
      </c>
      <c r="P1818" s="4">
        <v>7.46</v>
      </c>
      <c r="Q1818" s="4">
        <v>1.55</v>
      </c>
      <c r="R1818" s="4">
        <v>4.8600000000000003</v>
      </c>
      <c r="S1818" s="4">
        <v>324.02</v>
      </c>
      <c r="T1818" s="4">
        <v>0</v>
      </c>
      <c r="U1818" s="4">
        <v>485.15</v>
      </c>
      <c r="V1818" s="4">
        <v>-176.03</v>
      </c>
      <c r="W1818" t="s">
        <v>58</v>
      </c>
      <c r="X1818" t="s">
        <v>55</v>
      </c>
      <c r="Y1818" s="4">
        <v>2</v>
      </c>
      <c r="Z1818" s="4">
        <v>20</v>
      </c>
      <c r="AA1818" t="s">
        <v>37</v>
      </c>
      <c r="AB1818" t="s">
        <v>44</v>
      </c>
      <c r="AC1818" s="7">
        <v>2</v>
      </c>
      <c r="AD1818" t="s">
        <v>45</v>
      </c>
      <c r="AE1818">
        <f t="shared" si="28"/>
        <v>1</v>
      </c>
    </row>
    <row r="1819" spans="1:31" x14ac:dyDescent="0.35">
      <c r="A1819">
        <v>101818</v>
      </c>
      <c r="B1819" s="3">
        <v>45995</v>
      </c>
      <c r="C1819">
        <v>1022</v>
      </c>
      <c r="D1819" t="s">
        <v>59</v>
      </c>
      <c r="E1819" t="s">
        <v>73</v>
      </c>
      <c r="F1819" t="s">
        <v>41</v>
      </c>
      <c r="G1819" t="s">
        <v>33</v>
      </c>
      <c r="H1819" t="s">
        <v>34</v>
      </c>
      <c r="I1819" t="s">
        <v>42</v>
      </c>
      <c r="J1819" s="4">
        <v>37.57</v>
      </c>
      <c r="K1819" s="4">
        <v>18.260000000000002</v>
      </c>
      <c r="L1819">
        <v>10</v>
      </c>
      <c r="M1819" s="4">
        <v>68.599999999999994</v>
      </c>
      <c r="N1819" s="4">
        <v>617.42999999999995</v>
      </c>
      <c r="O1819" s="4">
        <v>288.83999999999997</v>
      </c>
      <c r="P1819" s="4">
        <v>6.23</v>
      </c>
      <c r="Q1819" s="4">
        <v>10.29</v>
      </c>
      <c r="R1819" s="4">
        <v>1.5</v>
      </c>
      <c r="S1819" s="4">
        <v>0</v>
      </c>
      <c r="T1819" s="4">
        <v>0</v>
      </c>
      <c r="U1819" s="4">
        <v>306.86</v>
      </c>
      <c r="V1819" s="4">
        <v>310.57</v>
      </c>
      <c r="W1819" t="s">
        <v>21</v>
      </c>
      <c r="X1819" t="s">
        <v>36</v>
      </c>
      <c r="Y1819" s="4">
        <v>8</v>
      </c>
      <c r="Z1819" s="4">
        <v>2</v>
      </c>
      <c r="AA1819" t="s">
        <v>37</v>
      </c>
      <c r="AB1819" t="s">
        <v>38</v>
      </c>
      <c r="AC1819" s="7">
        <v>0</v>
      </c>
      <c r="AD1819" t="s">
        <v>39</v>
      </c>
      <c r="AE1819">
        <f t="shared" si="28"/>
        <v>0</v>
      </c>
    </row>
    <row r="1820" spans="1:31" x14ac:dyDescent="0.35">
      <c r="A1820">
        <v>101819</v>
      </c>
      <c r="B1820" s="3">
        <v>45978</v>
      </c>
      <c r="C1820">
        <v>1145</v>
      </c>
      <c r="D1820" t="s">
        <v>59</v>
      </c>
      <c r="E1820" t="s">
        <v>70</v>
      </c>
      <c r="F1820" t="s">
        <v>61</v>
      </c>
      <c r="G1820" t="s">
        <v>46</v>
      </c>
      <c r="H1820" t="s">
        <v>51</v>
      </c>
      <c r="I1820" t="s">
        <v>69</v>
      </c>
      <c r="J1820" s="4">
        <v>20.13</v>
      </c>
      <c r="K1820" s="4">
        <v>15.83</v>
      </c>
      <c r="L1820">
        <v>5</v>
      </c>
      <c r="M1820" s="4">
        <v>15.93</v>
      </c>
      <c r="N1820" s="4">
        <v>302.73</v>
      </c>
      <c r="O1820" s="4">
        <v>146.94</v>
      </c>
      <c r="P1820" s="4">
        <v>3.42</v>
      </c>
      <c r="Q1820" s="4">
        <v>1.27</v>
      </c>
      <c r="R1820" s="4">
        <v>2.2400000000000002</v>
      </c>
      <c r="S1820" s="4">
        <v>0</v>
      </c>
      <c r="T1820" s="4">
        <v>0</v>
      </c>
      <c r="U1820" s="4">
        <v>153.87</v>
      </c>
      <c r="V1820" s="4">
        <v>148.86000000000001</v>
      </c>
      <c r="W1820" t="s">
        <v>21</v>
      </c>
      <c r="X1820" t="s">
        <v>36</v>
      </c>
      <c r="Y1820" s="4">
        <v>24</v>
      </c>
      <c r="Z1820" s="4">
        <v>7</v>
      </c>
      <c r="AA1820" t="s">
        <v>52</v>
      </c>
      <c r="AB1820" t="s">
        <v>44</v>
      </c>
      <c r="AC1820" s="7">
        <v>3</v>
      </c>
      <c r="AD1820" t="s">
        <v>45</v>
      </c>
      <c r="AE1820">
        <f t="shared" si="28"/>
        <v>1</v>
      </c>
    </row>
    <row r="1821" spans="1:31" x14ac:dyDescent="0.35">
      <c r="A1821">
        <v>101820</v>
      </c>
      <c r="B1821" s="3">
        <v>45973</v>
      </c>
      <c r="C1821">
        <v>1051</v>
      </c>
      <c r="D1821" t="s">
        <v>30</v>
      </c>
      <c r="E1821" t="s">
        <v>31</v>
      </c>
      <c r="F1821" t="s">
        <v>49</v>
      </c>
      <c r="G1821" t="s">
        <v>33</v>
      </c>
      <c r="H1821" t="s">
        <v>34</v>
      </c>
      <c r="I1821" t="s">
        <v>54</v>
      </c>
      <c r="J1821" s="4">
        <v>37.08</v>
      </c>
      <c r="K1821" s="4">
        <v>18.38</v>
      </c>
      <c r="L1821">
        <v>20</v>
      </c>
      <c r="M1821" s="4">
        <v>136.31</v>
      </c>
      <c r="N1821" s="4">
        <v>545.22</v>
      </c>
      <c r="O1821" s="4">
        <v>236.45</v>
      </c>
      <c r="P1821" s="4">
        <v>4.63</v>
      </c>
      <c r="Q1821" s="4">
        <v>8.18</v>
      </c>
      <c r="R1821" s="4">
        <v>9.5500000000000007</v>
      </c>
      <c r="S1821" s="4">
        <v>0</v>
      </c>
      <c r="T1821" s="4">
        <v>0</v>
      </c>
      <c r="U1821" s="4">
        <v>258.81</v>
      </c>
      <c r="V1821" s="4">
        <v>286.41000000000003</v>
      </c>
      <c r="W1821" t="s">
        <v>21</v>
      </c>
      <c r="X1821" t="s">
        <v>36</v>
      </c>
      <c r="Y1821" s="4">
        <v>3</v>
      </c>
      <c r="Z1821" s="4">
        <v>10</v>
      </c>
      <c r="AA1821" t="s">
        <v>37</v>
      </c>
      <c r="AB1821" t="s">
        <v>38</v>
      </c>
      <c r="AC1821" s="7">
        <v>0</v>
      </c>
      <c r="AD1821" t="s">
        <v>39</v>
      </c>
      <c r="AE1821">
        <f t="shared" si="28"/>
        <v>0</v>
      </c>
    </row>
    <row r="1822" spans="1:31" x14ac:dyDescent="0.35">
      <c r="A1822">
        <v>101821</v>
      </c>
      <c r="B1822" s="3">
        <v>46022</v>
      </c>
      <c r="C1822">
        <v>1087</v>
      </c>
      <c r="D1822" t="s">
        <v>64</v>
      </c>
      <c r="E1822" t="s">
        <v>67</v>
      </c>
      <c r="F1822" t="s">
        <v>41</v>
      </c>
      <c r="G1822" t="s">
        <v>46</v>
      </c>
      <c r="H1822" t="s">
        <v>34</v>
      </c>
      <c r="I1822" t="s">
        <v>42</v>
      </c>
      <c r="J1822" s="4">
        <v>15.51</v>
      </c>
      <c r="K1822" s="4">
        <v>16.04</v>
      </c>
      <c r="L1822">
        <v>0</v>
      </c>
      <c r="M1822" s="4">
        <v>0</v>
      </c>
      <c r="N1822" s="4">
        <v>248.78</v>
      </c>
      <c r="O1822" s="4">
        <v>131.04</v>
      </c>
      <c r="P1822" s="4">
        <v>7.1</v>
      </c>
      <c r="Q1822" s="4">
        <v>3.73</v>
      </c>
      <c r="R1822" s="4">
        <v>6.32</v>
      </c>
      <c r="S1822" s="4">
        <v>0</v>
      </c>
      <c r="T1822" s="4">
        <v>0</v>
      </c>
      <c r="U1822" s="4">
        <v>148.19</v>
      </c>
      <c r="V1822" s="4">
        <v>100.59</v>
      </c>
      <c r="W1822" t="s">
        <v>21</v>
      </c>
      <c r="X1822" t="s">
        <v>36</v>
      </c>
      <c r="Y1822" s="4">
        <v>11</v>
      </c>
      <c r="Z1822" s="4">
        <v>6</v>
      </c>
      <c r="AA1822" t="s">
        <v>37</v>
      </c>
      <c r="AB1822" t="s">
        <v>38</v>
      </c>
      <c r="AC1822" s="7">
        <v>1</v>
      </c>
      <c r="AD1822" t="s">
        <v>39</v>
      </c>
      <c r="AE1822">
        <f t="shared" si="28"/>
        <v>0</v>
      </c>
    </row>
    <row r="1823" spans="1:31" x14ac:dyDescent="0.35">
      <c r="A1823">
        <v>101822</v>
      </c>
      <c r="B1823" s="3">
        <v>46000</v>
      </c>
      <c r="C1823">
        <v>1053</v>
      </c>
      <c r="D1823" t="s">
        <v>30</v>
      </c>
      <c r="E1823" t="s">
        <v>40</v>
      </c>
      <c r="F1823" t="s">
        <v>61</v>
      </c>
      <c r="G1823" t="s">
        <v>50</v>
      </c>
      <c r="H1823" t="s">
        <v>34</v>
      </c>
      <c r="I1823" t="s">
        <v>35</v>
      </c>
      <c r="J1823" s="4">
        <v>19.190000000000001</v>
      </c>
      <c r="K1823" s="4">
        <v>17.690000000000001</v>
      </c>
      <c r="L1823">
        <v>15</v>
      </c>
      <c r="M1823" s="4">
        <v>50.92</v>
      </c>
      <c r="N1823" s="4">
        <v>288.55</v>
      </c>
      <c r="O1823" s="4">
        <v>137.88999999999999</v>
      </c>
      <c r="P1823" s="4">
        <v>11.29</v>
      </c>
      <c r="Q1823" s="4">
        <v>2.38</v>
      </c>
      <c r="R1823" s="4">
        <v>1.0900000000000001</v>
      </c>
      <c r="S1823" s="4">
        <v>0</v>
      </c>
      <c r="T1823" s="4">
        <v>0</v>
      </c>
      <c r="U1823" s="4">
        <v>152.65</v>
      </c>
      <c r="V1823" s="4">
        <v>135.9</v>
      </c>
      <c r="W1823" t="s">
        <v>21</v>
      </c>
      <c r="X1823" t="s">
        <v>36</v>
      </c>
      <c r="Y1823" s="4">
        <v>3</v>
      </c>
      <c r="Z1823" s="4">
        <v>1</v>
      </c>
      <c r="AA1823" t="s">
        <v>37</v>
      </c>
      <c r="AB1823" t="s">
        <v>38</v>
      </c>
      <c r="AC1823" s="7">
        <v>0</v>
      </c>
      <c r="AD1823" t="s">
        <v>39</v>
      </c>
      <c r="AE1823">
        <f t="shared" si="28"/>
        <v>0</v>
      </c>
    </row>
    <row r="1824" spans="1:31" x14ac:dyDescent="0.35">
      <c r="A1824">
        <v>101823</v>
      </c>
      <c r="B1824" s="3">
        <v>46009</v>
      </c>
      <c r="C1824">
        <v>1029</v>
      </c>
      <c r="D1824" t="s">
        <v>59</v>
      </c>
      <c r="E1824" t="s">
        <v>60</v>
      </c>
      <c r="F1824" t="s">
        <v>32</v>
      </c>
      <c r="G1824" t="s">
        <v>63</v>
      </c>
      <c r="H1824" t="s">
        <v>34</v>
      </c>
      <c r="I1824" t="s">
        <v>35</v>
      </c>
      <c r="J1824" s="4">
        <v>25.4</v>
      </c>
      <c r="K1824" s="4">
        <v>13.86</v>
      </c>
      <c r="L1824">
        <v>0</v>
      </c>
      <c r="M1824" s="4">
        <v>0</v>
      </c>
      <c r="N1824" s="4">
        <v>352.04</v>
      </c>
      <c r="O1824" s="4">
        <v>195.81</v>
      </c>
      <c r="P1824" s="4">
        <v>1</v>
      </c>
      <c r="Q1824" s="4">
        <v>2.46</v>
      </c>
      <c r="R1824" s="4">
        <v>1.81</v>
      </c>
      <c r="S1824" s="4">
        <v>0</v>
      </c>
      <c r="T1824" s="4">
        <v>0</v>
      </c>
      <c r="U1824" s="4">
        <v>201.08</v>
      </c>
      <c r="V1824" s="4">
        <v>150.96</v>
      </c>
      <c r="W1824" t="s">
        <v>21</v>
      </c>
      <c r="X1824" t="s">
        <v>36</v>
      </c>
      <c r="Y1824" s="4">
        <v>0</v>
      </c>
      <c r="Z1824" s="4">
        <v>5</v>
      </c>
      <c r="AA1824" t="s">
        <v>37</v>
      </c>
      <c r="AB1824" t="s">
        <v>38</v>
      </c>
      <c r="AC1824" s="7">
        <v>0</v>
      </c>
      <c r="AD1824" t="s">
        <v>39</v>
      </c>
      <c r="AE1824">
        <f t="shared" si="28"/>
        <v>0</v>
      </c>
    </row>
    <row r="1825" spans="1:31" x14ac:dyDescent="0.35">
      <c r="A1825">
        <v>101824</v>
      </c>
      <c r="B1825" s="3">
        <v>45965</v>
      </c>
      <c r="C1825">
        <v>1046</v>
      </c>
      <c r="D1825" t="s">
        <v>47</v>
      </c>
      <c r="E1825" t="s">
        <v>53</v>
      </c>
      <c r="F1825" t="s">
        <v>49</v>
      </c>
      <c r="G1825" t="s">
        <v>63</v>
      </c>
      <c r="H1825" t="s">
        <v>51</v>
      </c>
      <c r="I1825" t="s">
        <v>69</v>
      </c>
      <c r="J1825" s="4">
        <v>7.78</v>
      </c>
      <c r="K1825" s="4">
        <v>11.98</v>
      </c>
      <c r="L1825">
        <v>0</v>
      </c>
      <c r="M1825" s="4">
        <v>0</v>
      </c>
      <c r="N1825" s="4">
        <v>93.2</v>
      </c>
      <c r="O1825" s="4">
        <v>59.91</v>
      </c>
      <c r="P1825" s="4">
        <v>5.64</v>
      </c>
      <c r="Q1825" s="4">
        <v>0.37</v>
      </c>
      <c r="R1825" s="4">
        <v>5.17</v>
      </c>
      <c r="S1825" s="4">
        <v>0</v>
      </c>
      <c r="T1825" s="4">
        <v>0</v>
      </c>
      <c r="U1825" s="4">
        <v>71.09</v>
      </c>
      <c r="V1825" s="4">
        <v>22.11</v>
      </c>
      <c r="W1825" t="s">
        <v>21</v>
      </c>
      <c r="X1825" t="s">
        <v>36</v>
      </c>
      <c r="Y1825" s="4">
        <v>17</v>
      </c>
      <c r="Z1825" s="4">
        <v>3</v>
      </c>
      <c r="AA1825" t="s">
        <v>52</v>
      </c>
      <c r="AB1825" t="s">
        <v>38</v>
      </c>
      <c r="AC1825" s="7">
        <v>0</v>
      </c>
      <c r="AD1825" t="s">
        <v>39</v>
      </c>
      <c r="AE1825">
        <f t="shared" si="28"/>
        <v>0</v>
      </c>
    </row>
    <row r="1826" spans="1:31" x14ac:dyDescent="0.35">
      <c r="A1826">
        <v>101825</v>
      </c>
      <c r="B1826" s="3">
        <v>45987</v>
      </c>
      <c r="C1826">
        <v>1131</v>
      </c>
      <c r="D1826" t="s">
        <v>47</v>
      </c>
      <c r="E1826" t="s">
        <v>53</v>
      </c>
      <c r="F1826" t="s">
        <v>61</v>
      </c>
      <c r="G1826" t="s">
        <v>33</v>
      </c>
      <c r="H1826" t="s">
        <v>34</v>
      </c>
      <c r="I1826" t="s">
        <v>35</v>
      </c>
      <c r="J1826" s="4">
        <v>26.5</v>
      </c>
      <c r="K1826" s="4">
        <v>19.12</v>
      </c>
      <c r="L1826">
        <v>0</v>
      </c>
      <c r="M1826" s="4">
        <v>0</v>
      </c>
      <c r="N1826" s="4">
        <v>506.68</v>
      </c>
      <c r="O1826" s="4">
        <v>180.93</v>
      </c>
      <c r="P1826" s="4">
        <v>1.83</v>
      </c>
      <c r="Q1826" s="4">
        <v>3.55</v>
      </c>
      <c r="R1826" s="4">
        <v>10.89</v>
      </c>
      <c r="S1826" s="4">
        <v>0</v>
      </c>
      <c r="T1826" s="4">
        <v>0</v>
      </c>
      <c r="U1826" s="4">
        <v>197.2</v>
      </c>
      <c r="V1826" s="4">
        <v>309.48</v>
      </c>
      <c r="W1826" t="s">
        <v>21</v>
      </c>
      <c r="X1826" t="s">
        <v>36</v>
      </c>
      <c r="Y1826" s="4">
        <v>1</v>
      </c>
      <c r="Z1826" s="4">
        <v>5</v>
      </c>
      <c r="AA1826" t="s">
        <v>37</v>
      </c>
      <c r="AB1826" t="s">
        <v>38</v>
      </c>
      <c r="AC1826" s="7">
        <v>0</v>
      </c>
      <c r="AD1826" t="s">
        <v>39</v>
      </c>
      <c r="AE1826">
        <f t="shared" si="28"/>
        <v>0</v>
      </c>
    </row>
    <row r="1827" spans="1:31" x14ac:dyDescent="0.35">
      <c r="A1827">
        <v>101826</v>
      </c>
      <c r="B1827" s="3">
        <v>46016</v>
      </c>
      <c r="C1827">
        <v>1126</v>
      </c>
      <c r="D1827" t="s">
        <v>64</v>
      </c>
      <c r="E1827" t="s">
        <v>65</v>
      </c>
      <c r="F1827" t="s">
        <v>32</v>
      </c>
      <c r="G1827" t="s">
        <v>63</v>
      </c>
      <c r="H1827" t="s">
        <v>51</v>
      </c>
      <c r="I1827" t="s">
        <v>69</v>
      </c>
      <c r="J1827" s="4">
        <v>26.04</v>
      </c>
      <c r="K1827" s="4">
        <v>12.95</v>
      </c>
      <c r="L1827">
        <v>20</v>
      </c>
      <c r="M1827" s="4">
        <v>67.44</v>
      </c>
      <c r="N1827" s="4">
        <v>269.77999999999997</v>
      </c>
      <c r="O1827" s="4">
        <v>209.47</v>
      </c>
      <c r="P1827" s="4">
        <v>5.04</v>
      </c>
      <c r="Q1827" s="4">
        <v>1.35</v>
      </c>
      <c r="R1827" s="4">
        <v>11.83</v>
      </c>
      <c r="S1827" s="4">
        <v>0</v>
      </c>
      <c r="T1827" s="4">
        <v>0</v>
      </c>
      <c r="U1827" s="4">
        <v>227.69</v>
      </c>
      <c r="V1827" s="4">
        <v>42.09</v>
      </c>
      <c r="W1827" t="s">
        <v>21</v>
      </c>
      <c r="X1827" t="s">
        <v>36</v>
      </c>
      <c r="Y1827" s="4">
        <v>9</v>
      </c>
      <c r="Z1827" s="4">
        <v>0</v>
      </c>
      <c r="AA1827" t="s">
        <v>37</v>
      </c>
      <c r="AB1827" t="s">
        <v>38</v>
      </c>
      <c r="AC1827" s="7">
        <v>0</v>
      </c>
      <c r="AD1827" t="s">
        <v>39</v>
      </c>
      <c r="AE1827">
        <f t="shared" si="28"/>
        <v>0</v>
      </c>
    </row>
    <row r="1828" spans="1:31" x14ac:dyDescent="0.35">
      <c r="A1828">
        <v>101827</v>
      </c>
      <c r="B1828" s="3">
        <v>46008</v>
      </c>
      <c r="C1828">
        <v>1034</v>
      </c>
      <c r="D1828" t="s">
        <v>30</v>
      </c>
      <c r="E1828" t="s">
        <v>72</v>
      </c>
      <c r="F1828" t="s">
        <v>41</v>
      </c>
      <c r="G1828" t="s">
        <v>33</v>
      </c>
      <c r="H1828" t="s">
        <v>34</v>
      </c>
      <c r="I1828" t="s">
        <v>54</v>
      </c>
      <c r="J1828" s="4">
        <v>15.34</v>
      </c>
      <c r="K1828" s="4">
        <v>19.27</v>
      </c>
      <c r="L1828">
        <v>5</v>
      </c>
      <c r="M1828" s="4">
        <v>14.78</v>
      </c>
      <c r="N1828" s="4">
        <v>280.82</v>
      </c>
      <c r="O1828" s="4">
        <v>98.04</v>
      </c>
      <c r="P1828" s="4">
        <v>5.0199999999999996</v>
      </c>
      <c r="Q1828" s="4">
        <v>3.55</v>
      </c>
      <c r="R1828" s="4">
        <v>2.69</v>
      </c>
      <c r="S1828" s="4">
        <v>0</v>
      </c>
      <c r="T1828" s="4">
        <v>0</v>
      </c>
      <c r="U1828" s="4">
        <v>109.3</v>
      </c>
      <c r="V1828" s="4">
        <v>171.52</v>
      </c>
      <c r="W1828" t="s">
        <v>21</v>
      </c>
      <c r="X1828" t="s">
        <v>36</v>
      </c>
      <c r="Y1828" s="4">
        <v>14</v>
      </c>
      <c r="Z1828" s="4">
        <v>0</v>
      </c>
      <c r="AA1828" t="s">
        <v>37</v>
      </c>
      <c r="AB1828" t="s">
        <v>38</v>
      </c>
      <c r="AC1828" s="7">
        <v>0</v>
      </c>
      <c r="AD1828" t="s">
        <v>39</v>
      </c>
      <c r="AE1828">
        <f t="shared" si="28"/>
        <v>0</v>
      </c>
    </row>
    <row r="1829" spans="1:31" x14ac:dyDescent="0.35">
      <c r="A1829">
        <v>101828</v>
      </c>
      <c r="B1829" s="3">
        <v>45993</v>
      </c>
      <c r="C1829">
        <v>1075</v>
      </c>
      <c r="D1829" t="s">
        <v>59</v>
      </c>
      <c r="E1829" t="s">
        <v>60</v>
      </c>
      <c r="F1829" t="s">
        <v>49</v>
      </c>
      <c r="G1829" t="s">
        <v>46</v>
      </c>
      <c r="H1829" t="s">
        <v>57</v>
      </c>
      <c r="I1829" t="s">
        <v>69</v>
      </c>
      <c r="J1829" s="4">
        <v>32.79</v>
      </c>
      <c r="K1829" s="4">
        <v>15.17</v>
      </c>
      <c r="L1829">
        <v>5</v>
      </c>
      <c r="M1829" s="4">
        <v>24.87</v>
      </c>
      <c r="N1829" s="4">
        <v>472.55</v>
      </c>
      <c r="O1829" s="4">
        <v>285.47000000000003</v>
      </c>
      <c r="P1829" s="4">
        <v>9.7799999999999994</v>
      </c>
      <c r="Q1829" s="4">
        <v>1.99</v>
      </c>
      <c r="R1829" s="4">
        <v>2.68</v>
      </c>
      <c r="S1829" s="4">
        <v>0</v>
      </c>
      <c r="T1829" s="4">
        <v>0</v>
      </c>
      <c r="U1829" s="4">
        <v>299.92</v>
      </c>
      <c r="V1829" s="4">
        <v>172.63</v>
      </c>
      <c r="W1829" t="s">
        <v>21</v>
      </c>
      <c r="X1829" t="s">
        <v>36</v>
      </c>
      <c r="Y1829" s="4">
        <v>8</v>
      </c>
      <c r="Z1829" s="4">
        <v>9</v>
      </c>
      <c r="AA1829" t="s">
        <v>37</v>
      </c>
      <c r="AB1829" t="s">
        <v>38</v>
      </c>
      <c r="AC1829" s="7">
        <v>0</v>
      </c>
      <c r="AD1829" t="s">
        <v>39</v>
      </c>
      <c r="AE1829">
        <f t="shared" si="28"/>
        <v>0</v>
      </c>
    </row>
    <row r="1830" spans="1:31" x14ac:dyDescent="0.35">
      <c r="A1830">
        <v>101829</v>
      </c>
      <c r="B1830" s="3">
        <v>45957</v>
      </c>
      <c r="C1830">
        <v>1150</v>
      </c>
      <c r="D1830" t="s">
        <v>47</v>
      </c>
      <c r="E1830" t="s">
        <v>53</v>
      </c>
      <c r="F1830" t="s">
        <v>61</v>
      </c>
      <c r="G1830" t="s">
        <v>46</v>
      </c>
      <c r="H1830" t="s">
        <v>34</v>
      </c>
      <c r="I1830" t="s">
        <v>35</v>
      </c>
      <c r="J1830" s="4">
        <v>27.88</v>
      </c>
      <c r="K1830" s="4">
        <v>14.74</v>
      </c>
      <c r="L1830">
        <v>0</v>
      </c>
      <c r="M1830" s="4">
        <v>0</v>
      </c>
      <c r="N1830" s="4">
        <v>410.95</v>
      </c>
      <c r="O1830" s="4">
        <v>159.08000000000001</v>
      </c>
      <c r="P1830" s="4">
        <v>5.69</v>
      </c>
      <c r="Q1830" s="4">
        <v>2.88</v>
      </c>
      <c r="R1830" s="4">
        <v>9.2100000000000009</v>
      </c>
      <c r="S1830" s="4">
        <v>0</v>
      </c>
      <c r="T1830" s="4">
        <v>0</v>
      </c>
      <c r="U1830" s="4">
        <v>176.86</v>
      </c>
      <c r="V1830" s="4">
        <v>234.09</v>
      </c>
      <c r="W1830" t="s">
        <v>21</v>
      </c>
      <c r="X1830" t="s">
        <v>36</v>
      </c>
      <c r="Y1830" s="4">
        <v>6</v>
      </c>
      <c r="Z1830" s="4">
        <v>1</v>
      </c>
      <c r="AA1830" t="s">
        <v>37</v>
      </c>
      <c r="AB1830" t="s">
        <v>38</v>
      </c>
      <c r="AC1830" s="7">
        <v>0</v>
      </c>
      <c r="AD1830" t="s">
        <v>39</v>
      </c>
      <c r="AE1830">
        <f t="shared" si="28"/>
        <v>0</v>
      </c>
    </row>
    <row r="1831" spans="1:31" x14ac:dyDescent="0.35">
      <c r="A1831">
        <v>101830</v>
      </c>
      <c r="B1831" s="3">
        <v>45965</v>
      </c>
      <c r="C1831">
        <v>1001</v>
      </c>
      <c r="D1831" t="s">
        <v>47</v>
      </c>
      <c r="E1831" t="s">
        <v>56</v>
      </c>
      <c r="F1831" t="s">
        <v>61</v>
      </c>
      <c r="G1831" t="s">
        <v>50</v>
      </c>
      <c r="H1831" t="s">
        <v>34</v>
      </c>
      <c r="I1831" t="s">
        <v>42</v>
      </c>
      <c r="J1831" s="4">
        <v>35.61</v>
      </c>
      <c r="K1831" s="4">
        <v>17.43</v>
      </c>
      <c r="L1831">
        <v>15</v>
      </c>
      <c r="M1831" s="4">
        <v>93.1</v>
      </c>
      <c r="N1831" s="4">
        <v>527.58000000000004</v>
      </c>
      <c r="O1831" s="4">
        <v>231.71</v>
      </c>
      <c r="P1831" s="4">
        <v>4.2</v>
      </c>
      <c r="Q1831" s="4">
        <v>9.31</v>
      </c>
      <c r="R1831" s="4">
        <v>7.92</v>
      </c>
      <c r="S1831" s="4">
        <v>0</v>
      </c>
      <c r="T1831" s="4">
        <v>0</v>
      </c>
      <c r="U1831" s="4">
        <v>253.14</v>
      </c>
      <c r="V1831" s="4">
        <v>274.44</v>
      </c>
      <c r="W1831" t="s">
        <v>21</v>
      </c>
      <c r="X1831" t="s">
        <v>36</v>
      </c>
      <c r="Y1831" s="4">
        <v>4</v>
      </c>
      <c r="Z1831" s="4">
        <v>9</v>
      </c>
      <c r="AA1831" t="s">
        <v>37</v>
      </c>
      <c r="AB1831" t="s">
        <v>38</v>
      </c>
      <c r="AC1831" s="7">
        <v>0</v>
      </c>
      <c r="AD1831" t="s">
        <v>39</v>
      </c>
      <c r="AE1831">
        <f t="shared" si="28"/>
        <v>0</v>
      </c>
    </row>
    <row r="1832" spans="1:31" x14ac:dyDescent="0.35">
      <c r="A1832">
        <v>101831</v>
      </c>
      <c r="B1832" s="3">
        <v>45972</v>
      </c>
      <c r="C1832">
        <v>1055</v>
      </c>
      <c r="D1832" t="s">
        <v>30</v>
      </c>
      <c r="E1832" t="s">
        <v>40</v>
      </c>
      <c r="F1832" t="s">
        <v>71</v>
      </c>
      <c r="G1832" t="s">
        <v>63</v>
      </c>
      <c r="H1832" t="s">
        <v>57</v>
      </c>
      <c r="I1832" t="s">
        <v>35</v>
      </c>
      <c r="J1832" s="4">
        <v>32.520000000000003</v>
      </c>
      <c r="K1832" s="4">
        <v>12.69</v>
      </c>
      <c r="L1832">
        <v>5</v>
      </c>
      <c r="M1832" s="4">
        <v>20.63</v>
      </c>
      <c r="N1832" s="4">
        <v>392.05</v>
      </c>
      <c r="O1832" s="4">
        <v>250.11</v>
      </c>
      <c r="P1832" s="4">
        <v>8.3000000000000007</v>
      </c>
      <c r="Q1832" s="4">
        <v>2.89</v>
      </c>
      <c r="R1832" s="4">
        <v>2.0099999999999998</v>
      </c>
      <c r="S1832" s="4">
        <v>0</v>
      </c>
      <c r="T1832" s="4">
        <v>0</v>
      </c>
      <c r="U1832" s="4">
        <v>263.31</v>
      </c>
      <c r="V1832" s="4">
        <v>128.74</v>
      </c>
      <c r="W1832" t="s">
        <v>21</v>
      </c>
      <c r="X1832" t="s">
        <v>36</v>
      </c>
      <c r="Y1832" s="4">
        <v>1</v>
      </c>
      <c r="Z1832" s="4">
        <v>3</v>
      </c>
      <c r="AA1832" t="s">
        <v>37</v>
      </c>
      <c r="AB1832" t="s">
        <v>38</v>
      </c>
      <c r="AC1832" s="7">
        <v>0</v>
      </c>
      <c r="AD1832" t="s">
        <v>39</v>
      </c>
      <c r="AE1832">
        <f t="shared" si="28"/>
        <v>0</v>
      </c>
    </row>
    <row r="1833" spans="1:31" x14ac:dyDescent="0.35">
      <c r="A1833">
        <v>101832</v>
      </c>
      <c r="B1833" s="3">
        <v>46004</v>
      </c>
      <c r="C1833">
        <v>1129</v>
      </c>
      <c r="D1833" t="s">
        <v>30</v>
      </c>
      <c r="E1833" t="s">
        <v>62</v>
      </c>
      <c r="F1833" t="s">
        <v>49</v>
      </c>
      <c r="G1833" t="s">
        <v>33</v>
      </c>
      <c r="H1833" t="s">
        <v>57</v>
      </c>
      <c r="I1833" t="s">
        <v>35</v>
      </c>
      <c r="J1833" s="4">
        <v>29.06</v>
      </c>
      <c r="K1833" s="4">
        <v>19.43</v>
      </c>
      <c r="L1833">
        <v>15</v>
      </c>
      <c r="M1833" s="4">
        <v>84.7</v>
      </c>
      <c r="N1833" s="4">
        <v>479.94</v>
      </c>
      <c r="O1833" s="4">
        <v>216.73</v>
      </c>
      <c r="P1833" s="4">
        <v>9.31</v>
      </c>
      <c r="Q1833" s="4">
        <v>3.95</v>
      </c>
      <c r="R1833" s="4">
        <v>0</v>
      </c>
      <c r="S1833" s="4">
        <v>0</v>
      </c>
      <c r="T1833" s="4">
        <v>0</v>
      </c>
      <c r="U1833" s="4">
        <v>229.99</v>
      </c>
      <c r="V1833" s="4">
        <v>249.95</v>
      </c>
      <c r="W1833" t="s">
        <v>21</v>
      </c>
      <c r="X1833" t="s">
        <v>36</v>
      </c>
      <c r="Y1833" s="4">
        <v>5</v>
      </c>
      <c r="Z1833" s="4">
        <v>1</v>
      </c>
      <c r="AA1833" t="s">
        <v>37</v>
      </c>
      <c r="AB1833" t="s">
        <v>38</v>
      </c>
      <c r="AC1833" s="7">
        <v>0</v>
      </c>
      <c r="AD1833" t="s">
        <v>39</v>
      </c>
      <c r="AE1833">
        <f t="shared" si="28"/>
        <v>0</v>
      </c>
    </row>
    <row r="1834" spans="1:31" x14ac:dyDescent="0.35">
      <c r="A1834">
        <v>101833</v>
      </c>
      <c r="B1834" s="3">
        <v>45970</v>
      </c>
      <c r="C1834">
        <v>1103</v>
      </c>
      <c r="D1834" t="s">
        <v>64</v>
      </c>
      <c r="E1834" t="s">
        <v>76</v>
      </c>
      <c r="F1834" t="s">
        <v>41</v>
      </c>
      <c r="G1834" t="s">
        <v>46</v>
      </c>
      <c r="H1834" t="s">
        <v>34</v>
      </c>
      <c r="I1834" t="s">
        <v>35</v>
      </c>
      <c r="J1834" s="4">
        <v>30.52</v>
      </c>
      <c r="K1834" s="4">
        <v>14.36</v>
      </c>
      <c r="L1834">
        <v>5</v>
      </c>
      <c r="M1834" s="4">
        <v>21.91</v>
      </c>
      <c r="N1834" s="4">
        <v>416.36</v>
      </c>
      <c r="O1834" s="4">
        <v>218.13</v>
      </c>
      <c r="P1834" s="4">
        <v>7.17</v>
      </c>
      <c r="Q1834" s="4">
        <v>3.07</v>
      </c>
      <c r="R1834" s="4">
        <v>4.01</v>
      </c>
      <c r="S1834" s="4">
        <v>195.42</v>
      </c>
      <c r="T1834" s="4">
        <v>0</v>
      </c>
      <c r="U1834" s="4">
        <v>427.8</v>
      </c>
      <c r="V1834" s="4">
        <v>-11.44</v>
      </c>
      <c r="W1834" t="s">
        <v>58</v>
      </c>
      <c r="X1834" t="s">
        <v>66</v>
      </c>
      <c r="Y1834" s="4">
        <v>5</v>
      </c>
      <c r="Z1834" s="4">
        <v>13</v>
      </c>
      <c r="AA1834" t="s">
        <v>37</v>
      </c>
      <c r="AB1834" t="s">
        <v>38</v>
      </c>
      <c r="AC1834" s="7">
        <v>2</v>
      </c>
      <c r="AD1834" t="s">
        <v>45</v>
      </c>
      <c r="AE1834">
        <f t="shared" si="28"/>
        <v>0</v>
      </c>
    </row>
    <row r="1835" spans="1:31" x14ac:dyDescent="0.35">
      <c r="A1835">
        <v>101834</v>
      </c>
      <c r="B1835" s="3">
        <v>45936</v>
      </c>
      <c r="C1835">
        <v>1033</v>
      </c>
      <c r="D1835" t="s">
        <v>30</v>
      </c>
      <c r="E1835" t="s">
        <v>40</v>
      </c>
      <c r="F1835" t="s">
        <v>71</v>
      </c>
      <c r="G1835" t="s">
        <v>63</v>
      </c>
      <c r="H1835" t="s">
        <v>34</v>
      </c>
      <c r="I1835" t="s">
        <v>35</v>
      </c>
      <c r="J1835" s="4">
        <v>34.32</v>
      </c>
      <c r="K1835" s="4">
        <v>11.39</v>
      </c>
      <c r="L1835">
        <v>10</v>
      </c>
      <c r="M1835" s="4">
        <v>39.090000000000003</v>
      </c>
      <c r="N1835" s="4">
        <v>351.81</v>
      </c>
      <c r="O1835" s="4">
        <v>230.69</v>
      </c>
      <c r="P1835" s="4">
        <v>10.56</v>
      </c>
      <c r="Q1835" s="4">
        <v>2.74</v>
      </c>
      <c r="R1835" s="4">
        <v>2.09</v>
      </c>
      <c r="S1835" s="4">
        <v>0</v>
      </c>
      <c r="T1835" s="4">
        <v>0</v>
      </c>
      <c r="U1835" s="4">
        <v>246.08</v>
      </c>
      <c r="V1835" s="4">
        <v>105.73</v>
      </c>
      <c r="W1835" t="s">
        <v>21</v>
      </c>
      <c r="X1835" t="s">
        <v>36</v>
      </c>
      <c r="Y1835" s="4">
        <v>1</v>
      </c>
      <c r="Z1835" s="4">
        <v>15</v>
      </c>
      <c r="AA1835" t="s">
        <v>37</v>
      </c>
      <c r="AB1835" t="s">
        <v>38</v>
      </c>
      <c r="AC1835" s="7">
        <v>2</v>
      </c>
      <c r="AD1835" t="s">
        <v>39</v>
      </c>
      <c r="AE1835">
        <f t="shared" si="28"/>
        <v>0</v>
      </c>
    </row>
    <row r="1836" spans="1:31" x14ac:dyDescent="0.35">
      <c r="A1836">
        <v>101835</v>
      </c>
      <c r="B1836" s="3">
        <v>45980</v>
      </c>
      <c r="C1836">
        <v>1015</v>
      </c>
      <c r="D1836" t="s">
        <v>64</v>
      </c>
      <c r="E1836" t="s">
        <v>67</v>
      </c>
      <c r="F1836" t="s">
        <v>49</v>
      </c>
      <c r="G1836" t="s">
        <v>46</v>
      </c>
      <c r="H1836" t="s">
        <v>34</v>
      </c>
      <c r="I1836" t="s">
        <v>35</v>
      </c>
      <c r="J1836" s="4">
        <v>35.03</v>
      </c>
      <c r="K1836" s="4">
        <v>18.25</v>
      </c>
      <c r="L1836">
        <v>10</v>
      </c>
      <c r="M1836" s="4">
        <v>63.93</v>
      </c>
      <c r="N1836" s="4">
        <v>575.37</v>
      </c>
      <c r="O1836" s="4">
        <v>251.69</v>
      </c>
      <c r="P1836" s="4">
        <v>8.44</v>
      </c>
      <c r="Q1836" s="4">
        <v>4.4800000000000004</v>
      </c>
      <c r="R1836" s="4">
        <v>1.98</v>
      </c>
      <c r="S1836" s="4">
        <v>0</v>
      </c>
      <c r="T1836" s="4">
        <v>0</v>
      </c>
      <c r="U1836" s="4">
        <v>266.58999999999997</v>
      </c>
      <c r="V1836" s="4">
        <v>308.77999999999997</v>
      </c>
      <c r="W1836" t="s">
        <v>21</v>
      </c>
      <c r="X1836" t="s">
        <v>36</v>
      </c>
      <c r="Y1836" s="4">
        <v>10</v>
      </c>
      <c r="Z1836" s="4">
        <v>0</v>
      </c>
      <c r="AA1836" t="s">
        <v>37</v>
      </c>
      <c r="AB1836" t="s">
        <v>38</v>
      </c>
      <c r="AC1836" s="7">
        <v>0</v>
      </c>
      <c r="AD1836" t="s">
        <v>39</v>
      </c>
      <c r="AE1836">
        <f t="shared" si="28"/>
        <v>0</v>
      </c>
    </row>
    <row r="1837" spans="1:31" x14ac:dyDescent="0.35">
      <c r="A1837">
        <v>101836</v>
      </c>
      <c r="B1837" s="3">
        <v>46019</v>
      </c>
      <c r="C1837">
        <v>1145</v>
      </c>
      <c r="D1837" t="s">
        <v>47</v>
      </c>
      <c r="E1837" t="s">
        <v>56</v>
      </c>
      <c r="F1837" t="s">
        <v>32</v>
      </c>
      <c r="G1837" t="s">
        <v>46</v>
      </c>
      <c r="H1837" t="s">
        <v>51</v>
      </c>
      <c r="I1837" t="s">
        <v>35</v>
      </c>
      <c r="J1837" s="4">
        <v>24.84</v>
      </c>
      <c r="K1837" s="4">
        <v>15.99</v>
      </c>
      <c r="L1837">
        <v>0</v>
      </c>
      <c r="M1837" s="4">
        <v>0</v>
      </c>
      <c r="N1837" s="4">
        <v>397.19</v>
      </c>
      <c r="O1837" s="4">
        <v>180.48</v>
      </c>
      <c r="P1837" s="4">
        <v>3.48</v>
      </c>
      <c r="Q1837" s="4">
        <v>2.78</v>
      </c>
      <c r="R1837" s="4">
        <v>7.74</v>
      </c>
      <c r="S1837" s="4">
        <v>0</v>
      </c>
      <c r="T1837" s="4">
        <v>0</v>
      </c>
      <c r="U1837" s="4">
        <v>194.48</v>
      </c>
      <c r="V1837" s="4">
        <v>202.71</v>
      </c>
      <c r="W1837" t="s">
        <v>21</v>
      </c>
      <c r="X1837" t="s">
        <v>36</v>
      </c>
      <c r="Y1837" s="4">
        <v>4</v>
      </c>
      <c r="Z1837" s="4">
        <v>16</v>
      </c>
      <c r="AA1837" t="s">
        <v>37</v>
      </c>
      <c r="AB1837" t="s">
        <v>44</v>
      </c>
      <c r="AC1837" s="7">
        <v>1</v>
      </c>
      <c r="AD1837" t="s">
        <v>45</v>
      </c>
      <c r="AE1837">
        <f t="shared" si="28"/>
        <v>1</v>
      </c>
    </row>
    <row r="1838" spans="1:31" x14ac:dyDescent="0.35">
      <c r="A1838">
        <v>101837</v>
      </c>
      <c r="B1838" s="3">
        <v>46021</v>
      </c>
      <c r="C1838">
        <v>1109</v>
      </c>
      <c r="D1838" t="s">
        <v>47</v>
      </c>
      <c r="E1838" t="s">
        <v>56</v>
      </c>
      <c r="F1838" t="s">
        <v>32</v>
      </c>
      <c r="G1838" t="s">
        <v>63</v>
      </c>
      <c r="H1838" t="s">
        <v>51</v>
      </c>
      <c r="I1838" t="s">
        <v>69</v>
      </c>
      <c r="J1838" s="4">
        <v>22.39</v>
      </c>
      <c r="K1838" s="4">
        <v>12.72</v>
      </c>
      <c r="L1838">
        <v>0</v>
      </c>
      <c r="M1838" s="4">
        <v>0</v>
      </c>
      <c r="N1838" s="4">
        <v>284.8</v>
      </c>
      <c r="O1838" s="4">
        <v>137.79</v>
      </c>
      <c r="P1838" s="4">
        <v>15.15</v>
      </c>
      <c r="Q1838" s="4">
        <v>1.1399999999999999</v>
      </c>
      <c r="R1838" s="4">
        <v>1.83</v>
      </c>
      <c r="S1838" s="4">
        <v>0</v>
      </c>
      <c r="T1838" s="4">
        <v>0</v>
      </c>
      <c r="U1838" s="4">
        <v>155.91</v>
      </c>
      <c r="V1838" s="4">
        <v>128.88999999999999</v>
      </c>
      <c r="W1838" t="s">
        <v>21</v>
      </c>
      <c r="X1838" t="s">
        <v>36</v>
      </c>
      <c r="Y1838" s="4">
        <v>15</v>
      </c>
      <c r="Z1838" s="4">
        <v>7</v>
      </c>
      <c r="AA1838" t="s">
        <v>37</v>
      </c>
      <c r="AB1838" t="s">
        <v>38</v>
      </c>
      <c r="AC1838" s="7">
        <v>0</v>
      </c>
      <c r="AD1838" t="s">
        <v>39</v>
      </c>
      <c r="AE1838">
        <f t="shared" si="28"/>
        <v>0</v>
      </c>
    </row>
    <row r="1839" spans="1:31" x14ac:dyDescent="0.35">
      <c r="A1839">
        <v>101838</v>
      </c>
      <c r="B1839" s="3">
        <v>45945</v>
      </c>
      <c r="C1839">
        <v>1108</v>
      </c>
      <c r="D1839" t="s">
        <v>47</v>
      </c>
      <c r="E1839" t="s">
        <v>53</v>
      </c>
      <c r="F1839" t="s">
        <v>41</v>
      </c>
      <c r="G1839" t="s">
        <v>46</v>
      </c>
      <c r="H1839" t="s">
        <v>34</v>
      </c>
      <c r="I1839" t="s">
        <v>54</v>
      </c>
      <c r="J1839" s="4">
        <v>24.85</v>
      </c>
      <c r="K1839" s="4">
        <v>15.29</v>
      </c>
      <c r="L1839">
        <v>5</v>
      </c>
      <c r="M1839" s="4">
        <v>19</v>
      </c>
      <c r="N1839" s="4">
        <v>360.96</v>
      </c>
      <c r="O1839" s="4">
        <v>159.33000000000001</v>
      </c>
      <c r="P1839" s="4">
        <v>9.6199999999999992</v>
      </c>
      <c r="Q1839" s="4">
        <v>4.5599999999999996</v>
      </c>
      <c r="R1839" s="4">
        <v>8.2100000000000009</v>
      </c>
      <c r="S1839" s="4">
        <v>0</v>
      </c>
      <c r="T1839" s="4">
        <v>0</v>
      </c>
      <c r="U1839" s="4">
        <v>181.72</v>
      </c>
      <c r="V1839" s="4">
        <v>179.24</v>
      </c>
      <c r="W1839" t="s">
        <v>21</v>
      </c>
      <c r="X1839" t="s">
        <v>36</v>
      </c>
      <c r="Y1839" s="4">
        <v>13</v>
      </c>
      <c r="Z1839" s="4">
        <v>4</v>
      </c>
      <c r="AA1839" t="s">
        <v>37</v>
      </c>
      <c r="AB1839" t="s">
        <v>38</v>
      </c>
      <c r="AC1839" s="7">
        <v>0</v>
      </c>
      <c r="AD1839" t="s">
        <v>39</v>
      </c>
      <c r="AE1839">
        <f t="shared" si="28"/>
        <v>0</v>
      </c>
    </row>
    <row r="1840" spans="1:31" x14ac:dyDescent="0.35">
      <c r="A1840">
        <v>101839</v>
      </c>
      <c r="B1840" s="3">
        <v>46011</v>
      </c>
      <c r="C1840">
        <v>1088</v>
      </c>
      <c r="D1840" t="s">
        <v>59</v>
      </c>
      <c r="E1840" t="s">
        <v>60</v>
      </c>
      <c r="F1840" t="s">
        <v>41</v>
      </c>
      <c r="G1840" t="s">
        <v>63</v>
      </c>
      <c r="H1840" t="s">
        <v>51</v>
      </c>
      <c r="I1840" t="s">
        <v>35</v>
      </c>
      <c r="J1840" s="4">
        <v>33.78</v>
      </c>
      <c r="K1840" s="4">
        <v>11.86</v>
      </c>
      <c r="L1840">
        <v>5</v>
      </c>
      <c r="M1840" s="4">
        <v>20.03</v>
      </c>
      <c r="N1840" s="4">
        <v>380.6</v>
      </c>
      <c r="O1840" s="4">
        <v>262.11</v>
      </c>
      <c r="P1840" s="4">
        <v>7.43</v>
      </c>
      <c r="Q1840" s="4">
        <v>2.8</v>
      </c>
      <c r="R1840" s="4">
        <v>8.36</v>
      </c>
      <c r="S1840" s="4">
        <v>0</v>
      </c>
      <c r="T1840" s="4">
        <v>0</v>
      </c>
      <c r="U1840" s="4">
        <v>280.7</v>
      </c>
      <c r="V1840" s="4">
        <v>99.9</v>
      </c>
      <c r="W1840" t="s">
        <v>21</v>
      </c>
      <c r="X1840" t="s">
        <v>36</v>
      </c>
      <c r="Y1840" s="4">
        <v>20</v>
      </c>
      <c r="Z1840" s="4">
        <v>4</v>
      </c>
      <c r="AA1840" t="s">
        <v>52</v>
      </c>
      <c r="AB1840" t="s">
        <v>38</v>
      </c>
      <c r="AC1840" s="7">
        <v>1</v>
      </c>
      <c r="AD1840" t="s">
        <v>39</v>
      </c>
      <c r="AE1840">
        <f t="shared" si="28"/>
        <v>0</v>
      </c>
    </row>
    <row r="1841" spans="1:31" x14ac:dyDescent="0.35">
      <c r="A1841">
        <v>101840</v>
      </c>
      <c r="B1841" s="3">
        <v>45974</v>
      </c>
      <c r="C1841">
        <v>1091</v>
      </c>
      <c r="D1841" t="s">
        <v>47</v>
      </c>
      <c r="E1841" t="s">
        <v>48</v>
      </c>
      <c r="F1841" t="s">
        <v>71</v>
      </c>
      <c r="G1841" t="s">
        <v>33</v>
      </c>
      <c r="H1841" t="s">
        <v>34</v>
      </c>
      <c r="I1841" t="s">
        <v>35</v>
      </c>
      <c r="J1841" s="4">
        <v>30.48</v>
      </c>
      <c r="K1841" s="4">
        <v>20.72</v>
      </c>
      <c r="L1841">
        <v>10</v>
      </c>
      <c r="M1841" s="4">
        <v>63.16</v>
      </c>
      <c r="N1841" s="4">
        <v>568.39</v>
      </c>
      <c r="O1841" s="4">
        <v>235.02</v>
      </c>
      <c r="P1841" s="4">
        <v>8.7899999999999991</v>
      </c>
      <c r="Q1841" s="4">
        <v>4.42</v>
      </c>
      <c r="R1841" s="4">
        <v>0.74</v>
      </c>
      <c r="S1841" s="4">
        <v>0</v>
      </c>
      <c r="T1841" s="4">
        <v>0</v>
      </c>
      <c r="U1841" s="4">
        <v>248.97</v>
      </c>
      <c r="V1841" s="4">
        <v>319.42</v>
      </c>
      <c r="W1841" t="s">
        <v>21</v>
      </c>
      <c r="X1841" t="s">
        <v>36</v>
      </c>
      <c r="Y1841" s="4">
        <v>6</v>
      </c>
      <c r="Z1841" s="4">
        <v>5</v>
      </c>
      <c r="AA1841" t="s">
        <v>37</v>
      </c>
      <c r="AB1841" t="s">
        <v>38</v>
      </c>
      <c r="AC1841" s="7">
        <v>0</v>
      </c>
      <c r="AD1841" t="s">
        <v>39</v>
      </c>
      <c r="AE1841">
        <f t="shared" si="28"/>
        <v>0</v>
      </c>
    </row>
    <row r="1842" spans="1:31" x14ac:dyDescent="0.35">
      <c r="A1842">
        <v>101841</v>
      </c>
      <c r="B1842" s="3">
        <v>46012</v>
      </c>
      <c r="C1842">
        <v>1012</v>
      </c>
      <c r="D1842" t="s">
        <v>47</v>
      </c>
      <c r="E1842" t="s">
        <v>53</v>
      </c>
      <c r="F1842" t="s">
        <v>71</v>
      </c>
      <c r="G1842" t="s">
        <v>50</v>
      </c>
      <c r="H1842" t="s">
        <v>34</v>
      </c>
      <c r="I1842" t="s">
        <v>42</v>
      </c>
      <c r="J1842" s="4">
        <v>24.82</v>
      </c>
      <c r="K1842" s="4">
        <v>18.760000000000002</v>
      </c>
      <c r="L1842">
        <v>5</v>
      </c>
      <c r="M1842" s="4">
        <v>23.28</v>
      </c>
      <c r="N1842" s="4">
        <v>442.34</v>
      </c>
      <c r="O1842" s="4">
        <v>194.39</v>
      </c>
      <c r="P1842" s="4">
        <v>9.08</v>
      </c>
      <c r="Q1842" s="4">
        <v>6.98</v>
      </c>
      <c r="R1842" s="4">
        <v>7.99</v>
      </c>
      <c r="S1842" s="4">
        <v>0</v>
      </c>
      <c r="T1842" s="4">
        <v>0</v>
      </c>
      <c r="U1842" s="4">
        <v>218.44</v>
      </c>
      <c r="V1842" s="4">
        <v>223.9</v>
      </c>
      <c r="W1842" t="s">
        <v>21</v>
      </c>
      <c r="X1842" t="s">
        <v>36</v>
      </c>
      <c r="Y1842" s="4">
        <v>10</v>
      </c>
      <c r="Z1842" s="4">
        <v>13</v>
      </c>
      <c r="AA1842" t="s">
        <v>37</v>
      </c>
      <c r="AB1842" t="s">
        <v>38</v>
      </c>
      <c r="AC1842" s="7">
        <v>0</v>
      </c>
      <c r="AD1842" t="s">
        <v>39</v>
      </c>
      <c r="AE1842">
        <f t="shared" si="28"/>
        <v>0</v>
      </c>
    </row>
    <row r="1843" spans="1:31" x14ac:dyDescent="0.35">
      <c r="A1843">
        <v>101842</v>
      </c>
      <c r="B1843" s="3">
        <v>45936</v>
      </c>
      <c r="C1843">
        <v>1097</v>
      </c>
      <c r="D1843" t="s">
        <v>47</v>
      </c>
      <c r="E1843" t="s">
        <v>74</v>
      </c>
      <c r="F1843" t="s">
        <v>32</v>
      </c>
      <c r="G1843" t="s">
        <v>33</v>
      </c>
      <c r="H1843" t="s">
        <v>34</v>
      </c>
      <c r="I1843" t="s">
        <v>54</v>
      </c>
      <c r="J1843" s="4">
        <v>18.71</v>
      </c>
      <c r="K1843" s="4">
        <v>19.989999999999998</v>
      </c>
      <c r="L1843">
        <v>0</v>
      </c>
      <c r="M1843" s="4">
        <v>0</v>
      </c>
      <c r="N1843" s="4">
        <v>374.01</v>
      </c>
      <c r="O1843" s="4">
        <v>121.1</v>
      </c>
      <c r="P1843" s="4">
        <v>8.14</v>
      </c>
      <c r="Q1843" s="4">
        <v>4.49</v>
      </c>
      <c r="R1843" s="4">
        <v>6.73</v>
      </c>
      <c r="S1843" s="4">
        <v>0</v>
      </c>
      <c r="T1843" s="4">
        <v>0</v>
      </c>
      <c r="U1843" s="4">
        <v>140.46</v>
      </c>
      <c r="V1843" s="4">
        <v>233.55</v>
      </c>
      <c r="W1843" t="s">
        <v>21</v>
      </c>
      <c r="X1843" t="s">
        <v>36</v>
      </c>
      <c r="Y1843" s="4">
        <v>3</v>
      </c>
      <c r="Z1843" s="4">
        <v>2</v>
      </c>
      <c r="AA1843" t="s">
        <v>37</v>
      </c>
      <c r="AB1843" t="s">
        <v>38</v>
      </c>
      <c r="AC1843" s="7">
        <v>0</v>
      </c>
      <c r="AD1843" t="s">
        <v>39</v>
      </c>
      <c r="AE1843">
        <f t="shared" si="28"/>
        <v>0</v>
      </c>
    </row>
    <row r="1844" spans="1:31" x14ac:dyDescent="0.35">
      <c r="A1844">
        <v>101843</v>
      </c>
      <c r="B1844" s="3">
        <v>46016</v>
      </c>
      <c r="C1844">
        <v>1104</v>
      </c>
      <c r="D1844" t="s">
        <v>47</v>
      </c>
      <c r="E1844" t="s">
        <v>56</v>
      </c>
      <c r="F1844" t="s">
        <v>71</v>
      </c>
      <c r="G1844" t="s">
        <v>63</v>
      </c>
      <c r="H1844" t="s">
        <v>34</v>
      </c>
      <c r="I1844" t="s">
        <v>35</v>
      </c>
      <c r="J1844" s="4">
        <v>14.72</v>
      </c>
      <c r="K1844" s="4">
        <v>13.27</v>
      </c>
      <c r="L1844">
        <v>0</v>
      </c>
      <c r="M1844" s="4">
        <v>0</v>
      </c>
      <c r="N1844" s="4">
        <v>195.33</v>
      </c>
      <c r="O1844" s="4">
        <v>94.45</v>
      </c>
      <c r="P1844" s="4">
        <v>8.08</v>
      </c>
      <c r="Q1844" s="4">
        <v>1.37</v>
      </c>
      <c r="R1844" s="4">
        <v>1.67</v>
      </c>
      <c r="S1844" s="4">
        <v>0</v>
      </c>
      <c r="T1844" s="4">
        <v>0</v>
      </c>
      <c r="U1844" s="4">
        <v>105.57</v>
      </c>
      <c r="V1844" s="4">
        <v>89.76</v>
      </c>
      <c r="W1844" t="s">
        <v>21</v>
      </c>
      <c r="X1844" t="s">
        <v>36</v>
      </c>
      <c r="Y1844" s="4">
        <v>1</v>
      </c>
      <c r="Z1844" s="4">
        <v>4</v>
      </c>
      <c r="AA1844" t="s">
        <v>37</v>
      </c>
      <c r="AB1844" t="s">
        <v>38</v>
      </c>
      <c r="AC1844" s="7">
        <v>0</v>
      </c>
      <c r="AD1844" t="s">
        <v>39</v>
      </c>
      <c r="AE1844">
        <f t="shared" si="28"/>
        <v>0</v>
      </c>
    </row>
    <row r="1845" spans="1:31" x14ac:dyDescent="0.35">
      <c r="A1845">
        <v>101844</v>
      </c>
      <c r="B1845" s="3">
        <v>46000</v>
      </c>
      <c r="C1845">
        <v>1091</v>
      </c>
      <c r="D1845" t="s">
        <v>30</v>
      </c>
      <c r="E1845" t="s">
        <v>72</v>
      </c>
      <c r="F1845" t="s">
        <v>71</v>
      </c>
      <c r="G1845" t="s">
        <v>46</v>
      </c>
      <c r="H1845" t="s">
        <v>34</v>
      </c>
      <c r="I1845" t="s">
        <v>42</v>
      </c>
      <c r="J1845" s="4">
        <v>48.37</v>
      </c>
      <c r="K1845" s="4">
        <v>14.97</v>
      </c>
      <c r="L1845">
        <v>5</v>
      </c>
      <c r="M1845" s="4">
        <v>36.21</v>
      </c>
      <c r="N1845" s="4">
        <v>687.89</v>
      </c>
      <c r="O1845" s="4">
        <v>291.06</v>
      </c>
      <c r="P1845" s="4">
        <v>11.17</v>
      </c>
      <c r="Q1845" s="4">
        <v>10.86</v>
      </c>
      <c r="R1845" s="4">
        <v>4.96</v>
      </c>
      <c r="S1845" s="4">
        <v>416.42</v>
      </c>
      <c r="T1845" s="4">
        <v>0</v>
      </c>
      <c r="U1845" s="4">
        <v>734.47</v>
      </c>
      <c r="V1845" s="4">
        <v>-46.58</v>
      </c>
      <c r="W1845" t="s">
        <v>58</v>
      </c>
      <c r="X1845" t="s">
        <v>66</v>
      </c>
      <c r="Y1845" s="4">
        <v>32</v>
      </c>
      <c r="Z1845" s="4">
        <v>1</v>
      </c>
      <c r="AA1845" t="s">
        <v>43</v>
      </c>
      <c r="AB1845" t="s">
        <v>44</v>
      </c>
      <c r="AC1845" s="7">
        <v>1</v>
      </c>
      <c r="AD1845" t="s">
        <v>45</v>
      </c>
      <c r="AE1845">
        <f t="shared" si="28"/>
        <v>1</v>
      </c>
    </row>
    <row r="1846" spans="1:31" x14ac:dyDescent="0.35">
      <c r="A1846">
        <v>101845</v>
      </c>
      <c r="B1846" s="3">
        <v>45947</v>
      </c>
      <c r="C1846">
        <v>1026</v>
      </c>
      <c r="D1846" t="s">
        <v>47</v>
      </c>
      <c r="E1846" t="s">
        <v>53</v>
      </c>
      <c r="F1846" t="s">
        <v>61</v>
      </c>
      <c r="G1846" t="s">
        <v>50</v>
      </c>
      <c r="H1846" t="s">
        <v>57</v>
      </c>
      <c r="I1846" t="s">
        <v>42</v>
      </c>
      <c r="J1846" s="4">
        <v>21.15</v>
      </c>
      <c r="K1846" s="4">
        <v>17.190000000000001</v>
      </c>
      <c r="L1846">
        <v>15</v>
      </c>
      <c r="M1846" s="4">
        <v>54.54</v>
      </c>
      <c r="N1846" s="4">
        <v>309.02999999999997</v>
      </c>
      <c r="O1846" s="4">
        <v>159.46</v>
      </c>
      <c r="P1846" s="4">
        <v>10.16</v>
      </c>
      <c r="Q1846" s="4">
        <v>5.45</v>
      </c>
      <c r="R1846" s="4">
        <v>7.51</v>
      </c>
      <c r="S1846" s="4">
        <v>0</v>
      </c>
      <c r="T1846" s="4">
        <v>0</v>
      </c>
      <c r="U1846" s="4">
        <v>182.58</v>
      </c>
      <c r="V1846" s="4">
        <v>126.45</v>
      </c>
      <c r="W1846" t="s">
        <v>21</v>
      </c>
      <c r="X1846" t="s">
        <v>36</v>
      </c>
      <c r="Y1846" s="4">
        <v>44</v>
      </c>
      <c r="Z1846" s="4">
        <v>5</v>
      </c>
      <c r="AA1846" t="s">
        <v>43</v>
      </c>
      <c r="AB1846" t="s">
        <v>44</v>
      </c>
      <c r="AC1846" s="7">
        <v>1</v>
      </c>
      <c r="AD1846" t="s">
        <v>45</v>
      </c>
      <c r="AE1846">
        <f t="shared" si="28"/>
        <v>1</v>
      </c>
    </row>
    <row r="1847" spans="1:31" x14ac:dyDescent="0.35">
      <c r="A1847">
        <v>101846</v>
      </c>
      <c r="B1847" s="3">
        <v>46002</v>
      </c>
      <c r="C1847">
        <v>1126</v>
      </c>
      <c r="D1847" t="s">
        <v>47</v>
      </c>
      <c r="E1847" t="s">
        <v>48</v>
      </c>
      <c r="F1847" t="s">
        <v>49</v>
      </c>
      <c r="G1847" t="s">
        <v>33</v>
      </c>
      <c r="H1847" t="s">
        <v>34</v>
      </c>
      <c r="I1847" t="s">
        <v>42</v>
      </c>
      <c r="J1847" s="4">
        <v>30.22</v>
      </c>
      <c r="K1847" s="4">
        <v>17.579999999999998</v>
      </c>
      <c r="L1847">
        <v>5</v>
      </c>
      <c r="M1847" s="4">
        <v>26.56</v>
      </c>
      <c r="N1847" s="4">
        <v>504.71</v>
      </c>
      <c r="O1847" s="4">
        <v>261.14999999999998</v>
      </c>
      <c r="P1847" s="4">
        <v>8.91</v>
      </c>
      <c r="Q1847" s="4">
        <v>7.97</v>
      </c>
      <c r="R1847" s="4">
        <v>0</v>
      </c>
      <c r="S1847" s="4">
        <v>0</v>
      </c>
      <c r="T1847" s="4">
        <v>0</v>
      </c>
      <c r="U1847" s="4">
        <v>278.02999999999997</v>
      </c>
      <c r="V1847" s="4">
        <v>226.68</v>
      </c>
      <c r="W1847" t="s">
        <v>21</v>
      </c>
      <c r="X1847" t="s">
        <v>36</v>
      </c>
      <c r="Y1847" s="4">
        <v>3</v>
      </c>
      <c r="Z1847" s="4">
        <v>3</v>
      </c>
      <c r="AA1847" t="s">
        <v>37</v>
      </c>
      <c r="AB1847" t="s">
        <v>38</v>
      </c>
      <c r="AC1847" s="7">
        <v>0</v>
      </c>
      <c r="AD1847" t="s">
        <v>39</v>
      </c>
      <c r="AE1847">
        <f t="shared" si="28"/>
        <v>0</v>
      </c>
    </row>
    <row r="1848" spans="1:31" x14ac:dyDescent="0.35">
      <c r="A1848">
        <v>101847</v>
      </c>
      <c r="B1848" s="3">
        <v>45982</v>
      </c>
      <c r="C1848">
        <v>1016</v>
      </c>
      <c r="D1848" t="s">
        <v>64</v>
      </c>
      <c r="E1848" t="s">
        <v>76</v>
      </c>
      <c r="F1848" t="s">
        <v>71</v>
      </c>
      <c r="G1848" t="s">
        <v>46</v>
      </c>
      <c r="H1848" t="s">
        <v>34</v>
      </c>
      <c r="I1848" t="s">
        <v>54</v>
      </c>
      <c r="J1848" s="4">
        <v>23.44</v>
      </c>
      <c r="K1848" s="4">
        <v>15.27</v>
      </c>
      <c r="L1848">
        <v>0</v>
      </c>
      <c r="M1848" s="4">
        <v>0</v>
      </c>
      <c r="N1848" s="4">
        <v>357.93</v>
      </c>
      <c r="O1848" s="4">
        <v>145.80000000000001</v>
      </c>
      <c r="P1848" s="4">
        <v>6.8</v>
      </c>
      <c r="Q1848" s="4">
        <v>4.3</v>
      </c>
      <c r="R1848" s="4">
        <v>0</v>
      </c>
      <c r="S1848" s="4">
        <v>0</v>
      </c>
      <c r="T1848" s="4">
        <v>0</v>
      </c>
      <c r="U1848" s="4">
        <v>156.9</v>
      </c>
      <c r="V1848" s="4">
        <v>201.03</v>
      </c>
      <c r="W1848" t="s">
        <v>21</v>
      </c>
      <c r="X1848" t="s">
        <v>36</v>
      </c>
      <c r="Y1848" s="4">
        <v>45</v>
      </c>
      <c r="Z1848" s="4">
        <v>7</v>
      </c>
      <c r="AA1848" t="s">
        <v>43</v>
      </c>
      <c r="AB1848" t="s">
        <v>44</v>
      </c>
      <c r="AC1848" s="7">
        <v>1</v>
      </c>
      <c r="AD1848" t="s">
        <v>45</v>
      </c>
      <c r="AE1848">
        <f t="shared" si="28"/>
        <v>1</v>
      </c>
    </row>
    <row r="1849" spans="1:31" x14ac:dyDescent="0.35">
      <c r="A1849">
        <v>101848</v>
      </c>
      <c r="B1849" s="3">
        <v>46016</v>
      </c>
      <c r="C1849">
        <v>1028</v>
      </c>
      <c r="D1849" t="s">
        <v>47</v>
      </c>
      <c r="E1849" t="s">
        <v>74</v>
      </c>
      <c r="F1849" t="s">
        <v>71</v>
      </c>
      <c r="G1849" t="s">
        <v>46</v>
      </c>
      <c r="H1849" t="s">
        <v>57</v>
      </c>
      <c r="I1849" t="s">
        <v>35</v>
      </c>
      <c r="J1849" s="4">
        <v>34.869999999999997</v>
      </c>
      <c r="K1849" s="4">
        <v>15.9</v>
      </c>
      <c r="L1849">
        <v>0</v>
      </c>
      <c r="M1849" s="4">
        <v>0</v>
      </c>
      <c r="N1849" s="4">
        <v>554.42999999999995</v>
      </c>
      <c r="O1849" s="4">
        <v>247.2</v>
      </c>
      <c r="P1849" s="4">
        <v>7.98</v>
      </c>
      <c r="Q1849" s="4">
        <v>3.88</v>
      </c>
      <c r="R1849" s="4">
        <v>10.94</v>
      </c>
      <c r="S1849" s="4">
        <v>0</v>
      </c>
      <c r="T1849" s="4">
        <v>0</v>
      </c>
      <c r="U1849" s="4">
        <v>270</v>
      </c>
      <c r="V1849" s="4">
        <v>284.43</v>
      </c>
      <c r="W1849" t="s">
        <v>21</v>
      </c>
      <c r="X1849" t="s">
        <v>36</v>
      </c>
      <c r="Y1849" s="4">
        <v>7</v>
      </c>
      <c r="Z1849" s="4">
        <v>6</v>
      </c>
      <c r="AA1849" t="s">
        <v>37</v>
      </c>
      <c r="AB1849" t="s">
        <v>38</v>
      </c>
      <c r="AC1849" s="7">
        <v>0</v>
      </c>
      <c r="AD1849" t="s">
        <v>39</v>
      </c>
      <c r="AE1849">
        <f t="shared" si="28"/>
        <v>0</v>
      </c>
    </row>
    <row r="1850" spans="1:31" x14ac:dyDescent="0.35">
      <c r="A1850">
        <v>101849</v>
      </c>
      <c r="B1850" s="3">
        <v>45946</v>
      </c>
      <c r="C1850">
        <v>1143</v>
      </c>
      <c r="D1850" t="s">
        <v>64</v>
      </c>
      <c r="E1850" t="s">
        <v>67</v>
      </c>
      <c r="F1850" t="s">
        <v>71</v>
      </c>
      <c r="G1850" t="s">
        <v>50</v>
      </c>
      <c r="H1850" t="s">
        <v>34</v>
      </c>
      <c r="I1850" t="s">
        <v>54</v>
      </c>
      <c r="J1850" s="4">
        <v>30.89</v>
      </c>
      <c r="K1850" s="4">
        <v>19.170000000000002</v>
      </c>
      <c r="L1850">
        <v>0</v>
      </c>
      <c r="M1850" s="4">
        <v>0</v>
      </c>
      <c r="N1850" s="4">
        <v>592.16</v>
      </c>
      <c r="O1850" s="4">
        <v>241.52</v>
      </c>
      <c r="P1850" s="4">
        <v>7.41</v>
      </c>
      <c r="Q1850" s="4">
        <v>7.11</v>
      </c>
      <c r="R1850" s="4">
        <v>2.79</v>
      </c>
      <c r="S1850" s="4">
        <v>0</v>
      </c>
      <c r="T1850" s="4">
        <v>0</v>
      </c>
      <c r="U1850" s="4">
        <v>258.83</v>
      </c>
      <c r="V1850" s="4">
        <v>333.33</v>
      </c>
      <c r="W1850" t="s">
        <v>21</v>
      </c>
      <c r="X1850" t="s">
        <v>36</v>
      </c>
      <c r="Y1850" s="4">
        <v>8</v>
      </c>
      <c r="Z1850" s="4">
        <v>1</v>
      </c>
      <c r="AA1850" t="s">
        <v>37</v>
      </c>
      <c r="AB1850" t="s">
        <v>38</v>
      </c>
      <c r="AC1850" s="7">
        <v>0</v>
      </c>
      <c r="AD1850" t="s">
        <v>39</v>
      </c>
      <c r="AE1850">
        <f t="shared" si="28"/>
        <v>0</v>
      </c>
    </row>
    <row r="1851" spans="1:31" x14ac:dyDescent="0.35">
      <c r="A1851">
        <v>101850</v>
      </c>
      <c r="B1851" s="3">
        <v>46018</v>
      </c>
      <c r="C1851">
        <v>1058</v>
      </c>
      <c r="D1851" t="s">
        <v>30</v>
      </c>
      <c r="E1851" t="s">
        <v>40</v>
      </c>
      <c r="F1851" t="s">
        <v>71</v>
      </c>
      <c r="G1851" t="s">
        <v>63</v>
      </c>
      <c r="H1851" t="s">
        <v>34</v>
      </c>
      <c r="I1851" t="s">
        <v>35</v>
      </c>
      <c r="J1851" s="4">
        <v>10.85</v>
      </c>
      <c r="K1851" s="4">
        <v>12.1</v>
      </c>
      <c r="L1851">
        <v>10</v>
      </c>
      <c r="M1851" s="4">
        <v>13.13</v>
      </c>
      <c r="N1851" s="4">
        <v>118.15</v>
      </c>
      <c r="O1851" s="4">
        <v>60.75</v>
      </c>
      <c r="P1851" s="4">
        <v>6.73</v>
      </c>
      <c r="Q1851" s="4">
        <v>0.92</v>
      </c>
      <c r="R1851" s="4">
        <v>2.75</v>
      </c>
      <c r="S1851" s="4">
        <v>0</v>
      </c>
      <c r="T1851" s="4">
        <v>0</v>
      </c>
      <c r="U1851" s="4">
        <v>71.150000000000006</v>
      </c>
      <c r="V1851" s="4">
        <v>47</v>
      </c>
      <c r="W1851" t="s">
        <v>21</v>
      </c>
      <c r="X1851" t="s">
        <v>36</v>
      </c>
      <c r="Y1851" s="4">
        <v>10</v>
      </c>
      <c r="Z1851" s="4">
        <v>5</v>
      </c>
      <c r="AA1851" t="s">
        <v>37</v>
      </c>
      <c r="AB1851" t="s">
        <v>38</v>
      </c>
      <c r="AC1851" s="7">
        <v>1</v>
      </c>
      <c r="AD1851" t="s">
        <v>39</v>
      </c>
      <c r="AE1851">
        <f t="shared" si="28"/>
        <v>0</v>
      </c>
    </row>
    <row r="1852" spans="1:31" x14ac:dyDescent="0.35">
      <c r="A1852">
        <v>101851</v>
      </c>
      <c r="B1852" s="3">
        <v>45971</v>
      </c>
      <c r="C1852">
        <v>1075</v>
      </c>
      <c r="D1852" t="s">
        <v>47</v>
      </c>
      <c r="E1852" t="s">
        <v>48</v>
      </c>
      <c r="F1852" t="s">
        <v>32</v>
      </c>
      <c r="G1852" t="s">
        <v>63</v>
      </c>
      <c r="H1852" t="s">
        <v>57</v>
      </c>
      <c r="I1852" t="s">
        <v>54</v>
      </c>
      <c r="J1852" s="4">
        <v>19.91</v>
      </c>
      <c r="K1852" s="4">
        <v>12.33</v>
      </c>
      <c r="L1852">
        <v>10</v>
      </c>
      <c r="M1852" s="4">
        <v>24.55</v>
      </c>
      <c r="N1852" s="4">
        <v>220.94</v>
      </c>
      <c r="O1852" s="4">
        <v>149.66</v>
      </c>
      <c r="P1852" s="4">
        <v>7.63</v>
      </c>
      <c r="Q1852" s="4">
        <v>2.95</v>
      </c>
      <c r="R1852" s="4">
        <v>5.43</v>
      </c>
      <c r="S1852" s="4">
        <v>0</v>
      </c>
      <c r="T1852" s="4">
        <v>0</v>
      </c>
      <c r="U1852" s="4">
        <v>165.67</v>
      </c>
      <c r="V1852" s="4">
        <v>55.27</v>
      </c>
      <c r="W1852" t="s">
        <v>21</v>
      </c>
      <c r="X1852" t="s">
        <v>36</v>
      </c>
      <c r="Y1852" s="4">
        <v>13</v>
      </c>
      <c r="Z1852" s="4">
        <v>4</v>
      </c>
      <c r="AA1852" t="s">
        <v>37</v>
      </c>
      <c r="AB1852" t="s">
        <v>38</v>
      </c>
      <c r="AC1852" s="7">
        <v>0</v>
      </c>
      <c r="AD1852" t="s">
        <v>39</v>
      </c>
      <c r="AE1852">
        <f t="shared" si="28"/>
        <v>0</v>
      </c>
    </row>
    <row r="1853" spans="1:31" x14ac:dyDescent="0.35">
      <c r="A1853">
        <v>101852</v>
      </c>
      <c r="B1853" s="3">
        <v>45967</v>
      </c>
      <c r="C1853">
        <v>1015</v>
      </c>
      <c r="D1853" t="s">
        <v>30</v>
      </c>
      <c r="E1853" t="s">
        <v>40</v>
      </c>
      <c r="F1853" t="s">
        <v>41</v>
      </c>
      <c r="G1853" t="s">
        <v>50</v>
      </c>
      <c r="H1853" t="s">
        <v>57</v>
      </c>
      <c r="I1853" t="s">
        <v>69</v>
      </c>
      <c r="J1853" s="4">
        <v>25.44</v>
      </c>
      <c r="K1853" s="4">
        <v>19.45</v>
      </c>
      <c r="L1853">
        <v>0</v>
      </c>
      <c r="M1853" s="4">
        <v>0</v>
      </c>
      <c r="N1853" s="4">
        <v>494.81</v>
      </c>
      <c r="O1853" s="4">
        <v>207.81</v>
      </c>
      <c r="P1853" s="4">
        <v>4.3899999999999997</v>
      </c>
      <c r="Q1853" s="4">
        <v>1.98</v>
      </c>
      <c r="R1853" s="4">
        <v>7.86</v>
      </c>
      <c r="S1853" s="4">
        <v>0</v>
      </c>
      <c r="T1853" s="4">
        <v>0</v>
      </c>
      <c r="U1853" s="4">
        <v>222.04</v>
      </c>
      <c r="V1853" s="4">
        <v>272.77</v>
      </c>
      <c r="W1853" t="s">
        <v>21</v>
      </c>
      <c r="X1853" t="s">
        <v>36</v>
      </c>
      <c r="Y1853" s="4">
        <v>125</v>
      </c>
      <c r="Z1853" s="4">
        <v>4</v>
      </c>
      <c r="AA1853" t="s">
        <v>43</v>
      </c>
      <c r="AB1853" t="s">
        <v>44</v>
      </c>
      <c r="AC1853" s="7">
        <v>2</v>
      </c>
      <c r="AD1853" t="s">
        <v>45</v>
      </c>
      <c r="AE1853">
        <f t="shared" si="28"/>
        <v>1</v>
      </c>
    </row>
    <row r="1854" spans="1:31" x14ac:dyDescent="0.35">
      <c r="A1854">
        <v>101853</v>
      </c>
      <c r="B1854" s="3">
        <v>45993</v>
      </c>
      <c r="C1854">
        <v>1147</v>
      </c>
      <c r="D1854" t="s">
        <v>30</v>
      </c>
      <c r="E1854" t="s">
        <v>31</v>
      </c>
      <c r="F1854" t="s">
        <v>41</v>
      </c>
      <c r="G1854" t="s">
        <v>46</v>
      </c>
      <c r="H1854" t="s">
        <v>57</v>
      </c>
      <c r="I1854" t="s">
        <v>35</v>
      </c>
      <c r="J1854" s="4">
        <v>27.03</v>
      </c>
      <c r="K1854" s="4">
        <v>16.36</v>
      </c>
      <c r="L1854">
        <v>0</v>
      </c>
      <c r="M1854" s="4">
        <v>0</v>
      </c>
      <c r="N1854" s="4">
        <v>442.21</v>
      </c>
      <c r="O1854" s="4">
        <v>145.79</v>
      </c>
      <c r="P1854" s="4">
        <v>5.97</v>
      </c>
      <c r="Q1854" s="4">
        <v>3.1</v>
      </c>
      <c r="R1854" s="4">
        <v>0</v>
      </c>
      <c r="S1854" s="4">
        <v>271.24</v>
      </c>
      <c r="T1854" s="4">
        <v>4.0999999999999996</v>
      </c>
      <c r="U1854" s="4">
        <v>430.2</v>
      </c>
      <c r="V1854" s="4">
        <v>12.01</v>
      </c>
      <c r="W1854" t="s">
        <v>21</v>
      </c>
      <c r="X1854" t="s">
        <v>55</v>
      </c>
      <c r="Y1854" s="4">
        <v>24</v>
      </c>
      <c r="Z1854" s="4">
        <v>4</v>
      </c>
      <c r="AA1854" t="s">
        <v>52</v>
      </c>
      <c r="AB1854" t="s">
        <v>44</v>
      </c>
      <c r="AC1854" s="7">
        <v>3</v>
      </c>
      <c r="AD1854" t="s">
        <v>45</v>
      </c>
      <c r="AE1854">
        <f t="shared" si="28"/>
        <v>1</v>
      </c>
    </row>
    <row r="1855" spans="1:31" x14ac:dyDescent="0.35">
      <c r="A1855">
        <v>101854</v>
      </c>
      <c r="B1855" s="3">
        <v>46002</v>
      </c>
      <c r="C1855">
        <v>1113</v>
      </c>
      <c r="D1855" t="s">
        <v>30</v>
      </c>
      <c r="E1855" t="s">
        <v>72</v>
      </c>
      <c r="F1855" t="s">
        <v>41</v>
      </c>
      <c r="G1855" t="s">
        <v>33</v>
      </c>
      <c r="H1855" t="s">
        <v>34</v>
      </c>
      <c r="I1855" t="s">
        <v>42</v>
      </c>
      <c r="J1855" s="4">
        <v>39.53</v>
      </c>
      <c r="K1855" s="4">
        <v>19.62</v>
      </c>
      <c r="L1855">
        <v>0</v>
      </c>
      <c r="M1855" s="4">
        <v>0</v>
      </c>
      <c r="N1855" s="4">
        <v>775.58</v>
      </c>
      <c r="O1855" s="4">
        <v>287.8</v>
      </c>
      <c r="P1855" s="4">
        <v>3.44</v>
      </c>
      <c r="Q1855" s="4">
        <v>11.63</v>
      </c>
      <c r="R1855" s="4">
        <v>6.98</v>
      </c>
      <c r="S1855" s="4">
        <v>0</v>
      </c>
      <c r="T1855" s="4">
        <v>0</v>
      </c>
      <c r="U1855" s="4">
        <v>309.85000000000002</v>
      </c>
      <c r="V1855" s="4">
        <v>465.73</v>
      </c>
      <c r="W1855" t="s">
        <v>21</v>
      </c>
      <c r="X1855" t="s">
        <v>36</v>
      </c>
      <c r="Y1855" s="4">
        <v>21</v>
      </c>
      <c r="Z1855" s="4">
        <v>27</v>
      </c>
      <c r="AA1855" t="s">
        <v>52</v>
      </c>
      <c r="AB1855" t="s">
        <v>44</v>
      </c>
      <c r="AC1855" s="7">
        <v>4</v>
      </c>
      <c r="AD1855" t="s">
        <v>45</v>
      </c>
      <c r="AE1855">
        <f t="shared" si="28"/>
        <v>1</v>
      </c>
    </row>
    <row r="1856" spans="1:31" x14ac:dyDescent="0.35">
      <c r="A1856">
        <v>101855</v>
      </c>
      <c r="B1856" s="3">
        <v>45946</v>
      </c>
      <c r="C1856">
        <v>1060</v>
      </c>
      <c r="D1856" t="s">
        <v>64</v>
      </c>
      <c r="E1856" t="s">
        <v>75</v>
      </c>
      <c r="F1856" t="s">
        <v>71</v>
      </c>
      <c r="G1856" t="s">
        <v>50</v>
      </c>
      <c r="H1856" t="s">
        <v>57</v>
      </c>
      <c r="I1856" t="s">
        <v>35</v>
      </c>
      <c r="J1856" s="4">
        <v>29.05</v>
      </c>
      <c r="K1856" s="4">
        <v>16.07</v>
      </c>
      <c r="L1856">
        <v>0</v>
      </c>
      <c r="M1856" s="4">
        <v>0</v>
      </c>
      <c r="N1856" s="4">
        <v>466.83</v>
      </c>
      <c r="O1856" s="4">
        <v>211.76</v>
      </c>
      <c r="P1856" s="4">
        <v>8.32</v>
      </c>
      <c r="Q1856" s="4">
        <v>3.27</v>
      </c>
      <c r="R1856" s="4">
        <v>8.08</v>
      </c>
      <c r="S1856" s="4">
        <v>270.61</v>
      </c>
      <c r="T1856" s="4">
        <v>14.72</v>
      </c>
      <c r="U1856" s="4">
        <v>516.76</v>
      </c>
      <c r="V1856" s="4">
        <v>-49.93</v>
      </c>
      <c r="W1856" t="s">
        <v>58</v>
      </c>
      <c r="X1856" t="s">
        <v>55</v>
      </c>
      <c r="Y1856" s="4">
        <v>14</v>
      </c>
      <c r="Z1856" s="4">
        <v>2</v>
      </c>
      <c r="AA1856" t="s">
        <v>37</v>
      </c>
      <c r="AB1856" t="s">
        <v>44</v>
      </c>
      <c r="AC1856" s="7">
        <v>1</v>
      </c>
      <c r="AD1856" t="s">
        <v>45</v>
      </c>
      <c r="AE1856">
        <f t="shared" si="28"/>
        <v>1</v>
      </c>
    </row>
    <row r="1857" spans="1:31" x14ac:dyDescent="0.35">
      <c r="A1857">
        <v>101856</v>
      </c>
      <c r="B1857" s="3">
        <v>45959</v>
      </c>
      <c r="C1857">
        <v>1015</v>
      </c>
      <c r="D1857" t="s">
        <v>64</v>
      </c>
      <c r="E1857" t="s">
        <v>75</v>
      </c>
      <c r="F1857" t="s">
        <v>32</v>
      </c>
      <c r="G1857" t="s">
        <v>50</v>
      </c>
      <c r="H1857" t="s">
        <v>34</v>
      </c>
      <c r="I1857" t="s">
        <v>42</v>
      </c>
      <c r="J1857" s="4">
        <v>26.91</v>
      </c>
      <c r="K1857" s="4">
        <v>20.04</v>
      </c>
      <c r="L1857">
        <v>0</v>
      </c>
      <c r="M1857" s="4">
        <v>0</v>
      </c>
      <c r="N1857" s="4">
        <v>539.28</v>
      </c>
      <c r="O1857" s="4">
        <v>201.62</v>
      </c>
      <c r="P1857" s="4">
        <v>8.73</v>
      </c>
      <c r="Q1857" s="4">
        <v>8.09</v>
      </c>
      <c r="R1857" s="4">
        <v>11.59</v>
      </c>
      <c r="S1857" s="4">
        <v>0</v>
      </c>
      <c r="T1857" s="4">
        <v>0</v>
      </c>
      <c r="U1857" s="4">
        <v>230.03</v>
      </c>
      <c r="V1857" s="4">
        <v>309.25</v>
      </c>
      <c r="W1857" t="s">
        <v>21</v>
      </c>
      <c r="X1857" t="s">
        <v>36</v>
      </c>
      <c r="Y1857" s="4">
        <v>0</v>
      </c>
      <c r="Z1857" s="4">
        <v>2</v>
      </c>
      <c r="AA1857" t="s">
        <v>37</v>
      </c>
      <c r="AB1857" t="s">
        <v>38</v>
      </c>
      <c r="AC1857" s="7">
        <v>0</v>
      </c>
      <c r="AD1857" t="s">
        <v>39</v>
      </c>
      <c r="AE1857">
        <f t="shared" si="28"/>
        <v>0</v>
      </c>
    </row>
    <row r="1858" spans="1:31" x14ac:dyDescent="0.35">
      <c r="A1858">
        <v>101857</v>
      </c>
      <c r="B1858" s="3">
        <v>45998</v>
      </c>
      <c r="C1858">
        <v>1063</v>
      </c>
      <c r="D1858" t="s">
        <v>64</v>
      </c>
      <c r="E1858" t="s">
        <v>65</v>
      </c>
      <c r="F1858" t="s">
        <v>41</v>
      </c>
      <c r="G1858" t="s">
        <v>63</v>
      </c>
      <c r="H1858" t="s">
        <v>34</v>
      </c>
      <c r="I1858" t="s">
        <v>42</v>
      </c>
      <c r="J1858" s="4">
        <v>7.3</v>
      </c>
      <c r="K1858" s="4">
        <v>14.43</v>
      </c>
      <c r="L1858">
        <v>10</v>
      </c>
      <c r="M1858" s="4">
        <v>10.53</v>
      </c>
      <c r="N1858" s="4">
        <v>94.81</v>
      </c>
      <c r="O1858" s="4">
        <v>46.59</v>
      </c>
      <c r="P1858" s="4">
        <v>16.75</v>
      </c>
      <c r="Q1858" s="4">
        <v>1.58</v>
      </c>
      <c r="R1858" s="4">
        <v>0</v>
      </c>
      <c r="S1858" s="4">
        <v>0</v>
      </c>
      <c r="T1858" s="4">
        <v>0</v>
      </c>
      <c r="U1858" s="4">
        <v>64.92</v>
      </c>
      <c r="V1858" s="4">
        <v>29.89</v>
      </c>
      <c r="W1858" t="s">
        <v>21</v>
      </c>
      <c r="X1858" t="s">
        <v>36</v>
      </c>
      <c r="Y1858" s="4">
        <v>7</v>
      </c>
      <c r="Z1858" s="4">
        <v>2</v>
      </c>
      <c r="AA1858" t="s">
        <v>37</v>
      </c>
      <c r="AB1858" t="s">
        <v>38</v>
      </c>
      <c r="AC1858" s="7">
        <v>0</v>
      </c>
      <c r="AD1858" t="s">
        <v>39</v>
      </c>
      <c r="AE1858">
        <f t="shared" si="28"/>
        <v>0</v>
      </c>
    </row>
    <row r="1859" spans="1:31" x14ac:dyDescent="0.35">
      <c r="A1859">
        <v>101858</v>
      </c>
      <c r="B1859" s="3">
        <v>45980</v>
      </c>
      <c r="C1859">
        <v>1001</v>
      </c>
      <c r="D1859" t="s">
        <v>64</v>
      </c>
      <c r="E1859" t="s">
        <v>75</v>
      </c>
      <c r="F1859" t="s">
        <v>49</v>
      </c>
      <c r="G1859" t="s">
        <v>33</v>
      </c>
      <c r="H1859" t="s">
        <v>34</v>
      </c>
      <c r="I1859" t="s">
        <v>35</v>
      </c>
      <c r="J1859" s="4">
        <v>31.51</v>
      </c>
      <c r="K1859" s="4">
        <v>20.21</v>
      </c>
      <c r="L1859">
        <v>10</v>
      </c>
      <c r="M1859" s="4">
        <v>63.68</v>
      </c>
      <c r="N1859" s="4">
        <v>573.14</v>
      </c>
      <c r="O1859" s="4">
        <v>220.93</v>
      </c>
      <c r="P1859" s="4">
        <v>5.21</v>
      </c>
      <c r="Q1859" s="4">
        <v>4.46</v>
      </c>
      <c r="R1859" s="4">
        <v>11.83</v>
      </c>
      <c r="S1859" s="4">
        <v>0</v>
      </c>
      <c r="T1859" s="4">
        <v>0</v>
      </c>
      <c r="U1859" s="4">
        <v>242.43</v>
      </c>
      <c r="V1859" s="4">
        <v>330.71</v>
      </c>
      <c r="W1859" t="s">
        <v>21</v>
      </c>
      <c r="X1859" t="s">
        <v>36</v>
      </c>
      <c r="Y1859" s="4">
        <v>3</v>
      </c>
      <c r="Z1859" s="4">
        <v>2</v>
      </c>
      <c r="AA1859" t="s">
        <v>37</v>
      </c>
      <c r="AB1859" t="s">
        <v>38</v>
      </c>
      <c r="AC1859" s="7">
        <v>0</v>
      </c>
      <c r="AD1859" t="s">
        <v>39</v>
      </c>
      <c r="AE1859">
        <f t="shared" ref="AE1859:AE1922" si="29">IF(AB1859="Yes",1,0)</f>
        <v>0</v>
      </c>
    </row>
    <row r="1860" spans="1:31" x14ac:dyDescent="0.35">
      <c r="A1860">
        <v>101859</v>
      </c>
      <c r="B1860" s="3">
        <v>45948</v>
      </c>
      <c r="C1860">
        <v>1019</v>
      </c>
      <c r="D1860" t="s">
        <v>64</v>
      </c>
      <c r="E1860" t="s">
        <v>65</v>
      </c>
      <c r="F1860" t="s">
        <v>49</v>
      </c>
      <c r="G1860" t="s">
        <v>46</v>
      </c>
      <c r="H1860" t="s">
        <v>34</v>
      </c>
      <c r="I1860" t="s">
        <v>35</v>
      </c>
      <c r="J1860" s="4">
        <v>25.05</v>
      </c>
      <c r="K1860" s="4">
        <v>14.77</v>
      </c>
      <c r="L1860">
        <v>15</v>
      </c>
      <c r="M1860" s="4">
        <v>55.5</v>
      </c>
      <c r="N1860" s="4">
        <v>314.49</v>
      </c>
      <c r="O1860" s="4">
        <v>170.65</v>
      </c>
      <c r="P1860" s="4">
        <v>13.31</v>
      </c>
      <c r="Q1860" s="4">
        <v>2.59</v>
      </c>
      <c r="R1860" s="4">
        <v>8.56</v>
      </c>
      <c r="S1860" s="4">
        <v>181.41</v>
      </c>
      <c r="T1860" s="4">
        <v>0</v>
      </c>
      <c r="U1860" s="4">
        <v>376.52</v>
      </c>
      <c r="V1860" s="4">
        <v>-62.03</v>
      </c>
      <c r="W1860" t="s">
        <v>58</v>
      </c>
      <c r="X1860" t="s">
        <v>55</v>
      </c>
      <c r="Y1860" s="4">
        <v>8</v>
      </c>
      <c r="Z1860" s="4">
        <v>8</v>
      </c>
      <c r="AA1860" t="s">
        <v>37</v>
      </c>
      <c r="AB1860" t="s">
        <v>44</v>
      </c>
      <c r="AC1860" s="7">
        <v>1</v>
      </c>
      <c r="AD1860" t="s">
        <v>45</v>
      </c>
      <c r="AE1860">
        <f t="shared" si="29"/>
        <v>1</v>
      </c>
    </row>
    <row r="1861" spans="1:31" x14ac:dyDescent="0.35">
      <c r="A1861">
        <v>101860</v>
      </c>
      <c r="B1861" s="3">
        <v>45974</v>
      </c>
      <c r="C1861">
        <v>1080</v>
      </c>
      <c r="D1861" t="s">
        <v>30</v>
      </c>
      <c r="E1861" t="s">
        <v>72</v>
      </c>
      <c r="F1861" t="s">
        <v>71</v>
      </c>
      <c r="G1861" t="s">
        <v>46</v>
      </c>
      <c r="H1861" t="s">
        <v>34</v>
      </c>
      <c r="I1861" t="s">
        <v>69</v>
      </c>
      <c r="J1861" s="4">
        <v>44.61</v>
      </c>
      <c r="K1861" s="4">
        <v>14.8</v>
      </c>
      <c r="L1861">
        <v>10</v>
      </c>
      <c r="M1861" s="4">
        <v>66.02</v>
      </c>
      <c r="N1861" s="4">
        <v>594.21</v>
      </c>
      <c r="O1861" s="4">
        <v>372.89</v>
      </c>
      <c r="P1861" s="4">
        <v>13.11</v>
      </c>
      <c r="Q1861" s="4">
        <v>2.64</v>
      </c>
      <c r="R1861" s="4">
        <v>1.36</v>
      </c>
      <c r="S1861" s="4">
        <v>0</v>
      </c>
      <c r="T1861" s="4">
        <v>0</v>
      </c>
      <c r="U1861" s="4">
        <v>390</v>
      </c>
      <c r="V1861" s="4">
        <v>204.21</v>
      </c>
      <c r="W1861" t="s">
        <v>21</v>
      </c>
      <c r="X1861" t="s">
        <v>36</v>
      </c>
      <c r="Y1861" s="4">
        <v>0</v>
      </c>
      <c r="Z1861" s="4">
        <v>5</v>
      </c>
      <c r="AA1861" t="s">
        <v>37</v>
      </c>
      <c r="AB1861" t="s">
        <v>38</v>
      </c>
      <c r="AC1861" s="7">
        <v>0</v>
      </c>
      <c r="AD1861" t="s">
        <v>39</v>
      </c>
      <c r="AE1861">
        <f t="shared" si="29"/>
        <v>0</v>
      </c>
    </row>
    <row r="1862" spans="1:31" x14ac:dyDescent="0.35">
      <c r="A1862">
        <v>101861</v>
      </c>
      <c r="B1862" s="3">
        <v>45953</v>
      </c>
      <c r="C1862">
        <v>1137</v>
      </c>
      <c r="D1862" t="s">
        <v>47</v>
      </c>
      <c r="E1862" t="s">
        <v>53</v>
      </c>
      <c r="F1862" t="s">
        <v>61</v>
      </c>
      <c r="G1862" t="s">
        <v>33</v>
      </c>
      <c r="H1862" t="s">
        <v>34</v>
      </c>
      <c r="I1862" t="s">
        <v>35</v>
      </c>
      <c r="J1862" s="4">
        <v>31.12</v>
      </c>
      <c r="K1862" s="4">
        <v>17.760000000000002</v>
      </c>
      <c r="L1862">
        <v>0</v>
      </c>
      <c r="M1862" s="4">
        <v>0</v>
      </c>
      <c r="N1862" s="4">
        <v>552.69000000000005</v>
      </c>
      <c r="O1862" s="4">
        <v>182.09</v>
      </c>
      <c r="P1862" s="4">
        <v>7.26</v>
      </c>
      <c r="Q1862" s="4">
        <v>3.87</v>
      </c>
      <c r="R1862" s="4">
        <v>0</v>
      </c>
      <c r="S1862" s="4">
        <v>210.65</v>
      </c>
      <c r="T1862" s="4">
        <v>0</v>
      </c>
      <c r="U1862" s="4">
        <v>403.87</v>
      </c>
      <c r="V1862" s="4">
        <v>148.82</v>
      </c>
      <c r="W1862" t="s">
        <v>21</v>
      </c>
      <c r="X1862" t="s">
        <v>55</v>
      </c>
      <c r="Y1862" s="4">
        <v>8</v>
      </c>
      <c r="Z1862" s="4">
        <v>0</v>
      </c>
      <c r="AA1862" t="s">
        <v>37</v>
      </c>
      <c r="AB1862" t="s">
        <v>44</v>
      </c>
      <c r="AC1862" s="7">
        <v>3</v>
      </c>
      <c r="AD1862" t="s">
        <v>45</v>
      </c>
      <c r="AE1862">
        <f t="shared" si="29"/>
        <v>1</v>
      </c>
    </row>
    <row r="1863" spans="1:31" x14ac:dyDescent="0.35">
      <c r="A1863">
        <v>101862</v>
      </c>
      <c r="B1863" s="3">
        <v>45954</v>
      </c>
      <c r="C1863">
        <v>1126</v>
      </c>
      <c r="D1863" t="s">
        <v>47</v>
      </c>
      <c r="E1863" t="s">
        <v>48</v>
      </c>
      <c r="F1863" t="s">
        <v>61</v>
      </c>
      <c r="G1863" t="s">
        <v>63</v>
      </c>
      <c r="H1863" t="s">
        <v>57</v>
      </c>
      <c r="I1863" t="s">
        <v>35</v>
      </c>
      <c r="J1863" s="4">
        <v>13.65</v>
      </c>
      <c r="K1863" s="4">
        <v>12.65</v>
      </c>
      <c r="L1863">
        <v>0</v>
      </c>
      <c r="M1863" s="4">
        <v>0</v>
      </c>
      <c r="N1863" s="4">
        <v>172.67</v>
      </c>
      <c r="O1863" s="4">
        <v>82.97</v>
      </c>
      <c r="P1863" s="4">
        <v>10.37</v>
      </c>
      <c r="Q1863" s="4">
        <v>1.21</v>
      </c>
      <c r="R1863" s="4">
        <v>4.41</v>
      </c>
      <c r="S1863" s="4">
        <v>0</v>
      </c>
      <c r="T1863" s="4">
        <v>0</v>
      </c>
      <c r="U1863" s="4">
        <v>98.96</v>
      </c>
      <c r="V1863" s="4">
        <v>73.709999999999994</v>
      </c>
      <c r="W1863" t="s">
        <v>21</v>
      </c>
      <c r="X1863" t="s">
        <v>36</v>
      </c>
      <c r="Y1863" s="4">
        <v>15</v>
      </c>
      <c r="Z1863" s="4">
        <v>17</v>
      </c>
      <c r="AA1863" t="s">
        <v>37</v>
      </c>
      <c r="AB1863" t="s">
        <v>44</v>
      </c>
      <c r="AC1863" s="7">
        <v>1</v>
      </c>
      <c r="AD1863" t="s">
        <v>45</v>
      </c>
      <c r="AE1863">
        <f t="shared" si="29"/>
        <v>1</v>
      </c>
    </row>
    <row r="1864" spans="1:31" x14ac:dyDescent="0.35">
      <c r="A1864">
        <v>101863</v>
      </c>
      <c r="B1864" s="3">
        <v>45999</v>
      </c>
      <c r="C1864">
        <v>1052</v>
      </c>
      <c r="D1864" t="s">
        <v>30</v>
      </c>
      <c r="E1864" t="s">
        <v>62</v>
      </c>
      <c r="F1864" t="s">
        <v>41</v>
      </c>
      <c r="G1864" t="s">
        <v>63</v>
      </c>
      <c r="H1864" t="s">
        <v>34</v>
      </c>
      <c r="I1864" t="s">
        <v>35</v>
      </c>
      <c r="J1864" s="4">
        <v>20.72</v>
      </c>
      <c r="K1864" s="4">
        <v>13.65</v>
      </c>
      <c r="L1864">
        <v>20</v>
      </c>
      <c r="M1864" s="4">
        <v>56.57</v>
      </c>
      <c r="N1864" s="4">
        <v>226.26</v>
      </c>
      <c r="O1864" s="4">
        <v>188.51</v>
      </c>
      <c r="P1864" s="4">
        <v>8.8800000000000008</v>
      </c>
      <c r="Q1864" s="4">
        <v>1.98</v>
      </c>
      <c r="R1864" s="4">
        <v>4.16</v>
      </c>
      <c r="S1864" s="4">
        <v>0</v>
      </c>
      <c r="T1864" s="4">
        <v>0</v>
      </c>
      <c r="U1864" s="4">
        <v>203.53</v>
      </c>
      <c r="V1864" s="4">
        <v>22.73</v>
      </c>
      <c r="W1864" t="s">
        <v>21</v>
      </c>
      <c r="X1864" t="s">
        <v>36</v>
      </c>
      <c r="Y1864" s="4">
        <v>7</v>
      </c>
      <c r="Z1864" s="4">
        <v>3</v>
      </c>
      <c r="AA1864" t="s">
        <v>37</v>
      </c>
      <c r="AB1864" t="s">
        <v>38</v>
      </c>
      <c r="AC1864" s="7">
        <v>0</v>
      </c>
      <c r="AD1864" t="s">
        <v>39</v>
      </c>
      <c r="AE1864">
        <f t="shared" si="29"/>
        <v>0</v>
      </c>
    </row>
    <row r="1865" spans="1:31" x14ac:dyDescent="0.35">
      <c r="A1865">
        <v>101864</v>
      </c>
      <c r="B1865" s="3">
        <v>46018</v>
      </c>
      <c r="C1865">
        <v>1014</v>
      </c>
      <c r="D1865" t="s">
        <v>30</v>
      </c>
      <c r="E1865" t="s">
        <v>31</v>
      </c>
      <c r="F1865" t="s">
        <v>32</v>
      </c>
      <c r="G1865" t="s">
        <v>33</v>
      </c>
      <c r="H1865" t="s">
        <v>34</v>
      </c>
      <c r="I1865" t="s">
        <v>35</v>
      </c>
      <c r="J1865" s="4">
        <v>22.56</v>
      </c>
      <c r="K1865" s="4">
        <v>18.95</v>
      </c>
      <c r="L1865">
        <v>0</v>
      </c>
      <c r="M1865" s="4">
        <v>0</v>
      </c>
      <c r="N1865" s="4">
        <v>427.51</v>
      </c>
      <c r="O1865" s="4">
        <v>128.15</v>
      </c>
      <c r="P1865" s="4">
        <v>8.31</v>
      </c>
      <c r="Q1865" s="4">
        <v>2.99</v>
      </c>
      <c r="R1865" s="4">
        <v>3.34</v>
      </c>
      <c r="S1865" s="4">
        <v>0</v>
      </c>
      <c r="T1865" s="4">
        <v>0</v>
      </c>
      <c r="U1865" s="4">
        <v>142.79</v>
      </c>
      <c r="V1865" s="4">
        <v>284.72000000000003</v>
      </c>
      <c r="W1865" t="s">
        <v>21</v>
      </c>
      <c r="X1865" t="s">
        <v>36</v>
      </c>
      <c r="Y1865" s="4">
        <v>9</v>
      </c>
      <c r="Z1865" s="4">
        <v>6</v>
      </c>
      <c r="AA1865" t="s">
        <v>37</v>
      </c>
      <c r="AB1865" t="s">
        <v>38</v>
      </c>
      <c r="AC1865" s="7">
        <v>0</v>
      </c>
      <c r="AD1865" t="s">
        <v>39</v>
      </c>
      <c r="AE1865">
        <f t="shared" si="29"/>
        <v>0</v>
      </c>
    </row>
    <row r="1866" spans="1:31" x14ac:dyDescent="0.35">
      <c r="A1866">
        <v>101865</v>
      </c>
      <c r="B1866" s="3">
        <v>45995</v>
      </c>
      <c r="C1866">
        <v>1041</v>
      </c>
      <c r="D1866" t="s">
        <v>47</v>
      </c>
      <c r="E1866" t="s">
        <v>48</v>
      </c>
      <c r="F1866" t="s">
        <v>71</v>
      </c>
      <c r="G1866" t="s">
        <v>63</v>
      </c>
      <c r="H1866" t="s">
        <v>51</v>
      </c>
      <c r="I1866" t="s">
        <v>69</v>
      </c>
      <c r="J1866" s="4">
        <v>19.62</v>
      </c>
      <c r="K1866" s="4">
        <v>12.95</v>
      </c>
      <c r="L1866">
        <v>5</v>
      </c>
      <c r="M1866" s="4">
        <v>12.7</v>
      </c>
      <c r="N1866" s="4">
        <v>241.38</v>
      </c>
      <c r="O1866" s="4">
        <v>149.80000000000001</v>
      </c>
      <c r="P1866" s="4">
        <v>2.5099999999999998</v>
      </c>
      <c r="Q1866" s="4">
        <v>1.02</v>
      </c>
      <c r="R1866" s="4">
        <v>7.86</v>
      </c>
      <c r="S1866" s="4">
        <v>0</v>
      </c>
      <c r="T1866" s="4">
        <v>0</v>
      </c>
      <c r="U1866" s="4">
        <v>161.19</v>
      </c>
      <c r="V1866" s="4">
        <v>80.19</v>
      </c>
      <c r="W1866" t="s">
        <v>21</v>
      </c>
      <c r="X1866" t="s">
        <v>36</v>
      </c>
      <c r="Y1866" s="4">
        <v>17</v>
      </c>
      <c r="Z1866" s="4">
        <v>5</v>
      </c>
      <c r="AA1866" t="s">
        <v>52</v>
      </c>
      <c r="AB1866" t="s">
        <v>38</v>
      </c>
      <c r="AC1866" s="7">
        <v>0</v>
      </c>
      <c r="AD1866" t="s">
        <v>39</v>
      </c>
      <c r="AE1866">
        <f t="shared" si="29"/>
        <v>0</v>
      </c>
    </row>
    <row r="1867" spans="1:31" x14ac:dyDescent="0.35">
      <c r="A1867">
        <v>101866</v>
      </c>
      <c r="B1867" s="3">
        <v>46008</v>
      </c>
      <c r="C1867">
        <v>1144</v>
      </c>
      <c r="D1867" t="s">
        <v>64</v>
      </c>
      <c r="E1867" t="s">
        <v>75</v>
      </c>
      <c r="F1867" t="s">
        <v>32</v>
      </c>
      <c r="G1867" t="s">
        <v>33</v>
      </c>
      <c r="H1867" t="s">
        <v>34</v>
      </c>
      <c r="I1867" t="s">
        <v>69</v>
      </c>
      <c r="J1867" s="4">
        <v>16.77</v>
      </c>
      <c r="K1867" s="4">
        <v>20.09</v>
      </c>
      <c r="L1867">
        <v>10</v>
      </c>
      <c r="M1867" s="4">
        <v>33.69</v>
      </c>
      <c r="N1867" s="4">
        <v>303.22000000000003</v>
      </c>
      <c r="O1867" s="4">
        <v>121.63</v>
      </c>
      <c r="P1867" s="4">
        <v>4.8600000000000003</v>
      </c>
      <c r="Q1867" s="4">
        <v>1.35</v>
      </c>
      <c r="R1867" s="4">
        <v>2.7</v>
      </c>
      <c r="S1867" s="4">
        <v>0</v>
      </c>
      <c r="T1867" s="4">
        <v>0</v>
      </c>
      <c r="U1867" s="4">
        <v>130.54</v>
      </c>
      <c r="V1867" s="4">
        <v>172.68</v>
      </c>
      <c r="W1867" t="s">
        <v>21</v>
      </c>
      <c r="X1867" t="s">
        <v>36</v>
      </c>
      <c r="Y1867" s="4">
        <v>0</v>
      </c>
      <c r="Z1867" s="4">
        <v>13</v>
      </c>
      <c r="AA1867" t="s">
        <v>37</v>
      </c>
      <c r="AB1867" t="s">
        <v>38</v>
      </c>
      <c r="AC1867" s="7">
        <v>1</v>
      </c>
      <c r="AD1867" t="s">
        <v>39</v>
      </c>
      <c r="AE1867">
        <f t="shared" si="29"/>
        <v>0</v>
      </c>
    </row>
    <row r="1868" spans="1:31" x14ac:dyDescent="0.35">
      <c r="A1868">
        <v>101867</v>
      </c>
      <c r="B1868" s="3">
        <v>45971</v>
      </c>
      <c r="C1868">
        <v>1045</v>
      </c>
      <c r="D1868" t="s">
        <v>47</v>
      </c>
      <c r="E1868" t="s">
        <v>74</v>
      </c>
      <c r="F1868" t="s">
        <v>71</v>
      </c>
      <c r="G1868" t="s">
        <v>33</v>
      </c>
      <c r="H1868" t="s">
        <v>34</v>
      </c>
      <c r="I1868" t="s">
        <v>35</v>
      </c>
      <c r="J1868" s="4">
        <v>23.74</v>
      </c>
      <c r="K1868" s="4">
        <v>19.77</v>
      </c>
      <c r="L1868">
        <v>10</v>
      </c>
      <c r="M1868" s="4">
        <v>46.93</v>
      </c>
      <c r="N1868" s="4">
        <v>422.41</v>
      </c>
      <c r="O1868" s="4">
        <v>167.44</v>
      </c>
      <c r="P1868" s="4">
        <v>4.29</v>
      </c>
      <c r="Q1868" s="4">
        <v>3.29</v>
      </c>
      <c r="R1868" s="4">
        <v>12.09</v>
      </c>
      <c r="S1868" s="4">
        <v>0</v>
      </c>
      <c r="T1868" s="4">
        <v>0</v>
      </c>
      <c r="U1868" s="4">
        <v>187.11</v>
      </c>
      <c r="V1868" s="4">
        <v>235.3</v>
      </c>
      <c r="W1868" t="s">
        <v>21</v>
      </c>
      <c r="X1868" t="s">
        <v>36</v>
      </c>
      <c r="Y1868" s="4">
        <v>3</v>
      </c>
      <c r="Z1868" s="4">
        <v>6</v>
      </c>
      <c r="AA1868" t="s">
        <v>37</v>
      </c>
      <c r="AB1868" t="s">
        <v>38</v>
      </c>
      <c r="AC1868" s="7">
        <v>0</v>
      </c>
      <c r="AD1868" t="s">
        <v>39</v>
      </c>
      <c r="AE1868">
        <f t="shared" si="29"/>
        <v>0</v>
      </c>
    </row>
    <row r="1869" spans="1:31" x14ac:dyDescent="0.35">
      <c r="A1869">
        <v>101868</v>
      </c>
      <c r="B1869" s="3">
        <v>46016</v>
      </c>
      <c r="C1869">
        <v>1093</v>
      </c>
      <c r="D1869" t="s">
        <v>59</v>
      </c>
      <c r="E1869" t="s">
        <v>60</v>
      </c>
      <c r="F1869" t="s">
        <v>61</v>
      </c>
      <c r="G1869" t="s">
        <v>63</v>
      </c>
      <c r="H1869" t="s">
        <v>57</v>
      </c>
      <c r="I1869" t="s">
        <v>69</v>
      </c>
      <c r="J1869" s="4">
        <v>16.829999999999998</v>
      </c>
      <c r="K1869" s="4">
        <v>12.62</v>
      </c>
      <c r="L1869">
        <v>20</v>
      </c>
      <c r="M1869" s="4">
        <v>42.48</v>
      </c>
      <c r="N1869" s="4">
        <v>169.91</v>
      </c>
      <c r="O1869" s="4">
        <v>126.67</v>
      </c>
      <c r="P1869" s="4">
        <v>8.64</v>
      </c>
      <c r="Q1869" s="4">
        <v>0.85</v>
      </c>
      <c r="R1869" s="4">
        <v>11.28</v>
      </c>
      <c r="S1869" s="4">
        <v>0</v>
      </c>
      <c r="T1869" s="4">
        <v>0</v>
      </c>
      <c r="U1869" s="4">
        <v>147.44</v>
      </c>
      <c r="V1869" s="4">
        <v>22.47</v>
      </c>
      <c r="W1869" t="s">
        <v>21</v>
      </c>
      <c r="X1869" t="s">
        <v>36</v>
      </c>
      <c r="Y1869" s="4">
        <v>12</v>
      </c>
      <c r="Z1869" s="4">
        <v>5</v>
      </c>
      <c r="AA1869" t="s">
        <v>37</v>
      </c>
      <c r="AB1869" t="s">
        <v>38</v>
      </c>
      <c r="AC1869" s="7">
        <v>0</v>
      </c>
      <c r="AD1869" t="s">
        <v>39</v>
      </c>
      <c r="AE1869">
        <f t="shared" si="29"/>
        <v>0</v>
      </c>
    </row>
    <row r="1870" spans="1:31" x14ac:dyDescent="0.35">
      <c r="A1870">
        <v>101869</v>
      </c>
      <c r="B1870" s="3">
        <v>46014</v>
      </c>
      <c r="C1870">
        <v>1033</v>
      </c>
      <c r="D1870" t="s">
        <v>64</v>
      </c>
      <c r="E1870" t="s">
        <v>75</v>
      </c>
      <c r="F1870" t="s">
        <v>41</v>
      </c>
      <c r="G1870" t="s">
        <v>63</v>
      </c>
      <c r="H1870" t="s">
        <v>51</v>
      </c>
      <c r="I1870" t="s">
        <v>35</v>
      </c>
      <c r="J1870" s="4">
        <v>10.54</v>
      </c>
      <c r="K1870" s="4">
        <v>15.7</v>
      </c>
      <c r="L1870">
        <v>5</v>
      </c>
      <c r="M1870" s="4">
        <v>8.27</v>
      </c>
      <c r="N1870" s="4">
        <v>157.21</v>
      </c>
      <c r="O1870" s="4">
        <v>96.79</v>
      </c>
      <c r="P1870" s="4">
        <v>13.47</v>
      </c>
      <c r="Q1870" s="4">
        <v>1.1599999999999999</v>
      </c>
      <c r="R1870" s="4">
        <v>1.47</v>
      </c>
      <c r="S1870" s="4">
        <v>0</v>
      </c>
      <c r="T1870" s="4">
        <v>0</v>
      </c>
      <c r="U1870" s="4">
        <v>112.89</v>
      </c>
      <c r="V1870" s="4">
        <v>44.32</v>
      </c>
      <c r="W1870" t="s">
        <v>21</v>
      </c>
      <c r="X1870" t="s">
        <v>36</v>
      </c>
      <c r="Y1870" s="4">
        <v>10</v>
      </c>
      <c r="Z1870" s="4">
        <v>10</v>
      </c>
      <c r="AA1870" t="s">
        <v>37</v>
      </c>
      <c r="AB1870" t="s">
        <v>38</v>
      </c>
      <c r="AC1870" s="7">
        <v>0</v>
      </c>
      <c r="AD1870" t="s">
        <v>39</v>
      </c>
      <c r="AE1870">
        <f t="shared" si="29"/>
        <v>0</v>
      </c>
    </row>
    <row r="1871" spans="1:31" x14ac:dyDescent="0.35">
      <c r="A1871">
        <v>101870</v>
      </c>
      <c r="B1871" s="3">
        <v>45981</v>
      </c>
      <c r="C1871">
        <v>1113</v>
      </c>
      <c r="D1871" t="s">
        <v>47</v>
      </c>
      <c r="E1871" t="s">
        <v>56</v>
      </c>
      <c r="F1871" t="s">
        <v>41</v>
      </c>
      <c r="G1871" t="s">
        <v>50</v>
      </c>
      <c r="H1871" t="s">
        <v>34</v>
      </c>
      <c r="I1871" t="s">
        <v>35</v>
      </c>
      <c r="J1871" s="4">
        <v>35.46</v>
      </c>
      <c r="K1871" s="4">
        <v>18.37</v>
      </c>
      <c r="L1871">
        <v>10</v>
      </c>
      <c r="M1871" s="4">
        <v>65.14</v>
      </c>
      <c r="N1871" s="4">
        <v>586.26</v>
      </c>
      <c r="O1871" s="4">
        <v>209.92</v>
      </c>
      <c r="P1871" s="4">
        <v>9.4499999999999993</v>
      </c>
      <c r="Q1871" s="4">
        <v>4.5599999999999996</v>
      </c>
      <c r="R1871" s="4">
        <v>11.49</v>
      </c>
      <c r="S1871" s="4">
        <v>296.89</v>
      </c>
      <c r="T1871" s="4">
        <v>0</v>
      </c>
      <c r="U1871" s="4">
        <v>532.30999999999995</v>
      </c>
      <c r="V1871" s="4">
        <v>53.95</v>
      </c>
      <c r="W1871" t="s">
        <v>21</v>
      </c>
      <c r="X1871" t="s">
        <v>55</v>
      </c>
      <c r="Y1871" s="4">
        <v>7</v>
      </c>
      <c r="Z1871" s="4">
        <v>17</v>
      </c>
      <c r="AA1871" t="s">
        <v>37</v>
      </c>
      <c r="AB1871" t="s">
        <v>44</v>
      </c>
      <c r="AC1871" s="7">
        <v>3</v>
      </c>
      <c r="AD1871" t="s">
        <v>45</v>
      </c>
      <c r="AE1871">
        <f t="shared" si="29"/>
        <v>1</v>
      </c>
    </row>
    <row r="1872" spans="1:31" x14ac:dyDescent="0.35">
      <c r="A1872">
        <v>101871</v>
      </c>
      <c r="B1872" s="3">
        <v>45998</v>
      </c>
      <c r="C1872">
        <v>1103</v>
      </c>
      <c r="D1872" t="s">
        <v>47</v>
      </c>
      <c r="E1872" t="s">
        <v>56</v>
      </c>
      <c r="F1872" t="s">
        <v>71</v>
      </c>
      <c r="G1872" t="s">
        <v>50</v>
      </c>
      <c r="H1872" t="s">
        <v>34</v>
      </c>
      <c r="I1872" t="s">
        <v>42</v>
      </c>
      <c r="J1872" s="4">
        <v>29.37</v>
      </c>
      <c r="K1872" s="4">
        <v>19.05</v>
      </c>
      <c r="L1872">
        <v>0</v>
      </c>
      <c r="M1872" s="4">
        <v>0</v>
      </c>
      <c r="N1872" s="4">
        <v>559.5</v>
      </c>
      <c r="O1872" s="4">
        <v>235.75</v>
      </c>
      <c r="P1872" s="4">
        <v>8.4</v>
      </c>
      <c r="Q1872" s="4">
        <v>8.39</v>
      </c>
      <c r="R1872" s="4">
        <v>4.8899999999999997</v>
      </c>
      <c r="S1872" s="4">
        <v>0</v>
      </c>
      <c r="T1872" s="4">
        <v>0</v>
      </c>
      <c r="U1872" s="4">
        <v>257.43</v>
      </c>
      <c r="V1872" s="4">
        <v>302.07</v>
      </c>
      <c r="W1872" t="s">
        <v>21</v>
      </c>
      <c r="X1872" t="s">
        <v>36</v>
      </c>
      <c r="Y1872" s="4">
        <v>18</v>
      </c>
      <c r="Z1872" s="4">
        <v>9</v>
      </c>
      <c r="AA1872" t="s">
        <v>52</v>
      </c>
      <c r="AB1872" t="s">
        <v>38</v>
      </c>
      <c r="AC1872" s="7">
        <v>0</v>
      </c>
      <c r="AD1872" t="s">
        <v>39</v>
      </c>
      <c r="AE1872">
        <f t="shared" si="29"/>
        <v>0</v>
      </c>
    </row>
    <row r="1873" spans="1:31" x14ac:dyDescent="0.35">
      <c r="A1873">
        <v>101872</v>
      </c>
      <c r="B1873" s="3">
        <v>45986</v>
      </c>
      <c r="C1873">
        <v>1015</v>
      </c>
      <c r="D1873" t="s">
        <v>47</v>
      </c>
      <c r="E1873" t="s">
        <v>48</v>
      </c>
      <c r="F1873" t="s">
        <v>41</v>
      </c>
      <c r="G1873" t="s">
        <v>46</v>
      </c>
      <c r="H1873" t="s">
        <v>57</v>
      </c>
      <c r="I1873" t="s">
        <v>35</v>
      </c>
      <c r="J1873" s="4">
        <v>29.88</v>
      </c>
      <c r="K1873" s="4">
        <v>15.83</v>
      </c>
      <c r="L1873">
        <v>15</v>
      </c>
      <c r="M1873" s="4">
        <v>70.95</v>
      </c>
      <c r="N1873" s="4">
        <v>402.05</v>
      </c>
      <c r="O1873" s="4">
        <v>260.33999999999997</v>
      </c>
      <c r="P1873" s="4">
        <v>19.14</v>
      </c>
      <c r="Q1873" s="4">
        <v>3.31</v>
      </c>
      <c r="R1873" s="4">
        <v>7.11</v>
      </c>
      <c r="S1873" s="4">
        <v>0</v>
      </c>
      <c r="T1873" s="4">
        <v>0</v>
      </c>
      <c r="U1873" s="4">
        <v>289.89999999999998</v>
      </c>
      <c r="V1873" s="4">
        <v>112.15</v>
      </c>
      <c r="W1873" t="s">
        <v>21</v>
      </c>
      <c r="X1873" t="s">
        <v>36</v>
      </c>
      <c r="Y1873" s="4">
        <v>29</v>
      </c>
      <c r="Z1873" s="4">
        <v>0</v>
      </c>
      <c r="AA1873" t="s">
        <v>52</v>
      </c>
      <c r="AB1873" t="s">
        <v>44</v>
      </c>
      <c r="AC1873" s="7">
        <v>1</v>
      </c>
      <c r="AD1873" t="s">
        <v>45</v>
      </c>
      <c r="AE1873">
        <f t="shared" si="29"/>
        <v>1</v>
      </c>
    </row>
    <row r="1874" spans="1:31" x14ac:dyDescent="0.35">
      <c r="A1874">
        <v>101873</v>
      </c>
      <c r="B1874" s="3">
        <v>46007</v>
      </c>
      <c r="C1874">
        <v>1041</v>
      </c>
      <c r="D1874" t="s">
        <v>64</v>
      </c>
      <c r="E1874" t="s">
        <v>76</v>
      </c>
      <c r="F1874" t="s">
        <v>41</v>
      </c>
      <c r="G1874" t="s">
        <v>50</v>
      </c>
      <c r="H1874" t="s">
        <v>34</v>
      </c>
      <c r="I1874" t="s">
        <v>54</v>
      </c>
      <c r="J1874" s="4">
        <v>37.299999999999997</v>
      </c>
      <c r="K1874" s="4">
        <v>17.190000000000001</v>
      </c>
      <c r="L1874">
        <v>0</v>
      </c>
      <c r="M1874" s="4">
        <v>0</v>
      </c>
      <c r="N1874" s="4">
        <v>641.19000000000005</v>
      </c>
      <c r="O1874" s="4">
        <v>299.88</v>
      </c>
      <c r="P1874" s="4">
        <v>12.37</v>
      </c>
      <c r="Q1874" s="4">
        <v>7.69</v>
      </c>
      <c r="R1874" s="4">
        <v>5.1100000000000003</v>
      </c>
      <c r="S1874" s="4">
        <v>0</v>
      </c>
      <c r="T1874" s="4">
        <v>0</v>
      </c>
      <c r="U1874" s="4">
        <v>325.05</v>
      </c>
      <c r="V1874" s="4">
        <v>316.14</v>
      </c>
      <c r="W1874" t="s">
        <v>21</v>
      </c>
      <c r="X1874" t="s">
        <v>36</v>
      </c>
      <c r="Y1874" s="4">
        <v>13</v>
      </c>
      <c r="Z1874" s="4">
        <v>0</v>
      </c>
      <c r="AA1874" t="s">
        <v>37</v>
      </c>
      <c r="AB1874" t="s">
        <v>38</v>
      </c>
      <c r="AC1874" s="7">
        <v>2</v>
      </c>
      <c r="AD1874" t="s">
        <v>39</v>
      </c>
      <c r="AE1874">
        <f t="shared" si="29"/>
        <v>0</v>
      </c>
    </row>
    <row r="1875" spans="1:31" x14ac:dyDescent="0.35">
      <c r="A1875">
        <v>101874</v>
      </c>
      <c r="B1875" s="3">
        <v>45999</v>
      </c>
      <c r="C1875">
        <v>1093</v>
      </c>
      <c r="D1875" t="s">
        <v>47</v>
      </c>
      <c r="E1875" t="s">
        <v>56</v>
      </c>
      <c r="F1875" t="s">
        <v>61</v>
      </c>
      <c r="G1875" t="s">
        <v>63</v>
      </c>
      <c r="H1875" t="s">
        <v>51</v>
      </c>
      <c r="I1875" t="s">
        <v>35</v>
      </c>
      <c r="J1875" s="4">
        <v>25.45</v>
      </c>
      <c r="K1875" s="4">
        <v>11.78</v>
      </c>
      <c r="L1875">
        <v>0</v>
      </c>
      <c r="M1875" s="4">
        <v>0</v>
      </c>
      <c r="N1875" s="4">
        <v>299.8</v>
      </c>
      <c r="O1875" s="4">
        <v>214.67</v>
      </c>
      <c r="P1875" s="4">
        <v>7.16</v>
      </c>
      <c r="Q1875" s="4">
        <v>2.1</v>
      </c>
      <c r="R1875" s="4">
        <v>4.92</v>
      </c>
      <c r="S1875" s="4">
        <v>0</v>
      </c>
      <c r="T1875" s="4">
        <v>0</v>
      </c>
      <c r="U1875" s="4">
        <v>228.85</v>
      </c>
      <c r="V1875" s="4">
        <v>70.95</v>
      </c>
      <c r="W1875" t="s">
        <v>21</v>
      </c>
      <c r="X1875" t="s">
        <v>36</v>
      </c>
      <c r="Y1875" s="4">
        <v>12</v>
      </c>
      <c r="Z1875" s="4">
        <v>5</v>
      </c>
      <c r="AA1875" t="s">
        <v>37</v>
      </c>
      <c r="AB1875" t="s">
        <v>38</v>
      </c>
      <c r="AC1875" s="7">
        <v>0</v>
      </c>
      <c r="AD1875" t="s">
        <v>39</v>
      </c>
      <c r="AE1875">
        <f t="shared" si="29"/>
        <v>0</v>
      </c>
    </row>
    <row r="1876" spans="1:31" x14ac:dyDescent="0.35">
      <c r="A1876">
        <v>101875</v>
      </c>
      <c r="B1876" s="3">
        <v>45999</v>
      </c>
      <c r="C1876">
        <v>1082</v>
      </c>
      <c r="D1876" t="s">
        <v>64</v>
      </c>
      <c r="E1876" t="s">
        <v>75</v>
      </c>
      <c r="F1876" t="s">
        <v>32</v>
      </c>
      <c r="G1876" t="s">
        <v>63</v>
      </c>
      <c r="H1876" t="s">
        <v>51</v>
      </c>
      <c r="I1876" t="s">
        <v>54</v>
      </c>
      <c r="J1876" s="4">
        <v>13.33</v>
      </c>
      <c r="K1876" s="4">
        <v>12.42</v>
      </c>
      <c r="L1876">
        <v>10</v>
      </c>
      <c r="M1876" s="4">
        <v>16.559999999999999</v>
      </c>
      <c r="N1876" s="4">
        <v>149</v>
      </c>
      <c r="O1876" s="4">
        <v>96.1</v>
      </c>
      <c r="P1876" s="4">
        <v>10.64</v>
      </c>
      <c r="Q1876" s="4">
        <v>1.99</v>
      </c>
      <c r="R1876" s="4">
        <v>1.04</v>
      </c>
      <c r="S1876" s="4">
        <v>0</v>
      </c>
      <c r="T1876" s="4">
        <v>0</v>
      </c>
      <c r="U1876" s="4">
        <v>109.77</v>
      </c>
      <c r="V1876" s="4">
        <v>39.229999999999997</v>
      </c>
      <c r="W1876" t="s">
        <v>21</v>
      </c>
      <c r="X1876" t="s">
        <v>36</v>
      </c>
      <c r="Y1876" s="4">
        <v>0</v>
      </c>
      <c r="Z1876" s="4">
        <v>12</v>
      </c>
      <c r="AA1876" t="s">
        <v>37</v>
      </c>
      <c r="AB1876" t="s">
        <v>38</v>
      </c>
      <c r="AC1876" s="7">
        <v>0</v>
      </c>
      <c r="AD1876" t="s">
        <v>39</v>
      </c>
      <c r="AE1876">
        <f t="shared" si="29"/>
        <v>0</v>
      </c>
    </row>
    <row r="1877" spans="1:31" x14ac:dyDescent="0.35">
      <c r="A1877">
        <v>101876</v>
      </c>
      <c r="B1877" s="3">
        <v>46014</v>
      </c>
      <c r="C1877">
        <v>1057</v>
      </c>
      <c r="D1877" t="s">
        <v>64</v>
      </c>
      <c r="E1877" t="s">
        <v>75</v>
      </c>
      <c r="F1877" t="s">
        <v>49</v>
      </c>
      <c r="G1877" t="s">
        <v>46</v>
      </c>
      <c r="H1877" t="s">
        <v>34</v>
      </c>
      <c r="I1877" t="s">
        <v>35</v>
      </c>
      <c r="J1877" s="4">
        <v>28.41</v>
      </c>
      <c r="K1877" s="4">
        <v>15.33</v>
      </c>
      <c r="L1877">
        <v>0</v>
      </c>
      <c r="M1877" s="4">
        <v>0</v>
      </c>
      <c r="N1877" s="4">
        <v>435.53</v>
      </c>
      <c r="O1877" s="4">
        <v>180.84</v>
      </c>
      <c r="P1877" s="4">
        <v>5.86</v>
      </c>
      <c r="Q1877" s="4">
        <v>3.05</v>
      </c>
      <c r="R1877" s="4">
        <v>6.37</v>
      </c>
      <c r="S1877" s="4">
        <v>0</v>
      </c>
      <c r="T1877" s="4">
        <v>0</v>
      </c>
      <c r="U1877" s="4">
        <v>196.12</v>
      </c>
      <c r="V1877" s="4">
        <v>239.41</v>
      </c>
      <c r="W1877" t="s">
        <v>21</v>
      </c>
      <c r="X1877" t="s">
        <v>36</v>
      </c>
      <c r="Y1877" s="4">
        <v>6</v>
      </c>
      <c r="Z1877" s="4">
        <v>23</v>
      </c>
      <c r="AA1877" t="s">
        <v>37</v>
      </c>
      <c r="AB1877" t="s">
        <v>44</v>
      </c>
      <c r="AC1877" s="7">
        <v>1</v>
      </c>
      <c r="AD1877" t="s">
        <v>45</v>
      </c>
      <c r="AE1877">
        <f t="shared" si="29"/>
        <v>1</v>
      </c>
    </row>
    <row r="1878" spans="1:31" x14ac:dyDescent="0.35">
      <c r="A1878">
        <v>101877</v>
      </c>
      <c r="B1878" s="3">
        <v>46006</v>
      </c>
      <c r="C1878">
        <v>1141</v>
      </c>
      <c r="D1878" t="s">
        <v>59</v>
      </c>
      <c r="E1878" t="s">
        <v>73</v>
      </c>
      <c r="F1878" t="s">
        <v>41</v>
      </c>
      <c r="G1878" t="s">
        <v>50</v>
      </c>
      <c r="H1878" t="s">
        <v>57</v>
      </c>
      <c r="I1878" t="s">
        <v>35</v>
      </c>
      <c r="J1878" s="4">
        <v>21.36</v>
      </c>
      <c r="K1878" s="4">
        <v>19.170000000000002</v>
      </c>
      <c r="L1878">
        <v>10</v>
      </c>
      <c r="M1878" s="4">
        <v>40.950000000000003</v>
      </c>
      <c r="N1878" s="4">
        <v>368.52</v>
      </c>
      <c r="O1878" s="4">
        <v>146.31</v>
      </c>
      <c r="P1878" s="4">
        <v>1</v>
      </c>
      <c r="Q1878" s="4">
        <v>2.87</v>
      </c>
      <c r="R1878" s="4">
        <v>11.15</v>
      </c>
      <c r="S1878" s="4">
        <v>0</v>
      </c>
      <c r="T1878" s="4">
        <v>0</v>
      </c>
      <c r="U1878" s="4">
        <v>161.33000000000001</v>
      </c>
      <c r="V1878" s="4">
        <v>207.19</v>
      </c>
      <c r="W1878" t="s">
        <v>21</v>
      </c>
      <c r="X1878" t="s">
        <v>36</v>
      </c>
      <c r="Y1878" s="4">
        <v>10</v>
      </c>
      <c r="Z1878" s="4">
        <v>2</v>
      </c>
      <c r="AA1878" t="s">
        <v>37</v>
      </c>
      <c r="AB1878" t="s">
        <v>38</v>
      </c>
      <c r="AC1878" s="7">
        <v>0</v>
      </c>
      <c r="AD1878" t="s">
        <v>39</v>
      </c>
      <c r="AE1878">
        <f t="shared" si="29"/>
        <v>0</v>
      </c>
    </row>
    <row r="1879" spans="1:31" x14ac:dyDescent="0.35">
      <c r="A1879">
        <v>101878</v>
      </c>
      <c r="B1879" s="3">
        <v>45972</v>
      </c>
      <c r="C1879">
        <v>1059</v>
      </c>
      <c r="D1879" t="s">
        <v>47</v>
      </c>
      <c r="E1879" t="s">
        <v>74</v>
      </c>
      <c r="F1879" t="s">
        <v>71</v>
      </c>
      <c r="G1879" t="s">
        <v>63</v>
      </c>
      <c r="H1879" t="s">
        <v>34</v>
      </c>
      <c r="I1879" t="s">
        <v>54</v>
      </c>
      <c r="J1879" s="4">
        <v>19.89</v>
      </c>
      <c r="K1879" s="4">
        <v>12.13</v>
      </c>
      <c r="L1879">
        <v>5</v>
      </c>
      <c r="M1879" s="4">
        <v>12.06</v>
      </c>
      <c r="N1879" s="4">
        <v>229.21</v>
      </c>
      <c r="O1879" s="4">
        <v>130.80000000000001</v>
      </c>
      <c r="P1879" s="4">
        <v>7.21</v>
      </c>
      <c r="Q1879" s="4">
        <v>2.9</v>
      </c>
      <c r="R1879" s="4">
        <v>5.42</v>
      </c>
      <c r="S1879" s="4">
        <v>0</v>
      </c>
      <c r="T1879" s="4">
        <v>0</v>
      </c>
      <c r="U1879" s="4">
        <v>146.33000000000001</v>
      </c>
      <c r="V1879" s="4">
        <v>82.88</v>
      </c>
      <c r="W1879" t="s">
        <v>21</v>
      </c>
      <c r="X1879" t="s">
        <v>36</v>
      </c>
      <c r="Y1879" s="4">
        <v>16</v>
      </c>
      <c r="Z1879" s="4">
        <v>12</v>
      </c>
      <c r="AA1879" t="s">
        <v>52</v>
      </c>
      <c r="AB1879" t="s">
        <v>38</v>
      </c>
      <c r="AC1879" s="7">
        <v>0</v>
      </c>
      <c r="AD1879" t="s">
        <v>39</v>
      </c>
      <c r="AE1879">
        <f t="shared" si="29"/>
        <v>0</v>
      </c>
    </row>
    <row r="1880" spans="1:31" x14ac:dyDescent="0.35">
      <c r="A1880">
        <v>101879</v>
      </c>
      <c r="B1880" s="3">
        <v>46006</v>
      </c>
      <c r="C1880">
        <v>1040</v>
      </c>
      <c r="D1880" t="s">
        <v>47</v>
      </c>
      <c r="E1880" t="s">
        <v>48</v>
      </c>
      <c r="F1880" t="s">
        <v>61</v>
      </c>
      <c r="G1880" t="s">
        <v>63</v>
      </c>
      <c r="H1880" t="s">
        <v>34</v>
      </c>
      <c r="I1880" t="s">
        <v>42</v>
      </c>
      <c r="J1880" s="4">
        <v>14.19</v>
      </c>
      <c r="K1880" s="4">
        <v>11.96</v>
      </c>
      <c r="L1880">
        <v>0</v>
      </c>
      <c r="M1880" s="4">
        <v>0</v>
      </c>
      <c r="N1880" s="4">
        <v>169.71</v>
      </c>
      <c r="O1880" s="4">
        <v>96.01</v>
      </c>
      <c r="P1880" s="4">
        <v>10.87</v>
      </c>
      <c r="Q1880" s="4">
        <v>2.5499999999999998</v>
      </c>
      <c r="R1880" s="4">
        <v>9.67</v>
      </c>
      <c r="S1880" s="4">
        <v>0</v>
      </c>
      <c r="T1880" s="4">
        <v>0</v>
      </c>
      <c r="U1880" s="4">
        <v>119.1</v>
      </c>
      <c r="V1880" s="4">
        <v>50.61</v>
      </c>
      <c r="W1880" t="s">
        <v>21</v>
      </c>
      <c r="X1880" t="s">
        <v>36</v>
      </c>
      <c r="Y1880" s="4">
        <v>43</v>
      </c>
      <c r="Z1880" s="4">
        <v>59</v>
      </c>
      <c r="AA1880" t="s">
        <v>43</v>
      </c>
      <c r="AB1880" t="s">
        <v>44</v>
      </c>
      <c r="AC1880" s="7">
        <v>1</v>
      </c>
      <c r="AD1880" t="s">
        <v>45</v>
      </c>
      <c r="AE1880">
        <f t="shared" si="29"/>
        <v>1</v>
      </c>
    </row>
    <row r="1881" spans="1:31" x14ac:dyDescent="0.35">
      <c r="A1881">
        <v>101880</v>
      </c>
      <c r="B1881" s="3">
        <v>45994</v>
      </c>
      <c r="C1881">
        <v>1121</v>
      </c>
      <c r="D1881" t="s">
        <v>64</v>
      </c>
      <c r="E1881" t="s">
        <v>75</v>
      </c>
      <c r="F1881" t="s">
        <v>41</v>
      </c>
      <c r="G1881" t="s">
        <v>63</v>
      </c>
      <c r="H1881" t="s">
        <v>34</v>
      </c>
      <c r="I1881" t="s">
        <v>35</v>
      </c>
      <c r="J1881" s="4">
        <v>12.98</v>
      </c>
      <c r="K1881" s="4">
        <v>12.61</v>
      </c>
      <c r="L1881">
        <v>0</v>
      </c>
      <c r="M1881" s="4">
        <v>0</v>
      </c>
      <c r="N1881" s="4">
        <v>163.68</v>
      </c>
      <c r="O1881" s="4">
        <v>106.66</v>
      </c>
      <c r="P1881" s="4">
        <v>10.6</v>
      </c>
      <c r="Q1881" s="4">
        <v>1.1499999999999999</v>
      </c>
      <c r="R1881" s="4">
        <v>6.12</v>
      </c>
      <c r="S1881" s="4">
        <v>0</v>
      </c>
      <c r="T1881" s="4">
        <v>0</v>
      </c>
      <c r="U1881" s="4">
        <v>124.53</v>
      </c>
      <c r="V1881" s="4">
        <v>39.15</v>
      </c>
      <c r="W1881" t="s">
        <v>21</v>
      </c>
      <c r="X1881" t="s">
        <v>36</v>
      </c>
      <c r="Y1881" s="4">
        <v>15</v>
      </c>
      <c r="Z1881" s="4">
        <v>18</v>
      </c>
      <c r="AA1881" t="s">
        <v>37</v>
      </c>
      <c r="AB1881" t="s">
        <v>44</v>
      </c>
      <c r="AC1881" s="7">
        <v>4</v>
      </c>
      <c r="AD1881" t="s">
        <v>45</v>
      </c>
      <c r="AE1881">
        <f t="shared" si="29"/>
        <v>1</v>
      </c>
    </row>
    <row r="1882" spans="1:31" x14ac:dyDescent="0.35">
      <c r="A1882">
        <v>101881</v>
      </c>
      <c r="B1882" s="3">
        <v>45934</v>
      </c>
      <c r="C1882">
        <v>1117</v>
      </c>
      <c r="D1882" t="s">
        <v>59</v>
      </c>
      <c r="E1882" t="s">
        <v>60</v>
      </c>
      <c r="F1882" t="s">
        <v>49</v>
      </c>
      <c r="G1882" t="s">
        <v>46</v>
      </c>
      <c r="H1882" t="s">
        <v>34</v>
      </c>
      <c r="I1882" t="s">
        <v>42</v>
      </c>
      <c r="J1882" s="4">
        <v>32.96</v>
      </c>
      <c r="K1882" s="4">
        <v>15.97</v>
      </c>
      <c r="L1882">
        <v>0</v>
      </c>
      <c r="M1882" s="4">
        <v>0</v>
      </c>
      <c r="N1882" s="4">
        <v>526.37</v>
      </c>
      <c r="O1882" s="4">
        <v>219.67</v>
      </c>
      <c r="P1882" s="4">
        <v>8.77</v>
      </c>
      <c r="Q1882" s="4">
        <v>7.9</v>
      </c>
      <c r="R1882" s="4">
        <v>6.38</v>
      </c>
      <c r="S1882" s="4">
        <v>0</v>
      </c>
      <c r="T1882" s="4">
        <v>0</v>
      </c>
      <c r="U1882" s="4">
        <v>242.72</v>
      </c>
      <c r="V1882" s="4">
        <v>283.64999999999998</v>
      </c>
      <c r="W1882" t="s">
        <v>21</v>
      </c>
      <c r="X1882" t="s">
        <v>36</v>
      </c>
      <c r="Y1882" s="4">
        <v>47</v>
      </c>
      <c r="Z1882" s="4">
        <v>1</v>
      </c>
      <c r="AA1882" t="s">
        <v>43</v>
      </c>
      <c r="AB1882" t="s">
        <v>44</v>
      </c>
      <c r="AC1882" s="7">
        <v>1</v>
      </c>
      <c r="AD1882" t="s">
        <v>45</v>
      </c>
      <c r="AE1882">
        <f t="shared" si="29"/>
        <v>1</v>
      </c>
    </row>
    <row r="1883" spans="1:31" x14ac:dyDescent="0.35">
      <c r="A1883">
        <v>101882</v>
      </c>
      <c r="B1883" s="3">
        <v>45975</v>
      </c>
      <c r="C1883">
        <v>1054</v>
      </c>
      <c r="D1883" t="s">
        <v>59</v>
      </c>
      <c r="E1883" t="s">
        <v>68</v>
      </c>
      <c r="F1883" t="s">
        <v>61</v>
      </c>
      <c r="G1883" t="s">
        <v>63</v>
      </c>
      <c r="H1883" t="s">
        <v>34</v>
      </c>
      <c r="I1883" t="s">
        <v>42</v>
      </c>
      <c r="J1883" s="4">
        <v>21.25</v>
      </c>
      <c r="K1883" s="4">
        <v>13.11</v>
      </c>
      <c r="L1883">
        <v>0</v>
      </c>
      <c r="M1883" s="4">
        <v>0</v>
      </c>
      <c r="N1883" s="4">
        <v>278.58999999999997</v>
      </c>
      <c r="O1883" s="4">
        <v>163.1</v>
      </c>
      <c r="P1883" s="4">
        <v>9.43</v>
      </c>
      <c r="Q1883" s="4">
        <v>4.18</v>
      </c>
      <c r="R1883" s="4">
        <v>6.08</v>
      </c>
      <c r="S1883" s="4">
        <v>0</v>
      </c>
      <c r="T1883" s="4">
        <v>0</v>
      </c>
      <c r="U1883" s="4">
        <v>182.79</v>
      </c>
      <c r="V1883" s="4">
        <v>95.8</v>
      </c>
      <c r="W1883" t="s">
        <v>21</v>
      </c>
      <c r="X1883" t="s">
        <v>36</v>
      </c>
      <c r="Y1883" s="4">
        <v>33</v>
      </c>
      <c r="Z1883" s="4">
        <v>21</v>
      </c>
      <c r="AA1883" t="s">
        <v>43</v>
      </c>
      <c r="AB1883" t="s">
        <v>44</v>
      </c>
      <c r="AC1883" s="7">
        <v>2</v>
      </c>
      <c r="AD1883" t="s">
        <v>45</v>
      </c>
      <c r="AE1883">
        <f t="shared" si="29"/>
        <v>1</v>
      </c>
    </row>
    <row r="1884" spans="1:31" x14ac:dyDescent="0.35">
      <c r="A1884">
        <v>101883</v>
      </c>
      <c r="B1884" s="3">
        <v>45953</v>
      </c>
      <c r="C1884">
        <v>1071</v>
      </c>
      <c r="D1884" t="s">
        <v>47</v>
      </c>
      <c r="E1884" t="s">
        <v>74</v>
      </c>
      <c r="F1884" t="s">
        <v>32</v>
      </c>
      <c r="G1884" t="s">
        <v>63</v>
      </c>
      <c r="H1884" t="s">
        <v>34</v>
      </c>
      <c r="I1884" t="s">
        <v>42</v>
      </c>
      <c r="J1884" s="4">
        <v>9.57</v>
      </c>
      <c r="K1884" s="4">
        <v>12.98</v>
      </c>
      <c r="L1884">
        <v>10</v>
      </c>
      <c r="M1884" s="4">
        <v>12.42</v>
      </c>
      <c r="N1884" s="4">
        <v>111.8</v>
      </c>
      <c r="O1884" s="4">
        <v>65.790000000000006</v>
      </c>
      <c r="P1884" s="4">
        <v>10.68</v>
      </c>
      <c r="Q1884" s="4">
        <v>1.86</v>
      </c>
      <c r="R1884" s="4">
        <v>0.66</v>
      </c>
      <c r="S1884" s="4">
        <v>0</v>
      </c>
      <c r="T1884" s="4">
        <v>0</v>
      </c>
      <c r="U1884" s="4">
        <v>78.989999999999995</v>
      </c>
      <c r="V1884" s="4">
        <v>32.81</v>
      </c>
      <c r="W1884" t="s">
        <v>21</v>
      </c>
      <c r="X1884" t="s">
        <v>36</v>
      </c>
      <c r="Y1884" s="4">
        <v>9</v>
      </c>
      <c r="Z1884" s="4">
        <v>3</v>
      </c>
      <c r="AA1884" t="s">
        <v>37</v>
      </c>
      <c r="AB1884" t="s">
        <v>38</v>
      </c>
      <c r="AC1884" s="7">
        <v>0</v>
      </c>
      <c r="AD1884" t="s">
        <v>39</v>
      </c>
      <c r="AE1884">
        <f t="shared" si="29"/>
        <v>0</v>
      </c>
    </row>
    <row r="1885" spans="1:31" x14ac:dyDescent="0.35">
      <c r="A1885">
        <v>101884</v>
      </c>
      <c r="B1885" s="3">
        <v>45978</v>
      </c>
      <c r="C1885">
        <v>1142</v>
      </c>
      <c r="D1885" t="s">
        <v>47</v>
      </c>
      <c r="E1885" t="s">
        <v>74</v>
      </c>
      <c r="F1885" t="s">
        <v>41</v>
      </c>
      <c r="G1885" t="s">
        <v>63</v>
      </c>
      <c r="H1885" t="s">
        <v>34</v>
      </c>
      <c r="I1885" t="s">
        <v>69</v>
      </c>
      <c r="J1885" s="4">
        <v>20.61</v>
      </c>
      <c r="K1885" s="4">
        <v>12.57</v>
      </c>
      <c r="L1885">
        <v>15</v>
      </c>
      <c r="M1885" s="4">
        <v>38.86</v>
      </c>
      <c r="N1885" s="4">
        <v>220.21</v>
      </c>
      <c r="O1885" s="4">
        <v>153.68</v>
      </c>
      <c r="P1885" s="4">
        <v>1</v>
      </c>
      <c r="Q1885" s="4">
        <v>1.04</v>
      </c>
      <c r="R1885" s="4">
        <v>0</v>
      </c>
      <c r="S1885" s="4">
        <v>222.92</v>
      </c>
      <c r="T1885" s="4">
        <v>0</v>
      </c>
      <c r="U1885" s="4">
        <v>378.64</v>
      </c>
      <c r="V1885" s="4">
        <v>-158.43</v>
      </c>
      <c r="W1885" t="s">
        <v>58</v>
      </c>
      <c r="X1885" t="s">
        <v>66</v>
      </c>
      <c r="Y1885" s="4">
        <v>6</v>
      </c>
      <c r="Z1885" s="4">
        <v>12</v>
      </c>
      <c r="AA1885" t="s">
        <v>37</v>
      </c>
      <c r="AB1885" t="s">
        <v>38</v>
      </c>
      <c r="AC1885" s="7">
        <v>2</v>
      </c>
      <c r="AD1885" t="s">
        <v>45</v>
      </c>
      <c r="AE1885">
        <f t="shared" si="29"/>
        <v>0</v>
      </c>
    </row>
    <row r="1886" spans="1:31" x14ac:dyDescent="0.35">
      <c r="A1886">
        <v>101885</v>
      </c>
      <c r="B1886" s="3">
        <v>46012</v>
      </c>
      <c r="C1886">
        <v>1053</v>
      </c>
      <c r="D1886" t="s">
        <v>30</v>
      </c>
      <c r="E1886" t="s">
        <v>31</v>
      </c>
      <c r="F1886" t="s">
        <v>71</v>
      </c>
      <c r="G1886" t="s">
        <v>63</v>
      </c>
      <c r="H1886" t="s">
        <v>34</v>
      </c>
      <c r="I1886" t="s">
        <v>54</v>
      </c>
      <c r="J1886" s="4">
        <v>8.5399999999999991</v>
      </c>
      <c r="K1886" s="4">
        <v>11.57</v>
      </c>
      <c r="L1886">
        <v>10</v>
      </c>
      <c r="M1886" s="4">
        <v>9.8800000000000008</v>
      </c>
      <c r="N1886" s="4">
        <v>88.93</v>
      </c>
      <c r="O1886" s="4">
        <v>71.02</v>
      </c>
      <c r="P1886" s="4">
        <v>7.36</v>
      </c>
      <c r="Q1886" s="4">
        <v>1.19</v>
      </c>
      <c r="R1886" s="4">
        <v>10.99</v>
      </c>
      <c r="S1886" s="4">
        <v>0</v>
      </c>
      <c r="T1886" s="4">
        <v>0</v>
      </c>
      <c r="U1886" s="4">
        <v>90.56</v>
      </c>
      <c r="V1886" s="4">
        <v>-1.63</v>
      </c>
      <c r="W1886" t="s">
        <v>58</v>
      </c>
      <c r="X1886" t="s">
        <v>36</v>
      </c>
      <c r="Y1886" s="4">
        <v>0</v>
      </c>
      <c r="Z1886" s="4">
        <v>10</v>
      </c>
      <c r="AA1886" t="s">
        <v>37</v>
      </c>
      <c r="AB1886" t="s">
        <v>38</v>
      </c>
      <c r="AC1886" s="7">
        <v>0</v>
      </c>
      <c r="AD1886" t="s">
        <v>39</v>
      </c>
      <c r="AE1886">
        <f t="shared" si="29"/>
        <v>0</v>
      </c>
    </row>
    <row r="1887" spans="1:31" x14ac:dyDescent="0.35">
      <c r="A1887">
        <v>101886</v>
      </c>
      <c r="B1887" s="3">
        <v>45961</v>
      </c>
      <c r="C1887">
        <v>1083</v>
      </c>
      <c r="D1887" t="s">
        <v>59</v>
      </c>
      <c r="E1887" t="s">
        <v>60</v>
      </c>
      <c r="F1887" t="s">
        <v>49</v>
      </c>
      <c r="G1887" t="s">
        <v>33</v>
      </c>
      <c r="H1887" t="s">
        <v>34</v>
      </c>
      <c r="I1887" t="s">
        <v>35</v>
      </c>
      <c r="J1887" s="4">
        <v>37.69</v>
      </c>
      <c r="K1887" s="4">
        <v>19.059999999999999</v>
      </c>
      <c r="L1887">
        <v>0</v>
      </c>
      <c r="M1887" s="4">
        <v>0</v>
      </c>
      <c r="N1887" s="4">
        <v>718.37</v>
      </c>
      <c r="O1887" s="4">
        <v>306.94</v>
      </c>
      <c r="P1887" s="4">
        <v>14.5</v>
      </c>
      <c r="Q1887" s="4">
        <v>5.03</v>
      </c>
      <c r="R1887" s="4">
        <v>15.47</v>
      </c>
      <c r="S1887" s="4">
        <v>0</v>
      </c>
      <c r="T1887" s="4">
        <v>0</v>
      </c>
      <c r="U1887" s="4">
        <v>341.94</v>
      </c>
      <c r="V1887" s="4">
        <v>376.43</v>
      </c>
      <c r="W1887" t="s">
        <v>21</v>
      </c>
      <c r="X1887" t="s">
        <v>36</v>
      </c>
      <c r="Y1887" s="4">
        <v>3</v>
      </c>
      <c r="Z1887" s="4">
        <v>3</v>
      </c>
      <c r="AA1887" t="s">
        <v>37</v>
      </c>
      <c r="AB1887" t="s">
        <v>38</v>
      </c>
      <c r="AC1887" s="7">
        <v>0</v>
      </c>
      <c r="AD1887" t="s">
        <v>39</v>
      </c>
      <c r="AE1887">
        <f t="shared" si="29"/>
        <v>0</v>
      </c>
    </row>
    <row r="1888" spans="1:31" x14ac:dyDescent="0.35">
      <c r="A1888">
        <v>101887</v>
      </c>
      <c r="B1888" s="3">
        <v>46020</v>
      </c>
      <c r="C1888">
        <v>1117</v>
      </c>
      <c r="D1888" t="s">
        <v>59</v>
      </c>
      <c r="E1888" t="s">
        <v>70</v>
      </c>
      <c r="F1888" t="s">
        <v>32</v>
      </c>
      <c r="G1888" t="s">
        <v>46</v>
      </c>
      <c r="H1888" t="s">
        <v>34</v>
      </c>
      <c r="I1888" t="s">
        <v>35</v>
      </c>
      <c r="J1888" s="4">
        <v>52.81</v>
      </c>
      <c r="K1888" s="4">
        <v>14.26</v>
      </c>
      <c r="L1888">
        <v>10</v>
      </c>
      <c r="M1888" s="4">
        <v>75.31</v>
      </c>
      <c r="N1888" s="4">
        <v>677.76</v>
      </c>
      <c r="O1888" s="4">
        <v>348.73</v>
      </c>
      <c r="P1888" s="4">
        <v>4.6500000000000004</v>
      </c>
      <c r="Q1888" s="4">
        <v>5.27</v>
      </c>
      <c r="R1888" s="4">
        <v>0</v>
      </c>
      <c r="S1888" s="4">
        <v>0</v>
      </c>
      <c r="T1888" s="4">
        <v>0</v>
      </c>
      <c r="U1888" s="4">
        <v>358.65</v>
      </c>
      <c r="V1888" s="4">
        <v>319.11</v>
      </c>
      <c r="W1888" t="s">
        <v>21</v>
      </c>
      <c r="X1888" t="s">
        <v>36</v>
      </c>
      <c r="Y1888" s="4">
        <v>20</v>
      </c>
      <c r="Z1888" s="4">
        <v>3</v>
      </c>
      <c r="AA1888" t="s">
        <v>52</v>
      </c>
      <c r="AB1888" t="s">
        <v>38</v>
      </c>
      <c r="AC1888" s="7">
        <v>0</v>
      </c>
      <c r="AD1888" t="s">
        <v>39</v>
      </c>
      <c r="AE1888">
        <f t="shared" si="29"/>
        <v>0</v>
      </c>
    </row>
    <row r="1889" spans="1:31" x14ac:dyDescent="0.35">
      <c r="A1889">
        <v>101888</v>
      </c>
      <c r="B1889" s="3">
        <v>46016</v>
      </c>
      <c r="C1889">
        <v>1072</v>
      </c>
      <c r="D1889" t="s">
        <v>59</v>
      </c>
      <c r="E1889" t="s">
        <v>73</v>
      </c>
      <c r="F1889" t="s">
        <v>49</v>
      </c>
      <c r="G1889" t="s">
        <v>50</v>
      </c>
      <c r="H1889" t="s">
        <v>57</v>
      </c>
      <c r="I1889" t="s">
        <v>42</v>
      </c>
      <c r="J1889" s="4">
        <v>30.91</v>
      </c>
      <c r="K1889" s="4">
        <v>18.63</v>
      </c>
      <c r="L1889">
        <v>0</v>
      </c>
      <c r="M1889" s="4">
        <v>0</v>
      </c>
      <c r="N1889" s="4">
        <v>575.85</v>
      </c>
      <c r="O1889" s="4">
        <v>268.82</v>
      </c>
      <c r="P1889" s="4">
        <v>2.77</v>
      </c>
      <c r="Q1889" s="4">
        <v>8.64</v>
      </c>
      <c r="R1889" s="4">
        <v>3.19</v>
      </c>
      <c r="S1889" s="4">
        <v>0</v>
      </c>
      <c r="T1889" s="4">
        <v>0</v>
      </c>
      <c r="U1889" s="4">
        <v>283.42</v>
      </c>
      <c r="V1889" s="4">
        <v>292.43</v>
      </c>
      <c r="W1889" t="s">
        <v>21</v>
      </c>
      <c r="X1889" t="s">
        <v>36</v>
      </c>
      <c r="Y1889" s="4">
        <v>8</v>
      </c>
      <c r="Z1889" s="4">
        <v>6</v>
      </c>
      <c r="AA1889" t="s">
        <v>37</v>
      </c>
      <c r="AB1889" t="s">
        <v>38</v>
      </c>
      <c r="AC1889" s="7">
        <v>2</v>
      </c>
      <c r="AD1889" t="s">
        <v>39</v>
      </c>
      <c r="AE1889">
        <f t="shared" si="29"/>
        <v>0</v>
      </c>
    </row>
    <row r="1890" spans="1:31" x14ac:dyDescent="0.35">
      <c r="A1890">
        <v>101889</v>
      </c>
      <c r="B1890" s="3">
        <v>45980</v>
      </c>
      <c r="C1890">
        <v>1116</v>
      </c>
      <c r="D1890" t="s">
        <v>64</v>
      </c>
      <c r="E1890" t="s">
        <v>76</v>
      </c>
      <c r="F1890" t="s">
        <v>41</v>
      </c>
      <c r="G1890" t="s">
        <v>33</v>
      </c>
      <c r="H1890" t="s">
        <v>34</v>
      </c>
      <c r="I1890" t="s">
        <v>69</v>
      </c>
      <c r="J1890" s="4">
        <v>24.24</v>
      </c>
      <c r="K1890" s="4">
        <v>19.059999999999999</v>
      </c>
      <c r="L1890">
        <v>15</v>
      </c>
      <c r="M1890" s="4">
        <v>69.3</v>
      </c>
      <c r="N1890" s="4">
        <v>392.71</v>
      </c>
      <c r="O1890" s="4">
        <v>181.48</v>
      </c>
      <c r="P1890" s="4">
        <v>8.31</v>
      </c>
      <c r="Q1890" s="4">
        <v>1.85</v>
      </c>
      <c r="R1890" s="4">
        <v>3.6</v>
      </c>
      <c r="S1890" s="4">
        <v>0</v>
      </c>
      <c r="T1890" s="4">
        <v>0</v>
      </c>
      <c r="U1890" s="4">
        <v>195.24</v>
      </c>
      <c r="V1890" s="4">
        <v>197.47</v>
      </c>
      <c r="W1890" t="s">
        <v>21</v>
      </c>
      <c r="X1890" t="s">
        <v>36</v>
      </c>
      <c r="Y1890" s="4">
        <v>0</v>
      </c>
      <c r="Z1890" s="4">
        <v>11</v>
      </c>
      <c r="AA1890" t="s">
        <v>37</v>
      </c>
      <c r="AB1890" t="s">
        <v>38</v>
      </c>
      <c r="AC1890" s="7">
        <v>0</v>
      </c>
      <c r="AD1890" t="s">
        <v>39</v>
      </c>
      <c r="AE1890">
        <f t="shared" si="29"/>
        <v>0</v>
      </c>
    </row>
    <row r="1891" spans="1:31" x14ac:dyDescent="0.35">
      <c r="A1891">
        <v>101890</v>
      </c>
      <c r="B1891" s="3">
        <v>45947</v>
      </c>
      <c r="C1891">
        <v>1093</v>
      </c>
      <c r="D1891" t="s">
        <v>30</v>
      </c>
      <c r="E1891" t="s">
        <v>40</v>
      </c>
      <c r="F1891" t="s">
        <v>49</v>
      </c>
      <c r="G1891" t="s">
        <v>63</v>
      </c>
      <c r="H1891" t="s">
        <v>34</v>
      </c>
      <c r="I1891" t="s">
        <v>35</v>
      </c>
      <c r="J1891" s="4">
        <v>28.76</v>
      </c>
      <c r="K1891" s="4">
        <v>12.72</v>
      </c>
      <c r="L1891">
        <v>0</v>
      </c>
      <c r="M1891" s="4">
        <v>0</v>
      </c>
      <c r="N1891" s="4">
        <v>365.83</v>
      </c>
      <c r="O1891" s="4">
        <v>225.21</v>
      </c>
      <c r="P1891" s="4">
        <v>7.01</v>
      </c>
      <c r="Q1891" s="4">
        <v>2.56</v>
      </c>
      <c r="R1891" s="4">
        <v>9.7899999999999991</v>
      </c>
      <c r="S1891" s="4">
        <v>0</v>
      </c>
      <c r="T1891" s="4">
        <v>0</v>
      </c>
      <c r="U1891" s="4">
        <v>244.57</v>
      </c>
      <c r="V1891" s="4">
        <v>121.26</v>
      </c>
      <c r="W1891" t="s">
        <v>21</v>
      </c>
      <c r="X1891" t="s">
        <v>36</v>
      </c>
      <c r="Y1891" s="4">
        <v>59</v>
      </c>
      <c r="Z1891" s="4">
        <v>2</v>
      </c>
      <c r="AA1891" t="s">
        <v>43</v>
      </c>
      <c r="AB1891" t="s">
        <v>44</v>
      </c>
      <c r="AC1891" s="7">
        <v>1</v>
      </c>
      <c r="AD1891" t="s">
        <v>45</v>
      </c>
      <c r="AE1891">
        <f t="shared" si="29"/>
        <v>1</v>
      </c>
    </row>
    <row r="1892" spans="1:31" x14ac:dyDescent="0.35">
      <c r="A1892">
        <v>101891</v>
      </c>
      <c r="B1892" s="3">
        <v>45937</v>
      </c>
      <c r="C1892">
        <v>1116</v>
      </c>
      <c r="D1892" t="s">
        <v>30</v>
      </c>
      <c r="E1892" t="s">
        <v>62</v>
      </c>
      <c r="F1892" t="s">
        <v>41</v>
      </c>
      <c r="G1892" t="s">
        <v>46</v>
      </c>
      <c r="H1892" t="s">
        <v>51</v>
      </c>
      <c r="I1892" t="s">
        <v>69</v>
      </c>
      <c r="J1892" s="4">
        <v>33.35</v>
      </c>
      <c r="K1892" s="4">
        <v>16.059999999999999</v>
      </c>
      <c r="L1892">
        <v>15</v>
      </c>
      <c r="M1892" s="4">
        <v>80.34</v>
      </c>
      <c r="N1892" s="4">
        <v>455.26</v>
      </c>
      <c r="O1892" s="4">
        <v>299.20999999999998</v>
      </c>
      <c r="P1892" s="4">
        <v>11.01</v>
      </c>
      <c r="Q1892" s="4">
        <v>2.14</v>
      </c>
      <c r="R1892" s="4">
        <v>10.14</v>
      </c>
      <c r="S1892" s="4">
        <v>0</v>
      </c>
      <c r="T1892" s="4">
        <v>0</v>
      </c>
      <c r="U1892" s="4">
        <v>322.5</v>
      </c>
      <c r="V1892" s="4">
        <v>132.76</v>
      </c>
      <c r="W1892" t="s">
        <v>21</v>
      </c>
      <c r="X1892" t="s">
        <v>36</v>
      </c>
      <c r="Y1892" s="4">
        <v>14</v>
      </c>
      <c r="Z1892" s="4">
        <v>4</v>
      </c>
      <c r="AA1892" t="s">
        <v>37</v>
      </c>
      <c r="AB1892" t="s">
        <v>38</v>
      </c>
      <c r="AC1892" s="7">
        <v>0</v>
      </c>
      <c r="AD1892" t="s">
        <v>39</v>
      </c>
      <c r="AE1892">
        <f t="shared" si="29"/>
        <v>0</v>
      </c>
    </row>
    <row r="1893" spans="1:31" x14ac:dyDescent="0.35">
      <c r="A1893">
        <v>101892</v>
      </c>
      <c r="B1893" s="3">
        <v>46018</v>
      </c>
      <c r="C1893">
        <v>1006</v>
      </c>
      <c r="D1893" t="s">
        <v>30</v>
      </c>
      <c r="E1893" t="s">
        <v>62</v>
      </c>
      <c r="F1893" t="s">
        <v>41</v>
      </c>
      <c r="G1893" t="s">
        <v>63</v>
      </c>
      <c r="H1893" t="s">
        <v>57</v>
      </c>
      <c r="I1893" t="s">
        <v>42</v>
      </c>
      <c r="J1893" s="4">
        <v>7.32</v>
      </c>
      <c r="K1893" s="4">
        <v>12.79</v>
      </c>
      <c r="L1893">
        <v>15</v>
      </c>
      <c r="M1893" s="4">
        <v>14.04</v>
      </c>
      <c r="N1893" s="4">
        <v>79.58</v>
      </c>
      <c r="O1893" s="4">
        <v>43.51</v>
      </c>
      <c r="P1893" s="4">
        <v>5.72</v>
      </c>
      <c r="Q1893" s="4">
        <v>1.4</v>
      </c>
      <c r="R1893" s="4">
        <v>6.57</v>
      </c>
      <c r="S1893" s="4">
        <v>0</v>
      </c>
      <c r="T1893" s="4">
        <v>0</v>
      </c>
      <c r="U1893" s="4">
        <v>57.2</v>
      </c>
      <c r="V1893" s="4">
        <v>22.38</v>
      </c>
      <c r="W1893" t="s">
        <v>21</v>
      </c>
      <c r="X1893" t="s">
        <v>36</v>
      </c>
      <c r="Y1893" s="4">
        <v>4</v>
      </c>
      <c r="Z1893" s="4">
        <v>4</v>
      </c>
      <c r="AA1893" t="s">
        <v>37</v>
      </c>
      <c r="AB1893" t="s">
        <v>38</v>
      </c>
      <c r="AC1893" s="7">
        <v>0</v>
      </c>
      <c r="AD1893" t="s">
        <v>39</v>
      </c>
      <c r="AE1893">
        <f t="shared" si="29"/>
        <v>0</v>
      </c>
    </row>
    <row r="1894" spans="1:31" x14ac:dyDescent="0.35">
      <c r="A1894">
        <v>101893</v>
      </c>
      <c r="B1894" s="3">
        <v>45943</v>
      </c>
      <c r="C1894">
        <v>1026</v>
      </c>
      <c r="D1894" t="s">
        <v>59</v>
      </c>
      <c r="E1894" t="s">
        <v>68</v>
      </c>
      <c r="F1894" t="s">
        <v>41</v>
      </c>
      <c r="G1894" t="s">
        <v>63</v>
      </c>
      <c r="H1894" t="s">
        <v>34</v>
      </c>
      <c r="I1894" t="s">
        <v>35</v>
      </c>
      <c r="J1894" s="4">
        <v>33.54</v>
      </c>
      <c r="K1894" s="4">
        <v>12.64</v>
      </c>
      <c r="L1894">
        <v>0</v>
      </c>
      <c r="M1894" s="4">
        <v>0</v>
      </c>
      <c r="N1894" s="4">
        <v>423.95</v>
      </c>
      <c r="O1894" s="4">
        <v>302.93</v>
      </c>
      <c r="P1894" s="4">
        <v>7.53</v>
      </c>
      <c r="Q1894" s="4">
        <v>2.97</v>
      </c>
      <c r="R1894" s="4">
        <v>8.89</v>
      </c>
      <c r="S1894" s="4">
        <v>0</v>
      </c>
      <c r="T1894" s="4">
        <v>0</v>
      </c>
      <c r="U1894" s="4">
        <v>322.32</v>
      </c>
      <c r="V1894" s="4">
        <v>101.63</v>
      </c>
      <c r="W1894" t="s">
        <v>21</v>
      </c>
      <c r="X1894" t="s">
        <v>36</v>
      </c>
      <c r="Y1894" s="4">
        <v>16</v>
      </c>
      <c r="Z1894" s="4">
        <v>1</v>
      </c>
      <c r="AA1894" t="s">
        <v>52</v>
      </c>
      <c r="AB1894" t="s">
        <v>38</v>
      </c>
      <c r="AC1894" s="7">
        <v>0</v>
      </c>
      <c r="AD1894" t="s">
        <v>39</v>
      </c>
      <c r="AE1894">
        <f t="shared" si="29"/>
        <v>0</v>
      </c>
    </row>
    <row r="1895" spans="1:31" x14ac:dyDescent="0.35">
      <c r="A1895">
        <v>101894</v>
      </c>
      <c r="B1895" s="3">
        <v>46017</v>
      </c>
      <c r="C1895">
        <v>1037</v>
      </c>
      <c r="D1895" t="s">
        <v>30</v>
      </c>
      <c r="E1895" t="s">
        <v>31</v>
      </c>
      <c r="F1895" t="s">
        <v>71</v>
      </c>
      <c r="G1895" t="s">
        <v>46</v>
      </c>
      <c r="H1895" t="s">
        <v>34</v>
      </c>
      <c r="I1895" t="s">
        <v>35</v>
      </c>
      <c r="J1895" s="4">
        <v>21.94</v>
      </c>
      <c r="K1895" s="4">
        <v>15.27</v>
      </c>
      <c r="L1895">
        <v>15</v>
      </c>
      <c r="M1895" s="4">
        <v>50.25</v>
      </c>
      <c r="N1895" s="4">
        <v>284.77</v>
      </c>
      <c r="O1895" s="4">
        <v>133.68</v>
      </c>
      <c r="P1895" s="4">
        <v>6.93</v>
      </c>
      <c r="Q1895" s="4">
        <v>2.35</v>
      </c>
      <c r="R1895" s="4">
        <v>5.47</v>
      </c>
      <c r="S1895" s="4">
        <v>0</v>
      </c>
      <c r="T1895" s="4">
        <v>0</v>
      </c>
      <c r="U1895" s="4">
        <v>148.43</v>
      </c>
      <c r="V1895" s="4">
        <v>136.34</v>
      </c>
      <c r="W1895" t="s">
        <v>21</v>
      </c>
      <c r="X1895" t="s">
        <v>36</v>
      </c>
      <c r="Y1895" s="4">
        <v>4</v>
      </c>
      <c r="Z1895" s="4">
        <v>1</v>
      </c>
      <c r="AA1895" t="s">
        <v>37</v>
      </c>
      <c r="AB1895" t="s">
        <v>38</v>
      </c>
      <c r="AC1895" s="7">
        <v>0</v>
      </c>
      <c r="AD1895" t="s">
        <v>39</v>
      </c>
      <c r="AE1895">
        <f t="shared" si="29"/>
        <v>0</v>
      </c>
    </row>
    <row r="1896" spans="1:31" x14ac:dyDescent="0.35">
      <c r="A1896">
        <v>101895</v>
      </c>
      <c r="B1896" s="3">
        <v>45968</v>
      </c>
      <c r="C1896">
        <v>1101</v>
      </c>
      <c r="D1896" t="s">
        <v>47</v>
      </c>
      <c r="E1896" t="s">
        <v>74</v>
      </c>
      <c r="F1896" t="s">
        <v>71</v>
      </c>
      <c r="G1896" t="s">
        <v>63</v>
      </c>
      <c r="H1896" t="s">
        <v>34</v>
      </c>
      <c r="I1896" t="s">
        <v>35</v>
      </c>
      <c r="J1896" s="4">
        <v>21.07</v>
      </c>
      <c r="K1896" s="4">
        <v>12.12</v>
      </c>
      <c r="L1896">
        <v>0</v>
      </c>
      <c r="M1896" s="4">
        <v>0</v>
      </c>
      <c r="N1896" s="4">
        <v>255.37</v>
      </c>
      <c r="O1896" s="4">
        <v>139.62</v>
      </c>
      <c r="P1896" s="4">
        <v>9.07</v>
      </c>
      <c r="Q1896" s="4">
        <v>1.79</v>
      </c>
      <c r="R1896" s="4">
        <v>6.16</v>
      </c>
      <c r="S1896" s="4">
        <v>217.86</v>
      </c>
      <c r="T1896" s="4">
        <v>0</v>
      </c>
      <c r="U1896" s="4">
        <v>374.5</v>
      </c>
      <c r="V1896" s="4">
        <v>-119.13</v>
      </c>
      <c r="W1896" t="s">
        <v>58</v>
      </c>
      <c r="X1896" t="s">
        <v>55</v>
      </c>
      <c r="Y1896" s="4">
        <v>7</v>
      </c>
      <c r="Z1896" s="4">
        <v>19</v>
      </c>
      <c r="AA1896" t="s">
        <v>37</v>
      </c>
      <c r="AB1896" t="s">
        <v>44</v>
      </c>
      <c r="AC1896" s="7">
        <v>3</v>
      </c>
      <c r="AD1896" t="s">
        <v>45</v>
      </c>
      <c r="AE1896">
        <f t="shared" si="29"/>
        <v>1</v>
      </c>
    </row>
    <row r="1897" spans="1:31" x14ac:dyDescent="0.35">
      <c r="A1897">
        <v>101896</v>
      </c>
      <c r="B1897" s="3">
        <v>45992</v>
      </c>
      <c r="C1897">
        <v>1126</v>
      </c>
      <c r="D1897" t="s">
        <v>59</v>
      </c>
      <c r="E1897" t="s">
        <v>73</v>
      </c>
      <c r="F1897" t="s">
        <v>71</v>
      </c>
      <c r="G1897" t="s">
        <v>46</v>
      </c>
      <c r="H1897" t="s">
        <v>34</v>
      </c>
      <c r="I1897" t="s">
        <v>35</v>
      </c>
      <c r="J1897" s="4">
        <v>17.45</v>
      </c>
      <c r="K1897" s="4">
        <v>15.14</v>
      </c>
      <c r="L1897">
        <v>0</v>
      </c>
      <c r="M1897" s="4">
        <v>0</v>
      </c>
      <c r="N1897" s="4">
        <v>264.19</v>
      </c>
      <c r="O1897" s="4">
        <v>137.86000000000001</v>
      </c>
      <c r="P1897" s="4">
        <v>9.09</v>
      </c>
      <c r="Q1897" s="4">
        <v>1.85</v>
      </c>
      <c r="R1897" s="4">
        <v>13.57</v>
      </c>
      <c r="S1897" s="4">
        <v>0</v>
      </c>
      <c r="T1897" s="4">
        <v>0</v>
      </c>
      <c r="U1897" s="4">
        <v>162.37</v>
      </c>
      <c r="V1897" s="4">
        <v>101.82</v>
      </c>
      <c r="W1897" t="s">
        <v>21</v>
      </c>
      <c r="X1897" t="s">
        <v>36</v>
      </c>
      <c r="Y1897" s="4">
        <v>2</v>
      </c>
      <c r="Z1897" s="4">
        <v>6</v>
      </c>
      <c r="AA1897" t="s">
        <v>37</v>
      </c>
      <c r="AB1897" t="s">
        <v>38</v>
      </c>
      <c r="AC1897" s="7">
        <v>0</v>
      </c>
      <c r="AD1897" t="s">
        <v>39</v>
      </c>
      <c r="AE1897">
        <f t="shared" si="29"/>
        <v>0</v>
      </c>
    </row>
    <row r="1898" spans="1:31" x14ac:dyDescent="0.35">
      <c r="A1898">
        <v>101897</v>
      </c>
      <c r="B1898" s="3">
        <v>45946</v>
      </c>
      <c r="C1898">
        <v>1132</v>
      </c>
      <c r="D1898" t="s">
        <v>47</v>
      </c>
      <c r="E1898" t="s">
        <v>56</v>
      </c>
      <c r="F1898" t="s">
        <v>32</v>
      </c>
      <c r="G1898" t="s">
        <v>50</v>
      </c>
      <c r="H1898" t="s">
        <v>34</v>
      </c>
      <c r="I1898" t="s">
        <v>42</v>
      </c>
      <c r="J1898" s="4">
        <v>30.83</v>
      </c>
      <c r="K1898" s="4">
        <v>18.079999999999998</v>
      </c>
      <c r="L1898">
        <v>15</v>
      </c>
      <c r="M1898" s="4">
        <v>83.61</v>
      </c>
      <c r="N1898" s="4">
        <v>473.8</v>
      </c>
      <c r="O1898" s="4">
        <v>191.61</v>
      </c>
      <c r="P1898" s="4">
        <v>6.39</v>
      </c>
      <c r="Q1898" s="4">
        <v>8.36</v>
      </c>
      <c r="R1898" s="4">
        <v>0.8</v>
      </c>
      <c r="S1898" s="4">
        <v>0</v>
      </c>
      <c r="T1898" s="4">
        <v>0</v>
      </c>
      <c r="U1898" s="4">
        <v>207.16</v>
      </c>
      <c r="V1898" s="4">
        <v>266.64</v>
      </c>
      <c r="W1898" t="s">
        <v>21</v>
      </c>
      <c r="X1898" t="s">
        <v>36</v>
      </c>
      <c r="Y1898" s="4">
        <v>27</v>
      </c>
      <c r="Z1898" s="4">
        <v>6</v>
      </c>
      <c r="AA1898" t="s">
        <v>52</v>
      </c>
      <c r="AB1898" t="s">
        <v>44</v>
      </c>
      <c r="AC1898" s="7">
        <v>1</v>
      </c>
      <c r="AD1898" t="s">
        <v>45</v>
      </c>
      <c r="AE1898">
        <f t="shared" si="29"/>
        <v>1</v>
      </c>
    </row>
    <row r="1899" spans="1:31" x14ac:dyDescent="0.35">
      <c r="A1899">
        <v>101898</v>
      </c>
      <c r="B1899" s="3">
        <v>45976</v>
      </c>
      <c r="C1899">
        <v>1024</v>
      </c>
      <c r="D1899" t="s">
        <v>59</v>
      </c>
      <c r="E1899" t="s">
        <v>73</v>
      </c>
      <c r="F1899" t="s">
        <v>61</v>
      </c>
      <c r="G1899" t="s">
        <v>63</v>
      </c>
      <c r="H1899" t="s">
        <v>34</v>
      </c>
      <c r="I1899" t="s">
        <v>54</v>
      </c>
      <c r="J1899" s="4">
        <v>21.17</v>
      </c>
      <c r="K1899" s="4">
        <v>13.18</v>
      </c>
      <c r="L1899">
        <v>0</v>
      </c>
      <c r="M1899" s="4">
        <v>0</v>
      </c>
      <c r="N1899" s="4">
        <v>279.02</v>
      </c>
      <c r="O1899" s="4">
        <v>140.15</v>
      </c>
      <c r="P1899" s="4">
        <v>8.73</v>
      </c>
      <c r="Q1899" s="4">
        <v>3.35</v>
      </c>
      <c r="R1899" s="4">
        <v>5.99</v>
      </c>
      <c r="S1899" s="4">
        <v>272.56</v>
      </c>
      <c r="T1899" s="4">
        <v>0</v>
      </c>
      <c r="U1899" s="4">
        <v>430.78</v>
      </c>
      <c r="V1899" s="4">
        <v>-151.76</v>
      </c>
      <c r="W1899" t="s">
        <v>58</v>
      </c>
      <c r="X1899" t="s">
        <v>66</v>
      </c>
      <c r="Y1899" s="4">
        <v>0</v>
      </c>
      <c r="Z1899" s="4">
        <v>18</v>
      </c>
      <c r="AA1899" t="s">
        <v>37</v>
      </c>
      <c r="AB1899" t="s">
        <v>44</v>
      </c>
      <c r="AC1899" s="7">
        <v>2</v>
      </c>
      <c r="AD1899" t="s">
        <v>45</v>
      </c>
      <c r="AE1899">
        <f t="shared" si="29"/>
        <v>1</v>
      </c>
    </row>
    <row r="1900" spans="1:31" x14ac:dyDescent="0.35">
      <c r="A1900">
        <v>101899</v>
      </c>
      <c r="B1900" s="3">
        <v>45971</v>
      </c>
      <c r="C1900">
        <v>1134</v>
      </c>
      <c r="D1900" t="s">
        <v>59</v>
      </c>
      <c r="E1900" t="s">
        <v>73</v>
      </c>
      <c r="F1900" t="s">
        <v>61</v>
      </c>
      <c r="G1900" t="s">
        <v>63</v>
      </c>
      <c r="H1900" t="s">
        <v>34</v>
      </c>
      <c r="I1900" t="s">
        <v>54</v>
      </c>
      <c r="J1900" s="4">
        <v>10.1</v>
      </c>
      <c r="K1900" s="4">
        <v>12.52</v>
      </c>
      <c r="L1900">
        <v>10</v>
      </c>
      <c r="M1900" s="4">
        <v>12.65</v>
      </c>
      <c r="N1900" s="4">
        <v>113.8</v>
      </c>
      <c r="O1900" s="4">
        <v>62.27</v>
      </c>
      <c r="P1900" s="4">
        <v>8.58</v>
      </c>
      <c r="Q1900" s="4">
        <v>1.52</v>
      </c>
      <c r="R1900" s="4">
        <v>9.24</v>
      </c>
      <c r="S1900" s="4">
        <v>0</v>
      </c>
      <c r="T1900" s="4">
        <v>0</v>
      </c>
      <c r="U1900" s="4">
        <v>81.61</v>
      </c>
      <c r="V1900" s="4">
        <v>32.19</v>
      </c>
      <c r="W1900" t="s">
        <v>21</v>
      </c>
      <c r="X1900" t="s">
        <v>36</v>
      </c>
      <c r="Y1900" s="4">
        <v>2</v>
      </c>
      <c r="Z1900" s="4">
        <v>2</v>
      </c>
      <c r="AA1900" t="s">
        <v>37</v>
      </c>
      <c r="AB1900" t="s">
        <v>38</v>
      </c>
      <c r="AC1900" s="7">
        <v>0</v>
      </c>
      <c r="AD1900" t="s">
        <v>39</v>
      </c>
      <c r="AE1900">
        <f t="shared" si="29"/>
        <v>0</v>
      </c>
    </row>
    <row r="1901" spans="1:31" x14ac:dyDescent="0.35">
      <c r="A1901">
        <v>101900</v>
      </c>
      <c r="B1901" s="3">
        <v>46015</v>
      </c>
      <c r="C1901">
        <v>1135</v>
      </c>
      <c r="D1901" t="s">
        <v>30</v>
      </c>
      <c r="E1901" t="s">
        <v>72</v>
      </c>
      <c r="F1901" t="s">
        <v>41</v>
      </c>
      <c r="G1901" t="s">
        <v>50</v>
      </c>
      <c r="H1901" t="s">
        <v>57</v>
      </c>
      <c r="I1901" t="s">
        <v>54</v>
      </c>
      <c r="J1901" s="4">
        <v>37.6</v>
      </c>
      <c r="K1901" s="4">
        <v>17.57</v>
      </c>
      <c r="L1901">
        <v>0</v>
      </c>
      <c r="M1901" s="4">
        <v>0</v>
      </c>
      <c r="N1901" s="4">
        <v>660.63</v>
      </c>
      <c r="O1901" s="4">
        <v>315.94</v>
      </c>
      <c r="P1901" s="4">
        <v>8.0299999999999994</v>
      </c>
      <c r="Q1901" s="4">
        <v>7.93</v>
      </c>
      <c r="R1901" s="4">
        <v>6.4</v>
      </c>
      <c r="S1901" s="4">
        <v>0</v>
      </c>
      <c r="T1901" s="4">
        <v>0</v>
      </c>
      <c r="U1901" s="4">
        <v>338.3</v>
      </c>
      <c r="V1901" s="4">
        <v>322.33</v>
      </c>
      <c r="W1901" t="s">
        <v>21</v>
      </c>
      <c r="X1901" t="s">
        <v>36</v>
      </c>
      <c r="Y1901" s="4">
        <v>7</v>
      </c>
      <c r="Z1901" s="4">
        <v>0</v>
      </c>
      <c r="AA1901" t="s">
        <v>37</v>
      </c>
      <c r="AB1901" t="s">
        <v>38</v>
      </c>
      <c r="AC1901" s="7">
        <v>0</v>
      </c>
      <c r="AD1901" t="s">
        <v>39</v>
      </c>
      <c r="AE1901">
        <f t="shared" si="29"/>
        <v>0</v>
      </c>
    </row>
    <row r="1902" spans="1:31" x14ac:dyDescent="0.35">
      <c r="A1902">
        <v>101901</v>
      </c>
      <c r="B1902" s="3">
        <v>45934</v>
      </c>
      <c r="C1902">
        <v>1003</v>
      </c>
      <c r="D1902" t="s">
        <v>59</v>
      </c>
      <c r="E1902" t="s">
        <v>60</v>
      </c>
      <c r="F1902" t="s">
        <v>71</v>
      </c>
      <c r="G1902" t="s">
        <v>63</v>
      </c>
      <c r="H1902" t="s">
        <v>57</v>
      </c>
      <c r="I1902" t="s">
        <v>35</v>
      </c>
      <c r="J1902" s="4">
        <v>20.399999999999999</v>
      </c>
      <c r="K1902" s="4">
        <v>16.350000000000001</v>
      </c>
      <c r="L1902">
        <v>0</v>
      </c>
      <c r="M1902" s="4">
        <v>0</v>
      </c>
      <c r="N1902" s="4">
        <v>333.54</v>
      </c>
      <c r="O1902" s="4">
        <v>134.28</v>
      </c>
      <c r="P1902" s="4">
        <v>5.37</v>
      </c>
      <c r="Q1902" s="4">
        <v>2.33</v>
      </c>
      <c r="R1902" s="4">
        <v>6.12</v>
      </c>
      <c r="S1902" s="4">
        <v>0</v>
      </c>
      <c r="T1902" s="4">
        <v>0</v>
      </c>
      <c r="U1902" s="4">
        <v>148.1</v>
      </c>
      <c r="V1902" s="4">
        <v>185.44</v>
      </c>
      <c r="W1902" t="s">
        <v>21</v>
      </c>
      <c r="X1902" t="s">
        <v>36</v>
      </c>
      <c r="Y1902" s="4">
        <v>12</v>
      </c>
      <c r="Z1902" s="4">
        <v>0</v>
      </c>
      <c r="AA1902" t="s">
        <v>37</v>
      </c>
      <c r="AB1902" t="s">
        <v>38</v>
      </c>
      <c r="AC1902" s="7">
        <v>0</v>
      </c>
      <c r="AD1902" t="s">
        <v>39</v>
      </c>
      <c r="AE1902">
        <f t="shared" si="29"/>
        <v>0</v>
      </c>
    </row>
    <row r="1903" spans="1:31" x14ac:dyDescent="0.35">
      <c r="A1903">
        <v>101902</v>
      </c>
      <c r="B1903" s="3">
        <v>45942</v>
      </c>
      <c r="C1903">
        <v>1077</v>
      </c>
      <c r="D1903" t="s">
        <v>47</v>
      </c>
      <c r="E1903" t="s">
        <v>53</v>
      </c>
      <c r="F1903" t="s">
        <v>41</v>
      </c>
      <c r="G1903" t="s">
        <v>63</v>
      </c>
      <c r="H1903" t="s">
        <v>34</v>
      </c>
      <c r="I1903" t="s">
        <v>35</v>
      </c>
      <c r="J1903" s="4">
        <v>5.4</v>
      </c>
      <c r="K1903" s="4">
        <v>12.53</v>
      </c>
      <c r="L1903">
        <v>5</v>
      </c>
      <c r="M1903" s="4">
        <v>3.38</v>
      </c>
      <c r="N1903" s="4">
        <v>64.28</v>
      </c>
      <c r="O1903" s="4">
        <v>40.159999999999997</v>
      </c>
      <c r="P1903" s="4">
        <v>3.94</v>
      </c>
      <c r="Q1903" s="4">
        <v>0.47</v>
      </c>
      <c r="R1903" s="4">
        <v>3.08</v>
      </c>
      <c r="S1903" s="4">
        <v>0</v>
      </c>
      <c r="T1903" s="4">
        <v>0</v>
      </c>
      <c r="U1903" s="4">
        <v>47.65</v>
      </c>
      <c r="V1903" s="4">
        <v>16.63</v>
      </c>
      <c r="W1903" t="s">
        <v>21</v>
      </c>
      <c r="X1903" t="s">
        <v>36</v>
      </c>
      <c r="Y1903" s="4">
        <v>7</v>
      </c>
      <c r="Z1903" s="4">
        <v>4</v>
      </c>
      <c r="AA1903" t="s">
        <v>37</v>
      </c>
      <c r="AB1903" t="s">
        <v>38</v>
      </c>
      <c r="AC1903" s="7">
        <v>0</v>
      </c>
      <c r="AD1903" t="s">
        <v>39</v>
      </c>
      <c r="AE1903">
        <f t="shared" si="29"/>
        <v>0</v>
      </c>
    </row>
    <row r="1904" spans="1:31" x14ac:dyDescent="0.35">
      <c r="A1904">
        <v>101903</v>
      </c>
      <c r="B1904" s="3">
        <v>45948</v>
      </c>
      <c r="C1904">
        <v>1090</v>
      </c>
      <c r="D1904" t="s">
        <v>47</v>
      </c>
      <c r="E1904" t="s">
        <v>56</v>
      </c>
      <c r="F1904" t="s">
        <v>71</v>
      </c>
      <c r="G1904" t="s">
        <v>63</v>
      </c>
      <c r="H1904" t="s">
        <v>57</v>
      </c>
      <c r="I1904" t="s">
        <v>35</v>
      </c>
      <c r="J1904" s="4">
        <v>20.420000000000002</v>
      </c>
      <c r="K1904" s="4">
        <v>12.46</v>
      </c>
      <c r="L1904">
        <v>5</v>
      </c>
      <c r="M1904" s="4">
        <v>12.72</v>
      </c>
      <c r="N1904" s="4">
        <v>241.71</v>
      </c>
      <c r="O1904" s="4">
        <v>131.79</v>
      </c>
      <c r="P1904" s="4">
        <v>9.2100000000000009</v>
      </c>
      <c r="Q1904" s="4">
        <v>1.78</v>
      </c>
      <c r="R1904" s="4">
        <v>7.53</v>
      </c>
      <c r="S1904" s="4">
        <v>0</v>
      </c>
      <c r="T1904" s="4">
        <v>0</v>
      </c>
      <c r="U1904" s="4">
        <v>150.31</v>
      </c>
      <c r="V1904" s="4">
        <v>91.4</v>
      </c>
      <c r="W1904" t="s">
        <v>21</v>
      </c>
      <c r="X1904" t="s">
        <v>36</v>
      </c>
      <c r="Y1904" s="4">
        <v>17</v>
      </c>
      <c r="Z1904" s="4">
        <v>10</v>
      </c>
      <c r="AA1904" t="s">
        <v>52</v>
      </c>
      <c r="AB1904" t="s">
        <v>38</v>
      </c>
      <c r="AC1904" s="7">
        <v>1</v>
      </c>
      <c r="AD1904" t="s">
        <v>39</v>
      </c>
      <c r="AE1904">
        <f t="shared" si="29"/>
        <v>0</v>
      </c>
    </row>
    <row r="1905" spans="1:31" x14ac:dyDescent="0.35">
      <c r="A1905">
        <v>101904</v>
      </c>
      <c r="B1905" s="3">
        <v>45944</v>
      </c>
      <c r="C1905">
        <v>1132</v>
      </c>
      <c r="D1905" t="s">
        <v>47</v>
      </c>
      <c r="E1905" t="s">
        <v>48</v>
      </c>
      <c r="F1905" t="s">
        <v>49</v>
      </c>
      <c r="G1905" t="s">
        <v>46</v>
      </c>
      <c r="H1905" t="s">
        <v>57</v>
      </c>
      <c r="I1905" t="s">
        <v>35</v>
      </c>
      <c r="J1905" s="4">
        <v>20.66</v>
      </c>
      <c r="K1905" s="4">
        <v>15.3</v>
      </c>
      <c r="L1905">
        <v>0</v>
      </c>
      <c r="M1905" s="4">
        <v>0</v>
      </c>
      <c r="N1905" s="4">
        <v>316.10000000000002</v>
      </c>
      <c r="O1905" s="4">
        <v>132.44</v>
      </c>
      <c r="P1905" s="4">
        <v>5.86</v>
      </c>
      <c r="Q1905" s="4">
        <v>2.21</v>
      </c>
      <c r="R1905" s="4">
        <v>6.25</v>
      </c>
      <c r="S1905" s="4">
        <v>0</v>
      </c>
      <c r="T1905" s="4">
        <v>0</v>
      </c>
      <c r="U1905" s="4">
        <v>146.76</v>
      </c>
      <c r="V1905" s="4">
        <v>169.34</v>
      </c>
      <c r="W1905" t="s">
        <v>21</v>
      </c>
      <c r="X1905" t="s">
        <v>36</v>
      </c>
      <c r="Y1905" s="4">
        <v>11</v>
      </c>
      <c r="Z1905" s="4">
        <v>6</v>
      </c>
      <c r="AA1905" t="s">
        <v>37</v>
      </c>
      <c r="AB1905" t="s">
        <v>38</v>
      </c>
      <c r="AC1905" s="7">
        <v>0</v>
      </c>
      <c r="AD1905" t="s">
        <v>39</v>
      </c>
      <c r="AE1905">
        <f t="shared" si="29"/>
        <v>0</v>
      </c>
    </row>
    <row r="1906" spans="1:31" x14ac:dyDescent="0.35">
      <c r="A1906">
        <v>101905</v>
      </c>
      <c r="B1906" s="3">
        <v>45991</v>
      </c>
      <c r="C1906">
        <v>1023</v>
      </c>
      <c r="D1906" t="s">
        <v>30</v>
      </c>
      <c r="E1906" t="s">
        <v>31</v>
      </c>
      <c r="F1906" t="s">
        <v>49</v>
      </c>
      <c r="G1906" t="s">
        <v>50</v>
      </c>
      <c r="H1906" t="s">
        <v>34</v>
      </c>
      <c r="I1906" t="s">
        <v>69</v>
      </c>
      <c r="J1906" s="4">
        <v>29.6</v>
      </c>
      <c r="K1906" s="4">
        <v>19.399999999999999</v>
      </c>
      <c r="L1906">
        <v>5</v>
      </c>
      <c r="M1906" s="4">
        <v>28.71</v>
      </c>
      <c r="N1906" s="4">
        <v>545.53</v>
      </c>
      <c r="O1906" s="4">
        <v>234.92</v>
      </c>
      <c r="P1906" s="4">
        <v>6.73</v>
      </c>
      <c r="Q1906" s="4">
        <v>2.2999999999999998</v>
      </c>
      <c r="R1906" s="4">
        <v>10.95</v>
      </c>
      <c r="S1906" s="4">
        <v>0</v>
      </c>
      <c r="T1906" s="4">
        <v>0</v>
      </c>
      <c r="U1906" s="4">
        <v>254.9</v>
      </c>
      <c r="V1906" s="4">
        <v>290.63</v>
      </c>
      <c r="W1906" t="s">
        <v>21</v>
      </c>
      <c r="X1906" t="s">
        <v>36</v>
      </c>
      <c r="Y1906" s="4">
        <v>24</v>
      </c>
      <c r="Z1906" s="4">
        <v>1</v>
      </c>
      <c r="AA1906" t="s">
        <v>52</v>
      </c>
      <c r="AB1906" t="s">
        <v>44</v>
      </c>
      <c r="AC1906" s="7">
        <v>4</v>
      </c>
      <c r="AD1906" t="s">
        <v>45</v>
      </c>
      <c r="AE1906">
        <f t="shared" si="29"/>
        <v>1</v>
      </c>
    </row>
    <row r="1907" spans="1:31" x14ac:dyDescent="0.35">
      <c r="A1907">
        <v>101906</v>
      </c>
      <c r="B1907" s="3">
        <v>45997</v>
      </c>
      <c r="C1907">
        <v>1109</v>
      </c>
      <c r="D1907" t="s">
        <v>47</v>
      </c>
      <c r="E1907" t="s">
        <v>74</v>
      </c>
      <c r="F1907" t="s">
        <v>49</v>
      </c>
      <c r="G1907" t="s">
        <v>50</v>
      </c>
      <c r="H1907" t="s">
        <v>34</v>
      </c>
      <c r="I1907" t="s">
        <v>42</v>
      </c>
      <c r="J1907" s="4">
        <v>28.43</v>
      </c>
      <c r="K1907" s="4">
        <v>16.79</v>
      </c>
      <c r="L1907">
        <v>5</v>
      </c>
      <c r="M1907" s="4">
        <v>23.87</v>
      </c>
      <c r="N1907" s="4">
        <v>453.47</v>
      </c>
      <c r="O1907" s="4">
        <v>179.51</v>
      </c>
      <c r="P1907" s="4">
        <v>5.9</v>
      </c>
      <c r="Q1907" s="4">
        <v>7.16</v>
      </c>
      <c r="R1907" s="4">
        <v>2.79</v>
      </c>
      <c r="S1907" s="4">
        <v>0</v>
      </c>
      <c r="T1907" s="4">
        <v>0</v>
      </c>
      <c r="U1907" s="4">
        <v>195.36</v>
      </c>
      <c r="V1907" s="4">
        <v>258.11</v>
      </c>
      <c r="W1907" t="s">
        <v>21</v>
      </c>
      <c r="X1907" t="s">
        <v>36</v>
      </c>
      <c r="Y1907" s="4">
        <v>5</v>
      </c>
      <c r="Z1907" s="4">
        <v>0</v>
      </c>
      <c r="AA1907" t="s">
        <v>37</v>
      </c>
      <c r="AB1907" t="s">
        <v>38</v>
      </c>
      <c r="AC1907" s="7">
        <v>0</v>
      </c>
      <c r="AD1907" t="s">
        <v>39</v>
      </c>
      <c r="AE1907">
        <f t="shared" si="29"/>
        <v>0</v>
      </c>
    </row>
    <row r="1908" spans="1:31" x14ac:dyDescent="0.35">
      <c r="A1908">
        <v>101907</v>
      </c>
      <c r="B1908" s="3">
        <v>45965</v>
      </c>
      <c r="C1908">
        <v>1142</v>
      </c>
      <c r="D1908" t="s">
        <v>59</v>
      </c>
      <c r="E1908" t="s">
        <v>73</v>
      </c>
      <c r="F1908" t="s">
        <v>61</v>
      </c>
      <c r="G1908" t="s">
        <v>46</v>
      </c>
      <c r="H1908" t="s">
        <v>34</v>
      </c>
      <c r="I1908" t="s">
        <v>42</v>
      </c>
      <c r="J1908" s="4">
        <v>16.12</v>
      </c>
      <c r="K1908" s="4">
        <v>15.82</v>
      </c>
      <c r="L1908">
        <v>5</v>
      </c>
      <c r="M1908" s="4">
        <v>12.75</v>
      </c>
      <c r="N1908" s="4">
        <v>242.27</v>
      </c>
      <c r="O1908" s="4">
        <v>110.57</v>
      </c>
      <c r="P1908" s="4">
        <v>9.36</v>
      </c>
      <c r="Q1908" s="4">
        <v>3.83</v>
      </c>
      <c r="R1908" s="4">
        <v>3.45</v>
      </c>
      <c r="S1908" s="4">
        <v>0</v>
      </c>
      <c r="T1908" s="4">
        <v>0</v>
      </c>
      <c r="U1908" s="4">
        <v>127.21</v>
      </c>
      <c r="V1908" s="4">
        <v>115.06</v>
      </c>
      <c r="W1908" t="s">
        <v>21</v>
      </c>
      <c r="X1908" t="s">
        <v>36</v>
      </c>
      <c r="Y1908" s="4">
        <v>12</v>
      </c>
      <c r="Z1908" s="4">
        <v>1</v>
      </c>
      <c r="AA1908" t="s">
        <v>37</v>
      </c>
      <c r="AB1908" t="s">
        <v>38</v>
      </c>
      <c r="AC1908" s="7">
        <v>0</v>
      </c>
      <c r="AD1908" t="s">
        <v>39</v>
      </c>
      <c r="AE1908">
        <f t="shared" si="29"/>
        <v>0</v>
      </c>
    </row>
    <row r="1909" spans="1:31" x14ac:dyDescent="0.35">
      <c r="A1909">
        <v>101908</v>
      </c>
      <c r="B1909" s="3">
        <v>45998</v>
      </c>
      <c r="C1909">
        <v>1017</v>
      </c>
      <c r="D1909" t="s">
        <v>47</v>
      </c>
      <c r="E1909" t="s">
        <v>48</v>
      </c>
      <c r="F1909" t="s">
        <v>61</v>
      </c>
      <c r="G1909" t="s">
        <v>33</v>
      </c>
      <c r="H1909" t="s">
        <v>34</v>
      </c>
      <c r="I1909" t="s">
        <v>35</v>
      </c>
      <c r="J1909" s="4">
        <v>28.45</v>
      </c>
      <c r="K1909" s="4">
        <v>19.63</v>
      </c>
      <c r="L1909">
        <v>0</v>
      </c>
      <c r="M1909" s="4">
        <v>0</v>
      </c>
      <c r="N1909" s="4">
        <v>558.47</v>
      </c>
      <c r="O1909" s="4">
        <v>175.94</v>
      </c>
      <c r="P1909" s="4">
        <v>12.16</v>
      </c>
      <c r="Q1909" s="4">
        <v>3.91</v>
      </c>
      <c r="R1909" s="4">
        <v>7.62</v>
      </c>
      <c r="S1909" s="4">
        <v>0</v>
      </c>
      <c r="T1909" s="4">
        <v>0</v>
      </c>
      <c r="U1909" s="4">
        <v>199.63</v>
      </c>
      <c r="V1909" s="4">
        <v>358.84</v>
      </c>
      <c r="W1909" t="s">
        <v>21</v>
      </c>
      <c r="X1909" t="s">
        <v>36</v>
      </c>
      <c r="Y1909" s="4">
        <v>16</v>
      </c>
      <c r="Z1909" s="4">
        <v>7</v>
      </c>
      <c r="AA1909" t="s">
        <v>52</v>
      </c>
      <c r="AB1909" t="s">
        <v>38</v>
      </c>
      <c r="AC1909" s="7">
        <v>0</v>
      </c>
      <c r="AD1909" t="s">
        <v>39</v>
      </c>
      <c r="AE1909">
        <f t="shared" si="29"/>
        <v>0</v>
      </c>
    </row>
    <row r="1910" spans="1:31" x14ac:dyDescent="0.35">
      <c r="A1910">
        <v>101909</v>
      </c>
      <c r="B1910" s="3">
        <v>45937</v>
      </c>
      <c r="C1910">
        <v>1076</v>
      </c>
      <c r="D1910" t="s">
        <v>64</v>
      </c>
      <c r="E1910" t="s">
        <v>65</v>
      </c>
      <c r="F1910" t="s">
        <v>71</v>
      </c>
      <c r="G1910" t="s">
        <v>46</v>
      </c>
      <c r="H1910" t="s">
        <v>34</v>
      </c>
      <c r="I1910" t="s">
        <v>69</v>
      </c>
      <c r="J1910" s="4">
        <v>13.97</v>
      </c>
      <c r="K1910" s="4">
        <v>15.02</v>
      </c>
      <c r="L1910">
        <v>0</v>
      </c>
      <c r="M1910" s="4">
        <v>0</v>
      </c>
      <c r="N1910" s="4">
        <v>209.83</v>
      </c>
      <c r="O1910" s="4">
        <v>87.99</v>
      </c>
      <c r="P1910" s="4">
        <v>13.65</v>
      </c>
      <c r="Q1910" s="4">
        <v>0.84</v>
      </c>
      <c r="R1910" s="4">
        <v>5.61</v>
      </c>
      <c r="S1910" s="4">
        <v>142.58000000000001</v>
      </c>
      <c r="T1910" s="4">
        <v>0</v>
      </c>
      <c r="U1910" s="4">
        <v>250.67</v>
      </c>
      <c r="V1910" s="4">
        <v>-40.840000000000003</v>
      </c>
      <c r="W1910" t="s">
        <v>58</v>
      </c>
      <c r="X1910" t="s">
        <v>55</v>
      </c>
      <c r="Y1910" s="4">
        <v>4</v>
      </c>
      <c r="Z1910" s="4">
        <v>0</v>
      </c>
      <c r="AA1910" t="s">
        <v>37</v>
      </c>
      <c r="AB1910" t="s">
        <v>44</v>
      </c>
      <c r="AC1910" s="7">
        <v>2</v>
      </c>
      <c r="AD1910" t="s">
        <v>45</v>
      </c>
      <c r="AE1910">
        <f t="shared" si="29"/>
        <v>1</v>
      </c>
    </row>
    <row r="1911" spans="1:31" x14ac:dyDescent="0.35">
      <c r="A1911">
        <v>101910</v>
      </c>
      <c r="B1911" s="3">
        <v>45950</v>
      </c>
      <c r="C1911">
        <v>1026</v>
      </c>
      <c r="D1911" t="s">
        <v>59</v>
      </c>
      <c r="E1911" t="s">
        <v>73</v>
      </c>
      <c r="F1911" t="s">
        <v>41</v>
      </c>
      <c r="G1911" t="s">
        <v>63</v>
      </c>
      <c r="H1911" t="s">
        <v>57</v>
      </c>
      <c r="I1911" t="s">
        <v>69</v>
      </c>
      <c r="J1911" s="4">
        <v>20.46</v>
      </c>
      <c r="K1911" s="4">
        <v>12.88</v>
      </c>
      <c r="L1911">
        <v>5</v>
      </c>
      <c r="M1911" s="4">
        <v>13.18</v>
      </c>
      <c r="N1911" s="4">
        <v>250.34</v>
      </c>
      <c r="O1911" s="4">
        <v>172.64</v>
      </c>
      <c r="P1911" s="4">
        <v>9.2100000000000009</v>
      </c>
      <c r="Q1911" s="4">
        <v>1.05</v>
      </c>
      <c r="R1911" s="4">
        <v>7.12</v>
      </c>
      <c r="S1911" s="4">
        <v>0</v>
      </c>
      <c r="T1911" s="4">
        <v>0</v>
      </c>
      <c r="U1911" s="4">
        <v>190.02</v>
      </c>
      <c r="V1911" s="4">
        <v>60.32</v>
      </c>
      <c r="W1911" t="s">
        <v>21</v>
      </c>
      <c r="X1911" t="s">
        <v>36</v>
      </c>
      <c r="Y1911" s="4">
        <v>5</v>
      </c>
      <c r="Z1911" s="4">
        <v>16</v>
      </c>
      <c r="AA1911" t="s">
        <v>37</v>
      </c>
      <c r="AB1911" t="s">
        <v>44</v>
      </c>
      <c r="AC1911" s="7">
        <v>1</v>
      </c>
      <c r="AD1911" t="s">
        <v>45</v>
      </c>
      <c r="AE1911">
        <f t="shared" si="29"/>
        <v>1</v>
      </c>
    </row>
    <row r="1912" spans="1:31" x14ac:dyDescent="0.35">
      <c r="A1912">
        <v>101911</v>
      </c>
      <c r="B1912" s="3">
        <v>45959</v>
      </c>
      <c r="C1912">
        <v>1071</v>
      </c>
      <c r="D1912" t="s">
        <v>59</v>
      </c>
      <c r="E1912" t="s">
        <v>70</v>
      </c>
      <c r="F1912" t="s">
        <v>32</v>
      </c>
      <c r="G1912" t="s">
        <v>50</v>
      </c>
      <c r="H1912" t="s">
        <v>34</v>
      </c>
      <c r="I1912" t="s">
        <v>35</v>
      </c>
      <c r="J1912" s="4">
        <v>20.87</v>
      </c>
      <c r="K1912" s="4">
        <v>17.43</v>
      </c>
      <c r="L1912">
        <v>20</v>
      </c>
      <c r="M1912" s="4">
        <v>72.75</v>
      </c>
      <c r="N1912" s="4">
        <v>291.01</v>
      </c>
      <c r="O1912" s="4">
        <v>146.16</v>
      </c>
      <c r="P1912" s="4">
        <v>1</v>
      </c>
      <c r="Q1912" s="4">
        <v>2.5499999999999998</v>
      </c>
      <c r="R1912" s="4">
        <v>1.78</v>
      </c>
      <c r="S1912" s="4">
        <v>0</v>
      </c>
      <c r="T1912" s="4">
        <v>0</v>
      </c>
      <c r="U1912" s="4">
        <v>151.49</v>
      </c>
      <c r="V1912" s="4">
        <v>139.52000000000001</v>
      </c>
      <c r="W1912" t="s">
        <v>21</v>
      </c>
      <c r="X1912" t="s">
        <v>36</v>
      </c>
      <c r="Y1912" s="4">
        <v>7</v>
      </c>
      <c r="Z1912" s="4">
        <v>19</v>
      </c>
      <c r="AA1912" t="s">
        <v>37</v>
      </c>
      <c r="AB1912" t="s">
        <v>44</v>
      </c>
      <c r="AC1912" s="7">
        <v>1</v>
      </c>
      <c r="AD1912" t="s">
        <v>45</v>
      </c>
      <c r="AE1912">
        <f t="shared" si="29"/>
        <v>1</v>
      </c>
    </row>
    <row r="1913" spans="1:31" x14ac:dyDescent="0.35">
      <c r="A1913">
        <v>101912</v>
      </c>
      <c r="B1913" s="3">
        <v>46000</v>
      </c>
      <c r="C1913">
        <v>1009</v>
      </c>
      <c r="D1913" t="s">
        <v>47</v>
      </c>
      <c r="E1913" t="s">
        <v>48</v>
      </c>
      <c r="F1913" t="s">
        <v>41</v>
      </c>
      <c r="G1913" t="s">
        <v>63</v>
      </c>
      <c r="H1913" t="s">
        <v>57</v>
      </c>
      <c r="I1913" t="s">
        <v>42</v>
      </c>
      <c r="J1913" s="4">
        <v>29.39</v>
      </c>
      <c r="K1913" s="4">
        <v>13</v>
      </c>
      <c r="L1913">
        <v>0</v>
      </c>
      <c r="M1913" s="4">
        <v>0</v>
      </c>
      <c r="N1913" s="4">
        <v>382.07</v>
      </c>
      <c r="O1913" s="4">
        <v>226.12</v>
      </c>
      <c r="P1913" s="4">
        <v>10.48</v>
      </c>
      <c r="Q1913" s="4">
        <v>5.73</v>
      </c>
      <c r="R1913" s="4">
        <v>2.71</v>
      </c>
      <c r="S1913" s="4">
        <v>216.21</v>
      </c>
      <c r="T1913" s="4">
        <v>14.9</v>
      </c>
      <c r="U1913" s="4">
        <v>476.15</v>
      </c>
      <c r="V1913" s="4">
        <v>-94.08</v>
      </c>
      <c r="W1913" t="s">
        <v>58</v>
      </c>
      <c r="X1913" t="s">
        <v>66</v>
      </c>
      <c r="Y1913" s="4">
        <v>12</v>
      </c>
      <c r="Z1913" s="4">
        <v>12</v>
      </c>
      <c r="AA1913" t="s">
        <v>37</v>
      </c>
      <c r="AB1913" t="s">
        <v>38</v>
      </c>
      <c r="AC1913" s="7">
        <v>1</v>
      </c>
      <c r="AD1913" t="s">
        <v>45</v>
      </c>
      <c r="AE1913">
        <f t="shared" si="29"/>
        <v>0</v>
      </c>
    </row>
    <row r="1914" spans="1:31" x14ac:dyDescent="0.35">
      <c r="A1914">
        <v>101913</v>
      </c>
      <c r="B1914" s="3">
        <v>45967</v>
      </c>
      <c r="C1914">
        <v>1078</v>
      </c>
      <c r="D1914" t="s">
        <v>59</v>
      </c>
      <c r="E1914" t="s">
        <v>73</v>
      </c>
      <c r="F1914" t="s">
        <v>61</v>
      </c>
      <c r="G1914" t="s">
        <v>50</v>
      </c>
      <c r="H1914" t="s">
        <v>51</v>
      </c>
      <c r="I1914" t="s">
        <v>35</v>
      </c>
      <c r="J1914" s="4">
        <v>28.24</v>
      </c>
      <c r="K1914" s="4">
        <v>16.95</v>
      </c>
      <c r="L1914">
        <v>5</v>
      </c>
      <c r="M1914" s="4">
        <v>23.93</v>
      </c>
      <c r="N1914" s="4">
        <v>454.74</v>
      </c>
      <c r="O1914" s="4">
        <v>218.89</v>
      </c>
      <c r="P1914" s="4">
        <v>10.97</v>
      </c>
      <c r="Q1914" s="4">
        <v>3.35</v>
      </c>
      <c r="R1914" s="4">
        <v>2.42</v>
      </c>
      <c r="S1914" s="4">
        <v>0</v>
      </c>
      <c r="T1914" s="4">
        <v>0</v>
      </c>
      <c r="U1914" s="4">
        <v>235.63</v>
      </c>
      <c r="V1914" s="4">
        <v>219.11</v>
      </c>
      <c r="W1914" t="s">
        <v>21</v>
      </c>
      <c r="X1914" t="s">
        <v>36</v>
      </c>
      <c r="Y1914" s="4">
        <v>9</v>
      </c>
      <c r="Z1914" s="4">
        <v>1</v>
      </c>
      <c r="AA1914" t="s">
        <v>37</v>
      </c>
      <c r="AB1914" t="s">
        <v>38</v>
      </c>
      <c r="AC1914" s="7">
        <v>0</v>
      </c>
      <c r="AD1914" t="s">
        <v>39</v>
      </c>
      <c r="AE1914">
        <f t="shared" si="29"/>
        <v>0</v>
      </c>
    </row>
    <row r="1915" spans="1:31" x14ac:dyDescent="0.35">
      <c r="A1915">
        <v>101914</v>
      </c>
      <c r="B1915" s="3">
        <v>45980</v>
      </c>
      <c r="C1915">
        <v>1078</v>
      </c>
      <c r="D1915" t="s">
        <v>30</v>
      </c>
      <c r="E1915" t="s">
        <v>62</v>
      </c>
      <c r="F1915" t="s">
        <v>32</v>
      </c>
      <c r="G1915" t="s">
        <v>63</v>
      </c>
      <c r="H1915" t="s">
        <v>34</v>
      </c>
      <c r="I1915" t="s">
        <v>54</v>
      </c>
      <c r="J1915" s="4">
        <v>10.81</v>
      </c>
      <c r="K1915" s="4">
        <v>12.26</v>
      </c>
      <c r="L1915">
        <v>5</v>
      </c>
      <c r="M1915" s="4">
        <v>6.63</v>
      </c>
      <c r="N1915" s="4">
        <v>125.9</v>
      </c>
      <c r="O1915" s="4">
        <v>81.34</v>
      </c>
      <c r="P1915" s="4">
        <v>10.25</v>
      </c>
      <c r="Q1915" s="4">
        <v>1.59</v>
      </c>
      <c r="R1915" s="4">
        <v>5.32</v>
      </c>
      <c r="S1915" s="4">
        <v>0</v>
      </c>
      <c r="T1915" s="4">
        <v>0</v>
      </c>
      <c r="U1915" s="4">
        <v>98.5</v>
      </c>
      <c r="V1915" s="4">
        <v>27.4</v>
      </c>
      <c r="W1915" t="s">
        <v>21</v>
      </c>
      <c r="X1915" t="s">
        <v>36</v>
      </c>
      <c r="Y1915" s="4">
        <v>39</v>
      </c>
      <c r="Z1915" s="4">
        <v>19</v>
      </c>
      <c r="AA1915" t="s">
        <v>43</v>
      </c>
      <c r="AB1915" t="s">
        <v>44</v>
      </c>
      <c r="AC1915" s="7">
        <v>2</v>
      </c>
      <c r="AD1915" t="s">
        <v>45</v>
      </c>
      <c r="AE1915">
        <f t="shared" si="29"/>
        <v>1</v>
      </c>
    </row>
    <row r="1916" spans="1:31" x14ac:dyDescent="0.35">
      <c r="A1916">
        <v>101915</v>
      </c>
      <c r="B1916" s="3">
        <v>45952</v>
      </c>
      <c r="C1916">
        <v>1102</v>
      </c>
      <c r="D1916" t="s">
        <v>30</v>
      </c>
      <c r="E1916" t="s">
        <v>40</v>
      </c>
      <c r="F1916" t="s">
        <v>32</v>
      </c>
      <c r="G1916" t="s">
        <v>33</v>
      </c>
      <c r="H1916" t="s">
        <v>51</v>
      </c>
      <c r="I1916" t="s">
        <v>54</v>
      </c>
      <c r="J1916" s="4">
        <v>31.02</v>
      </c>
      <c r="K1916" s="4">
        <v>19.39</v>
      </c>
      <c r="L1916">
        <v>10</v>
      </c>
      <c r="M1916" s="4">
        <v>60.15</v>
      </c>
      <c r="N1916" s="4">
        <v>541.33000000000004</v>
      </c>
      <c r="O1916" s="4">
        <v>264.93</v>
      </c>
      <c r="P1916" s="4">
        <v>11.43</v>
      </c>
      <c r="Q1916" s="4">
        <v>7.22</v>
      </c>
      <c r="R1916" s="4">
        <v>8.67</v>
      </c>
      <c r="S1916" s="4">
        <v>0</v>
      </c>
      <c r="T1916" s="4">
        <v>0</v>
      </c>
      <c r="U1916" s="4">
        <v>292.25</v>
      </c>
      <c r="V1916" s="4">
        <v>249.08</v>
      </c>
      <c r="W1916" t="s">
        <v>21</v>
      </c>
      <c r="X1916" t="s">
        <v>36</v>
      </c>
      <c r="Y1916" s="4">
        <v>6</v>
      </c>
      <c r="Z1916" s="4">
        <v>1</v>
      </c>
      <c r="AA1916" t="s">
        <v>37</v>
      </c>
      <c r="AB1916" t="s">
        <v>38</v>
      </c>
      <c r="AC1916" s="7">
        <v>0</v>
      </c>
      <c r="AD1916" t="s">
        <v>39</v>
      </c>
      <c r="AE1916">
        <f t="shared" si="29"/>
        <v>0</v>
      </c>
    </row>
    <row r="1917" spans="1:31" x14ac:dyDescent="0.35">
      <c r="A1917">
        <v>101916</v>
      </c>
      <c r="B1917" s="3">
        <v>45946</v>
      </c>
      <c r="C1917">
        <v>1096</v>
      </c>
      <c r="D1917" t="s">
        <v>30</v>
      </c>
      <c r="E1917" t="s">
        <v>31</v>
      </c>
      <c r="F1917" t="s">
        <v>41</v>
      </c>
      <c r="G1917" t="s">
        <v>33</v>
      </c>
      <c r="H1917" t="s">
        <v>34</v>
      </c>
      <c r="I1917" t="s">
        <v>35</v>
      </c>
      <c r="J1917" s="4">
        <v>22.31</v>
      </c>
      <c r="K1917" s="4">
        <v>21.67</v>
      </c>
      <c r="L1917">
        <v>20</v>
      </c>
      <c r="M1917" s="4">
        <v>96.69</v>
      </c>
      <c r="N1917" s="4">
        <v>386.77</v>
      </c>
      <c r="O1917" s="4">
        <v>175.92</v>
      </c>
      <c r="P1917" s="4">
        <v>11.8</v>
      </c>
      <c r="Q1917" s="4">
        <v>3.38</v>
      </c>
      <c r="R1917" s="4">
        <v>0</v>
      </c>
      <c r="S1917" s="4">
        <v>0</v>
      </c>
      <c r="T1917" s="4">
        <v>0</v>
      </c>
      <c r="U1917" s="4">
        <v>191.1</v>
      </c>
      <c r="V1917" s="4">
        <v>195.67</v>
      </c>
      <c r="W1917" t="s">
        <v>21</v>
      </c>
      <c r="X1917" t="s">
        <v>36</v>
      </c>
      <c r="Y1917" s="4">
        <v>3</v>
      </c>
      <c r="Z1917" s="4">
        <v>7</v>
      </c>
      <c r="AA1917" t="s">
        <v>37</v>
      </c>
      <c r="AB1917" t="s">
        <v>38</v>
      </c>
      <c r="AC1917" s="7">
        <v>0</v>
      </c>
      <c r="AD1917" t="s">
        <v>39</v>
      </c>
      <c r="AE1917">
        <f t="shared" si="29"/>
        <v>0</v>
      </c>
    </row>
    <row r="1918" spans="1:31" x14ac:dyDescent="0.35">
      <c r="A1918">
        <v>101917</v>
      </c>
      <c r="B1918" s="3">
        <v>45931</v>
      </c>
      <c r="C1918">
        <v>1085</v>
      </c>
      <c r="D1918" t="s">
        <v>30</v>
      </c>
      <c r="E1918" t="s">
        <v>40</v>
      </c>
      <c r="F1918" t="s">
        <v>41</v>
      </c>
      <c r="G1918" t="s">
        <v>50</v>
      </c>
      <c r="H1918" t="s">
        <v>57</v>
      </c>
      <c r="I1918" t="s">
        <v>54</v>
      </c>
      <c r="J1918" s="4">
        <v>23.56</v>
      </c>
      <c r="K1918" s="4">
        <v>17.71</v>
      </c>
      <c r="L1918">
        <v>5</v>
      </c>
      <c r="M1918" s="4">
        <v>20.86</v>
      </c>
      <c r="N1918" s="4">
        <v>396.39</v>
      </c>
      <c r="O1918" s="4">
        <v>147.66999999999999</v>
      </c>
      <c r="P1918" s="4">
        <v>8.6199999999999992</v>
      </c>
      <c r="Q1918" s="4">
        <v>5.01</v>
      </c>
      <c r="R1918" s="4">
        <v>9.9600000000000009</v>
      </c>
      <c r="S1918" s="4">
        <v>0</v>
      </c>
      <c r="T1918" s="4">
        <v>0</v>
      </c>
      <c r="U1918" s="4">
        <v>171.26</v>
      </c>
      <c r="V1918" s="4">
        <v>225.13</v>
      </c>
      <c r="W1918" t="s">
        <v>21</v>
      </c>
      <c r="X1918" t="s">
        <v>36</v>
      </c>
      <c r="Y1918" s="4">
        <v>2</v>
      </c>
      <c r="Z1918" s="4">
        <v>1</v>
      </c>
      <c r="AA1918" t="s">
        <v>37</v>
      </c>
      <c r="AB1918" t="s">
        <v>38</v>
      </c>
      <c r="AC1918" s="7">
        <v>0</v>
      </c>
      <c r="AD1918" t="s">
        <v>39</v>
      </c>
      <c r="AE1918">
        <f t="shared" si="29"/>
        <v>0</v>
      </c>
    </row>
    <row r="1919" spans="1:31" x14ac:dyDescent="0.35">
      <c r="A1919">
        <v>101918</v>
      </c>
      <c r="B1919" s="3">
        <v>45976</v>
      </c>
      <c r="C1919">
        <v>1092</v>
      </c>
      <c r="D1919" t="s">
        <v>30</v>
      </c>
      <c r="E1919" t="s">
        <v>31</v>
      </c>
      <c r="F1919" t="s">
        <v>32</v>
      </c>
      <c r="G1919" t="s">
        <v>46</v>
      </c>
      <c r="H1919" t="s">
        <v>34</v>
      </c>
      <c r="I1919" t="s">
        <v>54</v>
      </c>
      <c r="J1919" s="4">
        <v>26.21</v>
      </c>
      <c r="K1919" s="4">
        <v>15.37</v>
      </c>
      <c r="L1919">
        <v>5</v>
      </c>
      <c r="M1919" s="4">
        <v>20.14</v>
      </c>
      <c r="N1919" s="4">
        <v>382.71</v>
      </c>
      <c r="O1919" s="4">
        <v>190.24</v>
      </c>
      <c r="P1919" s="4">
        <v>8.18</v>
      </c>
      <c r="Q1919" s="4">
        <v>4.83</v>
      </c>
      <c r="R1919" s="4">
        <v>6.14</v>
      </c>
      <c r="S1919" s="4">
        <v>0</v>
      </c>
      <c r="T1919" s="4">
        <v>0</v>
      </c>
      <c r="U1919" s="4">
        <v>209.39</v>
      </c>
      <c r="V1919" s="4">
        <v>173.32</v>
      </c>
      <c r="W1919" t="s">
        <v>21</v>
      </c>
      <c r="X1919" t="s">
        <v>36</v>
      </c>
      <c r="Y1919" s="4">
        <v>22</v>
      </c>
      <c r="Z1919" s="4">
        <v>17</v>
      </c>
      <c r="AA1919" t="s">
        <v>52</v>
      </c>
      <c r="AB1919" t="s">
        <v>44</v>
      </c>
      <c r="AC1919" s="7">
        <v>2</v>
      </c>
      <c r="AD1919" t="s">
        <v>45</v>
      </c>
      <c r="AE1919">
        <f t="shared" si="29"/>
        <v>1</v>
      </c>
    </row>
    <row r="1920" spans="1:31" x14ac:dyDescent="0.35">
      <c r="A1920">
        <v>101919</v>
      </c>
      <c r="B1920" s="3">
        <v>45932</v>
      </c>
      <c r="C1920">
        <v>1083</v>
      </c>
      <c r="D1920" t="s">
        <v>64</v>
      </c>
      <c r="E1920" t="s">
        <v>65</v>
      </c>
      <c r="F1920" t="s">
        <v>49</v>
      </c>
      <c r="G1920" t="s">
        <v>63</v>
      </c>
      <c r="H1920" t="s">
        <v>57</v>
      </c>
      <c r="I1920" t="s">
        <v>35</v>
      </c>
      <c r="J1920" s="4">
        <v>15.56</v>
      </c>
      <c r="K1920" s="4">
        <v>13.58</v>
      </c>
      <c r="L1920">
        <v>0</v>
      </c>
      <c r="M1920" s="4">
        <v>0</v>
      </c>
      <c r="N1920" s="4">
        <v>211.3</v>
      </c>
      <c r="O1920" s="4">
        <v>125.48</v>
      </c>
      <c r="P1920" s="4">
        <v>7.27</v>
      </c>
      <c r="Q1920" s="4">
        <v>1.48</v>
      </c>
      <c r="R1920" s="4">
        <v>7.16</v>
      </c>
      <c r="S1920" s="4">
        <v>0</v>
      </c>
      <c r="T1920" s="4">
        <v>0</v>
      </c>
      <c r="U1920" s="4">
        <v>141.38999999999999</v>
      </c>
      <c r="V1920" s="4">
        <v>69.91</v>
      </c>
      <c r="W1920" t="s">
        <v>21</v>
      </c>
      <c r="X1920" t="s">
        <v>36</v>
      </c>
      <c r="Y1920" s="4">
        <v>11</v>
      </c>
      <c r="Z1920" s="4">
        <v>2</v>
      </c>
      <c r="AA1920" t="s">
        <v>37</v>
      </c>
      <c r="AB1920" t="s">
        <v>38</v>
      </c>
      <c r="AC1920" s="7">
        <v>0</v>
      </c>
      <c r="AD1920" t="s">
        <v>39</v>
      </c>
      <c r="AE1920">
        <f t="shared" si="29"/>
        <v>0</v>
      </c>
    </row>
    <row r="1921" spans="1:31" x14ac:dyDescent="0.35">
      <c r="A1921">
        <v>101920</v>
      </c>
      <c r="B1921" s="3">
        <v>45933</v>
      </c>
      <c r="C1921">
        <v>1011</v>
      </c>
      <c r="D1921" t="s">
        <v>30</v>
      </c>
      <c r="E1921" t="s">
        <v>62</v>
      </c>
      <c r="F1921" t="s">
        <v>32</v>
      </c>
      <c r="G1921" t="s">
        <v>63</v>
      </c>
      <c r="H1921" t="s">
        <v>51</v>
      </c>
      <c r="I1921" t="s">
        <v>35</v>
      </c>
      <c r="J1921" s="4">
        <v>20.69</v>
      </c>
      <c r="K1921" s="4">
        <v>12.13</v>
      </c>
      <c r="L1921">
        <v>0</v>
      </c>
      <c r="M1921" s="4">
        <v>0</v>
      </c>
      <c r="N1921" s="4">
        <v>250.97</v>
      </c>
      <c r="O1921" s="4">
        <v>154.15</v>
      </c>
      <c r="P1921" s="4">
        <v>7.46</v>
      </c>
      <c r="Q1921" s="4">
        <v>1.76</v>
      </c>
      <c r="R1921" s="4">
        <v>10.73</v>
      </c>
      <c r="S1921" s="4">
        <v>0</v>
      </c>
      <c r="T1921" s="4">
        <v>0</v>
      </c>
      <c r="U1921" s="4">
        <v>174.1</v>
      </c>
      <c r="V1921" s="4">
        <v>76.87</v>
      </c>
      <c r="W1921" t="s">
        <v>21</v>
      </c>
      <c r="X1921" t="s">
        <v>36</v>
      </c>
      <c r="Y1921" s="4">
        <v>1</v>
      </c>
      <c r="Z1921" s="4">
        <v>4</v>
      </c>
      <c r="AA1921" t="s">
        <v>37</v>
      </c>
      <c r="AB1921" t="s">
        <v>38</v>
      </c>
      <c r="AC1921" s="7">
        <v>0</v>
      </c>
      <c r="AD1921" t="s">
        <v>39</v>
      </c>
      <c r="AE1921">
        <f t="shared" si="29"/>
        <v>0</v>
      </c>
    </row>
    <row r="1922" spans="1:31" x14ac:dyDescent="0.35">
      <c r="A1922">
        <v>101921</v>
      </c>
      <c r="B1922" s="3">
        <v>46008</v>
      </c>
      <c r="C1922">
        <v>1145</v>
      </c>
      <c r="D1922" t="s">
        <v>47</v>
      </c>
      <c r="E1922" t="s">
        <v>56</v>
      </c>
      <c r="F1922" t="s">
        <v>32</v>
      </c>
      <c r="G1922" t="s">
        <v>46</v>
      </c>
      <c r="H1922" t="s">
        <v>51</v>
      </c>
      <c r="I1922" t="s">
        <v>69</v>
      </c>
      <c r="J1922" s="4">
        <v>27.54</v>
      </c>
      <c r="K1922" s="4">
        <v>14.85</v>
      </c>
      <c r="L1922">
        <v>5</v>
      </c>
      <c r="M1922" s="4">
        <v>20.45</v>
      </c>
      <c r="N1922" s="4">
        <v>388.52</v>
      </c>
      <c r="O1922" s="4">
        <v>165.73</v>
      </c>
      <c r="P1922" s="4">
        <v>7.25</v>
      </c>
      <c r="Q1922" s="4">
        <v>1.64</v>
      </c>
      <c r="R1922" s="4">
        <v>0</v>
      </c>
      <c r="S1922" s="4">
        <v>0</v>
      </c>
      <c r="T1922" s="4">
        <v>0</v>
      </c>
      <c r="U1922" s="4">
        <v>174.62</v>
      </c>
      <c r="V1922" s="4">
        <v>213.9</v>
      </c>
      <c r="W1922" t="s">
        <v>21</v>
      </c>
      <c r="X1922" t="s">
        <v>36</v>
      </c>
      <c r="Y1922" s="4">
        <v>21</v>
      </c>
      <c r="Z1922" s="4">
        <v>10</v>
      </c>
      <c r="AA1922" t="s">
        <v>52</v>
      </c>
      <c r="AB1922" t="s">
        <v>44</v>
      </c>
      <c r="AC1922" s="7">
        <v>2</v>
      </c>
      <c r="AD1922" t="s">
        <v>45</v>
      </c>
      <c r="AE1922">
        <f t="shared" si="29"/>
        <v>1</v>
      </c>
    </row>
    <row r="1923" spans="1:31" x14ac:dyDescent="0.35">
      <c r="A1923">
        <v>101922</v>
      </c>
      <c r="B1923" s="3">
        <v>45937</v>
      </c>
      <c r="C1923">
        <v>1039</v>
      </c>
      <c r="D1923" t="s">
        <v>47</v>
      </c>
      <c r="E1923" t="s">
        <v>74</v>
      </c>
      <c r="F1923" t="s">
        <v>49</v>
      </c>
      <c r="G1923" t="s">
        <v>63</v>
      </c>
      <c r="H1923" t="s">
        <v>34</v>
      </c>
      <c r="I1923" t="s">
        <v>35</v>
      </c>
      <c r="J1923" s="4">
        <v>27.87</v>
      </c>
      <c r="K1923" s="4">
        <v>13.76</v>
      </c>
      <c r="L1923">
        <v>15</v>
      </c>
      <c r="M1923" s="4">
        <v>57.52</v>
      </c>
      <c r="N1923" s="4">
        <v>325.97000000000003</v>
      </c>
      <c r="O1923" s="4">
        <v>237.43</v>
      </c>
      <c r="P1923" s="4">
        <v>4.5599999999999996</v>
      </c>
      <c r="Q1923" s="4">
        <v>2.68</v>
      </c>
      <c r="R1923" s="4">
        <v>12.83</v>
      </c>
      <c r="S1923" s="4">
        <v>0</v>
      </c>
      <c r="T1923" s="4">
        <v>0</v>
      </c>
      <c r="U1923" s="4">
        <v>257.5</v>
      </c>
      <c r="V1923" s="4">
        <v>68.47</v>
      </c>
      <c r="W1923" t="s">
        <v>21</v>
      </c>
      <c r="X1923" t="s">
        <v>36</v>
      </c>
      <c r="Y1923" s="4">
        <v>3</v>
      </c>
      <c r="Z1923" s="4">
        <v>2</v>
      </c>
      <c r="AA1923" t="s">
        <v>37</v>
      </c>
      <c r="AB1923" t="s">
        <v>38</v>
      </c>
      <c r="AC1923" s="7">
        <v>0</v>
      </c>
      <c r="AD1923" t="s">
        <v>39</v>
      </c>
      <c r="AE1923">
        <f t="shared" ref="AE1923:AE1986" si="30">IF(AB1923="Yes",1,0)</f>
        <v>0</v>
      </c>
    </row>
    <row r="1924" spans="1:31" x14ac:dyDescent="0.35">
      <c r="A1924">
        <v>101923</v>
      </c>
      <c r="B1924" s="3">
        <v>45996</v>
      </c>
      <c r="C1924">
        <v>1087</v>
      </c>
      <c r="D1924" t="s">
        <v>30</v>
      </c>
      <c r="E1924" t="s">
        <v>72</v>
      </c>
      <c r="F1924" t="s">
        <v>61</v>
      </c>
      <c r="G1924" t="s">
        <v>63</v>
      </c>
      <c r="H1924" t="s">
        <v>34</v>
      </c>
      <c r="I1924" t="s">
        <v>42</v>
      </c>
      <c r="J1924" s="4">
        <v>31.42</v>
      </c>
      <c r="K1924" s="4">
        <v>11.68</v>
      </c>
      <c r="L1924">
        <v>10</v>
      </c>
      <c r="M1924" s="4">
        <v>36.700000000000003</v>
      </c>
      <c r="N1924" s="4">
        <v>330.29</v>
      </c>
      <c r="O1924" s="4">
        <v>214.71</v>
      </c>
      <c r="P1924" s="4">
        <v>10.02</v>
      </c>
      <c r="Q1924" s="4">
        <v>5.5</v>
      </c>
      <c r="R1924" s="4">
        <v>9.27</v>
      </c>
      <c r="S1924" s="4">
        <v>0</v>
      </c>
      <c r="T1924" s="4">
        <v>0</v>
      </c>
      <c r="U1924" s="4">
        <v>239.5</v>
      </c>
      <c r="V1924" s="4">
        <v>90.79</v>
      </c>
      <c r="W1924" t="s">
        <v>21</v>
      </c>
      <c r="X1924" t="s">
        <v>36</v>
      </c>
      <c r="Y1924" s="4">
        <v>0</v>
      </c>
      <c r="Z1924" s="4">
        <v>2</v>
      </c>
      <c r="AA1924" t="s">
        <v>37</v>
      </c>
      <c r="AB1924" t="s">
        <v>38</v>
      </c>
      <c r="AC1924" s="7">
        <v>1</v>
      </c>
      <c r="AD1924" t="s">
        <v>39</v>
      </c>
      <c r="AE1924">
        <f t="shared" si="30"/>
        <v>0</v>
      </c>
    </row>
    <row r="1925" spans="1:31" x14ac:dyDescent="0.35">
      <c r="A1925">
        <v>101924</v>
      </c>
      <c r="B1925" s="3">
        <v>45968</v>
      </c>
      <c r="C1925">
        <v>1024</v>
      </c>
      <c r="D1925" t="s">
        <v>64</v>
      </c>
      <c r="E1925" t="s">
        <v>65</v>
      </c>
      <c r="F1925" t="s">
        <v>41</v>
      </c>
      <c r="G1925" t="s">
        <v>33</v>
      </c>
      <c r="H1925" t="s">
        <v>57</v>
      </c>
      <c r="I1925" t="s">
        <v>42</v>
      </c>
      <c r="J1925" s="4">
        <v>28.49</v>
      </c>
      <c r="K1925" s="4">
        <v>19.12</v>
      </c>
      <c r="L1925">
        <v>0</v>
      </c>
      <c r="M1925" s="4">
        <v>0</v>
      </c>
      <c r="N1925" s="4">
        <v>544.73</v>
      </c>
      <c r="O1925" s="4">
        <v>212.53</v>
      </c>
      <c r="P1925" s="4">
        <v>8.52</v>
      </c>
      <c r="Q1925" s="4">
        <v>8.17</v>
      </c>
      <c r="R1925" s="4">
        <v>1.45</v>
      </c>
      <c r="S1925" s="4">
        <v>0</v>
      </c>
      <c r="T1925" s="4">
        <v>0</v>
      </c>
      <c r="U1925" s="4">
        <v>230.67</v>
      </c>
      <c r="V1925" s="4">
        <v>314.06</v>
      </c>
      <c r="W1925" t="s">
        <v>21</v>
      </c>
      <c r="X1925" t="s">
        <v>36</v>
      </c>
      <c r="Y1925" s="4">
        <v>5</v>
      </c>
      <c r="Z1925" s="4">
        <v>0</v>
      </c>
      <c r="AA1925" t="s">
        <v>37</v>
      </c>
      <c r="AB1925" t="s">
        <v>38</v>
      </c>
      <c r="AC1925" s="7">
        <v>0</v>
      </c>
      <c r="AD1925" t="s">
        <v>39</v>
      </c>
      <c r="AE1925">
        <f t="shared" si="30"/>
        <v>0</v>
      </c>
    </row>
    <row r="1926" spans="1:31" x14ac:dyDescent="0.35">
      <c r="A1926">
        <v>101925</v>
      </c>
      <c r="B1926" s="3">
        <v>45980</v>
      </c>
      <c r="C1926">
        <v>1141</v>
      </c>
      <c r="D1926" t="s">
        <v>47</v>
      </c>
      <c r="E1926" t="s">
        <v>53</v>
      </c>
      <c r="F1926" t="s">
        <v>61</v>
      </c>
      <c r="G1926" t="s">
        <v>50</v>
      </c>
      <c r="H1926" t="s">
        <v>34</v>
      </c>
      <c r="I1926" t="s">
        <v>54</v>
      </c>
      <c r="J1926" s="4">
        <v>19.64</v>
      </c>
      <c r="K1926" s="4">
        <v>18.46</v>
      </c>
      <c r="L1926">
        <v>0</v>
      </c>
      <c r="M1926" s="4">
        <v>0</v>
      </c>
      <c r="N1926" s="4">
        <v>362.55</v>
      </c>
      <c r="O1926" s="4">
        <v>115.07</v>
      </c>
      <c r="P1926" s="4">
        <v>13.18</v>
      </c>
      <c r="Q1926" s="4">
        <v>4.3499999999999996</v>
      </c>
      <c r="R1926" s="4">
        <v>15.59</v>
      </c>
      <c r="S1926" s="4">
        <v>0</v>
      </c>
      <c r="T1926" s="4">
        <v>0</v>
      </c>
      <c r="U1926" s="4">
        <v>148.19</v>
      </c>
      <c r="V1926" s="4">
        <v>214.36</v>
      </c>
      <c r="W1926" t="s">
        <v>21</v>
      </c>
      <c r="X1926" t="s">
        <v>36</v>
      </c>
      <c r="Y1926" s="4">
        <v>5</v>
      </c>
      <c r="Z1926" s="4">
        <v>0</v>
      </c>
      <c r="AA1926" t="s">
        <v>37</v>
      </c>
      <c r="AB1926" t="s">
        <v>38</v>
      </c>
      <c r="AC1926" s="7">
        <v>0</v>
      </c>
      <c r="AD1926" t="s">
        <v>39</v>
      </c>
      <c r="AE1926">
        <f t="shared" si="30"/>
        <v>0</v>
      </c>
    </row>
    <row r="1927" spans="1:31" x14ac:dyDescent="0.35">
      <c r="A1927">
        <v>101926</v>
      </c>
      <c r="B1927" s="3">
        <v>46001</v>
      </c>
      <c r="C1927">
        <v>1082</v>
      </c>
      <c r="D1927" t="s">
        <v>47</v>
      </c>
      <c r="E1927" t="s">
        <v>48</v>
      </c>
      <c r="F1927" t="s">
        <v>32</v>
      </c>
      <c r="G1927" t="s">
        <v>46</v>
      </c>
      <c r="H1927" t="s">
        <v>34</v>
      </c>
      <c r="I1927" t="s">
        <v>35</v>
      </c>
      <c r="J1927" s="4">
        <v>26.18</v>
      </c>
      <c r="K1927" s="4">
        <v>15.45</v>
      </c>
      <c r="L1927">
        <v>0</v>
      </c>
      <c r="M1927" s="4">
        <v>0</v>
      </c>
      <c r="N1927" s="4">
        <v>404.48</v>
      </c>
      <c r="O1927" s="4">
        <v>220.1</v>
      </c>
      <c r="P1927" s="4">
        <v>10.48</v>
      </c>
      <c r="Q1927" s="4">
        <v>2.83</v>
      </c>
      <c r="R1927" s="4">
        <v>5.05</v>
      </c>
      <c r="S1927" s="4">
        <v>0</v>
      </c>
      <c r="T1927" s="4">
        <v>0</v>
      </c>
      <c r="U1927" s="4">
        <v>238.46</v>
      </c>
      <c r="V1927" s="4">
        <v>166.02</v>
      </c>
      <c r="W1927" t="s">
        <v>21</v>
      </c>
      <c r="X1927" t="s">
        <v>36</v>
      </c>
      <c r="Y1927" s="4">
        <v>9</v>
      </c>
      <c r="Z1927" s="4">
        <v>2</v>
      </c>
      <c r="AA1927" t="s">
        <v>37</v>
      </c>
      <c r="AB1927" t="s">
        <v>38</v>
      </c>
      <c r="AC1927" s="7">
        <v>1</v>
      </c>
      <c r="AD1927" t="s">
        <v>39</v>
      </c>
      <c r="AE1927">
        <f t="shared" si="30"/>
        <v>0</v>
      </c>
    </row>
    <row r="1928" spans="1:31" x14ac:dyDescent="0.35">
      <c r="A1928">
        <v>101927</v>
      </c>
      <c r="B1928" s="3">
        <v>46017</v>
      </c>
      <c r="C1928">
        <v>1136</v>
      </c>
      <c r="D1928" t="s">
        <v>64</v>
      </c>
      <c r="E1928" t="s">
        <v>76</v>
      </c>
      <c r="F1928" t="s">
        <v>71</v>
      </c>
      <c r="G1928" t="s">
        <v>63</v>
      </c>
      <c r="H1928" t="s">
        <v>34</v>
      </c>
      <c r="I1928" t="s">
        <v>35</v>
      </c>
      <c r="J1928" s="4">
        <v>17.579999999999998</v>
      </c>
      <c r="K1928" s="4">
        <v>10.96</v>
      </c>
      <c r="L1928">
        <v>5</v>
      </c>
      <c r="M1928" s="4">
        <v>9.6300000000000008</v>
      </c>
      <c r="N1928" s="4">
        <v>183.05</v>
      </c>
      <c r="O1928" s="4">
        <v>119.93</v>
      </c>
      <c r="P1928" s="4">
        <v>6.72</v>
      </c>
      <c r="Q1928" s="4">
        <v>1.35</v>
      </c>
      <c r="R1928" s="4">
        <v>4.66</v>
      </c>
      <c r="S1928" s="4">
        <v>0</v>
      </c>
      <c r="T1928" s="4">
        <v>0</v>
      </c>
      <c r="U1928" s="4">
        <v>132.66</v>
      </c>
      <c r="V1928" s="4">
        <v>50.39</v>
      </c>
      <c r="W1928" t="s">
        <v>21</v>
      </c>
      <c r="X1928" t="s">
        <v>36</v>
      </c>
      <c r="Y1928" s="4">
        <v>24</v>
      </c>
      <c r="Z1928" s="4">
        <v>6</v>
      </c>
      <c r="AA1928" t="s">
        <v>52</v>
      </c>
      <c r="AB1928" t="s">
        <v>44</v>
      </c>
      <c r="AC1928" s="7">
        <v>3</v>
      </c>
      <c r="AD1928" t="s">
        <v>45</v>
      </c>
      <c r="AE1928">
        <f t="shared" si="30"/>
        <v>1</v>
      </c>
    </row>
    <row r="1929" spans="1:31" x14ac:dyDescent="0.35">
      <c r="A1929">
        <v>101928</v>
      </c>
      <c r="B1929" s="3">
        <v>45942</v>
      </c>
      <c r="C1929">
        <v>1032</v>
      </c>
      <c r="D1929" t="s">
        <v>59</v>
      </c>
      <c r="E1929" t="s">
        <v>60</v>
      </c>
      <c r="F1929" t="s">
        <v>41</v>
      </c>
      <c r="G1929" t="s">
        <v>63</v>
      </c>
      <c r="H1929" t="s">
        <v>57</v>
      </c>
      <c r="I1929" t="s">
        <v>69</v>
      </c>
      <c r="J1929" s="4">
        <v>12.73</v>
      </c>
      <c r="K1929" s="4">
        <v>11.96</v>
      </c>
      <c r="L1929">
        <v>0</v>
      </c>
      <c r="M1929" s="4">
        <v>0</v>
      </c>
      <c r="N1929" s="4">
        <v>152.25</v>
      </c>
      <c r="O1929" s="4">
        <v>104.79</v>
      </c>
      <c r="P1929" s="4">
        <v>13.25</v>
      </c>
      <c r="Q1929" s="4">
        <v>0.61</v>
      </c>
      <c r="R1929" s="4">
        <v>4.99</v>
      </c>
      <c r="S1929" s="4">
        <v>0</v>
      </c>
      <c r="T1929" s="4">
        <v>0</v>
      </c>
      <c r="U1929" s="4">
        <v>123.64</v>
      </c>
      <c r="V1929" s="4">
        <v>28.61</v>
      </c>
      <c r="W1929" t="s">
        <v>21</v>
      </c>
      <c r="X1929" t="s">
        <v>36</v>
      </c>
      <c r="Y1929" s="4">
        <v>2</v>
      </c>
      <c r="Z1929" s="4">
        <v>9</v>
      </c>
      <c r="AA1929" t="s">
        <v>37</v>
      </c>
      <c r="AB1929" t="s">
        <v>38</v>
      </c>
      <c r="AC1929" s="7">
        <v>0</v>
      </c>
      <c r="AD1929" t="s">
        <v>39</v>
      </c>
      <c r="AE1929">
        <f t="shared" si="30"/>
        <v>0</v>
      </c>
    </row>
    <row r="1930" spans="1:31" x14ac:dyDescent="0.35">
      <c r="A1930">
        <v>101929</v>
      </c>
      <c r="B1930" s="3">
        <v>45974</v>
      </c>
      <c r="C1930">
        <v>1080</v>
      </c>
      <c r="D1930" t="s">
        <v>64</v>
      </c>
      <c r="E1930" t="s">
        <v>65</v>
      </c>
      <c r="F1930" t="s">
        <v>61</v>
      </c>
      <c r="G1930" t="s">
        <v>63</v>
      </c>
      <c r="H1930" t="s">
        <v>34</v>
      </c>
      <c r="I1930" t="s">
        <v>35</v>
      </c>
      <c r="J1930" s="4">
        <v>25.02</v>
      </c>
      <c r="K1930" s="4">
        <v>12.89</v>
      </c>
      <c r="L1930">
        <v>0</v>
      </c>
      <c r="M1930" s="4">
        <v>0</v>
      </c>
      <c r="N1930" s="4">
        <v>322.51</v>
      </c>
      <c r="O1930" s="4">
        <v>179.91</v>
      </c>
      <c r="P1930" s="4">
        <v>9.92</v>
      </c>
      <c r="Q1930" s="4">
        <v>2.2599999999999998</v>
      </c>
      <c r="R1930" s="4">
        <v>10.87</v>
      </c>
      <c r="S1930" s="4">
        <v>0</v>
      </c>
      <c r="T1930" s="4">
        <v>0</v>
      </c>
      <c r="U1930" s="4">
        <v>202.96</v>
      </c>
      <c r="V1930" s="4">
        <v>119.55</v>
      </c>
      <c r="W1930" t="s">
        <v>21</v>
      </c>
      <c r="X1930" t="s">
        <v>36</v>
      </c>
      <c r="Y1930" s="4">
        <v>21</v>
      </c>
      <c r="Z1930" s="4">
        <v>9</v>
      </c>
      <c r="AA1930" t="s">
        <v>52</v>
      </c>
      <c r="AB1930" t="s">
        <v>44</v>
      </c>
      <c r="AC1930" s="7">
        <v>1</v>
      </c>
      <c r="AD1930" t="s">
        <v>45</v>
      </c>
      <c r="AE1930">
        <f t="shared" si="30"/>
        <v>1</v>
      </c>
    </row>
    <row r="1931" spans="1:31" x14ac:dyDescent="0.35">
      <c r="A1931">
        <v>101930</v>
      </c>
      <c r="B1931" s="3">
        <v>45995</v>
      </c>
      <c r="C1931">
        <v>1111</v>
      </c>
      <c r="D1931" t="s">
        <v>30</v>
      </c>
      <c r="E1931" t="s">
        <v>62</v>
      </c>
      <c r="F1931" t="s">
        <v>41</v>
      </c>
      <c r="G1931" t="s">
        <v>46</v>
      </c>
      <c r="H1931" t="s">
        <v>57</v>
      </c>
      <c r="I1931" t="s">
        <v>35</v>
      </c>
      <c r="J1931" s="4">
        <v>26.61</v>
      </c>
      <c r="K1931" s="4">
        <v>17.05</v>
      </c>
      <c r="L1931">
        <v>5</v>
      </c>
      <c r="M1931" s="4">
        <v>22.68</v>
      </c>
      <c r="N1931" s="4">
        <v>431.02</v>
      </c>
      <c r="O1931" s="4">
        <v>210.51</v>
      </c>
      <c r="P1931" s="4">
        <v>8.5</v>
      </c>
      <c r="Q1931" s="4">
        <v>3.18</v>
      </c>
      <c r="R1931" s="4">
        <v>6.19</v>
      </c>
      <c r="S1931" s="4">
        <v>0</v>
      </c>
      <c r="T1931" s="4">
        <v>0</v>
      </c>
      <c r="U1931" s="4">
        <v>228.38</v>
      </c>
      <c r="V1931" s="4">
        <v>202.64</v>
      </c>
      <c r="W1931" t="s">
        <v>21</v>
      </c>
      <c r="X1931" t="s">
        <v>36</v>
      </c>
      <c r="Y1931" s="4">
        <v>4</v>
      </c>
      <c r="Z1931" s="4">
        <v>7</v>
      </c>
      <c r="AA1931" t="s">
        <v>37</v>
      </c>
      <c r="AB1931" t="s">
        <v>38</v>
      </c>
      <c r="AC1931" s="7">
        <v>1</v>
      </c>
      <c r="AD1931" t="s">
        <v>39</v>
      </c>
      <c r="AE1931">
        <f t="shared" si="30"/>
        <v>0</v>
      </c>
    </row>
    <row r="1932" spans="1:31" x14ac:dyDescent="0.35">
      <c r="A1932">
        <v>101931</v>
      </c>
      <c r="B1932" s="3">
        <v>45986</v>
      </c>
      <c r="C1932">
        <v>1059</v>
      </c>
      <c r="D1932" t="s">
        <v>47</v>
      </c>
      <c r="E1932" t="s">
        <v>74</v>
      </c>
      <c r="F1932" t="s">
        <v>49</v>
      </c>
      <c r="G1932" t="s">
        <v>46</v>
      </c>
      <c r="H1932" t="s">
        <v>51</v>
      </c>
      <c r="I1932" t="s">
        <v>42</v>
      </c>
      <c r="J1932" s="4">
        <v>21.17</v>
      </c>
      <c r="K1932" s="4">
        <v>16.22</v>
      </c>
      <c r="L1932">
        <v>15</v>
      </c>
      <c r="M1932" s="4">
        <v>51.51</v>
      </c>
      <c r="N1932" s="4">
        <v>291.87</v>
      </c>
      <c r="O1932" s="4">
        <v>161.22999999999999</v>
      </c>
      <c r="P1932" s="4">
        <v>13.56</v>
      </c>
      <c r="Q1932" s="4">
        <v>5.15</v>
      </c>
      <c r="R1932" s="4">
        <v>4.6500000000000004</v>
      </c>
      <c r="S1932" s="4">
        <v>0</v>
      </c>
      <c r="T1932" s="4">
        <v>0</v>
      </c>
      <c r="U1932" s="4">
        <v>184.59</v>
      </c>
      <c r="V1932" s="4">
        <v>107.28</v>
      </c>
      <c r="W1932" t="s">
        <v>21</v>
      </c>
      <c r="X1932" t="s">
        <v>36</v>
      </c>
      <c r="Y1932" s="4">
        <v>1</v>
      </c>
      <c r="Z1932" s="4">
        <v>4</v>
      </c>
      <c r="AA1932" t="s">
        <v>37</v>
      </c>
      <c r="AB1932" t="s">
        <v>38</v>
      </c>
      <c r="AC1932" s="7">
        <v>2</v>
      </c>
      <c r="AD1932" t="s">
        <v>39</v>
      </c>
      <c r="AE1932">
        <f t="shared" si="30"/>
        <v>0</v>
      </c>
    </row>
    <row r="1933" spans="1:31" x14ac:dyDescent="0.35">
      <c r="A1933">
        <v>101932</v>
      </c>
      <c r="B1933" s="3">
        <v>46015</v>
      </c>
      <c r="C1933">
        <v>1146</v>
      </c>
      <c r="D1933" t="s">
        <v>47</v>
      </c>
      <c r="E1933" t="s">
        <v>53</v>
      </c>
      <c r="F1933" t="s">
        <v>71</v>
      </c>
      <c r="G1933" t="s">
        <v>63</v>
      </c>
      <c r="H1933" t="s">
        <v>34</v>
      </c>
      <c r="I1933" t="s">
        <v>35</v>
      </c>
      <c r="J1933" s="4">
        <v>23.17</v>
      </c>
      <c r="K1933" s="4">
        <v>12.8</v>
      </c>
      <c r="L1933">
        <v>15</v>
      </c>
      <c r="M1933" s="4">
        <v>44.49</v>
      </c>
      <c r="N1933" s="4">
        <v>252.09</v>
      </c>
      <c r="O1933" s="4">
        <v>178.23</v>
      </c>
      <c r="P1933" s="4">
        <v>7.11</v>
      </c>
      <c r="Q1933" s="4">
        <v>2.08</v>
      </c>
      <c r="R1933" s="4">
        <v>0</v>
      </c>
      <c r="S1933" s="4">
        <v>0</v>
      </c>
      <c r="T1933" s="4">
        <v>0</v>
      </c>
      <c r="U1933" s="4">
        <v>187.42</v>
      </c>
      <c r="V1933" s="4">
        <v>64.67</v>
      </c>
      <c r="W1933" t="s">
        <v>21</v>
      </c>
      <c r="X1933" t="s">
        <v>36</v>
      </c>
      <c r="Y1933" s="4">
        <v>6</v>
      </c>
      <c r="Z1933" s="4">
        <v>2</v>
      </c>
      <c r="AA1933" t="s">
        <v>37</v>
      </c>
      <c r="AB1933" t="s">
        <v>38</v>
      </c>
      <c r="AC1933" s="7">
        <v>0</v>
      </c>
      <c r="AD1933" t="s">
        <v>39</v>
      </c>
      <c r="AE1933">
        <f t="shared" si="30"/>
        <v>0</v>
      </c>
    </row>
    <row r="1934" spans="1:31" x14ac:dyDescent="0.35">
      <c r="A1934">
        <v>101933</v>
      </c>
      <c r="B1934" s="3">
        <v>45994</v>
      </c>
      <c r="C1934">
        <v>1125</v>
      </c>
      <c r="D1934" t="s">
        <v>47</v>
      </c>
      <c r="E1934" t="s">
        <v>74</v>
      </c>
      <c r="F1934" t="s">
        <v>71</v>
      </c>
      <c r="G1934" t="s">
        <v>63</v>
      </c>
      <c r="H1934" t="s">
        <v>34</v>
      </c>
      <c r="I1934" t="s">
        <v>35</v>
      </c>
      <c r="J1934" s="4">
        <v>13.92</v>
      </c>
      <c r="K1934" s="4">
        <v>12.36</v>
      </c>
      <c r="L1934">
        <v>0</v>
      </c>
      <c r="M1934" s="4">
        <v>0</v>
      </c>
      <c r="N1934" s="4">
        <v>172.05</v>
      </c>
      <c r="O1934" s="4">
        <v>114.64</v>
      </c>
      <c r="P1934" s="4">
        <v>12.34</v>
      </c>
      <c r="Q1934" s="4">
        <v>1.2</v>
      </c>
      <c r="R1934" s="4">
        <v>12.63</v>
      </c>
      <c r="S1934" s="4">
        <v>122.86</v>
      </c>
      <c r="T1934" s="4">
        <v>0</v>
      </c>
      <c r="U1934" s="4">
        <v>263.67</v>
      </c>
      <c r="V1934" s="4">
        <v>-91.62</v>
      </c>
      <c r="W1934" t="s">
        <v>58</v>
      </c>
      <c r="X1934" t="s">
        <v>55</v>
      </c>
      <c r="Y1934" s="4">
        <v>0</v>
      </c>
      <c r="Z1934" s="4">
        <v>1</v>
      </c>
      <c r="AA1934" t="s">
        <v>37</v>
      </c>
      <c r="AB1934" t="s">
        <v>44</v>
      </c>
      <c r="AC1934" s="7">
        <v>2</v>
      </c>
      <c r="AD1934" t="s">
        <v>45</v>
      </c>
      <c r="AE1934">
        <f t="shared" si="30"/>
        <v>1</v>
      </c>
    </row>
    <row r="1935" spans="1:31" x14ac:dyDescent="0.35">
      <c r="A1935">
        <v>101934</v>
      </c>
      <c r="B1935" s="3">
        <v>45966</v>
      </c>
      <c r="C1935">
        <v>1097</v>
      </c>
      <c r="D1935" t="s">
        <v>47</v>
      </c>
      <c r="E1935" t="s">
        <v>53</v>
      </c>
      <c r="F1935" t="s">
        <v>41</v>
      </c>
      <c r="G1935" t="s">
        <v>63</v>
      </c>
      <c r="H1935" t="s">
        <v>34</v>
      </c>
      <c r="I1935" t="s">
        <v>54</v>
      </c>
      <c r="J1935" s="4">
        <v>30.77</v>
      </c>
      <c r="K1935" s="4">
        <v>11.77</v>
      </c>
      <c r="L1935">
        <v>0</v>
      </c>
      <c r="M1935" s="4">
        <v>0</v>
      </c>
      <c r="N1935" s="4">
        <v>362.16</v>
      </c>
      <c r="O1935" s="4">
        <v>228.18</v>
      </c>
      <c r="P1935" s="4">
        <v>7.43</v>
      </c>
      <c r="Q1935" s="4">
        <v>4.3499999999999996</v>
      </c>
      <c r="R1935" s="4">
        <v>15.26</v>
      </c>
      <c r="S1935" s="4">
        <v>0</v>
      </c>
      <c r="T1935" s="4">
        <v>0</v>
      </c>
      <c r="U1935" s="4">
        <v>255.22</v>
      </c>
      <c r="V1935" s="4">
        <v>106.94</v>
      </c>
      <c r="W1935" t="s">
        <v>21</v>
      </c>
      <c r="X1935" t="s">
        <v>36</v>
      </c>
      <c r="Y1935" s="4">
        <v>3</v>
      </c>
      <c r="Z1935" s="4">
        <v>12</v>
      </c>
      <c r="AA1935" t="s">
        <v>37</v>
      </c>
      <c r="AB1935" t="s">
        <v>38</v>
      </c>
      <c r="AC1935" s="7">
        <v>0</v>
      </c>
      <c r="AD1935" t="s">
        <v>39</v>
      </c>
      <c r="AE1935">
        <f t="shared" si="30"/>
        <v>0</v>
      </c>
    </row>
    <row r="1936" spans="1:31" x14ac:dyDescent="0.35">
      <c r="A1936">
        <v>101935</v>
      </c>
      <c r="B1936" s="3">
        <v>45974</v>
      </c>
      <c r="C1936">
        <v>1112</v>
      </c>
      <c r="D1936" t="s">
        <v>59</v>
      </c>
      <c r="E1936" t="s">
        <v>73</v>
      </c>
      <c r="F1936" t="s">
        <v>71</v>
      </c>
      <c r="G1936" t="s">
        <v>63</v>
      </c>
      <c r="H1936" t="s">
        <v>34</v>
      </c>
      <c r="I1936" t="s">
        <v>35</v>
      </c>
      <c r="J1936" s="4">
        <v>10.65</v>
      </c>
      <c r="K1936" s="4">
        <v>16.02</v>
      </c>
      <c r="L1936">
        <v>15</v>
      </c>
      <c r="M1936" s="4">
        <v>25.59</v>
      </c>
      <c r="N1936" s="4">
        <v>145.02000000000001</v>
      </c>
      <c r="O1936" s="4">
        <v>62.54</v>
      </c>
      <c r="P1936" s="4">
        <v>9.48</v>
      </c>
      <c r="Q1936" s="4">
        <v>1.19</v>
      </c>
      <c r="R1936" s="4">
        <v>2.57</v>
      </c>
      <c r="S1936" s="4">
        <v>0</v>
      </c>
      <c r="T1936" s="4">
        <v>0</v>
      </c>
      <c r="U1936" s="4">
        <v>75.78</v>
      </c>
      <c r="V1936" s="4">
        <v>69.239999999999995</v>
      </c>
      <c r="W1936" t="s">
        <v>21</v>
      </c>
      <c r="X1936" t="s">
        <v>36</v>
      </c>
      <c r="Y1936" s="4">
        <v>29</v>
      </c>
      <c r="Z1936" s="4">
        <v>15</v>
      </c>
      <c r="AA1936" t="s">
        <v>52</v>
      </c>
      <c r="AB1936" t="s">
        <v>44</v>
      </c>
      <c r="AC1936" s="7">
        <v>2</v>
      </c>
      <c r="AD1936" t="s">
        <v>45</v>
      </c>
      <c r="AE1936">
        <f t="shared" si="30"/>
        <v>1</v>
      </c>
    </row>
    <row r="1937" spans="1:31" x14ac:dyDescent="0.35">
      <c r="A1937">
        <v>101936</v>
      </c>
      <c r="B1937" s="3">
        <v>45961</v>
      </c>
      <c r="C1937">
        <v>1052</v>
      </c>
      <c r="D1937" t="s">
        <v>30</v>
      </c>
      <c r="E1937" t="s">
        <v>72</v>
      </c>
      <c r="F1937" t="s">
        <v>71</v>
      </c>
      <c r="G1937" t="s">
        <v>33</v>
      </c>
      <c r="H1937" t="s">
        <v>34</v>
      </c>
      <c r="I1937" t="s">
        <v>35</v>
      </c>
      <c r="J1937" s="4">
        <v>28.76</v>
      </c>
      <c r="K1937" s="4">
        <v>19.03</v>
      </c>
      <c r="L1937">
        <v>10</v>
      </c>
      <c r="M1937" s="4">
        <v>54.73</v>
      </c>
      <c r="N1937" s="4">
        <v>492.57</v>
      </c>
      <c r="O1937" s="4">
        <v>200.67</v>
      </c>
      <c r="P1937" s="4">
        <v>11.48</v>
      </c>
      <c r="Q1937" s="4">
        <v>3.83</v>
      </c>
      <c r="R1937" s="4">
        <v>4.6900000000000004</v>
      </c>
      <c r="S1937" s="4">
        <v>0</v>
      </c>
      <c r="T1937" s="4">
        <v>0</v>
      </c>
      <c r="U1937" s="4">
        <v>220.67</v>
      </c>
      <c r="V1937" s="4">
        <v>271.89999999999998</v>
      </c>
      <c r="W1937" t="s">
        <v>21</v>
      </c>
      <c r="X1937" t="s">
        <v>36</v>
      </c>
      <c r="Y1937" s="4">
        <v>3</v>
      </c>
      <c r="Z1937" s="4">
        <v>5</v>
      </c>
      <c r="AA1937" t="s">
        <v>37</v>
      </c>
      <c r="AB1937" t="s">
        <v>38</v>
      </c>
      <c r="AC1937" s="7">
        <v>0</v>
      </c>
      <c r="AD1937" t="s">
        <v>39</v>
      </c>
      <c r="AE1937">
        <f t="shared" si="30"/>
        <v>0</v>
      </c>
    </row>
    <row r="1938" spans="1:31" x14ac:dyDescent="0.35">
      <c r="A1938">
        <v>101937</v>
      </c>
      <c r="B1938" s="3">
        <v>45978</v>
      </c>
      <c r="C1938">
        <v>1147</v>
      </c>
      <c r="D1938" t="s">
        <v>59</v>
      </c>
      <c r="E1938" t="s">
        <v>60</v>
      </c>
      <c r="F1938" t="s">
        <v>41</v>
      </c>
      <c r="G1938" t="s">
        <v>50</v>
      </c>
      <c r="H1938" t="s">
        <v>57</v>
      </c>
      <c r="I1938" t="s">
        <v>42</v>
      </c>
      <c r="J1938" s="4">
        <v>24.72</v>
      </c>
      <c r="K1938" s="4">
        <v>18.22</v>
      </c>
      <c r="L1938">
        <v>0</v>
      </c>
      <c r="M1938" s="4">
        <v>0</v>
      </c>
      <c r="N1938" s="4">
        <v>450.4</v>
      </c>
      <c r="O1938" s="4">
        <v>187.63</v>
      </c>
      <c r="P1938" s="4">
        <v>9.81</v>
      </c>
      <c r="Q1938" s="4">
        <v>6.76</v>
      </c>
      <c r="R1938" s="4">
        <v>8.39</v>
      </c>
      <c r="S1938" s="4">
        <v>251.57</v>
      </c>
      <c r="T1938" s="4">
        <v>7.84</v>
      </c>
      <c r="U1938" s="4">
        <v>472</v>
      </c>
      <c r="V1938" s="4">
        <v>-21.6</v>
      </c>
      <c r="W1938" t="s">
        <v>58</v>
      </c>
      <c r="X1938" t="s">
        <v>66</v>
      </c>
      <c r="Y1938" s="4">
        <v>2</v>
      </c>
      <c r="Z1938" s="4">
        <v>6</v>
      </c>
      <c r="AA1938" t="s">
        <v>37</v>
      </c>
      <c r="AB1938" t="s">
        <v>38</v>
      </c>
      <c r="AC1938" s="7">
        <v>2</v>
      </c>
      <c r="AD1938" t="s">
        <v>45</v>
      </c>
      <c r="AE1938">
        <f t="shared" si="30"/>
        <v>0</v>
      </c>
    </row>
    <row r="1939" spans="1:31" x14ac:dyDescent="0.35">
      <c r="A1939">
        <v>101938</v>
      </c>
      <c r="B1939" s="3">
        <v>45992</v>
      </c>
      <c r="C1939">
        <v>1039</v>
      </c>
      <c r="D1939" t="s">
        <v>59</v>
      </c>
      <c r="E1939" t="s">
        <v>73</v>
      </c>
      <c r="F1939" t="s">
        <v>32</v>
      </c>
      <c r="G1939" t="s">
        <v>46</v>
      </c>
      <c r="H1939" t="s">
        <v>34</v>
      </c>
      <c r="I1939" t="s">
        <v>35</v>
      </c>
      <c r="J1939" s="4">
        <v>28.97</v>
      </c>
      <c r="K1939" s="4">
        <v>16.89</v>
      </c>
      <c r="L1939">
        <v>10</v>
      </c>
      <c r="M1939" s="4">
        <v>48.93</v>
      </c>
      <c r="N1939" s="4">
        <v>440.37</v>
      </c>
      <c r="O1939" s="4">
        <v>251.28</v>
      </c>
      <c r="P1939" s="4">
        <v>5.17</v>
      </c>
      <c r="Q1939" s="4">
        <v>3.43</v>
      </c>
      <c r="R1939" s="4">
        <v>4.41</v>
      </c>
      <c r="S1939" s="4">
        <v>0</v>
      </c>
      <c r="T1939" s="4">
        <v>0</v>
      </c>
      <c r="U1939" s="4">
        <v>264.29000000000002</v>
      </c>
      <c r="V1939" s="4">
        <v>176.08</v>
      </c>
      <c r="W1939" t="s">
        <v>21</v>
      </c>
      <c r="X1939" t="s">
        <v>36</v>
      </c>
      <c r="Y1939" s="4">
        <v>17</v>
      </c>
      <c r="Z1939" s="4">
        <v>3</v>
      </c>
      <c r="AA1939" t="s">
        <v>52</v>
      </c>
      <c r="AB1939" t="s">
        <v>38</v>
      </c>
      <c r="AC1939" s="7">
        <v>0</v>
      </c>
      <c r="AD1939" t="s">
        <v>39</v>
      </c>
      <c r="AE1939">
        <f t="shared" si="30"/>
        <v>0</v>
      </c>
    </row>
    <row r="1940" spans="1:31" x14ac:dyDescent="0.35">
      <c r="A1940">
        <v>101939</v>
      </c>
      <c r="B1940" s="3">
        <v>46016</v>
      </c>
      <c r="C1940">
        <v>1069</v>
      </c>
      <c r="D1940" t="s">
        <v>59</v>
      </c>
      <c r="E1940" t="s">
        <v>60</v>
      </c>
      <c r="F1940" t="s">
        <v>41</v>
      </c>
      <c r="G1940" t="s">
        <v>33</v>
      </c>
      <c r="H1940" t="s">
        <v>34</v>
      </c>
      <c r="I1940" t="s">
        <v>69</v>
      </c>
      <c r="J1940" s="4">
        <v>33.64</v>
      </c>
      <c r="K1940" s="4">
        <v>19.23</v>
      </c>
      <c r="L1940">
        <v>5</v>
      </c>
      <c r="M1940" s="4">
        <v>32.340000000000003</v>
      </c>
      <c r="N1940" s="4">
        <v>614.55999999999995</v>
      </c>
      <c r="O1940" s="4">
        <v>229.73</v>
      </c>
      <c r="P1940" s="4">
        <v>7.53</v>
      </c>
      <c r="Q1940" s="4">
        <v>2.59</v>
      </c>
      <c r="R1940" s="4">
        <v>2.48</v>
      </c>
      <c r="S1940" s="4">
        <v>0</v>
      </c>
      <c r="T1940" s="4">
        <v>0</v>
      </c>
      <c r="U1940" s="4">
        <v>242.33</v>
      </c>
      <c r="V1940" s="4">
        <v>372.23</v>
      </c>
      <c r="W1940" t="s">
        <v>21</v>
      </c>
      <c r="X1940" t="s">
        <v>36</v>
      </c>
      <c r="Y1940" s="4">
        <v>1</v>
      </c>
      <c r="Z1940" s="4">
        <v>1</v>
      </c>
      <c r="AA1940" t="s">
        <v>37</v>
      </c>
      <c r="AB1940" t="s">
        <v>38</v>
      </c>
      <c r="AC1940" s="7">
        <v>0</v>
      </c>
      <c r="AD1940" t="s">
        <v>39</v>
      </c>
      <c r="AE1940">
        <f t="shared" si="30"/>
        <v>0</v>
      </c>
    </row>
    <row r="1941" spans="1:31" x14ac:dyDescent="0.35">
      <c r="A1941">
        <v>101940</v>
      </c>
      <c r="B1941" s="3">
        <v>45972</v>
      </c>
      <c r="C1941">
        <v>1023</v>
      </c>
      <c r="D1941" t="s">
        <v>30</v>
      </c>
      <c r="E1941" t="s">
        <v>40</v>
      </c>
      <c r="F1941" t="s">
        <v>61</v>
      </c>
      <c r="G1941" t="s">
        <v>63</v>
      </c>
      <c r="H1941" t="s">
        <v>34</v>
      </c>
      <c r="I1941" t="s">
        <v>35</v>
      </c>
      <c r="J1941" s="4">
        <v>30.1</v>
      </c>
      <c r="K1941" s="4">
        <v>12.02</v>
      </c>
      <c r="L1941">
        <v>15</v>
      </c>
      <c r="M1941" s="4">
        <v>54.27</v>
      </c>
      <c r="N1941" s="4">
        <v>307.52999999999997</v>
      </c>
      <c r="O1941" s="4">
        <v>256.7</v>
      </c>
      <c r="P1941" s="4">
        <v>4.5</v>
      </c>
      <c r="Q1941" s="4">
        <v>2.5299999999999998</v>
      </c>
      <c r="R1941" s="4">
        <v>8.52</v>
      </c>
      <c r="S1941" s="4">
        <v>299.63</v>
      </c>
      <c r="T1941" s="4">
        <v>0</v>
      </c>
      <c r="U1941" s="4">
        <v>571.88</v>
      </c>
      <c r="V1941" s="4">
        <v>-264.35000000000002</v>
      </c>
      <c r="W1941" t="s">
        <v>58</v>
      </c>
      <c r="X1941" t="s">
        <v>66</v>
      </c>
      <c r="Y1941" s="4">
        <v>1</v>
      </c>
      <c r="Z1941" s="4">
        <v>11</v>
      </c>
      <c r="AA1941" t="s">
        <v>37</v>
      </c>
      <c r="AB1941" t="s">
        <v>38</v>
      </c>
      <c r="AC1941" s="7">
        <v>3</v>
      </c>
      <c r="AD1941" t="s">
        <v>45</v>
      </c>
      <c r="AE1941">
        <f t="shared" si="30"/>
        <v>0</v>
      </c>
    </row>
    <row r="1942" spans="1:31" x14ac:dyDescent="0.35">
      <c r="A1942">
        <v>101941</v>
      </c>
      <c r="B1942" s="3">
        <v>45933</v>
      </c>
      <c r="C1942">
        <v>1010</v>
      </c>
      <c r="D1942" t="s">
        <v>30</v>
      </c>
      <c r="E1942" t="s">
        <v>72</v>
      </c>
      <c r="F1942" t="s">
        <v>61</v>
      </c>
      <c r="G1942" t="s">
        <v>33</v>
      </c>
      <c r="H1942" t="s">
        <v>57</v>
      </c>
      <c r="I1942" t="s">
        <v>35</v>
      </c>
      <c r="J1942" s="4">
        <v>23.77</v>
      </c>
      <c r="K1942" s="4">
        <v>19.079999999999998</v>
      </c>
      <c r="L1942">
        <v>0</v>
      </c>
      <c r="M1942" s="4">
        <v>0</v>
      </c>
      <c r="N1942" s="4">
        <v>453.53</v>
      </c>
      <c r="O1942" s="4">
        <v>169.07</v>
      </c>
      <c r="P1942" s="4">
        <v>6.59</v>
      </c>
      <c r="Q1942" s="4">
        <v>3.17</v>
      </c>
      <c r="R1942" s="4">
        <v>8.24</v>
      </c>
      <c r="S1942" s="4">
        <v>0</v>
      </c>
      <c r="T1942" s="4">
        <v>0</v>
      </c>
      <c r="U1942" s="4">
        <v>187.07</v>
      </c>
      <c r="V1942" s="4">
        <v>266.45999999999998</v>
      </c>
      <c r="W1942" t="s">
        <v>21</v>
      </c>
      <c r="X1942" t="s">
        <v>36</v>
      </c>
      <c r="Y1942" s="4">
        <v>0</v>
      </c>
      <c r="Z1942" s="4">
        <v>10</v>
      </c>
      <c r="AA1942" t="s">
        <v>37</v>
      </c>
      <c r="AB1942" t="s">
        <v>38</v>
      </c>
      <c r="AC1942" s="7">
        <v>0</v>
      </c>
      <c r="AD1942" t="s">
        <v>39</v>
      </c>
      <c r="AE1942">
        <f t="shared" si="30"/>
        <v>0</v>
      </c>
    </row>
    <row r="1943" spans="1:31" x14ac:dyDescent="0.35">
      <c r="A1943">
        <v>101942</v>
      </c>
      <c r="B1943" s="3">
        <v>46005</v>
      </c>
      <c r="C1943">
        <v>1034</v>
      </c>
      <c r="D1943" t="s">
        <v>30</v>
      </c>
      <c r="E1943" t="s">
        <v>31</v>
      </c>
      <c r="F1943" t="s">
        <v>41</v>
      </c>
      <c r="G1943" t="s">
        <v>63</v>
      </c>
      <c r="H1943" t="s">
        <v>34</v>
      </c>
      <c r="I1943" t="s">
        <v>69</v>
      </c>
      <c r="J1943" s="4">
        <v>10.35</v>
      </c>
      <c r="K1943" s="4">
        <v>13.87</v>
      </c>
      <c r="L1943">
        <v>0</v>
      </c>
      <c r="M1943" s="4">
        <v>0</v>
      </c>
      <c r="N1943" s="4">
        <v>143.55000000000001</v>
      </c>
      <c r="O1943" s="4">
        <v>76.8</v>
      </c>
      <c r="P1943" s="4">
        <v>8.9</v>
      </c>
      <c r="Q1943" s="4">
        <v>0.56999999999999995</v>
      </c>
      <c r="R1943" s="4">
        <v>9.25</v>
      </c>
      <c r="S1943" s="4">
        <v>0</v>
      </c>
      <c r="T1943" s="4">
        <v>0</v>
      </c>
      <c r="U1943" s="4">
        <v>95.52</v>
      </c>
      <c r="V1943" s="4">
        <v>48.03</v>
      </c>
      <c r="W1943" t="s">
        <v>21</v>
      </c>
      <c r="X1943" t="s">
        <v>36</v>
      </c>
      <c r="Y1943" s="4">
        <v>5</v>
      </c>
      <c r="Z1943" s="4">
        <v>3</v>
      </c>
      <c r="AA1943" t="s">
        <v>37</v>
      </c>
      <c r="AB1943" t="s">
        <v>38</v>
      </c>
      <c r="AC1943" s="7">
        <v>0</v>
      </c>
      <c r="AD1943" t="s">
        <v>39</v>
      </c>
      <c r="AE1943">
        <f t="shared" si="30"/>
        <v>0</v>
      </c>
    </row>
    <row r="1944" spans="1:31" x14ac:dyDescent="0.35">
      <c r="A1944">
        <v>101943</v>
      </c>
      <c r="B1944" s="3">
        <v>45968</v>
      </c>
      <c r="C1944">
        <v>1039</v>
      </c>
      <c r="D1944" t="s">
        <v>64</v>
      </c>
      <c r="E1944" t="s">
        <v>76</v>
      </c>
      <c r="F1944" t="s">
        <v>61</v>
      </c>
      <c r="G1944" t="s">
        <v>46</v>
      </c>
      <c r="H1944" t="s">
        <v>57</v>
      </c>
      <c r="I1944" t="s">
        <v>54</v>
      </c>
      <c r="J1944" s="4">
        <v>29.27</v>
      </c>
      <c r="K1944" s="4">
        <v>14.78</v>
      </c>
      <c r="L1944">
        <v>15</v>
      </c>
      <c r="M1944" s="4">
        <v>64.89</v>
      </c>
      <c r="N1944" s="4">
        <v>367.72</v>
      </c>
      <c r="O1944" s="4">
        <v>212.17</v>
      </c>
      <c r="P1944" s="4">
        <v>2.91</v>
      </c>
      <c r="Q1944" s="4">
        <v>5.19</v>
      </c>
      <c r="R1944" s="4">
        <v>4.21</v>
      </c>
      <c r="S1944" s="4">
        <v>0</v>
      </c>
      <c r="T1944" s="4">
        <v>0</v>
      </c>
      <c r="U1944" s="4">
        <v>224.48</v>
      </c>
      <c r="V1944" s="4">
        <v>143.24</v>
      </c>
      <c r="W1944" t="s">
        <v>21</v>
      </c>
      <c r="X1944" t="s">
        <v>36</v>
      </c>
      <c r="Y1944" s="4">
        <v>7</v>
      </c>
      <c r="Z1944" s="4">
        <v>22</v>
      </c>
      <c r="AA1944" t="s">
        <v>37</v>
      </c>
      <c r="AB1944" t="s">
        <v>44</v>
      </c>
      <c r="AC1944" s="7">
        <v>2</v>
      </c>
      <c r="AD1944" t="s">
        <v>45</v>
      </c>
      <c r="AE1944">
        <f t="shared" si="30"/>
        <v>1</v>
      </c>
    </row>
    <row r="1945" spans="1:31" x14ac:dyDescent="0.35">
      <c r="A1945">
        <v>101944</v>
      </c>
      <c r="B1945" s="3">
        <v>46013</v>
      </c>
      <c r="C1945">
        <v>1008</v>
      </c>
      <c r="D1945" t="s">
        <v>47</v>
      </c>
      <c r="E1945" t="s">
        <v>74</v>
      </c>
      <c r="F1945" t="s">
        <v>32</v>
      </c>
      <c r="G1945" t="s">
        <v>63</v>
      </c>
      <c r="H1945" t="s">
        <v>34</v>
      </c>
      <c r="I1945" t="s">
        <v>69</v>
      </c>
      <c r="J1945" s="4">
        <v>29.15</v>
      </c>
      <c r="K1945" s="4">
        <v>12.12</v>
      </c>
      <c r="L1945">
        <v>0</v>
      </c>
      <c r="M1945" s="4">
        <v>0</v>
      </c>
      <c r="N1945" s="4">
        <v>353.3</v>
      </c>
      <c r="O1945" s="4">
        <v>202.23</v>
      </c>
      <c r="P1945" s="4">
        <v>12.29</v>
      </c>
      <c r="Q1945" s="4">
        <v>1.41</v>
      </c>
      <c r="R1945" s="4">
        <v>3.42</v>
      </c>
      <c r="S1945" s="4">
        <v>0</v>
      </c>
      <c r="T1945" s="4">
        <v>0</v>
      </c>
      <c r="U1945" s="4">
        <v>219.35</v>
      </c>
      <c r="V1945" s="4">
        <v>133.94999999999999</v>
      </c>
      <c r="W1945" t="s">
        <v>21</v>
      </c>
      <c r="X1945" t="s">
        <v>36</v>
      </c>
      <c r="Y1945" s="4">
        <v>2</v>
      </c>
      <c r="Z1945" s="4">
        <v>12</v>
      </c>
      <c r="AA1945" t="s">
        <v>37</v>
      </c>
      <c r="AB1945" t="s">
        <v>38</v>
      </c>
      <c r="AC1945" s="7">
        <v>2</v>
      </c>
      <c r="AD1945" t="s">
        <v>39</v>
      </c>
      <c r="AE1945">
        <f t="shared" si="30"/>
        <v>0</v>
      </c>
    </row>
    <row r="1946" spans="1:31" x14ac:dyDescent="0.35">
      <c r="A1946">
        <v>101945</v>
      </c>
      <c r="B1946" s="3">
        <v>45984</v>
      </c>
      <c r="C1946">
        <v>1020</v>
      </c>
      <c r="D1946" t="s">
        <v>59</v>
      </c>
      <c r="E1946" t="s">
        <v>70</v>
      </c>
      <c r="F1946" t="s">
        <v>71</v>
      </c>
      <c r="G1946" t="s">
        <v>33</v>
      </c>
      <c r="H1946" t="s">
        <v>34</v>
      </c>
      <c r="I1946" t="s">
        <v>35</v>
      </c>
      <c r="J1946" s="4">
        <v>25.58</v>
      </c>
      <c r="K1946" s="4">
        <v>19.25</v>
      </c>
      <c r="L1946">
        <v>15</v>
      </c>
      <c r="M1946" s="4">
        <v>73.86</v>
      </c>
      <c r="N1946" s="4">
        <v>418.56</v>
      </c>
      <c r="O1946" s="4">
        <v>193.25</v>
      </c>
      <c r="P1946" s="4">
        <v>6.17</v>
      </c>
      <c r="Q1946" s="4">
        <v>3.45</v>
      </c>
      <c r="R1946" s="4">
        <v>5.39</v>
      </c>
      <c r="S1946" s="4">
        <v>0</v>
      </c>
      <c r="T1946" s="4">
        <v>0</v>
      </c>
      <c r="U1946" s="4">
        <v>208.26</v>
      </c>
      <c r="V1946" s="4">
        <v>210.3</v>
      </c>
      <c r="W1946" t="s">
        <v>21</v>
      </c>
      <c r="X1946" t="s">
        <v>36</v>
      </c>
      <c r="Y1946" s="4">
        <v>2</v>
      </c>
      <c r="Z1946" s="4">
        <v>0</v>
      </c>
      <c r="AA1946" t="s">
        <v>37</v>
      </c>
      <c r="AB1946" t="s">
        <v>38</v>
      </c>
      <c r="AC1946" s="7">
        <v>0</v>
      </c>
      <c r="AD1946" t="s">
        <v>39</v>
      </c>
      <c r="AE1946">
        <f t="shared" si="30"/>
        <v>0</v>
      </c>
    </row>
    <row r="1947" spans="1:31" x14ac:dyDescent="0.35">
      <c r="A1947">
        <v>101946</v>
      </c>
      <c r="B1947" s="3">
        <v>46015</v>
      </c>
      <c r="C1947">
        <v>1128</v>
      </c>
      <c r="D1947" t="s">
        <v>64</v>
      </c>
      <c r="E1947" t="s">
        <v>65</v>
      </c>
      <c r="F1947" t="s">
        <v>32</v>
      </c>
      <c r="G1947" t="s">
        <v>46</v>
      </c>
      <c r="H1947" t="s">
        <v>34</v>
      </c>
      <c r="I1947" t="s">
        <v>35</v>
      </c>
      <c r="J1947" s="4">
        <v>28.87</v>
      </c>
      <c r="K1947" s="4">
        <v>14.45</v>
      </c>
      <c r="L1947">
        <v>5</v>
      </c>
      <c r="M1947" s="4">
        <v>20.86</v>
      </c>
      <c r="N1947" s="4">
        <v>396.31</v>
      </c>
      <c r="O1947" s="4">
        <v>193.57</v>
      </c>
      <c r="P1947" s="4">
        <v>7.69</v>
      </c>
      <c r="Q1947" s="4">
        <v>2.92</v>
      </c>
      <c r="R1947" s="4">
        <v>7.73</v>
      </c>
      <c r="S1947" s="4">
        <v>0</v>
      </c>
      <c r="T1947" s="4">
        <v>0</v>
      </c>
      <c r="U1947" s="4">
        <v>211.91</v>
      </c>
      <c r="V1947" s="4">
        <v>184.4</v>
      </c>
      <c r="W1947" t="s">
        <v>21</v>
      </c>
      <c r="X1947" t="s">
        <v>36</v>
      </c>
      <c r="Y1947" s="4">
        <v>24</v>
      </c>
      <c r="Z1947" s="4">
        <v>0</v>
      </c>
      <c r="AA1947" t="s">
        <v>52</v>
      </c>
      <c r="AB1947" t="s">
        <v>44</v>
      </c>
      <c r="AC1947" s="7">
        <v>2</v>
      </c>
      <c r="AD1947" t="s">
        <v>45</v>
      </c>
      <c r="AE1947">
        <f t="shared" si="30"/>
        <v>1</v>
      </c>
    </row>
    <row r="1948" spans="1:31" x14ac:dyDescent="0.35">
      <c r="A1948">
        <v>101947</v>
      </c>
      <c r="B1948" s="3">
        <v>46006</v>
      </c>
      <c r="C1948">
        <v>1148</v>
      </c>
      <c r="D1948" t="s">
        <v>59</v>
      </c>
      <c r="E1948" t="s">
        <v>68</v>
      </c>
      <c r="F1948" t="s">
        <v>71</v>
      </c>
      <c r="G1948" t="s">
        <v>50</v>
      </c>
      <c r="H1948" t="s">
        <v>34</v>
      </c>
      <c r="I1948" t="s">
        <v>35</v>
      </c>
      <c r="J1948" s="4">
        <v>30.95</v>
      </c>
      <c r="K1948" s="4">
        <v>16.96</v>
      </c>
      <c r="L1948">
        <v>15</v>
      </c>
      <c r="M1948" s="4">
        <v>78.739999999999995</v>
      </c>
      <c r="N1948" s="4">
        <v>446.17</v>
      </c>
      <c r="O1948" s="4">
        <v>201.85</v>
      </c>
      <c r="P1948" s="4">
        <v>14.16</v>
      </c>
      <c r="Q1948" s="4">
        <v>3.67</v>
      </c>
      <c r="R1948" s="4">
        <v>5.25</v>
      </c>
      <c r="S1948" s="4">
        <v>0</v>
      </c>
      <c r="T1948" s="4">
        <v>0</v>
      </c>
      <c r="U1948" s="4">
        <v>224.93</v>
      </c>
      <c r="V1948" s="4">
        <v>221.24</v>
      </c>
      <c r="W1948" t="s">
        <v>21</v>
      </c>
      <c r="X1948" t="s">
        <v>36</v>
      </c>
      <c r="Y1948" s="4">
        <v>11</v>
      </c>
      <c r="Z1948" s="4">
        <v>17</v>
      </c>
      <c r="AA1948" t="s">
        <v>37</v>
      </c>
      <c r="AB1948" t="s">
        <v>44</v>
      </c>
      <c r="AC1948" s="7">
        <v>1</v>
      </c>
      <c r="AD1948" t="s">
        <v>45</v>
      </c>
      <c r="AE1948">
        <f t="shared" si="30"/>
        <v>1</v>
      </c>
    </row>
    <row r="1949" spans="1:31" x14ac:dyDescent="0.35">
      <c r="A1949">
        <v>101948</v>
      </c>
      <c r="B1949" s="3">
        <v>45989</v>
      </c>
      <c r="C1949">
        <v>1032</v>
      </c>
      <c r="D1949" t="s">
        <v>47</v>
      </c>
      <c r="E1949" t="s">
        <v>56</v>
      </c>
      <c r="F1949" t="s">
        <v>41</v>
      </c>
      <c r="G1949" t="s">
        <v>63</v>
      </c>
      <c r="H1949" t="s">
        <v>34</v>
      </c>
      <c r="I1949" t="s">
        <v>42</v>
      </c>
      <c r="J1949" s="4">
        <v>16.600000000000001</v>
      </c>
      <c r="K1949" s="4">
        <v>11.31</v>
      </c>
      <c r="L1949">
        <v>0</v>
      </c>
      <c r="M1949" s="4">
        <v>0</v>
      </c>
      <c r="N1949" s="4">
        <v>187.75</v>
      </c>
      <c r="O1949" s="4">
        <v>131.47999999999999</v>
      </c>
      <c r="P1949" s="4">
        <v>7.22</v>
      </c>
      <c r="Q1949" s="4">
        <v>2.82</v>
      </c>
      <c r="R1949" s="4">
        <v>0.18</v>
      </c>
      <c r="S1949" s="4">
        <v>0</v>
      </c>
      <c r="T1949" s="4">
        <v>0</v>
      </c>
      <c r="U1949" s="4">
        <v>141.69999999999999</v>
      </c>
      <c r="V1949" s="4">
        <v>46.05</v>
      </c>
      <c r="W1949" t="s">
        <v>21</v>
      </c>
      <c r="X1949" t="s">
        <v>36</v>
      </c>
      <c r="Y1949" s="4">
        <v>64</v>
      </c>
      <c r="Z1949" s="4">
        <v>13</v>
      </c>
      <c r="AA1949" t="s">
        <v>43</v>
      </c>
      <c r="AB1949" t="s">
        <v>44</v>
      </c>
      <c r="AC1949" s="7">
        <v>3</v>
      </c>
      <c r="AD1949" t="s">
        <v>45</v>
      </c>
      <c r="AE1949">
        <f t="shared" si="30"/>
        <v>1</v>
      </c>
    </row>
    <row r="1950" spans="1:31" x14ac:dyDescent="0.35">
      <c r="A1950">
        <v>101949</v>
      </c>
      <c r="B1950" s="3">
        <v>45988</v>
      </c>
      <c r="C1950">
        <v>1128</v>
      </c>
      <c r="D1950" t="s">
        <v>47</v>
      </c>
      <c r="E1950" t="s">
        <v>56</v>
      </c>
      <c r="F1950" t="s">
        <v>32</v>
      </c>
      <c r="G1950" t="s">
        <v>63</v>
      </c>
      <c r="H1950" t="s">
        <v>34</v>
      </c>
      <c r="I1950" t="s">
        <v>42</v>
      </c>
      <c r="J1950" s="4">
        <v>18.510000000000002</v>
      </c>
      <c r="K1950" s="4">
        <v>13.58</v>
      </c>
      <c r="L1950">
        <v>20</v>
      </c>
      <c r="M1950" s="4">
        <v>50.27</v>
      </c>
      <c r="N1950" s="4">
        <v>201.1</v>
      </c>
      <c r="O1950" s="4">
        <v>128.38999999999999</v>
      </c>
      <c r="P1950" s="4">
        <v>7.2</v>
      </c>
      <c r="Q1950" s="4">
        <v>3.77</v>
      </c>
      <c r="R1950" s="4">
        <v>3.86</v>
      </c>
      <c r="S1950" s="4">
        <v>197.61</v>
      </c>
      <c r="T1950" s="4">
        <v>0</v>
      </c>
      <c r="U1950" s="4">
        <v>340.83</v>
      </c>
      <c r="V1950" s="4">
        <v>-139.72999999999999</v>
      </c>
      <c r="W1950" t="s">
        <v>58</v>
      </c>
      <c r="X1950" t="s">
        <v>66</v>
      </c>
      <c r="Y1950" s="4">
        <v>10</v>
      </c>
      <c r="Z1950" s="4">
        <v>11</v>
      </c>
      <c r="AA1950" t="s">
        <v>37</v>
      </c>
      <c r="AB1950" t="s">
        <v>38</v>
      </c>
      <c r="AC1950" s="7">
        <v>2</v>
      </c>
      <c r="AD1950" t="s">
        <v>45</v>
      </c>
      <c r="AE1950">
        <f t="shared" si="30"/>
        <v>0</v>
      </c>
    </row>
    <row r="1951" spans="1:31" x14ac:dyDescent="0.35">
      <c r="A1951">
        <v>101950</v>
      </c>
      <c r="B1951" s="3">
        <v>45934</v>
      </c>
      <c r="C1951">
        <v>1075</v>
      </c>
      <c r="D1951" t="s">
        <v>59</v>
      </c>
      <c r="E1951" t="s">
        <v>73</v>
      </c>
      <c r="F1951" t="s">
        <v>49</v>
      </c>
      <c r="G1951" t="s">
        <v>46</v>
      </c>
      <c r="H1951" t="s">
        <v>34</v>
      </c>
      <c r="I1951" t="s">
        <v>35</v>
      </c>
      <c r="J1951" s="4">
        <v>35.79</v>
      </c>
      <c r="K1951" s="4">
        <v>17.21</v>
      </c>
      <c r="L1951">
        <v>0</v>
      </c>
      <c r="M1951" s="4">
        <v>0</v>
      </c>
      <c r="N1951" s="4">
        <v>615.95000000000005</v>
      </c>
      <c r="O1951" s="4">
        <v>270.44</v>
      </c>
      <c r="P1951" s="4">
        <v>6.77</v>
      </c>
      <c r="Q1951" s="4">
        <v>4.3099999999999996</v>
      </c>
      <c r="R1951" s="4">
        <v>6.2</v>
      </c>
      <c r="S1951" s="4">
        <v>0</v>
      </c>
      <c r="T1951" s="4">
        <v>0</v>
      </c>
      <c r="U1951" s="4">
        <v>287.72000000000003</v>
      </c>
      <c r="V1951" s="4">
        <v>328.23</v>
      </c>
      <c r="W1951" t="s">
        <v>21</v>
      </c>
      <c r="X1951" t="s">
        <v>36</v>
      </c>
      <c r="Y1951" s="4">
        <v>38</v>
      </c>
      <c r="Z1951" s="4">
        <v>3</v>
      </c>
      <c r="AA1951" t="s">
        <v>43</v>
      </c>
      <c r="AB1951" t="s">
        <v>44</v>
      </c>
      <c r="AC1951" s="7">
        <v>1</v>
      </c>
      <c r="AD1951" t="s">
        <v>45</v>
      </c>
      <c r="AE1951">
        <f t="shared" si="30"/>
        <v>1</v>
      </c>
    </row>
    <row r="1952" spans="1:31" x14ac:dyDescent="0.35">
      <c r="A1952">
        <v>101951</v>
      </c>
      <c r="B1952" s="3">
        <v>45944</v>
      </c>
      <c r="C1952">
        <v>1079</v>
      </c>
      <c r="D1952" t="s">
        <v>64</v>
      </c>
      <c r="E1952" t="s">
        <v>67</v>
      </c>
      <c r="F1952" t="s">
        <v>61</v>
      </c>
      <c r="G1952" t="s">
        <v>46</v>
      </c>
      <c r="H1952" t="s">
        <v>57</v>
      </c>
      <c r="I1952" t="s">
        <v>35</v>
      </c>
      <c r="J1952" s="4">
        <v>38.18</v>
      </c>
      <c r="K1952" s="4">
        <v>15.76</v>
      </c>
      <c r="L1952">
        <v>0</v>
      </c>
      <c r="M1952" s="4">
        <v>0</v>
      </c>
      <c r="N1952" s="4">
        <v>601.72</v>
      </c>
      <c r="O1952" s="4">
        <v>296.13</v>
      </c>
      <c r="P1952" s="4">
        <v>12.34</v>
      </c>
      <c r="Q1952" s="4">
        <v>4.21</v>
      </c>
      <c r="R1952" s="4">
        <v>6.74</v>
      </c>
      <c r="S1952" s="4">
        <v>0</v>
      </c>
      <c r="T1952" s="4">
        <v>0</v>
      </c>
      <c r="U1952" s="4">
        <v>319.42</v>
      </c>
      <c r="V1952" s="4">
        <v>282.3</v>
      </c>
      <c r="W1952" t="s">
        <v>21</v>
      </c>
      <c r="X1952" t="s">
        <v>36</v>
      </c>
      <c r="Y1952" s="4">
        <v>5</v>
      </c>
      <c r="Z1952" s="4">
        <v>10</v>
      </c>
      <c r="AA1952" t="s">
        <v>37</v>
      </c>
      <c r="AB1952" t="s">
        <v>38</v>
      </c>
      <c r="AC1952" s="7">
        <v>0</v>
      </c>
      <c r="AD1952" t="s">
        <v>39</v>
      </c>
      <c r="AE1952">
        <f t="shared" si="30"/>
        <v>0</v>
      </c>
    </row>
    <row r="1953" spans="1:31" x14ac:dyDescent="0.35">
      <c r="A1953">
        <v>101952</v>
      </c>
      <c r="B1953" s="3">
        <v>46007</v>
      </c>
      <c r="C1953">
        <v>1016</v>
      </c>
      <c r="D1953" t="s">
        <v>59</v>
      </c>
      <c r="E1953" t="s">
        <v>73</v>
      </c>
      <c r="F1953" t="s">
        <v>61</v>
      </c>
      <c r="G1953" t="s">
        <v>46</v>
      </c>
      <c r="H1953" t="s">
        <v>57</v>
      </c>
      <c r="I1953" t="s">
        <v>35</v>
      </c>
      <c r="J1953" s="4">
        <v>35.67</v>
      </c>
      <c r="K1953" s="4">
        <v>15.42</v>
      </c>
      <c r="L1953">
        <v>5</v>
      </c>
      <c r="M1953" s="4">
        <v>27.5</v>
      </c>
      <c r="N1953" s="4">
        <v>522.53</v>
      </c>
      <c r="O1953" s="4">
        <v>243.67</v>
      </c>
      <c r="P1953" s="4">
        <v>10.25</v>
      </c>
      <c r="Q1953" s="4">
        <v>3.85</v>
      </c>
      <c r="R1953" s="4">
        <v>3.92</v>
      </c>
      <c r="S1953" s="4">
        <v>0</v>
      </c>
      <c r="T1953" s="4">
        <v>0</v>
      </c>
      <c r="U1953" s="4">
        <v>261.69</v>
      </c>
      <c r="V1953" s="4">
        <v>260.83999999999997</v>
      </c>
      <c r="W1953" t="s">
        <v>21</v>
      </c>
      <c r="X1953" t="s">
        <v>36</v>
      </c>
      <c r="Y1953" s="4">
        <v>14</v>
      </c>
      <c r="Z1953" s="4">
        <v>3</v>
      </c>
      <c r="AA1953" t="s">
        <v>37</v>
      </c>
      <c r="AB1953" t="s">
        <v>38</v>
      </c>
      <c r="AC1953" s="7">
        <v>0</v>
      </c>
      <c r="AD1953" t="s">
        <v>39</v>
      </c>
      <c r="AE1953">
        <f t="shared" si="30"/>
        <v>0</v>
      </c>
    </row>
    <row r="1954" spans="1:31" x14ac:dyDescent="0.35">
      <c r="A1954">
        <v>101953</v>
      </c>
      <c r="B1954" s="3">
        <v>46006</v>
      </c>
      <c r="C1954">
        <v>1123</v>
      </c>
      <c r="D1954" t="s">
        <v>47</v>
      </c>
      <c r="E1954" t="s">
        <v>53</v>
      </c>
      <c r="F1954" t="s">
        <v>61</v>
      </c>
      <c r="G1954" t="s">
        <v>63</v>
      </c>
      <c r="H1954" t="s">
        <v>57</v>
      </c>
      <c r="I1954" t="s">
        <v>35</v>
      </c>
      <c r="J1954" s="4">
        <v>19.100000000000001</v>
      </c>
      <c r="K1954" s="4">
        <v>12.85</v>
      </c>
      <c r="L1954">
        <v>0</v>
      </c>
      <c r="M1954" s="4">
        <v>0</v>
      </c>
      <c r="N1954" s="4">
        <v>245.44</v>
      </c>
      <c r="O1954" s="4">
        <v>136.87</v>
      </c>
      <c r="P1954" s="4">
        <v>11.6</v>
      </c>
      <c r="Q1954" s="4">
        <v>1.72</v>
      </c>
      <c r="R1954" s="4">
        <v>10.18</v>
      </c>
      <c r="S1954" s="4">
        <v>172.7</v>
      </c>
      <c r="T1954" s="4">
        <v>2.68</v>
      </c>
      <c r="U1954" s="4">
        <v>335.75</v>
      </c>
      <c r="V1954" s="4">
        <v>-90.31</v>
      </c>
      <c r="W1954" t="s">
        <v>58</v>
      </c>
      <c r="X1954" t="s">
        <v>55</v>
      </c>
      <c r="Y1954" s="4">
        <v>3</v>
      </c>
      <c r="Z1954" s="4">
        <v>0</v>
      </c>
      <c r="AA1954" t="s">
        <v>37</v>
      </c>
      <c r="AB1954" t="s">
        <v>44</v>
      </c>
      <c r="AC1954" s="7">
        <v>4</v>
      </c>
      <c r="AD1954" t="s">
        <v>45</v>
      </c>
      <c r="AE1954">
        <f t="shared" si="30"/>
        <v>1</v>
      </c>
    </row>
    <row r="1955" spans="1:31" x14ac:dyDescent="0.35">
      <c r="A1955">
        <v>101954</v>
      </c>
      <c r="B1955" s="3">
        <v>45941</v>
      </c>
      <c r="C1955">
        <v>1012</v>
      </c>
      <c r="D1955" t="s">
        <v>59</v>
      </c>
      <c r="E1955" t="s">
        <v>70</v>
      </c>
      <c r="F1955" t="s">
        <v>49</v>
      </c>
      <c r="G1955" t="s">
        <v>33</v>
      </c>
      <c r="H1955" t="s">
        <v>34</v>
      </c>
      <c r="I1955" t="s">
        <v>69</v>
      </c>
      <c r="J1955" s="4">
        <v>42.51</v>
      </c>
      <c r="K1955" s="4">
        <v>18.579999999999998</v>
      </c>
      <c r="L1955">
        <v>5</v>
      </c>
      <c r="M1955" s="4">
        <v>39.49</v>
      </c>
      <c r="N1955" s="4">
        <v>750.35</v>
      </c>
      <c r="O1955" s="4">
        <v>327.06</v>
      </c>
      <c r="P1955" s="4">
        <v>13.38</v>
      </c>
      <c r="Q1955" s="4">
        <v>3.16</v>
      </c>
      <c r="R1955" s="4">
        <v>13.66</v>
      </c>
      <c r="S1955" s="4">
        <v>0</v>
      </c>
      <c r="T1955" s="4">
        <v>0</v>
      </c>
      <c r="U1955" s="4">
        <v>357.26</v>
      </c>
      <c r="V1955" s="4">
        <v>393.09</v>
      </c>
      <c r="W1955" t="s">
        <v>21</v>
      </c>
      <c r="X1955" t="s">
        <v>36</v>
      </c>
      <c r="Y1955" s="4">
        <v>5</v>
      </c>
      <c r="Z1955" s="4">
        <v>4</v>
      </c>
      <c r="AA1955" t="s">
        <v>37</v>
      </c>
      <c r="AB1955" t="s">
        <v>38</v>
      </c>
      <c r="AC1955" s="7">
        <v>0</v>
      </c>
      <c r="AD1955" t="s">
        <v>39</v>
      </c>
      <c r="AE1955">
        <f t="shared" si="30"/>
        <v>0</v>
      </c>
    </row>
    <row r="1956" spans="1:31" x14ac:dyDescent="0.35">
      <c r="A1956">
        <v>101955</v>
      </c>
      <c r="B1956" s="3">
        <v>45952</v>
      </c>
      <c r="C1956">
        <v>1081</v>
      </c>
      <c r="D1956" t="s">
        <v>59</v>
      </c>
      <c r="E1956" t="s">
        <v>60</v>
      </c>
      <c r="F1956" t="s">
        <v>41</v>
      </c>
      <c r="G1956" t="s">
        <v>50</v>
      </c>
      <c r="H1956" t="s">
        <v>34</v>
      </c>
      <c r="I1956" t="s">
        <v>69</v>
      </c>
      <c r="J1956" s="4">
        <v>11.71</v>
      </c>
      <c r="K1956" s="4">
        <v>18.25</v>
      </c>
      <c r="L1956">
        <v>10</v>
      </c>
      <c r="M1956" s="4">
        <v>21.37</v>
      </c>
      <c r="N1956" s="4">
        <v>192.34</v>
      </c>
      <c r="O1956" s="4">
        <v>76.540000000000006</v>
      </c>
      <c r="P1956" s="4">
        <v>9.58</v>
      </c>
      <c r="Q1956" s="4">
        <v>0.85</v>
      </c>
      <c r="R1956" s="4">
        <v>8.58</v>
      </c>
      <c r="S1956" s="4">
        <v>0</v>
      </c>
      <c r="T1956" s="4">
        <v>0</v>
      </c>
      <c r="U1956" s="4">
        <v>95.55</v>
      </c>
      <c r="V1956" s="4">
        <v>96.79</v>
      </c>
      <c r="W1956" t="s">
        <v>21</v>
      </c>
      <c r="X1956" t="s">
        <v>36</v>
      </c>
      <c r="Y1956" s="4">
        <v>1</v>
      </c>
      <c r="Z1956" s="4">
        <v>3</v>
      </c>
      <c r="AA1956" t="s">
        <v>37</v>
      </c>
      <c r="AB1956" t="s">
        <v>38</v>
      </c>
      <c r="AC1956" s="7">
        <v>0</v>
      </c>
      <c r="AD1956" t="s">
        <v>39</v>
      </c>
      <c r="AE1956">
        <f t="shared" si="30"/>
        <v>0</v>
      </c>
    </row>
    <row r="1957" spans="1:31" x14ac:dyDescent="0.35">
      <c r="A1957">
        <v>101956</v>
      </c>
      <c r="B1957" s="3">
        <v>45941</v>
      </c>
      <c r="C1957">
        <v>1009</v>
      </c>
      <c r="D1957" t="s">
        <v>64</v>
      </c>
      <c r="E1957" t="s">
        <v>67</v>
      </c>
      <c r="F1957" t="s">
        <v>49</v>
      </c>
      <c r="G1957" t="s">
        <v>46</v>
      </c>
      <c r="H1957" t="s">
        <v>57</v>
      </c>
      <c r="I1957" t="s">
        <v>42</v>
      </c>
      <c r="J1957" s="4">
        <v>31.95</v>
      </c>
      <c r="K1957" s="4">
        <v>14.9</v>
      </c>
      <c r="L1957">
        <v>15</v>
      </c>
      <c r="M1957" s="4">
        <v>71.41</v>
      </c>
      <c r="N1957" s="4">
        <v>404.65</v>
      </c>
      <c r="O1957" s="4">
        <v>221.55</v>
      </c>
      <c r="P1957" s="4">
        <v>6.03</v>
      </c>
      <c r="Q1957" s="4">
        <v>7.14</v>
      </c>
      <c r="R1957" s="4">
        <v>5.56</v>
      </c>
      <c r="S1957" s="4">
        <v>0</v>
      </c>
      <c r="T1957" s="4">
        <v>0</v>
      </c>
      <c r="U1957" s="4">
        <v>240.28</v>
      </c>
      <c r="V1957" s="4">
        <v>164.37</v>
      </c>
      <c r="W1957" t="s">
        <v>21</v>
      </c>
      <c r="X1957" t="s">
        <v>36</v>
      </c>
      <c r="Y1957" s="4">
        <v>4</v>
      </c>
      <c r="Z1957" s="4">
        <v>1</v>
      </c>
      <c r="AA1957" t="s">
        <v>37</v>
      </c>
      <c r="AB1957" t="s">
        <v>38</v>
      </c>
      <c r="AC1957" s="7">
        <v>0</v>
      </c>
      <c r="AD1957" t="s">
        <v>39</v>
      </c>
      <c r="AE1957">
        <f t="shared" si="30"/>
        <v>0</v>
      </c>
    </row>
    <row r="1958" spans="1:31" x14ac:dyDescent="0.35">
      <c r="A1958">
        <v>101957</v>
      </c>
      <c r="B1958" s="3">
        <v>45978</v>
      </c>
      <c r="C1958">
        <v>1062</v>
      </c>
      <c r="D1958" t="s">
        <v>30</v>
      </c>
      <c r="E1958" t="s">
        <v>72</v>
      </c>
      <c r="F1958" t="s">
        <v>41</v>
      </c>
      <c r="G1958" t="s">
        <v>46</v>
      </c>
      <c r="H1958" t="s">
        <v>57</v>
      </c>
      <c r="I1958" t="s">
        <v>35</v>
      </c>
      <c r="J1958" s="4">
        <v>25.25</v>
      </c>
      <c r="K1958" s="4">
        <v>15.91</v>
      </c>
      <c r="L1958">
        <v>0</v>
      </c>
      <c r="M1958" s="4">
        <v>0</v>
      </c>
      <c r="N1958" s="4">
        <v>401.73</v>
      </c>
      <c r="O1958" s="4">
        <v>150.63</v>
      </c>
      <c r="P1958" s="4">
        <v>4.5</v>
      </c>
      <c r="Q1958" s="4">
        <v>2.81</v>
      </c>
      <c r="R1958" s="4">
        <v>0</v>
      </c>
      <c r="S1958" s="4">
        <v>0</v>
      </c>
      <c r="T1958" s="4">
        <v>0</v>
      </c>
      <c r="U1958" s="4">
        <v>157.94</v>
      </c>
      <c r="V1958" s="4">
        <v>243.79</v>
      </c>
      <c r="W1958" t="s">
        <v>21</v>
      </c>
      <c r="X1958" t="s">
        <v>36</v>
      </c>
      <c r="Y1958" s="4">
        <v>12</v>
      </c>
      <c r="Z1958" s="4">
        <v>3</v>
      </c>
      <c r="AA1958" t="s">
        <v>37</v>
      </c>
      <c r="AB1958" t="s">
        <v>38</v>
      </c>
      <c r="AC1958" s="7">
        <v>0</v>
      </c>
      <c r="AD1958" t="s">
        <v>39</v>
      </c>
      <c r="AE1958">
        <f t="shared" si="30"/>
        <v>0</v>
      </c>
    </row>
    <row r="1959" spans="1:31" x14ac:dyDescent="0.35">
      <c r="A1959">
        <v>101958</v>
      </c>
      <c r="B1959" s="3">
        <v>45957</v>
      </c>
      <c r="C1959">
        <v>1137</v>
      </c>
      <c r="D1959" t="s">
        <v>47</v>
      </c>
      <c r="E1959" t="s">
        <v>53</v>
      </c>
      <c r="F1959" t="s">
        <v>41</v>
      </c>
      <c r="G1959" t="s">
        <v>46</v>
      </c>
      <c r="H1959" t="s">
        <v>34</v>
      </c>
      <c r="I1959" t="s">
        <v>35</v>
      </c>
      <c r="J1959" s="4">
        <v>35.65</v>
      </c>
      <c r="K1959" s="4">
        <v>16</v>
      </c>
      <c r="L1959">
        <v>0</v>
      </c>
      <c r="M1959" s="4">
        <v>0</v>
      </c>
      <c r="N1959" s="4">
        <v>570.4</v>
      </c>
      <c r="O1959" s="4">
        <v>253.67</v>
      </c>
      <c r="P1959" s="4">
        <v>7.68</v>
      </c>
      <c r="Q1959" s="4">
        <v>3.99</v>
      </c>
      <c r="R1959" s="4">
        <v>4.99</v>
      </c>
      <c r="S1959" s="4">
        <v>0</v>
      </c>
      <c r="T1959" s="4">
        <v>0</v>
      </c>
      <c r="U1959" s="4">
        <v>270.33</v>
      </c>
      <c r="V1959" s="4">
        <v>300.07</v>
      </c>
      <c r="W1959" t="s">
        <v>21</v>
      </c>
      <c r="X1959" t="s">
        <v>36</v>
      </c>
      <c r="Y1959" s="4">
        <v>15</v>
      </c>
      <c r="Z1959" s="4">
        <v>11</v>
      </c>
      <c r="AA1959" t="s">
        <v>37</v>
      </c>
      <c r="AB1959" t="s">
        <v>38</v>
      </c>
      <c r="AC1959" s="7">
        <v>0</v>
      </c>
      <c r="AD1959" t="s">
        <v>39</v>
      </c>
      <c r="AE1959">
        <f t="shared" si="30"/>
        <v>0</v>
      </c>
    </row>
    <row r="1960" spans="1:31" x14ac:dyDescent="0.35">
      <c r="A1960">
        <v>101959</v>
      </c>
      <c r="B1960" s="3">
        <v>45977</v>
      </c>
      <c r="C1960">
        <v>1056</v>
      </c>
      <c r="D1960" t="s">
        <v>59</v>
      </c>
      <c r="E1960" t="s">
        <v>70</v>
      </c>
      <c r="F1960" t="s">
        <v>71</v>
      </c>
      <c r="G1960" t="s">
        <v>46</v>
      </c>
      <c r="H1960" t="s">
        <v>57</v>
      </c>
      <c r="I1960" t="s">
        <v>42</v>
      </c>
      <c r="J1960" s="4">
        <v>29.75</v>
      </c>
      <c r="K1960" s="4">
        <v>15.15</v>
      </c>
      <c r="L1960">
        <v>0</v>
      </c>
      <c r="M1960" s="4">
        <v>0</v>
      </c>
      <c r="N1960" s="4">
        <v>450.71</v>
      </c>
      <c r="O1960" s="4">
        <v>199</v>
      </c>
      <c r="P1960" s="4">
        <v>11.25</v>
      </c>
      <c r="Q1960" s="4">
        <v>6.76</v>
      </c>
      <c r="R1960" s="4">
        <v>0</v>
      </c>
      <c r="S1960" s="4">
        <v>0</v>
      </c>
      <c r="T1960" s="4">
        <v>0</v>
      </c>
      <c r="U1960" s="4">
        <v>217.01</v>
      </c>
      <c r="V1960" s="4">
        <v>233.7</v>
      </c>
      <c r="W1960" t="s">
        <v>21</v>
      </c>
      <c r="X1960" t="s">
        <v>36</v>
      </c>
      <c r="Y1960" s="4">
        <v>10</v>
      </c>
      <c r="Z1960" s="4">
        <v>2</v>
      </c>
      <c r="AA1960" t="s">
        <v>37</v>
      </c>
      <c r="AB1960" t="s">
        <v>38</v>
      </c>
      <c r="AC1960" s="7">
        <v>0</v>
      </c>
      <c r="AD1960" t="s">
        <v>39</v>
      </c>
      <c r="AE1960">
        <f t="shared" si="30"/>
        <v>0</v>
      </c>
    </row>
    <row r="1961" spans="1:31" x14ac:dyDescent="0.35">
      <c r="A1961">
        <v>101960</v>
      </c>
      <c r="B1961" s="3">
        <v>45962</v>
      </c>
      <c r="C1961">
        <v>1066</v>
      </c>
      <c r="D1961" t="s">
        <v>47</v>
      </c>
      <c r="E1961" t="s">
        <v>74</v>
      </c>
      <c r="F1961" t="s">
        <v>41</v>
      </c>
      <c r="G1961" t="s">
        <v>63</v>
      </c>
      <c r="H1961" t="s">
        <v>34</v>
      </c>
      <c r="I1961" t="s">
        <v>35</v>
      </c>
      <c r="J1961" s="4">
        <v>24.4</v>
      </c>
      <c r="K1961" s="4">
        <v>12.65</v>
      </c>
      <c r="L1961">
        <v>0</v>
      </c>
      <c r="M1961" s="4">
        <v>0</v>
      </c>
      <c r="N1961" s="4">
        <v>308.66000000000003</v>
      </c>
      <c r="O1961" s="4">
        <v>163.22999999999999</v>
      </c>
      <c r="P1961" s="4">
        <v>10.7</v>
      </c>
      <c r="Q1961" s="4">
        <v>2.16</v>
      </c>
      <c r="R1961" s="4">
        <v>11.51</v>
      </c>
      <c r="S1961" s="4">
        <v>0</v>
      </c>
      <c r="T1961" s="4">
        <v>0</v>
      </c>
      <c r="U1961" s="4">
        <v>187.6</v>
      </c>
      <c r="V1961" s="4">
        <v>121.06</v>
      </c>
      <c r="W1961" t="s">
        <v>21</v>
      </c>
      <c r="X1961" t="s">
        <v>36</v>
      </c>
      <c r="Y1961" s="4">
        <v>15</v>
      </c>
      <c r="Z1961" s="4">
        <v>1</v>
      </c>
      <c r="AA1961" t="s">
        <v>37</v>
      </c>
      <c r="AB1961" t="s">
        <v>38</v>
      </c>
      <c r="AC1961" s="7">
        <v>0</v>
      </c>
      <c r="AD1961" t="s">
        <v>39</v>
      </c>
      <c r="AE1961">
        <f t="shared" si="30"/>
        <v>0</v>
      </c>
    </row>
    <row r="1962" spans="1:31" x14ac:dyDescent="0.35">
      <c r="A1962">
        <v>101961</v>
      </c>
      <c r="B1962" s="3">
        <v>45999</v>
      </c>
      <c r="C1962">
        <v>1142</v>
      </c>
      <c r="D1962" t="s">
        <v>47</v>
      </c>
      <c r="E1962" t="s">
        <v>74</v>
      </c>
      <c r="F1962" t="s">
        <v>61</v>
      </c>
      <c r="G1962" t="s">
        <v>50</v>
      </c>
      <c r="H1962" t="s">
        <v>34</v>
      </c>
      <c r="I1962" t="s">
        <v>35</v>
      </c>
      <c r="J1962" s="4">
        <v>29.55</v>
      </c>
      <c r="K1962" s="4">
        <v>17.82</v>
      </c>
      <c r="L1962">
        <v>0</v>
      </c>
      <c r="M1962" s="4">
        <v>0</v>
      </c>
      <c r="N1962" s="4">
        <v>526.58000000000004</v>
      </c>
      <c r="O1962" s="4">
        <v>247.81</v>
      </c>
      <c r="P1962" s="4">
        <v>13.46</v>
      </c>
      <c r="Q1962" s="4">
        <v>3.69</v>
      </c>
      <c r="R1962" s="4">
        <v>2.62</v>
      </c>
      <c r="S1962" s="4">
        <v>0</v>
      </c>
      <c r="T1962" s="4">
        <v>0</v>
      </c>
      <c r="U1962" s="4">
        <v>267.58</v>
      </c>
      <c r="V1962" s="4">
        <v>259</v>
      </c>
      <c r="W1962" t="s">
        <v>21</v>
      </c>
      <c r="X1962" t="s">
        <v>36</v>
      </c>
      <c r="Y1962" s="4">
        <v>15</v>
      </c>
      <c r="Z1962" s="4">
        <v>1</v>
      </c>
      <c r="AA1962" t="s">
        <v>37</v>
      </c>
      <c r="AB1962" t="s">
        <v>38</v>
      </c>
      <c r="AC1962" s="7">
        <v>0</v>
      </c>
      <c r="AD1962" t="s">
        <v>39</v>
      </c>
      <c r="AE1962">
        <f t="shared" si="30"/>
        <v>0</v>
      </c>
    </row>
    <row r="1963" spans="1:31" x14ac:dyDescent="0.35">
      <c r="A1963">
        <v>101962</v>
      </c>
      <c r="B1963" s="3">
        <v>45960</v>
      </c>
      <c r="C1963">
        <v>1064</v>
      </c>
      <c r="D1963" t="s">
        <v>64</v>
      </c>
      <c r="E1963" t="s">
        <v>67</v>
      </c>
      <c r="F1963" t="s">
        <v>71</v>
      </c>
      <c r="G1963" t="s">
        <v>46</v>
      </c>
      <c r="H1963" t="s">
        <v>34</v>
      </c>
      <c r="I1963" t="s">
        <v>69</v>
      </c>
      <c r="J1963" s="4">
        <v>19.95</v>
      </c>
      <c r="K1963" s="4">
        <v>15.14</v>
      </c>
      <c r="L1963">
        <v>5</v>
      </c>
      <c r="M1963" s="4">
        <v>15.1</v>
      </c>
      <c r="N1963" s="4">
        <v>286.94</v>
      </c>
      <c r="O1963" s="4">
        <v>155.86000000000001</v>
      </c>
      <c r="P1963" s="4">
        <v>11.2</v>
      </c>
      <c r="Q1963" s="4">
        <v>1.21</v>
      </c>
      <c r="R1963" s="4">
        <v>9.34</v>
      </c>
      <c r="S1963" s="4">
        <v>0</v>
      </c>
      <c r="T1963" s="4">
        <v>0</v>
      </c>
      <c r="U1963" s="4">
        <v>177.61</v>
      </c>
      <c r="V1963" s="4">
        <v>109.33</v>
      </c>
      <c r="W1963" t="s">
        <v>21</v>
      </c>
      <c r="X1963" t="s">
        <v>36</v>
      </c>
      <c r="Y1963" s="4">
        <v>0</v>
      </c>
      <c r="Z1963" s="4">
        <v>3</v>
      </c>
      <c r="AA1963" t="s">
        <v>37</v>
      </c>
      <c r="AB1963" t="s">
        <v>38</v>
      </c>
      <c r="AC1963" s="7">
        <v>0</v>
      </c>
      <c r="AD1963" t="s">
        <v>39</v>
      </c>
      <c r="AE1963">
        <f t="shared" si="30"/>
        <v>0</v>
      </c>
    </row>
    <row r="1964" spans="1:31" x14ac:dyDescent="0.35">
      <c r="A1964">
        <v>101963</v>
      </c>
      <c r="B1964" s="3">
        <v>45969</v>
      </c>
      <c r="C1964">
        <v>1002</v>
      </c>
      <c r="D1964" t="s">
        <v>59</v>
      </c>
      <c r="E1964" t="s">
        <v>68</v>
      </c>
      <c r="F1964" t="s">
        <v>61</v>
      </c>
      <c r="G1964" t="s">
        <v>46</v>
      </c>
      <c r="H1964" t="s">
        <v>57</v>
      </c>
      <c r="I1964" t="s">
        <v>35</v>
      </c>
      <c r="J1964" s="4">
        <v>24.96</v>
      </c>
      <c r="K1964" s="4">
        <v>15.28</v>
      </c>
      <c r="L1964">
        <v>0</v>
      </c>
      <c r="M1964" s="4">
        <v>0</v>
      </c>
      <c r="N1964" s="4">
        <v>381.39</v>
      </c>
      <c r="O1964" s="4">
        <v>166.57</v>
      </c>
      <c r="P1964" s="4">
        <v>4.99</v>
      </c>
      <c r="Q1964" s="4">
        <v>2.67</v>
      </c>
      <c r="R1964" s="4">
        <v>1.75</v>
      </c>
      <c r="S1964" s="4">
        <v>0</v>
      </c>
      <c r="T1964" s="4">
        <v>0</v>
      </c>
      <c r="U1964" s="4">
        <v>175.98</v>
      </c>
      <c r="V1964" s="4">
        <v>205.41</v>
      </c>
      <c r="W1964" t="s">
        <v>21</v>
      </c>
      <c r="X1964" t="s">
        <v>36</v>
      </c>
      <c r="Y1964" s="4">
        <v>10</v>
      </c>
      <c r="Z1964" s="4">
        <v>6</v>
      </c>
      <c r="AA1964" t="s">
        <v>37</v>
      </c>
      <c r="AB1964" t="s">
        <v>38</v>
      </c>
      <c r="AC1964" s="7">
        <v>0</v>
      </c>
      <c r="AD1964" t="s">
        <v>39</v>
      </c>
      <c r="AE1964">
        <f t="shared" si="30"/>
        <v>0</v>
      </c>
    </row>
    <row r="1965" spans="1:31" x14ac:dyDescent="0.35">
      <c r="A1965">
        <v>101964</v>
      </c>
      <c r="B1965" s="3">
        <v>45936</v>
      </c>
      <c r="C1965">
        <v>1139</v>
      </c>
      <c r="D1965" t="s">
        <v>47</v>
      </c>
      <c r="E1965" t="s">
        <v>74</v>
      </c>
      <c r="F1965" t="s">
        <v>41</v>
      </c>
      <c r="G1965" t="s">
        <v>33</v>
      </c>
      <c r="H1965" t="s">
        <v>34</v>
      </c>
      <c r="I1965" t="s">
        <v>54</v>
      </c>
      <c r="J1965" s="4">
        <v>28.17</v>
      </c>
      <c r="K1965" s="4">
        <v>20.149999999999999</v>
      </c>
      <c r="L1965">
        <v>0</v>
      </c>
      <c r="M1965" s="4">
        <v>0</v>
      </c>
      <c r="N1965" s="4">
        <v>567.63</v>
      </c>
      <c r="O1965" s="4">
        <v>218.22</v>
      </c>
      <c r="P1965" s="4">
        <v>12.03</v>
      </c>
      <c r="Q1965" s="4">
        <v>6.81</v>
      </c>
      <c r="R1965" s="4">
        <v>1.03</v>
      </c>
      <c r="S1965" s="4">
        <v>0</v>
      </c>
      <c r="T1965" s="4">
        <v>0</v>
      </c>
      <c r="U1965" s="4">
        <v>238.09</v>
      </c>
      <c r="V1965" s="4">
        <v>329.54</v>
      </c>
      <c r="W1965" t="s">
        <v>21</v>
      </c>
      <c r="X1965" t="s">
        <v>36</v>
      </c>
      <c r="Y1965" s="4">
        <v>3</v>
      </c>
      <c r="Z1965" s="4">
        <v>7</v>
      </c>
      <c r="AA1965" t="s">
        <v>37</v>
      </c>
      <c r="AB1965" t="s">
        <v>38</v>
      </c>
      <c r="AC1965" s="7">
        <v>0</v>
      </c>
      <c r="AD1965" t="s">
        <v>39</v>
      </c>
      <c r="AE1965">
        <f t="shared" si="30"/>
        <v>0</v>
      </c>
    </row>
    <row r="1966" spans="1:31" x14ac:dyDescent="0.35">
      <c r="A1966">
        <v>101965</v>
      </c>
      <c r="B1966" s="3">
        <v>46010</v>
      </c>
      <c r="C1966">
        <v>1003</v>
      </c>
      <c r="D1966" t="s">
        <v>59</v>
      </c>
      <c r="E1966" t="s">
        <v>60</v>
      </c>
      <c r="F1966" t="s">
        <v>71</v>
      </c>
      <c r="G1966" t="s">
        <v>46</v>
      </c>
      <c r="H1966" t="s">
        <v>57</v>
      </c>
      <c r="I1966" t="s">
        <v>42</v>
      </c>
      <c r="J1966" s="4">
        <v>11.7</v>
      </c>
      <c r="K1966" s="4">
        <v>15.6</v>
      </c>
      <c r="L1966">
        <v>20</v>
      </c>
      <c r="M1966" s="4">
        <v>36.5</v>
      </c>
      <c r="N1966" s="4">
        <v>146.02000000000001</v>
      </c>
      <c r="O1966" s="4">
        <v>76.92</v>
      </c>
      <c r="P1966" s="4">
        <v>12.23</v>
      </c>
      <c r="Q1966" s="4">
        <v>2.74</v>
      </c>
      <c r="R1966" s="4">
        <v>9.23</v>
      </c>
      <c r="S1966" s="4">
        <v>0</v>
      </c>
      <c r="T1966" s="4">
        <v>0</v>
      </c>
      <c r="U1966" s="4">
        <v>101.12</v>
      </c>
      <c r="V1966" s="4">
        <v>44.9</v>
      </c>
      <c r="W1966" t="s">
        <v>21</v>
      </c>
      <c r="X1966" t="s">
        <v>36</v>
      </c>
      <c r="Y1966" s="4">
        <v>5</v>
      </c>
      <c r="Z1966" s="4">
        <v>16</v>
      </c>
      <c r="AA1966" t="s">
        <v>37</v>
      </c>
      <c r="AB1966" t="s">
        <v>44</v>
      </c>
      <c r="AC1966" s="7">
        <v>4</v>
      </c>
      <c r="AD1966" t="s">
        <v>45</v>
      </c>
      <c r="AE1966">
        <f t="shared" si="30"/>
        <v>1</v>
      </c>
    </row>
    <row r="1967" spans="1:31" x14ac:dyDescent="0.35">
      <c r="A1967">
        <v>101966</v>
      </c>
      <c r="B1967" s="3">
        <v>46012</v>
      </c>
      <c r="C1967">
        <v>1051</v>
      </c>
      <c r="D1967" t="s">
        <v>47</v>
      </c>
      <c r="E1967" t="s">
        <v>53</v>
      </c>
      <c r="F1967" t="s">
        <v>71</v>
      </c>
      <c r="G1967" t="s">
        <v>63</v>
      </c>
      <c r="H1967" t="s">
        <v>51</v>
      </c>
      <c r="I1967" t="s">
        <v>35</v>
      </c>
      <c r="J1967" s="4">
        <v>24.05</v>
      </c>
      <c r="K1967" s="4">
        <v>12.25</v>
      </c>
      <c r="L1967">
        <v>0</v>
      </c>
      <c r="M1967" s="4">
        <v>0</v>
      </c>
      <c r="N1967" s="4">
        <v>294.61</v>
      </c>
      <c r="O1967" s="4">
        <v>160.01</v>
      </c>
      <c r="P1967" s="4">
        <v>7.87</v>
      </c>
      <c r="Q1967" s="4">
        <v>2.06</v>
      </c>
      <c r="R1967" s="4">
        <v>10.78</v>
      </c>
      <c r="S1967" s="4">
        <v>0</v>
      </c>
      <c r="T1967" s="4">
        <v>0</v>
      </c>
      <c r="U1967" s="4">
        <v>180.72</v>
      </c>
      <c r="V1967" s="4">
        <v>113.89</v>
      </c>
      <c r="W1967" t="s">
        <v>21</v>
      </c>
      <c r="X1967" t="s">
        <v>36</v>
      </c>
      <c r="Y1967" s="4">
        <v>0</v>
      </c>
      <c r="Z1967" s="4">
        <v>6</v>
      </c>
      <c r="AA1967" t="s">
        <v>37</v>
      </c>
      <c r="AB1967" t="s">
        <v>38</v>
      </c>
      <c r="AC1967" s="7">
        <v>0</v>
      </c>
      <c r="AD1967" t="s">
        <v>39</v>
      </c>
      <c r="AE1967">
        <f t="shared" si="30"/>
        <v>0</v>
      </c>
    </row>
    <row r="1968" spans="1:31" x14ac:dyDescent="0.35">
      <c r="A1968">
        <v>101967</v>
      </c>
      <c r="B1968" s="3">
        <v>46007</v>
      </c>
      <c r="C1968">
        <v>1129</v>
      </c>
      <c r="D1968" t="s">
        <v>64</v>
      </c>
      <c r="E1968" t="s">
        <v>76</v>
      </c>
      <c r="F1968" t="s">
        <v>41</v>
      </c>
      <c r="G1968" t="s">
        <v>63</v>
      </c>
      <c r="H1968" t="s">
        <v>34</v>
      </c>
      <c r="I1968" t="s">
        <v>35</v>
      </c>
      <c r="J1968" s="4">
        <v>20.45</v>
      </c>
      <c r="K1968" s="4">
        <v>11.49</v>
      </c>
      <c r="L1968">
        <v>0</v>
      </c>
      <c r="M1968" s="4">
        <v>0</v>
      </c>
      <c r="N1968" s="4">
        <v>234.97</v>
      </c>
      <c r="O1968" s="4">
        <v>154.77000000000001</v>
      </c>
      <c r="P1968" s="4">
        <v>14.16</v>
      </c>
      <c r="Q1968" s="4">
        <v>1.64</v>
      </c>
      <c r="R1968" s="4">
        <v>0.71</v>
      </c>
      <c r="S1968" s="4">
        <v>178.32</v>
      </c>
      <c r="T1968" s="4">
        <v>0</v>
      </c>
      <c r="U1968" s="4">
        <v>349.6</v>
      </c>
      <c r="V1968" s="4">
        <v>-114.63</v>
      </c>
      <c r="W1968" t="s">
        <v>58</v>
      </c>
      <c r="X1968" t="s">
        <v>66</v>
      </c>
      <c r="Y1968" s="4">
        <v>17</v>
      </c>
      <c r="Z1968" s="4">
        <v>5</v>
      </c>
      <c r="AA1968" t="s">
        <v>52</v>
      </c>
      <c r="AB1968" t="s">
        <v>38</v>
      </c>
      <c r="AC1968" s="7">
        <v>3</v>
      </c>
      <c r="AD1968" t="s">
        <v>45</v>
      </c>
      <c r="AE1968">
        <f t="shared" si="30"/>
        <v>0</v>
      </c>
    </row>
    <row r="1969" spans="1:31" x14ac:dyDescent="0.35">
      <c r="A1969">
        <v>101968</v>
      </c>
      <c r="B1969" s="3">
        <v>46020</v>
      </c>
      <c r="C1969">
        <v>1010</v>
      </c>
      <c r="D1969" t="s">
        <v>47</v>
      </c>
      <c r="E1969" t="s">
        <v>53</v>
      </c>
      <c r="F1969" t="s">
        <v>32</v>
      </c>
      <c r="G1969" t="s">
        <v>50</v>
      </c>
      <c r="H1969" t="s">
        <v>34</v>
      </c>
      <c r="I1969" t="s">
        <v>42</v>
      </c>
      <c r="J1969" s="4">
        <v>27.29</v>
      </c>
      <c r="K1969" s="4">
        <v>18.34</v>
      </c>
      <c r="L1969">
        <v>15</v>
      </c>
      <c r="M1969" s="4">
        <v>75.08</v>
      </c>
      <c r="N1969" s="4">
        <v>425.42</v>
      </c>
      <c r="O1969" s="4">
        <v>186.27</v>
      </c>
      <c r="P1969" s="4">
        <v>1.24</v>
      </c>
      <c r="Q1969" s="4">
        <v>7.51</v>
      </c>
      <c r="R1969" s="4">
        <v>1.1200000000000001</v>
      </c>
      <c r="S1969" s="4">
        <v>0</v>
      </c>
      <c r="T1969" s="4">
        <v>0</v>
      </c>
      <c r="U1969" s="4">
        <v>196.14</v>
      </c>
      <c r="V1969" s="4">
        <v>229.28</v>
      </c>
      <c r="W1969" t="s">
        <v>21</v>
      </c>
      <c r="X1969" t="s">
        <v>36</v>
      </c>
      <c r="Y1969" s="4">
        <v>6</v>
      </c>
      <c r="Z1969" s="4">
        <v>4</v>
      </c>
      <c r="AA1969" t="s">
        <v>37</v>
      </c>
      <c r="AB1969" t="s">
        <v>38</v>
      </c>
      <c r="AC1969" s="7">
        <v>0</v>
      </c>
      <c r="AD1969" t="s">
        <v>39</v>
      </c>
      <c r="AE1969">
        <f t="shared" si="30"/>
        <v>0</v>
      </c>
    </row>
    <row r="1970" spans="1:31" x14ac:dyDescent="0.35">
      <c r="A1970">
        <v>101969</v>
      </c>
      <c r="B1970" s="3">
        <v>45997</v>
      </c>
      <c r="C1970">
        <v>1101</v>
      </c>
      <c r="D1970" t="s">
        <v>30</v>
      </c>
      <c r="E1970" t="s">
        <v>72</v>
      </c>
      <c r="F1970" t="s">
        <v>61</v>
      </c>
      <c r="G1970" t="s">
        <v>63</v>
      </c>
      <c r="H1970" t="s">
        <v>51</v>
      </c>
      <c r="I1970" t="s">
        <v>35</v>
      </c>
      <c r="J1970" s="4">
        <v>7.87</v>
      </c>
      <c r="K1970" s="4">
        <v>12.2</v>
      </c>
      <c r="L1970">
        <v>15</v>
      </c>
      <c r="M1970" s="4">
        <v>14.4</v>
      </c>
      <c r="N1970" s="4">
        <v>81.61</v>
      </c>
      <c r="O1970" s="4">
        <v>56.26</v>
      </c>
      <c r="P1970" s="4">
        <v>6.97</v>
      </c>
      <c r="Q1970" s="4">
        <v>0.67</v>
      </c>
      <c r="R1970" s="4">
        <v>1.0900000000000001</v>
      </c>
      <c r="S1970" s="4">
        <v>36.619999999999997</v>
      </c>
      <c r="T1970" s="4">
        <v>8.11</v>
      </c>
      <c r="U1970" s="4">
        <v>109.72</v>
      </c>
      <c r="V1970" s="4">
        <v>-28.11</v>
      </c>
      <c r="W1970" t="s">
        <v>58</v>
      </c>
      <c r="X1970" t="s">
        <v>66</v>
      </c>
      <c r="Y1970" s="4">
        <v>10</v>
      </c>
      <c r="Z1970" s="4">
        <v>27</v>
      </c>
      <c r="AA1970" t="s">
        <v>37</v>
      </c>
      <c r="AB1970" t="s">
        <v>44</v>
      </c>
      <c r="AC1970" s="7">
        <v>2</v>
      </c>
      <c r="AD1970" t="s">
        <v>45</v>
      </c>
      <c r="AE1970">
        <f t="shared" si="30"/>
        <v>1</v>
      </c>
    </row>
    <row r="1971" spans="1:31" x14ac:dyDescent="0.35">
      <c r="A1971">
        <v>101970</v>
      </c>
      <c r="B1971" s="3">
        <v>46020</v>
      </c>
      <c r="C1971">
        <v>1143</v>
      </c>
      <c r="D1971" t="s">
        <v>59</v>
      </c>
      <c r="E1971" t="s">
        <v>70</v>
      </c>
      <c r="F1971" t="s">
        <v>32</v>
      </c>
      <c r="G1971" t="s">
        <v>63</v>
      </c>
      <c r="H1971" t="s">
        <v>34</v>
      </c>
      <c r="I1971" t="s">
        <v>42</v>
      </c>
      <c r="J1971" s="4">
        <v>11.96</v>
      </c>
      <c r="K1971" s="4">
        <v>12.09</v>
      </c>
      <c r="L1971">
        <v>0</v>
      </c>
      <c r="M1971" s="4">
        <v>0</v>
      </c>
      <c r="N1971" s="4">
        <v>144.6</v>
      </c>
      <c r="O1971" s="4">
        <v>97.16</v>
      </c>
      <c r="P1971" s="4">
        <v>10.91</v>
      </c>
      <c r="Q1971" s="4">
        <v>2.17</v>
      </c>
      <c r="R1971" s="4">
        <v>7.54</v>
      </c>
      <c r="S1971" s="4">
        <v>0</v>
      </c>
      <c r="T1971" s="4">
        <v>0</v>
      </c>
      <c r="U1971" s="4">
        <v>117.78</v>
      </c>
      <c r="V1971" s="4">
        <v>26.82</v>
      </c>
      <c r="W1971" t="s">
        <v>21</v>
      </c>
      <c r="X1971" t="s">
        <v>36</v>
      </c>
      <c r="Y1971" s="4">
        <v>17</v>
      </c>
      <c r="Z1971" s="4">
        <v>3</v>
      </c>
      <c r="AA1971" t="s">
        <v>52</v>
      </c>
      <c r="AB1971" t="s">
        <v>38</v>
      </c>
      <c r="AC1971" s="7">
        <v>2</v>
      </c>
      <c r="AD1971" t="s">
        <v>39</v>
      </c>
      <c r="AE1971">
        <f t="shared" si="30"/>
        <v>0</v>
      </c>
    </row>
    <row r="1972" spans="1:31" x14ac:dyDescent="0.35">
      <c r="A1972">
        <v>101971</v>
      </c>
      <c r="B1972" s="3">
        <v>45964</v>
      </c>
      <c r="C1972">
        <v>1054</v>
      </c>
      <c r="D1972" t="s">
        <v>64</v>
      </c>
      <c r="E1972" t="s">
        <v>76</v>
      </c>
      <c r="F1972" t="s">
        <v>71</v>
      </c>
      <c r="G1972" t="s">
        <v>63</v>
      </c>
      <c r="H1972" t="s">
        <v>34</v>
      </c>
      <c r="I1972" t="s">
        <v>69</v>
      </c>
      <c r="J1972" s="4">
        <v>27.49</v>
      </c>
      <c r="K1972" s="4">
        <v>13.14</v>
      </c>
      <c r="L1972">
        <v>15</v>
      </c>
      <c r="M1972" s="4">
        <v>54.18</v>
      </c>
      <c r="N1972" s="4">
        <v>307.04000000000002</v>
      </c>
      <c r="O1972" s="4">
        <v>234.94</v>
      </c>
      <c r="P1972" s="4">
        <v>4.7699999999999996</v>
      </c>
      <c r="Q1972" s="4">
        <v>1.44</v>
      </c>
      <c r="R1972" s="4">
        <v>8.5</v>
      </c>
      <c r="S1972" s="4">
        <v>0</v>
      </c>
      <c r="T1972" s="4">
        <v>0</v>
      </c>
      <c r="U1972" s="4">
        <v>249.65</v>
      </c>
      <c r="V1972" s="4">
        <v>57.39</v>
      </c>
      <c r="W1972" t="s">
        <v>21</v>
      </c>
      <c r="X1972" t="s">
        <v>36</v>
      </c>
      <c r="Y1972" s="4">
        <v>48</v>
      </c>
      <c r="Z1972" s="4">
        <v>4</v>
      </c>
      <c r="AA1972" t="s">
        <v>43</v>
      </c>
      <c r="AB1972" t="s">
        <v>44</v>
      </c>
      <c r="AC1972" s="7">
        <v>2</v>
      </c>
      <c r="AD1972" t="s">
        <v>45</v>
      </c>
      <c r="AE1972">
        <f t="shared" si="30"/>
        <v>1</v>
      </c>
    </row>
    <row r="1973" spans="1:31" x14ac:dyDescent="0.35">
      <c r="A1973">
        <v>101972</v>
      </c>
      <c r="B1973" s="3">
        <v>45973</v>
      </c>
      <c r="C1973">
        <v>1036</v>
      </c>
      <c r="D1973" t="s">
        <v>47</v>
      </c>
      <c r="E1973" t="s">
        <v>74</v>
      </c>
      <c r="F1973" t="s">
        <v>61</v>
      </c>
      <c r="G1973" t="s">
        <v>63</v>
      </c>
      <c r="H1973" t="s">
        <v>34</v>
      </c>
      <c r="I1973" t="s">
        <v>35</v>
      </c>
      <c r="J1973" s="4">
        <v>19.61</v>
      </c>
      <c r="K1973" s="4">
        <v>12.56</v>
      </c>
      <c r="L1973">
        <v>20</v>
      </c>
      <c r="M1973" s="4">
        <v>49.26</v>
      </c>
      <c r="N1973" s="4">
        <v>197.04</v>
      </c>
      <c r="O1973" s="4">
        <v>127.96</v>
      </c>
      <c r="P1973" s="4">
        <v>9.6199999999999992</v>
      </c>
      <c r="Q1973" s="4">
        <v>1.72</v>
      </c>
      <c r="R1973" s="4">
        <v>6.9</v>
      </c>
      <c r="S1973" s="4">
        <v>0</v>
      </c>
      <c r="T1973" s="4">
        <v>0</v>
      </c>
      <c r="U1973" s="4">
        <v>146.19999999999999</v>
      </c>
      <c r="V1973" s="4">
        <v>50.84</v>
      </c>
      <c r="W1973" t="s">
        <v>21</v>
      </c>
      <c r="X1973" t="s">
        <v>36</v>
      </c>
      <c r="Y1973" s="4">
        <v>9</v>
      </c>
      <c r="Z1973" s="4">
        <v>7</v>
      </c>
      <c r="AA1973" t="s">
        <v>37</v>
      </c>
      <c r="AB1973" t="s">
        <v>38</v>
      </c>
      <c r="AC1973" s="7">
        <v>0</v>
      </c>
      <c r="AD1973" t="s">
        <v>39</v>
      </c>
      <c r="AE1973">
        <f t="shared" si="30"/>
        <v>0</v>
      </c>
    </row>
    <row r="1974" spans="1:31" x14ac:dyDescent="0.35">
      <c r="A1974">
        <v>101973</v>
      </c>
      <c r="B1974" s="3">
        <v>45971</v>
      </c>
      <c r="C1974">
        <v>1085</v>
      </c>
      <c r="D1974" t="s">
        <v>30</v>
      </c>
      <c r="E1974" t="s">
        <v>40</v>
      </c>
      <c r="F1974" t="s">
        <v>61</v>
      </c>
      <c r="G1974" t="s">
        <v>63</v>
      </c>
      <c r="H1974" t="s">
        <v>34</v>
      </c>
      <c r="I1974" t="s">
        <v>42</v>
      </c>
      <c r="J1974" s="4">
        <v>15.71</v>
      </c>
      <c r="K1974" s="4">
        <v>13.33</v>
      </c>
      <c r="L1974">
        <v>5</v>
      </c>
      <c r="M1974" s="4">
        <v>10.47</v>
      </c>
      <c r="N1974" s="4">
        <v>198.94</v>
      </c>
      <c r="O1974" s="4">
        <v>102.6</v>
      </c>
      <c r="P1974" s="4">
        <v>8.69</v>
      </c>
      <c r="Q1974" s="4">
        <v>3.14</v>
      </c>
      <c r="R1974" s="4">
        <v>0</v>
      </c>
      <c r="S1974" s="4">
        <v>0</v>
      </c>
      <c r="T1974" s="4">
        <v>0</v>
      </c>
      <c r="U1974" s="4">
        <v>114.43</v>
      </c>
      <c r="V1974" s="4">
        <v>84.51</v>
      </c>
      <c r="W1974" t="s">
        <v>21</v>
      </c>
      <c r="X1974" t="s">
        <v>36</v>
      </c>
      <c r="Y1974" s="4">
        <v>25</v>
      </c>
      <c r="Z1974" s="4">
        <v>9</v>
      </c>
      <c r="AA1974" t="s">
        <v>52</v>
      </c>
      <c r="AB1974" t="s">
        <v>44</v>
      </c>
      <c r="AC1974" s="7">
        <v>2</v>
      </c>
      <c r="AD1974" t="s">
        <v>45</v>
      </c>
      <c r="AE1974">
        <f t="shared" si="30"/>
        <v>1</v>
      </c>
    </row>
    <row r="1975" spans="1:31" x14ac:dyDescent="0.35">
      <c r="A1975">
        <v>101974</v>
      </c>
      <c r="B1975" s="3">
        <v>46017</v>
      </c>
      <c r="C1975">
        <v>1149</v>
      </c>
      <c r="D1975" t="s">
        <v>47</v>
      </c>
      <c r="E1975" t="s">
        <v>48</v>
      </c>
      <c r="F1975" t="s">
        <v>32</v>
      </c>
      <c r="G1975" t="s">
        <v>50</v>
      </c>
      <c r="H1975" t="s">
        <v>57</v>
      </c>
      <c r="I1975" t="s">
        <v>54</v>
      </c>
      <c r="J1975" s="4">
        <v>42.56</v>
      </c>
      <c r="K1975" s="4">
        <v>17.489999999999998</v>
      </c>
      <c r="L1975">
        <v>15</v>
      </c>
      <c r="M1975" s="4">
        <v>111.66</v>
      </c>
      <c r="N1975" s="4">
        <v>632.71</v>
      </c>
      <c r="O1975" s="4">
        <v>318.95</v>
      </c>
      <c r="P1975" s="4">
        <v>12.05</v>
      </c>
      <c r="Q1975" s="4">
        <v>8.93</v>
      </c>
      <c r="R1975" s="4">
        <v>1.19</v>
      </c>
      <c r="S1975" s="4">
        <v>0</v>
      </c>
      <c r="T1975" s="4">
        <v>0</v>
      </c>
      <c r="U1975" s="4">
        <v>341.12</v>
      </c>
      <c r="V1975" s="4">
        <v>291.58999999999997</v>
      </c>
      <c r="W1975" t="s">
        <v>21</v>
      </c>
      <c r="X1975" t="s">
        <v>36</v>
      </c>
      <c r="Y1975" s="4">
        <v>33</v>
      </c>
      <c r="Z1975" s="4">
        <v>7</v>
      </c>
      <c r="AA1975" t="s">
        <v>43</v>
      </c>
      <c r="AB1975" t="s">
        <v>44</v>
      </c>
      <c r="AC1975" s="7">
        <v>1</v>
      </c>
      <c r="AD1975" t="s">
        <v>45</v>
      </c>
      <c r="AE1975">
        <f t="shared" si="30"/>
        <v>1</v>
      </c>
    </row>
    <row r="1976" spans="1:31" x14ac:dyDescent="0.35">
      <c r="A1976">
        <v>101975</v>
      </c>
      <c r="B1976" s="3">
        <v>45992</v>
      </c>
      <c r="C1976">
        <v>1050</v>
      </c>
      <c r="D1976" t="s">
        <v>30</v>
      </c>
      <c r="E1976" t="s">
        <v>40</v>
      </c>
      <c r="F1976" t="s">
        <v>61</v>
      </c>
      <c r="G1976" t="s">
        <v>63</v>
      </c>
      <c r="H1976" t="s">
        <v>34</v>
      </c>
      <c r="I1976" t="s">
        <v>42</v>
      </c>
      <c r="J1976" s="4">
        <v>13.86</v>
      </c>
      <c r="K1976" s="4">
        <v>13.08</v>
      </c>
      <c r="L1976">
        <v>5</v>
      </c>
      <c r="M1976" s="4">
        <v>9.06</v>
      </c>
      <c r="N1976" s="4">
        <v>172.23</v>
      </c>
      <c r="O1976" s="4">
        <v>97.94</v>
      </c>
      <c r="P1976" s="4">
        <v>8.34</v>
      </c>
      <c r="Q1976" s="4">
        <v>2.72</v>
      </c>
      <c r="R1976" s="4">
        <v>9.4499999999999993</v>
      </c>
      <c r="S1976" s="4">
        <v>0</v>
      </c>
      <c r="T1976" s="4">
        <v>0</v>
      </c>
      <c r="U1976" s="4">
        <v>118.45</v>
      </c>
      <c r="V1976" s="4">
        <v>53.78</v>
      </c>
      <c r="W1976" t="s">
        <v>21</v>
      </c>
      <c r="X1976" t="s">
        <v>36</v>
      </c>
      <c r="Y1976" s="4">
        <v>1</v>
      </c>
      <c r="Z1976" s="4">
        <v>3</v>
      </c>
      <c r="AA1976" t="s">
        <v>37</v>
      </c>
      <c r="AB1976" t="s">
        <v>38</v>
      </c>
      <c r="AC1976" s="7">
        <v>0</v>
      </c>
      <c r="AD1976" t="s">
        <v>39</v>
      </c>
      <c r="AE1976">
        <f t="shared" si="30"/>
        <v>0</v>
      </c>
    </row>
    <row r="1977" spans="1:31" x14ac:dyDescent="0.35">
      <c r="A1977">
        <v>101976</v>
      </c>
      <c r="B1977" s="3">
        <v>45953</v>
      </c>
      <c r="C1977">
        <v>1122</v>
      </c>
      <c r="D1977" t="s">
        <v>47</v>
      </c>
      <c r="E1977" t="s">
        <v>48</v>
      </c>
      <c r="F1977" t="s">
        <v>32</v>
      </c>
      <c r="G1977" t="s">
        <v>33</v>
      </c>
      <c r="H1977" t="s">
        <v>57</v>
      </c>
      <c r="I1977" t="s">
        <v>54</v>
      </c>
      <c r="J1977" s="4">
        <v>46.05</v>
      </c>
      <c r="K1977" s="4">
        <v>17.829999999999998</v>
      </c>
      <c r="L1977">
        <v>5</v>
      </c>
      <c r="M1977" s="4">
        <v>41.05</v>
      </c>
      <c r="N1977" s="4">
        <v>780.02</v>
      </c>
      <c r="O1977" s="4">
        <v>291.67</v>
      </c>
      <c r="P1977" s="4">
        <v>10.71</v>
      </c>
      <c r="Q1977" s="4">
        <v>9.85</v>
      </c>
      <c r="R1977" s="4">
        <v>16.22</v>
      </c>
      <c r="S1977" s="4">
        <v>0</v>
      </c>
      <c r="T1977" s="4">
        <v>0</v>
      </c>
      <c r="U1977" s="4">
        <v>328.45</v>
      </c>
      <c r="V1977" s="4">
        <v>451.57</v>
      </c>
      <c r="W1977" t="s">
        <v>21</v>
      </c>
      <c r="X1977" t="s">
        <v>36</v>
      </c>
      <c r="Y1977" s="4">
        <v>4</v>
      </c>
      <c r="Z1977" s="4">
        <v>29</v>
      </c>
      <c r="AA1977" t="s">
        <v>37</v>
      </c>
      <c r="AB1977" t="s">
        <v>44</v>
      </c>
      <c r="AC1977" s="7">
        <v>2</v>
      </c>
      <c r="AD1977" t="s">
        <v>45</v>
      </c>
      <c r="AE1977">
        <f t="shared" si="30"/>
        <v>1</v>
      </c>
    </row>
    <row r="1978" spans="1:31" x14ac:dyDescent="0.35">
      <c r="A1978">
        <v>101977</v>
      </c>
      <c r="B1978" s="3">
        <v>45978</v>
      </c>
      <c r="C1978">
        <v>1032</v>
      </c>
      <c r="D1978" t="s">
        <v>64</v>
      </c>
      <c r="E1978" t="s">
        <v>65</v>
      </c>
      <c r="F1978" t="s">
        <v>71</v>
      </c>
      <c r="G1978" t="s">
        <v>63</v>
      </c>
      <c r="H1978" t="s">
        <v>51</v>
      </c>
      <c r="I1978" t="s">
        <v>54</v>
      </c>
      <c r="J1978" s="4">
        <v>13.81</v>
      </c>
      <c r="K1978" s="4">
        <v>13.35</v>
      </c>
      <c r="L1978">
        <v>15</v>
      </c>
      <c r="M1978" s="4">
        <v>27.65</v>
      </c>
      <c r="N1978" s="4">
        <v>156.71</v>
      </c>
      <c r="O1978" s="4">
        <v>86.04</v>
      </c>
      <c r="P1978" s="4">
        <v>5.22</v>
      </c>
      <c r="Q1978" s="4">
        <v>2.21</v>
      </c>
      <c r="R1978" s="4">
        <v>7.38</v>
      </c>
      <c r="S1978" s="4">
        <v>0</v>
      </c>
      <c r="T1978" s="4">
        <v>0</v>
      </c>
      <c r="U1978" s="4">
        <v>100.85</v>
      </c>
      <c r="V1978" s="4">
        <v>55.86</v>
      </c>
      <c r="W1978" t="s">
        <v>21</v>
      </c>
      <c r="X1978" t="s">
        <v>36</v>
      </c>
      <c r="Y1978" s="4">
        <v>7</v>
      </c>
      <c r="Z1978" s="4">
        <v>6</v>
      </c>
      <c r="AA1978" t="s">
        <v>37</v>
      </c>
      <c r="AB1978" t="s">
        <v>38</v>
      </c>
      <c r="AC1978" s="7">
        <v>0</v>
      </c>
      <c r="AD1978" t="s">
        <v>39</v>
      </c>
      <c r="AE1978">
        <f t="shared" si="30"/>
        <v>0</v>
      </c>
    </row>
    <row r="1979" spans="1:31" x14ac:dyDescent="0.35">
      <c r="A1979">
        <v>101978</v>
      </c>
      <c r="B1979" s="3">
        <v>45939</v>
      </c>
      <c r="C1979">
        <v>1126</v>
      </c>
      <c r="D1979" t="s">
        <v>59</v>
      </c>
      <c r="E1979" t="s">
        <v>70</v>
      </c>
      <c r="F1979" t="s">
        <v>41</v>
      </c>
      <c r="G1979" t="s">
        <v>63</v>
      </c>
      <c r="H1979" t="s">
        <v>34</v>
      </c>
      <c r="I1979" t="s">
        <v>54</v>
      </c>
      <c r="J1979" s="4">
        <v>9.57</v>
      </c>
      <c r="K1979" s="4">
        <v>12.29</v>
      </c>
      <c r="L1979">
        <v>15</v>
      </c>
      <c r="M1979" s="4">
        <v>17.64</v>
      </c>
      <c r="N1979" s="4">
        <v>99.98</v>
      </c>
      <c r="O1979" s="4">
        <v>75.02</v>
      </c>
      <c r="P1979" s="4">
        <v>5.1100000000000003</v>
      </c>
      <c r="Q1979" s="4">
        <v>1.41</v>
      </c>
      <c r="R1979" s="4">
        <v>8.0500000000000007</v>
      </c>
      <c r="S1979" s="4">
        <v>0</v>
      </c>
      <c r="T1979" s="4">
        <v>0</v>
      </c>
      <c r="U1979" s="4">
        <v>89.59</v>
      </c>
      <c r="V1979" s="4">
        <v>10.39</v>
      </c>
      <c r="W1979" t="s">
        <v>21</v>
      </c>
      <c r="X1979" t="s">
        <v>36</v>
      </c>
      <c r="Y1979" s="4">
        <v>13</v>
      </c>
      <c r="Z1979" s="4">
        <v>5</v>
      </c>
      <c r="AA1979" t="s">
        <v>37</v>
      </c>
      <c r="AB1979" t="s">
        <v>38</v>
      </c>
      <c r="AC1979" s="7">
        <v>0</v>
      </c>
      <c r="AD1979" t="s">
        <v>39</v>
      </c>
      <c r="AE1979">
        <f t="shared" si="30"/>
        <v>0</v>
      </c>
    </row>
    <row r="1980" spans="1:31" x14ac:dyDescent="0.35">
      <c r="A1980">
        <v>101979</v>
      </c>
      <c r="B1980" s="3">
        <v>45967</v>
      </c>
      <c r="C1980">
        <v>1040</v>
      </c>
      <c r="D1980" t="s">
        <v>64</v>
      </c>
      <c r="E1980" t="s">
        <v>65</v>
      </c>
      <c r="F1980" t="s">
        <v>61</v>
      </c>
      <c r="G1980" t="s">
        <v>50</v>
      </c>
      <c r="H1980" t="s">
        <v>51</v>
      </c>
      <c r="I1980" t="s">
        <v>35</v>
      </c>
      <c r="J1980" s="4">
        <v>34.54</v>
      </c>
      <c r="K1980" s="4">
        <v>16.88</v>
      </c>
      <c r="L1980">
        <v>0</v>
      </c>
      <c r="M1980" s="4">
        <v>0</v>
      </c>
      <c r="N1980" s="4">
        <v>583.04</v>
      </c>
      <c r="O1980" s="4">
        <v>235.72</v>
      </c>
      <c r="P1980" s="4">
        <v>5.71</v>
      </c>
      <c r="Q1980" s="4">
        <v>4.08</v>
      </c>
      <c r="R1980" s="4">
        <v>4.99</v>
      </c>
      <c r="S1980" s="4">
        <v>505.52</v>
      </c>
      <c r="T1980" s="4">
        <v>2.4900000000000002</v>
      </c>
      <c r="U1980" s="4">
        <v>758.51</v>
      </c>
      <c r="V1980" s="4">
        <v>-175.47</v>
      </c>
      <c r="W1980" t="s">
        <v>58</v>
      </c>
      <c r="X1980" t="s">
        <v>55</v>
      </c>
      <c r="Y1980" s="4">
        <v>0</v>
      </c>
      <c r="Z1980" s="4">
        <v>11</v>
      </c>
      <c r="AA1980" t="s">
        <v>37</v>
      </c>
      <c r="AB1980" t="s">
        <v>44</v>
      </c>
      <c r="AC1980" s="7">
        <v>3</v>
      </c>
      <c r="AD1980" t="s">
        <v>45</v>
      </c>
      <c r="AE1980">
        <f t="shared" si="30"/>
        <v>1</v>
      </c>
    </row>
    <row r="1981" spans="1:31" x14ac:dyDescent="0.35">
      <c r="A1981">
        <v>101980</v>
      </c>
      <c r="B1981" s="3">
        <v>45972</v>
      </c>
      <c r="C1981">
        <v>1060</v>
      </c>
      <c r="D1981" t="s">
        <v>64</v>
      </c>
      <c r="E1981" t="s">
        <v>65</v>
      </c>
      <c r="F1981" t="s">
        <v>49</v>
      </c>
      <c r="G1981" t="s">
        <v>50</v>
      </c>
      <c r="H1981" t="s">
        <v>34</v>
      </c>
      <c r="I1981" t="s">
        <v>54</v>
      </c>
      <c r="J1981" s="4">
        <v>27.88</v>
      </c>
      <c r="K1981" s="4">
        <v>18.16</v>
      </c>
      <c r="L1981">
        <v>5</v>
      </c>
      <c r="M1981" s="4">
        <v>25.32</v>
      </c>
      <c r="N1981" s="4">
        <v>480.98</v>
      </c>
      <c r="O1981" s="4">
        <v>209.53</v>
      </c>
      <c r="P1981" s="4">
        <v>6.29</v>
      </c>
      <c r="Q1981" s="4">
        <v>6.08</v>
      </c>
      <c r="R1981" s="4">
        <v>12.45</v>
      </c>
      <c r="S1981" s="4">
        <v>396.9</v>
      </c>
      <c r="T1981" s="4">
        <v>0</v>
      </c>
      <c r="U1981" s="4">
        <v>631.25</v>
      </c>
      <c r="V1981" s="4">
        <v>-150.27000000000001</v>
      </c>
      <c r="W1981" t="s">
        <v>58</v>
      </c>
      <c r="X1981" t="s">
        <v>55</v>
      </c>
      <c r="Y1981" s="4">
        <v>2</v>
      </c>
      <c r="Z1981" s="4">
        <v>4</v>
      </c>
      <c r="AA1981" t="s">
        <v>37</v>
      </c>
      <c r="AB1981" t="s">
        <v>44</v>
      </c>
      <c r="AC1981" s="7">
        <v>1</v>
      </c>
      <c r="AD1981" t="s">
        <v>45</v>
      </c>
      <c r="AE1981">
        <f t="shared" si="30"/>
        <v>1</v>
      </c>
    </row>
    <row r="1982" spans="1:31" x14ac:dyDescent="0.35">
      <c r="A1982">
        <v>101981</v>
      </c>
      <c r="B1982" s="3">
        <v>45948</v>
      </c>
      <c r="C1982">
        <v>1009</v>
      </c>
      <c r="D1982" t="s">
        <v>30</v>
      </c>
      <c r="E1982" t="s">
        <v>31</v>
      </c>
      <c r="F1982" t="s">
        <v>41</v>
      </c>
      <c r="G1982" t="s">
        <v>50</v>
      </c>
      <c r="H1982" t="s">
        <v>51</v>
      </c>
      <c r="I1982" t="s">
        <v>35</v>
      </c>
      <c r="J1982" s="4">
        <v>32.58</v>
      </c>
      <c r="K1982" s="4">
        <v>18.21</v>
      </c>
      <c r="L1982">
        <v>0</v>
      </c>
      <c r="M1982" s="4">
        <v>0</v>
      </c>
      <c r="N1982" s="4">
        <v>593.28</v>
      </c>
      <c r="O1982" s="4">
        <v>286.95999999999998</v>
      </c>
      <c r="P1982" s="4">
        <v>6.53</v>
      </c>
      <c r="Q1982" s="4">
        <v>4.1500000000000004</v>
      </c>
      <c r="R1982" s="4">
        <v>11.72</v>
      </c>
      <c r="S1982" s="4">
        <v>0</v>
      </c>
      <c r="T1982" s="4">
        <v>0</v>
      </c>
      <c r="U1982" s="4">
        <v>309.36</v>
      </c>
      <c r="V1982" s="4">
        <v>283.92</v>
      </c>
      <c r="W1982" t="s">
        <v>21</v>
      </c>
      <c r="X1982" t="s">
        <v>36</v>
      </c>
      <c r="Y1982" s="4">
        <v>2</v>
      </c>
      <c r="Z1982" s="4">
        <v>10</v>
      </c>
      <c r="AA1982" t="s">
        <v>37</v>
      </c>
      <c r="AB1982" t="s">
        <v>38</v>
      </c>
      <c r="AC1982" s="7">
        <v>1</v>
      </c>
      <c r="AD1982" t="s">
        <v>39</v>
      </c>
      <c r="AE1982">
        <f t="shared" si="30"/>
        <v>0</v>
      </c>
    </row>
    <row r="1983" spans="1:31" x14ac:dyDescent="0.35">
      <c r="A1983">
        <v>101982</v>
      </c>
      <c r="B1983" s="3">
        <v>45939</v>
      </c>
      <c r="C1983">
        <v>1085</v>
      </c>
      <c r="D1983" t="s">
        <v>47</v>
      </c>
      <c r="E1983" t="s">
        <v>48</v>
      </c>
      <c r="F1983" t="s">
        <v>32</v>
      </c>
      <c r="G1983" t="s">
        <v>63</v>
      </c>
      <c r="H1983" t="s">
        <v>34</v>
      </c>
      <c r="I1983" t="s">
        <v>69</v>
      </c>
      <c r="J1983" s="4">
        <v>24.98</v>
      </c>
      <c r="K1983" s="4">
        <v>12.19</v>
      </c>
      <c r="L1983">
        <v>0</v>
      </c>
      <c r="M1983" s="4">
        <v>0</v>
      </c>
      <c r="N1983" s="4">
        <v>304.51</v>
      </c>
      <c r="O1983" s="4">
        <v>167.7</v>
      </c>
      <c r="P1983" s="4">
        <v>7.82</v>
      </c>
      <c r="Q1983" s="4">
        <v>1.22</v>
      </c>
      <c r="R1983" s="4">
        <v>5.18</v>
      </c>
      <c r="S1983" s="4">
        <v>0</v>
      </c>
      <c r="T1983" s="4">
        <v>0</v>
      </c>
      <c r="U1983" s="4">
        <v>181.92</v>
      </c>
      <c r="V1983" s="4">
        <v>122.59</v>
      </c>
      <c r="W1983" t="s">
        <v>21</v>
      </c>
      <c r="X1983" t="s">
        <v>36</v>
      </c>
      <c r="Y1983" s="4">
        <v>19</v>
      </c>
      <c r="Z1983" s="4">
        <v>4</v>
      </c>
      <c r="AA1983" t="s">
        <v>52</v>
      </c>
      <c r="AB1983" t="s">
        <v>38</v>
      </c>
      <c r="AC1983" s="7">
        <v>0</v>
      </c>
      <c r="AD1983" t="s">
        <v>39</v>
      </c>
      <c r="AE1983">
        <f t="shared" si="30"/>
        <v>0</v>
      </c>
    </row>
    <row r="1984" spans="1:31" x14ac:dyDescent="0.35">
      <c r="A1984">
        <v>101983</v>
      </c>
      <c r="B1984" s="3">
        <v>45959</v>
      </c>
      <c r="C1984">
        <v>1025</v>
      </c>
      <c r="D1984" t="s">
        <v>59</v>
      </c>
      <c r="E1984" t="s">
        <v>73</v>
      </c>
      <c r="F1984" t="s">
        <v>61</v>
      </c>
      <c r="G1984" t="s">
        <v>33</v>
      </c>
      <c r="H1984" t="s">
        <v>51</v>
      </c>
      <c r="I1984" t="s">
        <v>35</v>
      </c>
      <c r="J1984" s="4">
        <v>23.29</v>
      </c>
      <c r="K1984" s="4">
        <v>21.26</v>
      </c>
      <c r="L1984">
        <v>15</v>
      </c>
      <c r="M1984" s="4">
        <v>74.27</v>
      </c>
      <c r="N1984" s="4">
        <v>420.88</v>
      </c>
      <c r="O1984" s="4">
        <v>162.32</v>
      </c>
      <c r="P1984" s="4">
        <v>8.9499999999999993</v>
      </c>
      <c r="Q1984" s="4">
        <v>3.47</v>
      </c>
      <c r="R1984" s="4">
        <v>5.75</v>
      </c>
      <c r="S1984" s="4">
        <v>0</v>
      </c>
      <c r="T1984" s="4">
        <v>0</v>
      </c>
      <c r="U1984" s="4">
        <v>180.49</v>
      </c>
      <c r="V1984" s="4">
        <v>240.39</v>
      </c>
      <c r="W1984" t="s">
        <v>21</v>
      </c>
      <c r="X1984" t="s">
        <v>36</v>
      </c>
      <c r="Y1984" s="4">
        <v>3</v>
      </c>
      <c r="Z1984" s="4">
        <v>20</v>
      </c>
      <c r="AA1984" t="s">
        <v>37</v>
      </c>
      <c r="AB1984" t="s">
        <v>44</v>
      </c>
      <c r="AC1984" s="7">
        <v>1</v>
      </c>
      <c r="AD1984" t="s">
        <v>45</v>
      </c>
      <c r="AE1984">
        <f t="shared" si="30"/>
        <v>1</v>
      </c>
    </row>
    <row r="1985" spans="1:31" x14ac:dyDescent="0.35">
      <c r="A1985">
        <v>101984</v>
      </c>
      <c r="B1985" s="3">
        <v>46013</v>
      </c>
      <c r="C1985">
        <v>1019</v>
      </c>
      <c r="D1985" t="s">
        <v>47</v>
      </c>
      <c r="E1985" t="s">
        <v>48</v>
      </c>
      <c r="F1985" t="s">
        <v>71</v>
      </c>
      <c r="G1985" t="s">
        <v>50</v>
      </c>
      <c r="H1985" t="s">
        <v>34</v>
      </c>
      <c r="I1985" t="s">
        <v>54</v>
      </c>
      <c r="J1985" s="4">
        <v>15.78</v>
      </c>
      <c r="K1985" s="4">
        <v>17.7</v>
      </c>
      <c r="L1985">
        <v>10</v>
      </c>
      <c r="M1985" s="4">
        <v>27.93</v>
      </c>
      <c r="N1985" s="4">
        <v>251.38</v>
      </c>
      <c r="O1985" s="4">
        <v>102.08</v>
      </c>
      <c r="P1985" s="4">
        <v>9.65</v>
      </c>
      <c r="Q1985" s="4">
        <v>3.35</v>
      </c>
      <c r="R1985" s="4">
        <v>10.210000000000001</v>
      </c>
      <c r="S1985" s="4">
        <v>0</v>
      </c>
      <c r="T1985" s="4">
        <v>0</v>
      </c>
      <c r="U1985" s="4">
        <v>125.29</v>
      </c>
      <c r="V1985" s="4">
        <v>126.09</v>
      </c>
      <c r="W1985" t="s">
        <v>21</v>
      </c>
      <c r="X1985" t="s">
        <v>36</v>
      </c>
      <c r="Y1985" s="4">
        <v>4</v>
      </c>
      <c r="Z1985" s="4">
        <v>12</v>
      </c>
      <c r="AA1985" t="s">
        <v>37</v>
      </c>
      <c r="AB1985" t="s">
        <v>38</v>
      </c>
      <c r="AC1985" s="7">
        <v>0</v>
      </c>
      <c r="AD1985" t="s">
        <v>39</v>
      </c>
      <c r="AE1985">
        <f t="shared" si="30"/>
        <v>0</v>
      </c>
    </row>
    <row r="1986" spans="1:31" x14ac:dyDescent="0.35">
      <c r="A1986">
        <v>101985</v>
      </c>
      <c r="B1986" s="3">
        <v>46017</v>
      </c>
      <c r="C1986">
        <v>1025</v>
      </c>
      <c r="D1986" t="s">
        <v>47</v>
      </c>
      <c r="E1986" t="s">
        <v>56</v>
      </c>
      <c r="F1986" t="s">
        <v>71</v>
      </c>
      <c r="G1986" t="s">
        <v>33</v>
      </c>
      <c r="H1986" t="s">
        <v>34</v>
      </c>
      <c r="I1986" t="s">
        <v>35</v>
      </c>
      <c r="J1986" s="4">
        <v>16.8</v>
      </c>
      <c r="K1986" s="4">
        <v>18.86</v>
      </c>
      <c r="L1986">
        <v>10</v>
      </c>
      <c r="M1986" s="4">
        <v>31.68</v>
      </c>
      <c r="N1986" s="4">
        <v>285.17</v>
      </c>
      <c r="O1986" s="4">
        <v>112.95</v>
      </c>
      <c r="P1986" s="4">
        <v>11.01</v>
      </c>
      <c r="Q1986" s="4">
        <v>2.2200000000000002</v>
      </c>
      <c r="R1986" s="4">
        <v>5.19</v>
      </c>
      <c r="S1986" s="4">
        <v>0</v>
      </c>
      <c r="T1986" s="4">
        <v>0</v>
      </c>
      <c r="U1986" s="4">
        <v>131.37</v>
      </c>
      <c r="V1986" s="4">
        <v>153.80000000000001</v>
      </c>
      <c r="W1986" t="s">
        <v>21</v>
      </c>
      <c r="X1986" t="s">
        <v>36</v>
      </c>
      <c r="Y1986" s="4">
        <v>28</v>
      </c>
      <c r="Z1986" s="4">
        <v>1</v>
      </c>
      <c r="AA1986" t="s">
        <v>52</v>
      </c>
      <c r="AB1986" t="s">
        <v>44</v>
      </c>
      <c r="AC1986" s="7">
        <v>1</v>
      </c>
      <c r="AD1986" t="s">
        <v>45</v>
      </c>
      <c r="AE1986">
        <f t="shared" si="30"/>
        <v>1</v>
      </c>
    </row>
    <row r="1987" spans="1:31" x14ac:dyDescent="0.35">
      <c r="A1987">
        <v>101986</v>
      </c>
      <c r="B1987" s="3">
        <v>46012</v>
      </c>
      <c r="C1987">
        <v>1048</v>
      </c>
      <c r="D1987" t="s">
        <v>47</v>
      </c>
      <c r="E1987" t="s">
        <v>74</v>
      </c>
      <c r="F1987" t="s">
        <v>61</v>
      </c>
      <c r="G1987" t="s">
        <v>46</v>
      </c>
      <c r="H1987" t="s">
        <v>57</v>
      </c>
      <c r="I1987" t="s">
        <v>69</v>
      </c>
      <c r="J1987" s="4">
        <v>29.68</v>
      </c>
      <c r="K1987" s="4">
        <v>14.38</v>
      </c>
      <c r="L1987">
        <v>20</v>
      </c>
      <c r="M1987" s="4">
        <v>85.36</v>
      </c>
      <c r="N1987" s="4">
        <v>341.44</v>
      </c>
      <c r="O1987" s="4">
        <v>219.14</v>
      </c>
      <c r="P1987" s="4">
        <v>4.3099999999999996</v>
      </c>
      <c r="Q1987" s="4">
        <v>1.71</v>
      </c>
      <c r="R1987" s="4">
        <v>1.18</v>
      </c>
      <c r="S1987" s="4">
        <v>0</v>
      </c>
      <c r="T1987" s="4">
        <v>0</v>
      </c>
      <c r="U1987" s="4">
        <v>226.34</v>
      </c>
      <c r="V1987" s="4">
        <v>115.1</v>
      </c>
      <c r="W1987" t="s">
        <v>21</v>
      </c>
      <c r="X1987" t="s">
        <v>36</v>
      </c>
      <c r="Y1987" s="4">
        <v>16</v>
      </c>
      <c r="Z1987" s="4">
        <v>1</v>
      </c>
      <c r="AA1987" t="s">
        <v>52</v>
      </c>
      <c r="AB1987" t="s">
        <v>38</v>
      </c>
      <c r="AC1987" s="7">
        <v>0</v>
      </c>
      <c r="AD1987" t="s">
        <v>39</v>
      </c>
      <c r="AE1987">
        <f t="shared" ref="AE1987:AE2050" si="31">IF(AB1987="Yes",1,0)</f>
        <v>0</v>
      </c>
    </row>
    <row r="1988" spans="1:31" x14ac:dyDescent="0.35">
      <c r="A1988">
        <v>101987</v>
      </c>
      <c r="B1988" s="3">
        <v>45951</v>
      </c>
      <c r="C1988">
        <v>1027</v>
      </c>
      <c r="D1988" t="s">
        <v>30</v>
      </c>
      <c r="E1988" t="s">
        <v>31</v>
      </c>
      <c r="F1988" t="s">
        <v>61</v>
      </c>
      <c r="G1988" t="s">
        <v>50</v>
      </c>
      <c r="H1988" t="s">
        <v>34</v>
      </c>
      <c r="I1988" t="s">
        <v>54</v>
      </c>
      <c r="J1988" s="4">
        <v>23.72</v>
      </c>
      <c r="K1988" s="4">
        <v>17.670000000000002</v>
      </c>
      <c r="L1988">
        <v>5</v>
      </c>
      <c r="M1988" s="4">
        <v>20.96</v>
      </c>
      <c r="N1988" s="4">
        <v>398.17</v>
      </c>
      <c r="O1988" s="4">
        <v>170.54</v>
      </c>
      <c r="P1988" s="4">
        <v>2.81</v>
      </c>
      <c r="Q1988" s="4">
        <v>5.03</v>
      </c>
      <c r="R1988" s="4">
        <v>0.02</v>
      </c>
      <c r="S1988" s="4">
        <v>0</v>
      </c>
      <c r="T1988" s="4">
        <v>0</v>
      </c>
      <c r="U1988" s="4">
        <v>178.4</v>
      </c>
      <c r="V1988" s="4">
        <v>219.77</v>
      </c>
      <c r="W1988" t="s">
        <v>21</v>
      </c>
      <c r="X1988" t="s">
        <v>36</v>
      </c>
      <c r="Y1988" s="4">
        <v>4</v>
      </c>
      <c r="Z1988" s="4">
        <v>2</v>
      </c>
      <c r="AA1988" t="s">
        <v>37</v>
      </c>
      <c r="AB1988" t="s">
        <v>38</v>
      </c>
      <c r="AC1988" s="7">
        <v>0</v>
      </c>
      <c r="AD1988" t="s">
        <v>39</v>
      </c>
      <c r="AE1988">
        <f t="shared" si="31"/>
        <v>0</v>
      </c>
    </row>
    <row r="1989" spans="1:31" x14ac:dyDescent="0.35">
      <c r="A1989">
        <v>101988</v>
      </c>
      <c r="B1989" s="3">
        <v>46018</v>
      </c>
      <c r="C1989">
        <v>1027</v>
      </c>
      <c r="D1989" t="s">
        <v>59</v>
      </c>
      <c r="E1989" t="s">
        <v>73</v>
      </c>
      <c r="F1989" t="s">
        <v>61</v>
      </c>
      <c r="G1989" t="s">
        <v>33</v>
      </c>
      <c r="H1989" t="s">
        <v>34</v>
      </c>
      <c r="I1989" t="s">
        <v>42</v>
      </c>
      <c r="J1989" s="4">
        <v>40.89</v>
      </c>
      <c r="K1989" s="4">
        <v>19.38</v>
      </c>
      <c r="L1989">
        <v>5</v>
      </c>
      <c r="M1989" s="4">
        <v>39.619999999999997</v>
      </c>
      <c r="N1989" s="4">
        <v>752.83</v>
      </c>
      <c r="O1989" s="4">
        <v>249.51</v>
      </c>
      <c r="P1989" s="4">
        <v>8.1999999999999993</v>
      </c>
      <c r="Q1989" s="4">
        <v>11.89</v>
      </c>
      <c r="R1989" s="4">
        <v>11.25</v>
      </c>
      <c r="S1989" s="4">
        <v>0</v>
      </c>
      <c r="T1989" s="4">
        <v>0</v>
      </c>
      <c r="U1989" s="4">
        <v>280.85000000000002</v>
      </c>
      <c r="V1989" s="4">
        <v>471.98</v>
      </c>
      <c r="W1989" t="s">
        <v>21</v>
      </c>
      <c r="X1989" t="s">
        <v>36</v>
      </c>
      <c r="Y1989" s="4">
        <v>38</v>
      </c>
      <c r="Z1989" s="4">
        <v>8</v>
      </c>
      <c r="AA1989" t="s">
        <v>43</v>
      </c>
      <c r="AB1989" t="s">
        <v>44</v>
      </c>
      <c r="AC1989" s="7">
        <v>1</v>
      </c>
      <c r="AD1989" t="s">
        <v>45</v>
      </c>
      <c r="AE1989">
        <f t="shared" si="31"/>
        <v>1</v>
      </c>
    </row>
    <row r="1990" spans="1:31" x14ac:dyDescent="0.35">
      <c r="A1990">
        <v>101989</v>
      </c>
      <c r="B1990" s="3">
        <v>45991</v>
      </c>
      <c r="C1990">
        <v>1149</v>
      </c>
      <c r="D1990" t="s">
        <v>47</v>
      </c>
      <c r="E1990" t="s">
        <v>74</v>
      </c>
      <c r="F1990" t="s">
        <v>41</v>
      </c>
      <c r="G1990" t="s">
        <v>63</v>
      </c>
      <c r="H1990" t="s">
        <v>57</v>
      </c>
      <c r="I1990" t="s">
        <v>69</v>
      </c>
      <c r="J1990" s="4">
        <v>31.67</v>
      </c>
      <c r="K1990" s="4">
        <v>11.84</v>
      </c>
      <c r="L1990">
        <v>5</v>
      </c>
      <c r="M1990" s="4">
        <v>18.75</v>
      </c>
      <c r="N1990" s="4">
        <v>356.22</v>
      </c>
      <c r="O1990" s="4">
        <v>243.01</v>
      </c>
      <c r="P1990" s="4">
        <v>8.68</v>
      </c>
      <c r="Q1990" s="4">
        <v>1.5</v>
      </c>
      <c r="R1990" s="4">
        <v>0.09</v>
      </c>
      <c r="S1990" s="4">
        <v>0</v>
      </c>
      <c r="T1990" s="4">
        <v>0</v>
      </c>
      <c r="U1990" s="4">
        <v>253.28</v>
      </c>
      <c r="V1990" s="4">
        <v>102.94</v>
      </c>
      <c r="W1990" t="s">
        <v>21</v>
      </c>
      <c r="X1990" t="s">
        <v>36</v>
      </c>
      <c r="Y1990" s="4">
        <v>7</v>
      </c>
      <c r="Z1990" s="4">
        <v>19</v>
      </c>
      <c r="AA1990" t="s">
        <v>37</v>
      </c>
      <c r="AB1990" t="s">
        <v>44</v>
      </c>
      <c r="AC1990" s="7">
        <v>1</v>
      </c>
      <c r="AD1990" t="s">
        <v>45</v>
      </c>
      <c r="AE1990">
        <f t="shared" si="31"/>
        <v>1</v>
      </c>
    </row>
    <row r="1991" spans="1:31" x14ac:dyDescent="0.35">
      <c r="A1991">
        <v>101990</v>
      </c>
      <c r="B1991" s="3">
        <v>46014</v>
      </c>
      <c r="C1991">
        <v>1112</v>
      </c>
      <c r="D1991" t="s">
        <v>59</v>
      </c>
      <c r="E1991" t="s">
        <v>60</v>
      </c>
      <c r="F1991" t="s">
        <v>41</v>
      </c>
      <c r="G1991" t="s">
        <v>63</v>
      </c>
      <c r="H1991" t="s">
        <v>34</v>
      </c>
      <c r="I1991" t="s">
        <v>35</v>
      </c>
      <c r="J1991" s="4">
        <v>3</v>
      </c>
      <c r="K1991" s="4">
        <v>13.18</v>
      </c>
      <c r="L1991">
        <v>0</v>
      </c>
      <c r="M1991" s="4">
        <v>0</v>
      </c>
      <c r="N1991" s="4">
        <v>39.54</v>
      </c>
      <c r="O1991" s="4">
        <v>23.1</v>
      </c>
      <c r="P1991" s="4">
        <v>5.86</v>
      </c>
      <c r="Q1991" s="4">
        <v>0.28000000000000003</v>
      </c>
      <c r="R1991" s="4">
        <v>10.27</v>
      </c>
      <c r="S1991" s="4">
        <v>0</v>
      </c>
      <c r="T1991" s="4">
        <v>0</v>
      </c>
      <c r="U1991" s="4">
        <v>39.51</v>
      </c>
      <c r="V1991" s="4">
        <v>0.03</v>
      </c>
      <c r="W1991" t="s">
        <v>21</v>
      </c>
      <c r="X1991" t="s">
        <v>36</v>
      </c>
      <c r="Y1991" s="4">
        <v>5</v>
      </c>
      <c r="Z1991" s="4">
        <v>15</v>
      </c>
      <c r="AA1991" t="s">
        <v>37</v>
      </c>
      <c r="AB1991" t="s">
        <v>38</v>
      </c>
      <c r="AC1991" s="7">
        <v>0</v>
      </c>
      <c r="AD1991" t="s">
        <v>39</v>
      </c>
      <c r="AE1991">
        <f t="shared" si="31"/>
        <v>0</v>
      </c>
    </row>
    <row r="1992" spans="1:31" x14ac:dyDescent="0.35">
      <c r="A1992">
        <v>101991</v>
      </c>
      <c r="B1992" s="3">
        <v>45955</v>
      </c>
      <c r="C1992">
        <v>1076</v>
      </c>
      <c r="D1992" t="s">
        <v>30</v>
      </c>
      <c r="E1992" t="s">
        <v>31</v>
      </c>
      <c r="F1992" t="s">
        <v>71</v>
      </c>
      <c r="G1992" t="s">
        <v>46</v>
      </c>
      <c r="H1992" t="s">
        <v>57</v>
      </c>
      <c r="I1992" t="s">
        <v>42</v>
      </c>
      <c r="J1992" s="4">
        <v>26.66</v>
      </c>
      <c r="K1992" s="4">
        <v>16.5</v>
      </c>
      <c r="L1992">
        <v>15</v>
      </c>
      <c r="M1992" s="4">
        <v>65.98</v>
      </c>
      <c r="N1992" s="4">
        <v>373.91</v>
      </c>
      <c r="O1992" s="4">
        <v>201.07</v>
      </c>
      <c r="P1992" s="4">
        <v>10.48</v>
      </c>
      <c r="Q1992" s="4">
        <v>6.6</v>
      </c>
      <c r="R1992" s="4">
        <v>6.54</v>
      </c>
      <c r="S1992" s="4">
        <v>0</v>
      </c>
      <c r="T1992" s="4">
        <v>0</v>
      </c>
      <c r="U1992" s="4">
        <v>224.69</v>
      </c>
      <c r="V1992" s="4">
        <v>149.22</v>
      </c>
      <c r="W1992" t="s">
        <v>21</v>
      </c>
      <c r="X1992" t="s">
        <v>36</v>
      </c>
      <c r="Y1992" s="4">
        <v>13</v>
      </c>
      <c r="Z1992" s="4">
        <v>3</v>
      </c>
      <c r="AA1992" t="s">
        <v>37</v>
      </c>
      <c r="AB1992" t="s">
        <v>38</v>
      </c>
      <c r="AC1992" s="7">
        <v>0</v>
      </c>
      <c r="AD1992" t="s">
        <v>39</v>
      </c>
      <c r="AE1992">
        <f t="shared" si="31"/>
        <v>0</v>
      </c>
    </row>
    <row r="1993" spans="1:31" x14ac:dyDescent="0.35">
      <c r="A1993">
        <v>101992</v>
      </c>
      <c r="B1993" s="3">
        <v>45969</v>
      </c>
      <c r="C1993">
        <v>1105</v>
      </c>
      <c r="D1993" t="s">
        <v>47</v>
      </c>
      <c r="E1993" t="s">
        <v>48</v>
      </c>
      <c r="F1993" t="s">
        <v>32</v>
      </c>
      <c r="G1993" t="s">
        <v>33</v>
      </c>
      <c r="H1993" t="s">
        <v>34</v>
      </c>
      <c r="I1993" t="s">
        <v>69</v>
      </c>
      <c r="J1993" s="4">
        <v>24.04</v>
      </c>
      <c r="K1993" s="4">
        <v>19.079999999999998</v>
      </c>
      <c r="L1993">
        <v>0</v>
      </c>
      <c r="M1993" s="4">
        <v>0</v>
      </c>
      <c r="N1993" s="4">
        <v>458.68</v>
      </c>
      <c r="O1993" s="4">
        <v>150.4</v>
      </c>
      <c r="P1993" s="4">
        <v>8.25</v>
      </c>
      <c r="Q1993" s="4">
        <v>1.83</v>
      </c>
      <c r="R1993" s="4">
        <v>0</v>
      </c>
      <c r="S1993" s="4">
        <v>0</v>
      </c>
      <c r="T1993" s="4">
        <v>0</v>
      </c>
      <c r="U1993" s="4">
        <v>160.47999999999999</v>
      </c>
      <c r="V1993" s="4">
        <v>298.2</v>
      </c>
      <c r="W1993" t="s">
        <v>21</v>
      </c>
      <c r="X1993" t="s">
        <v>36</v>
      </c>
      <c r="Y1993" s="4">
        <v>2</v>
      </c>
      <c r="Z1993" s="4">
        <v>2</v>
      </c>
      <c r="AA1993" t="s">
        <v>37</v>
      </c>
      <c r="AB1993" t="s">
        <v>38</v>
      </c>
      <c r="AC1993" s="7">
        <v>0</v>
      </c>
      <c r="AD1993" t="s">
        <v>39</v>
      </c>
      <c r="AE1993">
        <f t="shared" si="31"/>
        <v>0</v>
      </c>
    </row>
    <row r="1994" spans="1:31" x14ac:dyDescent="0.35">
      <c r="A1994">
        <v>101993</v>
      </c>
      <c r="B1994" s="3">
        <v>45975</v>
      </c>
      <c r="C1994">
        <v>1119</v>
      </c>
      <c r="D1994" t="s">
        <v>64</v>
      </c>
      <c r="E1994" t="s">
        <v>67</v>
      </c>
      <c r="F1994" t="s">
        <v>71</v>
      </c>
      <c r="G1994" t="s">
        <v>63</v>
      </c>
      <c r="H1994" t="s">
        <v>51</v>
      </c>
      <c r="I1994" t="s">
        <v>35</v>
      </c>
      <c r="J1994" s="4">
        <v>10.26</v>
      </c>
      <c r="K1994" s="4">
        <v>12.47</v>
      </c>
      <c r="L1994">
        <v>10</v>
      </c>
      <c r="M1994" s="4">
        <v>12.79</v>
      </c>
      <c r="N1994" s="4">
        <v>115.15</v>
      </c>
      <c r="O1994" s="4">
        <v>88.94</v>
      </c>
      <c r="P1994" s="4">
        <v>1</v>
      </c>
      <c r="Q1994" s="4">
        <v>0.9</v>
      </c>
      <c r="R1994" s="4">
        <v>11.11</v>
      </c>
      <c r="S1994" s="4">
        <v>0</v>
      </c>
      <c r="T1994" s="4">
        <v>0</v>
      </c>
      <c r="U1994" s="4">
        <v>101.95</v>
      </c>
      <c r="V1994" s="4">
        <v>13.2</v>
      </c>
      <c r="W1994" t="s">
        <v>21</v>
      </c>
      <c r="X1994" t="s">
        <v>36</v>
      </c>
      <c r="Y1994" s="4">
        <v>5</v>
      </c>
      <c r="Z1994" s="4">
        <v>12</v>
      </c>
      <c r="AA1994" t="s">
        <v>37</v>
      </c>
      <c r="AB1994" t="s">
        <v>38</v>
      </c>
      <c r="AC1994" s="7">
        <v>0</v>
      </c>
      <c r="AD1994" t="s">
        <v>39</v>
      </c>
      <c r="AE1994">
        <f t="shared" si="31"/>
        <v>0</v>
      </c>
    </row>
    <row r="1995" spans="1:31" x14ac:dyDescent="0.35">
      <c r="A1995">
        <v>101994</v>
      </c>
      <c r="B1995" s="3">
        <v>46012</v>
      </c>
      <c r="C1995">
        <v>1088</v>
      </c>
      <c r="D1995" t="s">
        <v>59</v>
      </c>
      <c r="E1995" t="s">
        <v>60</v>
      </c>
      <c r="F1995" t="s">
        <v>41</v>
      </c>
      <c r="G1995" t="s">
        <v>50</v>
      </c>
      <c r="H1995" t="s">
        <v>34</v>
      </c>
      <c r="I1995" t="s">
        <v>54</v>
      </c>
      <c r="J1995" s="4">
        <v>27.87</v>
      </c>
      <c r="K1995" s="4">
        <v>17.45</v>
      </c>
      <c r="L1995">
        <v>0</v>
      </c>
      <c r="M1995" s="4">
        <v>0</v>
      </c>
      <c r="N1995" s="4">
        <v>486.33</v>
      </c>
      <c r="O1995" s="4">
        <v>186.86</v>
      </c>
      <c r="P1995" s="4">
        <v>3.06</v>
      </c>
      <c r="Q1995" s="4">
        <v>5.84</v>
      </c>
      <c r="R1995" s="4">
        <v>7.13</v>
      </c>
      <c r="S1995" s="4">
        <v>0</v>
      </c>
      <c r="T1995" s="4">
        <v>0</v>
      </c>
      <c r="U1995" s="4">
        <v>202.89</v>
      </c>
      <c r="V1995" s="4">
        <v>283.44</v>
      </c>
      <c r="W1995" t="s">
        <v>21</v>
      </c>
      <c r="X1995" t="s">
        <v>36</v>
      </c>
      <c r="Y1995" s="4">
        <v>13</v>
      </c>
      <c r="Z1995" s="4">
        <v>17</v>
      </c>
      <c r="AA1995" t="s">
        <v>37</v>
      </c>
      <c r="AB1995" t="s">
        <v>44</v>
      </c>
      <c r="AC1995" s="7">
        <v>2</v>
      </c>
      <c r="AD1995" t="s">
        <v>45</v>
      </c>
      <c r="AE1995">
        <f t="shared" si="31"/>
        <v>1</v>
      </c>
    </row>
    <row r="1996" spans="1:31" x14ac:dyDescent="0.35">
      <c r="A1996">
        <v>101995</v>
      </c>
      <c r="B1996" s="3">
        <v>45955</v>
      </c>
      <c r="C1996">
        <v>1004</v>
      </c>
      <c r="D1996" t="s">
        <v>47</v>
      </c>
      <c r="E1996" t="s">
        <v>53</v>
      </c>
      <c r="F1996" t="s">
        <v>32</v>
      </c>
      <c r="G1996" t="s">
        <v>63</v>
      </c>
      <c r="H1996" t="s">
        <v>34</v>
      </c>
      <c r="I1996" t="s">
        <v>35</v>
      </c>
      <c r="J1996" s="4">
        <v>24.28</v>
      </c>
      <c r="K1996" s="4">
        <v>12.43</v>
      </c>
      <c r="L1996">
        <v>20</v>
      </c>
      <c r="M1996" s="4">
        <v>60.36</v>
      </c>
      <c r="N1996" s="4">
        <v>241.44</v>
      </c>
      <c r="O1996" s="4">
        <v>149.53</v>
      </c>
      <c r="P1996" s="4">
        <v>9.06</v>
      </c>
      <c r="Q1996" s="4">
        <v>2.11</v>
      </c>
      <c r="R1996" s="4">
        <v>12.19</v>
      </c>
      <c r="S1996" s="4">
        <v>0</v>
      </c>
      <c r="T1996" s="4">
        <v>0</v>
      </c>
      <c r="U1996" s="4">
        <v>172.89</v>
      </c>
      <c r="V1996" s="4">
        <v>68.55</v>
      </c>
      <c r="W1996" t="s">
        <v>21</v>
      </c>
      <c r="X1996" t="s">
        <v>36</v>
      </c>
      <c r="Y1996" s="4">
        <v>5</v>
      </c>
      <c r="Z1996" s="4">
        <v>15</v>
      </c>
      <c r="AA1996" t="s">
        <v>37</v>
      </c>
      <c r="AB1996" t="s">
        <v>38</v>
      </c>
      <c r="AC1996" s="7">
        <v>0</v>
      </c>
      <c r="AD1996" t="s">
        <v>39</v>
      </c>
      <c r="AE1996">
        <f t="shared" si="31"/>
        <v>0</v>
      </c>
    </row>
    <row r="1997" spans="1:31" x14ac:dyDescent="0.35">
      <c r="A1997">
        <v>101996</v>
      </c>
      <c r="B1997" s="3">
        <v>45974</v>
      </c>
      <c r="C1997">
        <v>1143</v>
      </c>
      <c r="D1997" t="s">
        <v>59</v>
      </c>
      <c r="E1997" t="s">
        <v>60</v>
      </c>
      <c r="F1997" t="s">
        <v>61</v>
      </c>
      <c r="G1997" t="s">
        <v>46</v>
      </c>
      <c r="H1997" t="s">
        <v>34</v>
      </c>
      <c r="I1997" t="s">
        <v>35</v>
      </c>
      <c r="J1997" s="4">
        <v>34.07</v>
      </c>
      <c r="K1997" s="4">
        <v>15.79</v>
      </c>
      <c r="L1997">
        <v>15</v>
      </c>
      <c r="M1997" s="4">
        <v>80.7</v>
      </c>
      <c r="N1997" s="4">
        <v>457.27</v>
      </c>
      <c r="O1997" s="4">
        <v>282.27999999999997</v>
      </c>
      <c r="P1997" s="4">
        <v>3.31</v>
      </c>
      <c r="Q1997" s="4">
        <v>3.77</v>
      </c>
      <c r="R1997" s="4">
        <v>10.6</v>
      </c>
      <c r="S1997" s="4">
        <v>0</v>
      </c>
      <c r="T1997" s="4">
        <v>0</v>
      </c>
      <c r="U1997" s="4">
        <v>299.95999999999998</v>
      </c>
      <c r="V1997" s="4">
        <v>157.31</v>
      </c>
      <c r="W1997" t="s">
        <v>21</v>
      </c>
      <c r="X1997" t="s">
        <v>36</v>
      </c>
      <c r="Y1997" s="4">
        <v>8</v>
      </c>
      <c r="Z1997" s="4">
        <v>3</v>
      </c>
      <c r="AA1997" t="s">
        <v>37</v>
      </c>
      <c r="AB1997" t="s">
        <v>38</v>
      </c>
      <c r="AC1997" s="7">
        <v>0</v>
      </c>
      <c r="AD1997" t="s">
        <v>39</v>
      </c>
      <c r="AE1997">
        <f t="shared" si="31"/>
        <v>0</v>
      </c>
    </row>
    <row r="1998" spans="1:31" x14ac:dyDescent="0.35">
      <c r="A1998">
        <v>101997</v>
      </c>
      <c r="B1998" s="3">
        <v>45965</v>
      </c>
      <c r="C1998">
        <v>1098</v>
      </c>
      <c r="D1998" t="s">
        <v>47</v>
      </c>
      <c r="E1998" t="s">
        <v>74</v>
      </c>
      <c r="F1998" t="s">
        <v>41</v>
      </c>
      <c r="G1998" t="s">
        <v>63</v>
      </c>
      <c r="H1998" t="s">
        <v>57</v>
      </c>
      <c r="I1998" t="s">
        <v>35</v>
      </c>
      <c r="J1998" s="4">
        <v>12.56</v>
      </c>
      <c r="K1998" s="4">
        <v>12.9</v>
      </c>
      <c r="L1998">
        <v>20</v>
      </c>
      <c r="M1998" s="4">
        <v>32.4</v>
      </c>
      <c r="N1998" s="4">
        <v>129.62</v>
      </c>
      <c r="O1998" s="4">
        <v>74.2</v>
      </c>
      <c r="P1998" s="4">
        <v>7.24</v>
      </c>
      <c r="Q1998" s="4">
        <v>1.1299999999999999</v>
      </c>
      <c r="R1998" s="4">
        <v>6.03</v>
      </c>
      <c r="S1998" s="4">
        <v>0</v>
      </c>
      <c r="T1998" s="4">
        <v>0</v>
      </c>
      <c r="U1998" s="4">
        <v>88.6</v>
      </c>
      <c r="V1998" s="4">
        <v>41.02</v>
      </c>
      <c r="W1998" t="s">
        <v>21</v>
      </c>
      <c r="X1998" t="s">
        <v>36</v>
      </c>
      <c r="Y1998" s="4">
        <v>9</v>
      </c>
      <c r="Z1998" s="4">
        <v>3</v>
      </c>
      <c r="AA1998" t="s">
        <v>37</v>
      </c>
      <c r="AB1998" t="s">
        <v>38</v>
      </c>
      <c r="AC1998" s="7">
        <v>1</v>
      </c>
      <c r="AD1998" t="s">
        <v>39</v>
      </c>
      <c r="AE1998">
        <f t="shared" si="31"/>
        <v>0</v>
      </c>
    </row>
    <row r="1999" spans="1:31" x14ac:dyDescent="0.35">
      <c r="A1999">
        <v>101998</v>
      </c>
      <c r="B1999" s="3">
        <v>45994</v>
      </c>
      <c r="C1999">
        <v>1034</v>
      </c>
      <c r="D1999" t="s">
        <v>30</v>
      </c>
      <c r="E1999" t="s">
        <v>31</v>
      </c>
      <c r="F1999" t="s">
        <v>71</v>
      </c>
      <c r="G1999" t="s">
        <v>63</v>
      </c>
      <c r="H1999" t="s">
        <v>57</v>
      </c>
      <c r="I1999" t="s">
        <v>35</v>
      </c>
      <c r="J1999" s="4">
        <v>18.66</v>
      </c>
      <c r="K1999" s="4">
        <v>12.53</v>
      </c>
      <c r="L1999">
        <v>0</v>
      </c>
      <c r="M1999" s="4">
        <v>0</v>
      </c>
      <c r="N1999" s="4">
        <v>233.81</v>
      </c>
      <c r="O1999" s="4">
        <v>134.04</v>
      </c>
      <c r="P1999" s="4">
        <v>5.5</v>
      </c>
      <c r="Q1999" s="4">
        <v>1.64</v>
      </c>
      <c r="R1999" s="4">
        <v>6.54</v>
      </c>
      <c r="S1999" s="4">
        <v>0</v>
      </c>
      <c r="T1999" s="4">
        <v>0</v>
      </c>
      <c r="U1999" s="4">
        <v>147.72</v>
      </c>
      <c r="V1999" s="4">
        <v>86.09</v>
      </c>
      <c r="W1999" t="s">
        <v>21</v>
      </c>
      <c r="X1999" t="s">
        <v>36</v>
      </c>
      <c r="Y1999" s="4">
        <v>17</v>
      </c>
      <c r="Z1999" s="4">
        <v>25</v>
      </c>
      <c r="AA1999" t="s">
        <v>52</v>
      </c>
      <c r="AB1999" t="s">
        <v>44</v>
      </c>
      <c r="AC1999" s="7">
        <v>2</v>
      </c>
      <c r="AD1999" t="s">
        <v>45</v>
      </c>
      <c r="AE1999">
        <f t="shared" si="31"/>
        <v>1</v>
      </c>
    </row>
    <row r="2000" spans="1:31" x14ac:dyDescent="0.35">
      <c r="A2000">
        <v>101999</v>
      </c>
      <c r="B2000" s="3">
        <v>45991</v>
      </c>
      <c r="C2000">
        <v>1030</v>
      </c>
      <c r="D2000" t="s">
        <v>59</v>
      </c>
      <c r="E2000" t="s">
        <v>60</v>
      </c>
      <c r="F2000" t="s">
        <v>32</v>
      </c>
      <c r="G2000" t="s">
        <v>46</v>
      </c>
      <c r="H2000" t="s">
        <v>57</v>
      </c>
      <c r="I2000" t="s">
        <v>35</v>
      </c>
      <c r="J2000" s="4">
        <v>34.15</v>
      </c>
      <c r="K2000" s="4">
        <v>15.21</v>
      </c>
      <c r="L2000">
        <v>15</v>
      </c>
      <c r="M2000" s="4">
        <v>77.91</v>
      </c>
      <c r="N2000" s="4">
        <v>441.51</v>
      </c>
      <c r="O2000" s="4">
        <v>246.69</v>
      </c>
      <c r="P2000" s="4">
        <v>6.45</v>
      </c>
      <c r="Q2000" s="4">
        <v>3.64</v>
      </c>
      <c r="R2000" s="4">
        <v>6.89</v>
      </c>
      <c r="S2000" s="4">
        <v>0</v>
      </c>
      <c r="T2000" s="4">
        <v>0</v>
      </c>
      <c r="U2000" s="4">
        <v>263.67</v>
      </c>
      <c r="V2000" s="4">
        <v>177.84</v>
      </c>
      <c r="W2000" t="s">
        <v>21</v>
      </c>
      <c r="X2000" t="s">
        <v>36</v>
      </c>
      <c r="Y2000" s="4">
        <v>1</v>
      </c>
      <c r="Z2000" s="4">
        <v>1</v>
      </c>
      <c r="AA2000" t="s">
        <v>37</v>
      </c>
      <c r="AB2000" t="s">
        <v>38</v>
      </c>
      <c r="AC2000" s="7">
        <v>0</v>
      </c>
      <c r="AD2000" t="s">
        <v>39</v>
      </c>
      <c r="AE2000">
        <f t="shared" si="31"/>
        <v>0</v>
      </c>
    </row>
    <row r="2001" spans="1:31" x14ac:dyDescent="0.35">
      <c r="A2001">
        <v>102000</v>
      </c>
      <c r="B2001" s="3">
        <v>45981</v>
      </c>
      <c r="C2001">
        <v>1020</v>
      </c>
      <c r="D2001" t="s">
        <v>64</v>
      </c>
      <c r="E2001" t="s">
        <v>76</v>
      </c>
      <c r="F2001" t="s">
        <v>32</v>
      </c>
      <c r="G2001" t="s">
        <v>33</v>
      </c>
      <c r="H2001" t="s">
        <v>34</v>
      </c>
      <c r="I2001" t="s">
        <v>54</v>
      </c>
      <c r="J2001" s="4">
        <v>23.58</v>
      </c>
      <c r="K2001" s="4">
        <v>18.8</v>
      </c>
      <c r="L2001">
        <v>0</v>
      </c>
      <c r="M2001" s="4">
        <v>0</v>
      </c>
      <c r="N2001" s="4">
        <v>443.3</v>
      </c>
      <c r="O2001" s="4">
        <v>195.18</v>
      </c>
      <c r="P2001" s="4">
        <v>3.89</v>
      </c>
      <c r="Q2001" s="4">
        <v>5.32</v>
      </c>
      <c r="R2001" s="4">
        <v>2.87</v>
      </c>
      <c r="S2001" s="4">
        <v>0</v>
      </c>
      <c r="T2001" s="4">
        <v>0</v>
      </c>
      <c r="U2001" s="4">
        <v>207.26</v>
      </c>
      <c r="V2001" s="4">
        <v>236.04</v>
      </c>
      <c r="W2001" t="s">
        <v>21</v>
      </c>
      <c r="X2001" t="s">
        <v>36</v>
      </c>
      <c r="Y2001" s="4">
        <v>8</v>
      </c>
      <c r="Z2001" s="4">
        <v>1</v>
      </c>
      <c r="AA2001" t="s">
        <v>37</v>
      </c>
      <c r="AB2001" t="s">
        <v>38</v>
      </c>
      <c r="AC2001" s="7">
        <v>0</v>
      </c>
      <c r="AD2001" t="s">
        <v>39</v>
      </c>
      <c r="AE2001">
        <f t="shared" si="31"/>
        <v>0</v>
      </c>
    </row>
    <row r="2002" spans="1:31" x14ac:dyDescent="0.35">
      <c r="A2002">
        <v>102001</v>
      </c>
      <c r="B2002" s="3">
        <v>45954</v>
      </c>
      <c r="C2002">
        <v>1032</v>
      </c>
      <c r="D2002" t="s">
        <v>64</v>
      </c>
      <c r="E2002" t="s">
        <v>75</v>
      </c>
      <c r="F2002" t="s">
        <v>41</v>
      </c>
      <c r="G2002" t="s">
        <v>50</v>
      </c>
      <c r="H2002" t="s">
        <v>34</v>
      </c>
      <c r="I2002" t="s">
        <v>54</v>
      </c>
      <c r="J2002" s="4">
        <v>38.07</v>
      </c>
      <c r="K2002" s="4">
        <v>16.93</v>
      </c>
      <c r="L2002">
        <v>0</v>
      </c>
      <c r="M2002" s="4">
        <v>0</v>
      </c>
      <c r="N2002" s="4">
        <v>644.53</v>
      </c>
      <c r="O2002" s="4">
        <v>288.10000000000002</v>
      </c>
      <c r="P2002" s="4">
        <v>8.0399999999999991</v>
      </c>
      <c r="Q2002" s="4">
        <v>7.73</v>
      </c>
      <c r="R2002" s="4">
        <v>6.59</v>
      </c>
      <c r="S2002" s="4">
        <v>0</v>
      </c>
      <c r="T2002" s="4">
        <v>0</v>
      </c>
      <c r="U2002" s="4">
        <v>310.45999999999998</v>
      </c>
      <c r="V2002" s="4">
        <v>334.07</v>
      </c>
      <c r="W2002" t="s">
        <v>21</v>
      </c>
      <c r="X2002" t="s">
        <v>36</v>
      </c>
      <c r="Y2002" s="4">
        <v>3</v>
      </c>
      <c r="Z2002" s="4">
        <v>3</v>
      </c>
      <c r="AA2002" t="s">
        <v>37</v>
      </c>
      <c r="AB2002" t="s">
        <v>38</v>
      </c>
      <c r="AC2002" s="7">
        <v>0</v>
      </c>
      <c r="AD2002" t="s">
        <v>39</v>
      </c>
      <c r="AE2002">
        <f t="shared" si="31"/>
        <v>0</v>
      </c>
    </row>
    <row r="2003" spans="1:31" x14ac:dyDescent="0.35">
      <c r="A2003">
        <v>102002</v>
      </c>
      <c r="B2003" s="3">
        <v>45949</v>
      </c>
      <c r="C2003">
        <v>1041</v>
      </c>
      <c r="D2003" t="s">
        <v>59</v>
      </c>
      <c r="E2003" t="s">
        <v>60</v>
      </c>
      <c r="F2003" t="s">
        <v>71</v>
      </c>
      <c r="G2003" t="s">
        <v>46</v>
      </c>
      <c r="H2003" t="s">
        <v>57</v>
      </c>
      <c r="I2003" t="s">
        <v>35</v>
      </c>
      <c r="J2003" s="4">
        <v>20.51</v>
      </c>
      <c r="K2003" s="4">
        <v>17.78</v>
      </c>
      <c r="L2003">
        <v>0</v>
      </c>
      <c r="M2003" s="4">
        <v>0</v>
      </c>
      <c r="N2003" s="4">
        <v>364.67</v>
      </c>
      <c r="O2003" s="4">
        <v>184.52</v>
      </c>
      <c r="P2003" s="4">
        <v>3.91</v>
      </c>
      <c r="Q2003" s="4">
        <v>2.5499999999999998</v>
      </c>
      <c r="R2003" s="4">
        <v>6.46</v>
      </c>
      <c r="S2003" s="4">
        <v>234.83</v>
      </c>
      <c r="T2003" s="4">
        <v>23.84</v>
      </c>
      <c r="U2003" s="4">
        <v>456.11</v>
      </c>
      <c r="V2003" s="4">
        <v>-91.44</v>
      </c>
      <c r="W2003" t="s">
        <v>58</v>
      </c>
      <c r="X2003" t="s">
        <v>66</v>
      </c>
      <c r="Y2003" s="4">
        <v>16</v>
      </c>
      <c r="Z2003" s="4">
        <v>5</v>
      </c>
      <c r="AA2003" t="s">
        <v>52</v>
      </c>
      <c r="AB2003" t="s">
        <v>38</v>
      </c>
      <c r="AC2003" s="7">
        <v>2</v>
      </c>
      <c r="AD2003" t="s">
        <v>45</v>
      </c>
      <c r="AE2003">
        <f t="shared" si="31"/>
        <v>0</v>
      </c>
    </row>
    <row r="2004" spans="1:31" x14ac:dyDescent="0.35">
      <c r="A2004">
        <v>102003</v>
      </c>
      <c r="B2004" s="3">
        <v>46022</v>
      </c>
      <c r="C2004">
        <v>1070</v>
      </c>
      <c r="D2004" t="s">
        <v>30</v>
      </c>
      <c r="E2004" t="s">
        <v>72</v>
      </c>
      <c r="F2004" t="s">
        <v>49</v>
      </c>
      <c r="G2004" t="s">
        <v>63</v>
      </c>
      <c r="H2004" t="s">
        <v>57</v>
      </c>
      <c r="I2004" t="s">
        <v>69</v>
      </c>
      <c r="J2004" s="4">
        <v>24.99</v>
      </c>
      <c r="K2004" s="4">
        <v>13.37</v>
      </c>
      <c r="L2004">
        <v>10</v>
      </c>
      <c r="M2004" s="4">
        <v>33.409999999999997</v>
      </c>
      <c r="N2004" s="4">
        <v>300.70999999999998</v>
      </c>
      <c r="O2004" s="4">
        <v>177.26</v>
      </c>
      <c r="P2004" s="4">
        <v>10.93</v>
      </c>
      <c r="Q2004" s="4">
        <v>1.34</v>
      </c>
      <c r="R2004" s="4">
        <v>4.83</v>
      </c>
      <c r="S2004" s="4">
        <v>0</v>
      </c>
      <c r="T2004" s="4">
        <v>0</v>
      </c>
      <c r="U2004" s="4">
        <v>194.36</v>
      </c>
      <c r="V2004" s="4">
        <v>106.35</v>
      </c>
      <c r="W2004" t="s">
        <v>21</v>
      </c>
      <c r="X2004" t="s">
        <v>36</v>
      </c>
      <c r="Y2004" s="4">
        <v>15</v>
      </c>
      <c r="Z2004" s="4">
        <v>9</v>
      </c>
      <c r="AA2004" t="s">
        <v>37</v>
      </c>
      <c r="AB2004" t="s">
        <v>38</v>
      </c>
      <c r="AC2004" s="7">
        <v>0</v>
      </c>
      <c r="AD2004" t="s">
        <v>39</v>
      </c>
      <c r="AE2004">
        <f t="shared" si="31"/>
        <v>0</v>
      </c>
    </row>
    <row r="2005" spans="1:31" x14ac:dyDescent="0.35">
      <c r="A2005">
        <v>102004</v>
      </c>
      <c r="B2005" s="3">
        <v>45948</v>
      </c>
      <c r="C2005">
        <v>1038</v>
      </c>
      <c r="D2005" t="s">
        <v>30</v>
      </c>
      <c r="E2005" t="s">
        <v>40</v>
      </c>
      <c r="F2005" t="s">
        <v>49</v>
      </c>
      <c r="G2005" t="s">
        <v>46</v>
      </c>
      <c r="H2005" t="s">
        <v>34</v>
      </c>
      <c r="I2005" t="s">
        <v>35</v>
      </c>
      <c r="J2005" s="4">
        <v>34.92</v>
      </c>
      <c r="K2005" s="4">
        <v>16.34</v>
      </c>
      <c r="L2005">
        <v>0</v>
      </c>
      <c r="M2005" s="4">
        <v>0</v>
      </c>
      <c r="N2005" s="4">
        <v>570.59</v>
      </c>
      <c r="O2005" s="4">
        <v>241.95</v>
      </c>
      <c r="P2005" s="4">
        <v>6.77</v>
      </c>
      <c r="Q2005" s="4">
        <v>3.99</v>
      </c>
      <c r="R2005" s="4">
        <v>6.38</v>
      </c>
      <c r="S2005" s="4">
        <v>0</v>
      </c>
      <c r="T2005" s="4">
        <v>0</v>
      </c>
      <c r="U2005" s="4">
        <v>259.08999999999997</v>
      </c>
      <c r="V2005" s="4">
        <v>311.5</v>
      </c>
      <c r="W2005" t="s">
        <v>21</v>
      </c>
      <c r="X2005" t="s">
        <v>36</v>
      </c>
      <c r="Y2005" s="4">
        <v>3</v>
      </c>
      <c r="Z2005" s="4">
        <v>0</v>
      </c>
      <c r="AA2005" t="s">
        <v>37</v>
      </c>
      <c r="AB2005" t="s">
        <v>38</v>
      </c>
      <c r="AC2005" s="7">
        <v>0</v>
      </c>
      <c r="AD2005" t="s">
        <v>39</v>
      </c>
      <c r="AE2005">
        <f t="shared" si="31"/>
        <v>0</v>
      </c>
    </row>
    <row r="2006" spans="1:31" x14ac:dyDescent="0.35">
      <c r="A2006">
        <v>102005</v>
      </c>
      <c r="B2006" s="3">
        <v>45997</v>
      </c>
      <c r="C2006">
        <v>1021</v>
      </c>
      <c r="D2006" t="s">
        <v>59</v>
      </c>
      <c r="E2006" t="s">
        <v>60</v>
      </c>
      <c r="F2006" t="s">
        <v>32</v>
      </c>
      <c r="G2006" t="s">
        <v>46</v>
      </c>
      <c r="H2006" t="s">
        <v>57</v>
      </c>
      <c r="I2006" t="s">
        <v>54</v>
      </c>
      <c r="J2006" s="4">
        <v>11.49</v>
      </c>
      <c r="K2006" s="4">
        <v>14.23</v>
      </c>
      <c r="L2006">
        <v>5</v>
      </c>
      <c r="M2006" s="4">
        <v>8.18</v>
      </c>
      <c r="N2006" s="4">
        <v>155.32</v>
      </c>
      <c r="O2006" s="4">
        <v>84.19</v>
      </c>
      <c r="P2006" s="4">
        <v>9.51</v>
      </c>
      <c r="Q2006" s="4">
        <v>1.96</v>
      </c>
      <c r="R2006" s="4">
        <v>2.99</v>
      </c>
      <c r="S2006" s="4">
        <v>0</v>
      </c>
      <c r="T2006" s="4">
        <v>0</v>
      </c>
      <c r="U2006" s="4">
        <v>98.65</v>
      </c>
      <c r="V2006" s="4">
        <v>56.67</v>
      </c>
      <c r="W2006" t="s">
        <v>21</v>
      </c>
      <c r="X2006" t="s">
        <v>36</v>
      </c>
      <c r="Y2006" s="4">
        <v>0</v>
      </c>
      <c r="Z2006" s="4">
        <v>5</v>
      </c>
      <c r="AA2006" t="s">
        <v>37</v>
      </c>
      <c r="AB2006" t="s">
        <v>38</v>
      </c>
      <c r="AC2006" s="7">
        <v>0</v>
      </c>
      <c r="AD2006" t="s">
        <v>39</v>
      </c>
      <c r="AE2006">
        <f t="shared" si="31"/>
        <v>0</v>
      </c>
    </row>
    <row r="2007" spans="1:31" x14ac:dyDescent="0.35">
      <c r="A2007">
        <v>102006</v>
      </c>
      <c r="B2007" s="3">
        <v>45957</v>
      </c>
      <c r="C2007">
        <v>1035</v>
      </c>
      <c r="D2007" t="s">
        <v>59</v>
      </c>
      <c r="E2007" t="s">
        <v>70</v>
      </c>
      <c r="F2007" t="s">
        <v>49</v>
      </c>
      <c r="G2007" t="s">
        <v>33</v>
      </c>
      <c r="H2007" t="s">
        <v>57</v>
      </c>
      <c r="I2007" t="s">
        <v>35</v>
      </c>
      <c r="J2007" s="4">
        <v>29.95</v>
      </c>
      <c r="K2007" s="4">
        <v>18.489999999999998</v>
      </c>
      <c r="L2007">
        <v>0</v>
      </c>
      <c r="M2007" s="4">
        <v>0</v>
      </c>
      <c r="N2007" s="4">
        <v>553.78</v>
      </c>
      <c r="O2007" s="4">
        <v>246.15</v>
      </c>
      <c r="P2007" s="4">
        <v>12.35</v>
      </c>
      <c r="Q2007" s="4">
        <v>3.88</v>
      </c>
      <c r="R2007" s="4">
        <v>12.78</v>
      </c>
      <c r="S2007" s="4">
        <v>0</v>
      </c>
      <c r="T2007" s="4">
        <v>0</v>
      </c>
      <c r="U2007" s="4">
        <v>275.16000000000003</v>
      </c>
      <c r="V2007" s="4">
        <v>278.62</v>
      </c>
      <c r="W2007" t="s">
        <v>21</v>
      </c>
      <c r="X2007" t="s">
        <v>36</v>
      </c>
      <c r="Y2007" s="4">
        <v>12</v>
      </c>
      <c r="Z2007" s="4">
        <v>0</v>
      </c>
      <c r="AA2007" t="s">
        <v>37</v>
      </c>
      <c r="AB2007" t="s">
        <v>38</v>
      </c>
      <c r="AC2007" s="7">
        <v>0</v>
      </c>
      <c r="AD2007" t="s">
        <v>39</v>
      </c>
      <c r="AE2007">
        <f t="shared" si="31"/>
        <v>0</v>
      </c>
    </row>
    <row r="2008" spans="1:31" x14ac:dyDescent="0.35">
      <c r="A2008">
        <v>102007</v>
      </c>
      <c r="B2008" s="3">
        <v>46010</v>
      </c>
      <c r="C2008">
        <v>1089</v>
      </c>
      <c r="D2008" t="s">
        <v>59</v>
      </c>
      <c r="E2008" t="s">
        <v>70</v>
      </c>
      <c r="F2008" t="s">
        <v>61</v>
      </c>
      <c r="G2008" t="s">
        <v>63</v>
      </c>
      <c r="H2008" t="s">
        <v>34</v>
      </c>
      <c r="I2008" t="s">
        <v>42</v>
      </c>
      <c r="J2008" s="4">
        <v>11.18</v>
      </c>
      <c r="K2008" s="4">
        <v>12.13</v>
      </c>
      <c r="L2008">
        <v>15</v>
      </c>
      <c r="M2008" s="4">
        <v>20.34</v>
      </c>
      <c r="N2008" s="4">
        <v>115.27</v>
      </c>
      <c r="O2008" s="4">
        <v>83.1</v>
      </c>
      <c r="P2008" s="4">
        <v>7.29</v>
      </c>
      <c r="Q2008" s="4">
        <v>2.0299999999999998</v>
      </c>
      <c r="R2008" s="4">
        <v>1.86</v>
      </c>
      <c r="S2008" s="4">
        <v>86.34</v>
      </c>
      <c r="T2008" s="4">
        <v>0</v>
      </c>
      <c r="U2008" s="4">
        <v>180.62</v>
      </c>
      <c r="V2008" s="4">
        <v>-65.349999999999994</v>
      </c>
      <c r="W2008" t="s">
        <v>58</v>
      </c>
      <c r="X2008" t="s">
        <v>55</v>
      </c>
      <c r="Y2008" s="4">
        <v>10</v>
      </c>
      <c r="Z2008" s="4">
        <v>14</v>
      </c>
      <c r="AA2008" t="s">
        <v>37</v>
      </c>
      <c r="AB2008" t="s">
        <v>44</v>
      </c>
      <c r="AC2008" s="7">
        <v>1</v>
      </c>
      <c r="AD2008" t="s">
        <v>45</v>
      </c>
      <c r="AE2008">
        <f t="shared" si="31"/>
        <v>1</v>
      </c>
    </row>
    <row r="2009" spans="1:31" x14ac:dyDescent="0.35">
      <c r="A2009">
        <v>102008</v>
      </c>
      <c r="B2009" s="3">
        <v>46012</v>
      </c>
      <c r="C2009">
        <v>1093</v>
      </c>
      <c r="D2009" t="s">
        <v>47</v>
      </c>
      <c r="E2009" t="s">
        <v>48</v>
      </c>
      <c r="F2009" t="s">
        <v>49</v>
      </c>
      <c r="G2009" t="s">
        <v>33</v>
      </c>
      <c r="H2009" t="s">
        <v>51</v>
      </c>
      <c r="I2009" t="s">
        <v>69</v>
      </c>
      <c r="J2009" s="4">
        <v>19.96</v>
      </c>
      <c r="K2009" s="4">
        <v>20.93</v>
      </c>
      <c r="L2009">
        <v>5</v>
      </c>
      <c r="M2009" s="4">
        <v>20.89</v>
      </c>
      <c r="N2009" s="4">
        <v>396.87</v>
      </c>
      <c r="O2009" s="4">
        <v>126.97</v>
      </c>
      <c r="P2009" s="4">
        <v>6.55</v>
      </c>
      <c r="Q2009" s="4">
        <v>1.67</v>
      </c>
      <c r="R2009" s="4">
        <v>4.42</v>
      </c>
      <c r="S2009" s="4">
        <v>0</v>
      </c>
      <c r="T2009" s="4">
        <v>0</v>
      </c>
      <c r="U2009" s="4">
        <v>139.61000000000001</v>
      </c>
      <c r="V2009" s="4">
        <v>257.26</v>
      </c>
      <c r="W2009" t="s">
        <v>21</v>
      </c>
      <c r="X2009" t="s">
        <v>36</v>
      </c>
      <c r="Y2009" s="4">
        <v>8</v>
      </c>
      <c r="Z2009" s="4">
        <v>20</v>
      </c>
      <c r="AA2009" t="s">
        <v>37</v>
      </c>
      <c r="AB2009" t="s">
        <v>44</v>
      </c>
      <c r="AC2009" s="7">
        <v>1</v>
      </c>
      <c r="AD2009" t="s">
        <v>45</v>
      </c>
      <c r="AE2009">
        <f t="shared" si="31"/>
        <v>1</v>
      </c>
    </row>
    <row r="2010" spans="1:31" x14ac:dyDescent="0.35">
      <c r="A2010">
        <v>102009</v>
      </c>
      <c r="B2010" s="3">
        <v>45973</v>
      </c>
      <c r="C2010">
        <v>1108</v>
      </c>
      <c r="D2010" t="s">
        <v>47</v>
      </c>
      <c r="E2010" t="s">
        <v>48</v>
      </c>
      <c r="F2010" t="s">
        <v>41</v>
      </c>
      <c r="G2010" t="s">
        <v>46</v>
      </c>
      <c r="H2010" t="s">
        <v>34</v>
      </c>
      <c r="I2010" t="s">
        <v>35</v>
      </c>
      <c r="J2010" s="4">
        <v>33.18</v>
      </c>
      <c r="K2010" s="4">
        <v>15.03</v>
      </c>
      <c r="L2010">
        <v>0</v>
      </c>
      <c r="M2010" s="4">
        <v>0</v>
      </c>
      <c r="N2010" s="4">
        <v>498.7</v>
      </c>
      <c r="O2010" s="4">
        <v>244.28</v>
      </c>
      <c r="P2010" s="4">
        <v>6.35</v>
      </c>
      <c r="Q2010" s="4">
        <v>3.49</v>
      </c>
      <c r="R2010" s="4">
        <v>1.57</v>
      </c>
      <c r="S2010" s="4">
        <v>0</v>
      </c>
      <c r="T2010" s="4">
        <v>0</v>
      </c>
      <c r="U2010" s="4">
        <v>255.69</v>
      </c>
      <c r="V2010" s="4">
        <v>243.01</v>
      </c>
      <c r="W2010" t="s">
        <v>21</v>
      </c>
      <c r="X2010" t="s">
        <v>36</v>
      </c>
      <c r="Y2010" s="4">
        <v>1</v>
      </c>
      <c r="Z2010" s="4">
        <v>0</v>
      </c>
      <c r="AA2010" t="s">
        <v>37</v>
      </c>
      <c r="AB2010" t="s">
        <v>38</v>
      </c>
      <c r="AC2010" s="7">
        <v>0</v>
      </c>
      <c r="AD2010" t="s">
        <v>39</v>
      </c>
      <c r="AE2010">
        <f t="shared" si="31"/>
        <v>0</v>
      </c>
    </row>
    <row r="2011" spans="1:31" x14ac:dyDescent="0.35">
      <c r="A2011">
        <v>102010</v>
      </c>
      <c r="B2011" s="3">
        <v>45937</v>
      </c>
      <c r="C2011">
        <v>1106</v>
      </c>
      <c r="D2011" t="s">
        <v>64</v>
      </c>
      <c r="E2011" t="s">
        <v>75</v>
      </c>
      <c r="F2011" t="s">
        <v>32</v>
      </c>
      <c r="G2011" t="s">
        <v>46</v>
      </c>
      <c r="H2011" t="s">
        <v>34</v>
      </c>
      <c r="I2011" t="s">
        <v>54</v>
      </c>
      <c r="J2011" s="4">
        <v>28.8</v>
      </c>
      <c r="K2011" s="4">
        <v>16.059999999999999</v>
      </c>
      <c r="L2011">
        <v>0</v>
      </c>
      <c r="M2011" s="4">
        <v>0</v>
      </c>
      <c r="N2011" s="4">
        <v>462.53</v>
      </c>
      <c r="O2011" s="4">
        <v>246.37</v>
      </c>
      <c r="P2011" s="4">
        <v>8.82</v>
      </c>
      <c r="Q2011" s="4">
        <v>5.55</v>
      </c>
      <c r="R2011" s="4">
        <v>2.4</v>
      </c>
      <c r="S2011" s="4">
        <v>0</v>
      </c>
      <c r="T2011" s="4">
        <v>0</v>
      </c>
      <c r="U2011" s="4">
        <v>263.14</v>
      </c>
      <c r="V2011" s="4">
        <v>199.39</v>
      </c>
      <c r="W2011" t="s">
        <v>21</v>
      </c>
      <c r="X2011" t="s">
        <v>36</v>
      </c>
      <c r="Y2011" s="4">
        <v>25</v>
      </c>
      <c r="Z2011" s="4">
        <v>2</v>
      </c>
      <c r="AA2011" t="s">
        <v>52</v>
      </c>
      <c r="AB2011" t="s">
        <v>44</v>
      </c>
      <c r="AC2011" s="7">
        <v>1</v>
      </c>
      <c r="AD2011" t="s">
        <v>45</v>
      </c>
      <c r="AE2011">
        <f t="shared" si="31"/>
        <v>1</v>
      </c>
    </row>
    <row r="2012" spans="1:31" x14ac:dyDescent="0.35">
      <c r="A2012">
        <v>102011</v>
      </c>
      <c r="B2012" s="3">
        <v>45972</v>
      </c>
      <c r="C2012">
        <v>1059</v>
      </c>
      <c r="D2012" t="s">
        <v>64</v>
      </c>
      <c r="E2012" t="s">
        <v>65</v>
      </c>
      <c r="F2012" t="s">
        <v>32</v>
      </c>
      <c r="G2012" t="s">
        <v>63</v>
      </c>
      <c r="H2012" t="s">
        <v>34</v>
      </c>
      <c r="I2012" t="s">
        <v>42</v>
      </c>
      <c r="J2012" s="4">
        <v>21.69</v>
      </c>
      <c r="K2012" s="4">
        <v>13.4</v>
      </c>
      <c r="L2012">
        <v>5</v>
      </c>
      <c r="M2012" s="4">
        <v>14.53</v>
      </c>
      <c r="N2012" s="4">
        <v>276.12</v>
      </c>
      <c r="O2012" s="4">
        <v>155.57</v>
      </c>
      <c r="P2012" s="4">
        <v>12.05</v>
      </c>
      <c r="Q2012" s="4">
        <v>4.3600000000000003</v>
      </c>
      <c r="R2012" s="4">
        <v>1.76</v>
      </c>
      <c r="S2012" s="4">
        <v>0</v>
      </c>
      <c r="T2012" s="4">
        <v>0</v>
      </c>
      <c r="U2012" s="4">
        <v>173.74</v>
      </c>
      <c r="V2012" s="4">
        <v>102.38</v>
      </c>
      <c r="W2012" t="s">
        <v>21</v>
      </c>
      <c r="X2012" t="s">
        <v>36</v>
      </c>
      <c r="Y2012" s="4">
        <v>8</v>
      </c>
      <c r="Z2012" s="4">
        <v>17</v>
      </c>
      <c r="AA2012" t="s">
        <v>37</v>
      </c>
      <c r="AB2012" t="s">
        <v>44</v>
      </c>
      <c r="AC2012" s="7">
        <v>3</v>
      </c>
      <c r="AD2012" t="s">
        <v>45</v>
      </c>
      <c r="AE2012">
        <f t="shared" si="31"/>
        <v>1</v>
      </c>
    </row>
    <row r="2013" spans="1:31" x14ac:dyDescent="0.35">
      <c r="A2013">
        <v>102012</v>
      </c>
      <c r="B2013" s="3">
        <v>45936</v>
      </c>
      <c r="C2013">
        <v>1071</v>
      </c>
      <c r="D2013" t="s">
        <v>47</v>
      </c>
      <c r="E2013" t="s">
        <v>56</v>
      </c>
      <c r="F2013" t="s">
        <v>61</v>
      </c>
      <c r="G2013" t="s">
        <v>46</v>
      </c>
      <c r="H2013" t="s">
        <v>57</v>
      </c>
      <c r="I2013" t="s">
        <v>35</v>
      </c>
      <c r="J2013" s="4">
        <v>25.8</v>
      </c>
      <c r="K2013" s="4">
        <v>15.97</v>
      </c>
      <c r="L2013">
        <v>0</v>
      </c>
      <c r="M2013" s="4">
        <v>0</v>
      </c>
      <c r="N2013" s="4">
        <v>412.03</v>
      </c>
      <c r="O2013" s="4">
        <v>198.26</v>
      </c>
      <c r="P2013" s="4">
        <v>10.84</v>
      </c>
      <c r="Q2013" s="4">
        <v>2.88</v>
      </c>
      <c r="R2013" s="4">
        <v>1.52</v>
      </c>
      <c r="S2013" s="4">
        <v>249.38</v>
      </c>
      <c r="T2013" s="4">
        <v>16.559999999999999</v>
      </c>
      <c r="U2013" s="4">
        <v>479.44</v>
      </c>
      <c r="V2013" s="4">
        <v>-67.41</v>
      </c>
      <c r="W2013" t="s">
        <v>58</v>
      </c>
      <c r="X2013" t="s">
        <v>66</v>
      </c>
      <c r="Y2013" s="4">
        <v>19</v>
      </c>
      <c r="Z2013" s="4">
        <v>20</v>
      </c>
      <c r="AA2013" t="s">
        <v>52</v>
      </c>
      <c r="AB2013" t="s">
        <v>44</v>
      </c>
      <c r="AC2013" s="7">
        <v>1</v>
      </c>
      <c r="AD2013" t="s">
        <v>45</v>
      </c>
      <c r="AE2013">
        <f t="shared" si="31"/>
        <v>1</v>
      </c>
    </row>
    <row r="2014" spans="1:31" x14ac:dyDescent="0.35">
      <c r="A2014">
        <v>102013</v>
      </c>
      <c r="B2014" s="3">
        <v>45959</v>
      </c>
      <c r="C2014">
        <v>1045</v>
      </c>
      <c r="D2014" t="s">
        <v>59</v>
      </c>
      <c r="E2014" t="s">
        <v>68</v>
      </c>
      <c r="F2014" t="s">
        <v>71</v>
      </c>
      <c r="G2014" t="s">
        <v>50</v>
      </c>
      <c r="H2014" t="s">
        <v>57</v>
      </c>
      <c r="I2014" t="s">
        <v>42</v>
      </c>
      <c r="J2014" s="4">
        <v>24.36</v>
      </c>
      <c r="K2014" s="4">
        <v>19.170000000000002</v>
      </c>
      <c r="L2014">
        <v>0</v>
      </c>
      <c r="M2014" s="4">
        <v>0</v>
      </c>
      <c r="N2014" s="4">
        <v>466.98</v>
      </c>
      <c r="O2014" s="4">
        <v>171.24</v>
      </c>
      <c r="P2014" s="4">
        <v>12.58</v>
      </c>
      <c r="Q2014" s="4">
        <v>7</v>
      </c>
      <c r="R2014" s="4">
        <v>3.77</v>
      </c>
      <c r="S2014" s="4">
        <v>0</v>
      </c>
      <c r="T2014" s="4">
        <v>0</v>
      </c>
      <c r="U2014" s="4">
        <v>194.59</v>
      </c>
      <c r="V2014" s="4">
        <v>272.39</v>
      </c>
      <c r="W2014" t="s">
        <v>21</v>
      </c>
      <c r="X2014" t="s">
        <v>36</v>
      </c>
      <c r="Y2014" s="4">
        <v>3</v>
      </c>
      <c r="Z2014" s="4">
        <v>2</v>
      </c>
      <c r="AA2014" t="s">
        <v>37</v>
      </c>
      <c r="AB2014" t="s">
        <v>38</v>
      </c>
      <c r="AC2014" s="7">
        <v>0</v>
      </c>
      <c r="AD2014" t="s">
        <v>39</v>
      </c>
      <c r="AE2014">
        <f t="shared" si="31"/>
        <v>0</v>
      </c>
    </row>
    <row r="2015" spans="1:31" x14ac:dyDescent="0.35">
      <c r="A2015">
        <v>102014</v>
      </c>
      <c r="B2015" s="3">
        <v>45987</v>
      </c>
      <c r="C2015">
        <v>1064</v>
      </c>
      <c r="D2015" t="s">
        <v>59</v>
      </c>
      <c r="E2015" t="s">
        <v>60</v>
      </c>
      <c r="F2015" t="s">
        <v>61</v>
      </c>
      <c r="G2015" t="s">
        <v>33</v>
      </c>
      <c r="H2015" t="s">
        <v>57</v>
      </c>
      <c r="I2015" t="s">
        <v>35</v>
      </c>
      <c r="J2015" s="4">
        <v>31.85</v>
      </c>
      <c r="K2015" s="4">
        <v>17.920000000000002</v>
      </c>
      <c r="L2015">
        <v>0</v>
      </c>
      <c r="M2015" s="4">
        <v>0</v>
      </c>
      <c r="N2015" s="4">
        <v>570.75</v>
      </c>
      <c r="O2015" s="4">
        <v>202.75</v>
      </c>
      <c r="P2015" s="4">
        <v>8.6199999999999992</v>
      </c>
      <c r="Q2015" s="4">
        <v>4</v>
      </c>
      <c r="R2015" s="4">
        <v>8.52</v>
      </c>
      <c r="S2015" s="4">
        <v>0</v>
      </c>
      <c r="T2015" s="4">
        <v>0</v>
      </c>
      <c r="U2015" s="4">
        <v>223.89</v>
      </c>
      <c r="V2015" s="4">
        <v>346.86</v>
      </c>
      <c r="W2015" t="s">
        <v>21</v>
      </c>
      <c r="X2015" t="s">
        <v>36</v>
      </c>
      <c r="Y2015" s="4">
        <v>19</v>
      </c>
      <c r="Z2015" s="4">
        <v>16</v>
      </c>
      <c r="AA2015" t="s">
        <v>52</v>
      </c>
      <c r="AB2015" t="s">
        <v>44</v>
      </c>
      <c r="AC2015" s="7">
        <v>1</v>
      </c>
      <c r="AD2015" t="s">
        <v>45</v>
      </c>
      <c r="AE2015">
        <f t="shared" si="31"/>
        <v>1</v>
      </c>
    </row>
    <row r="2016" spans="1:31" x14ac:dyDescent="0.35">
      <c r="A2016">
        <v>102015</v>
      </c>
      <c r="B2016" s="3">
        <v>45944</v>
      </c>
      <c r="C2016">
        <v>1027</v>
      </c>
      <c r="D2016" t="s">
        <v>64</v>
      </c>
      <c r="E2016" t="s">
        <v>76</v>
      </c>
      <c r="F2016" t="s">
        <v>61</v>
      </c>
      <c r="G2016" t="s">
        <v>63</v>
      </c>
      <c r="H2016" t="s">
        <v>34</v>
      </c>
      <c r="I2016" t="s">
        <v>35</v>
      </c>
      <c r="J2016" s="4">
        <v>21.25</v>
      </c>
      <c r="K2016" s="4">
        <v>13.17</v>
      </c>
      <c r="L2016">
        <v>10</v>
      </c>
      <c r="M2016" s="4">
        <v>27.99</v>
      </c>
      <c r="N2016" s="4">
        <v>251.87</v>
      </c>
      <c r="O2016" s="4">
        <v>131.85</v>
      </c>
      <c r="P2016" s="4">
        <v>7.04</v>
      </c>
      <c r="Q2016" s="4">
        <v>1.96</v>
      </c>
      <c r="R2016" s="4">
        <v>4.26</v>
      </c>
      <c r="S2016" s="4">
        <v>0</v>
      </c>
      <c r="T2016" s="4">
        <v>0</v>
      </c>
      <c r="U2016" s="4">
        <v>145.11000000000001</v>
      </c>
      <c r="V2016" s="4">
        <v>106.76</v>
      </c>
      <c r="W2016" t="s">
        <v>21</v>
      </c>
      <c r="X2016" t="s">
        <v>36</v>
      </c>
      <c r="Y2016" s="4">
        <v>12</v>
      </c>
      <c r="Z2016" s="4">
        <v>8</v>
      </c>
      <c r="AA2016" t="s">
        <v>37</v>
      </c>
      <c r="AB2016" t="s">
        <v>38</v>
      </c>
      <c r="AC2016" s="7">
        <v>0</v>
      </c>
      <c r="AD2016" t="s">
        <v>39</v>
      </c>
      <c r="AE2016">
        <f t="shared" si="31"/>
        <v>0</v>
      </c>
    </row>
    <row r="2017" spans="1:31" x14ac:dyDescent="0.35">
      <c r="A2017">
        <v>102016</v>
      </c>
      <c r="B2017" s="3">
        <v>46013</v>
      </c>
      <c r="C2017">
        <v>1034</v>
      </c>
      <c r="D2017" t="s">
        <v>59</v>
      </c>
      <c r="E2017" t="s">
        <v>60</v>
      </c>
      <c r="F2017" t="s">
        <v>71</v>
      </c>
      <c r="G2017" t="s">
        <v>46</v>
      </c>
      <c r="H2017" t="s">
        <v>34</v>
      </c>
      <c r="I2017" t="s">
        <v>54</v>
      </c>
      <c r="J2017" s="4">
        <v>45.24</v>
      </c>
      <c r="K2017" s="4">
        <v>15.94</v>
      </c>
      <c r="L2017">
        <v>10</v>
      </c>
      <c r="M2017" s="4">
        <v>72.11</v>
      </c>
      <c r="N2017" s="4">
        <v>649.02</v>
      </c>
      <c r="O2017" s="4">
        <v>284.22000000000003</v>
      </c>
      <c r="P2017" s="4">
        <v>7.87</v>
      </c>
      <c r="Q2017" s="4">
        <v>8.65</v>
      </c>
      <c r="R2017" s="4">
        <v>9.3000000000000007</v>
      </c>
      <c r="S2017" s="4">
        <v>359.85</v>
      </c>
      <c r="T2017" s="4">
        <v>0</v>
      </c>
      <c r="U2017" s="4">
        <v>669.89</v>
      </c>
      <c r="V2017" s="4">
        <v>-20.87</v>
      </c>
      <c r="W2017" t="s">
        <v>58</v>
      </c>
      <c r="X2017" t="s">
        <v>66</v>
      </c>
      <c r="Y2017" s="4">
        <v>7</v>
      </c>
      <c r="Z2017" s="4">
        <v>28</v>
      </c>
      <c r="AA2017" t="s">
        <v>37</v>
      </c>
      <c r="AB2017" t="s">
        <v>44</v>
      </c>
      <c r="AC2017" s="7">
        <v>1</v>
      </c>
      <c r="AD2017" t="s">
        <v>45</v>
      </c>
      <c r="AE2017">
        <f t="shared" si="31"/>
        <v>1</v>
      </c>
    </row>
    <row r="2018" spans="1:31" x14ac:dyDescent="0.35">
      <c r="A2018">
        <v>102017</v>
      </c>
      <c r="B2018" s="3">
        <v>45976</v>
      </c>
      <c r="C2018">
        <v>1063</v>
      </c>
      <c r="D2018" t="s">
        <v>47</v>
      </c>
      <c r="E2018" t="s">
        <v>48</v>
      </c>
      <c r="F2018" t="s">
        <v>71</v>
      </c>
      <c r="G2018" t="s">
        <v>46</v>
      </c>
      <c r="H2018" t="s">
        <v>34</v>
      </c>
      <c r="I2018" t="s">
        <v>35</v>
      </c>
      <c r="J2018" s="4">
        <v>32.75</v>
      </c>
      <c r="K2018" s="4">
        <v>17.97</v>
      </c>
      <c r="L2018">
        <v>5</v>
      </c>
      <c r="M2018" s="4">
        <v>29.43</v>
      </c>
      <c r="N2018" s="4">
        <v>559.09</v>
      </c>
      <c r="O2018" s="4">
        <v>239.19</v>
      </c>
      <c r="P2018" s="4">
        <v>11.75</v>
      </c>
      <c r="Q2018" s="4">
        <v>4.12</v>
      </c>
      <c r="R2018" s="4">
        <v>10.5</v>
      </c>
      <c r="S2018" s="4">
        <v>497.25</v>
      </c>
      <c r="T2018" s="4">
        <v>0</v>
      </c>
      <c r="U2018" s="4">
        <v>762.81</v>
      </c>
      <c r="V2018" s="4">
        <v>-203.72</v>
      </c>
      <c r="W2018" t="s">
        <v>58</v>
      </c>
      <c r="X2018" t="s">
        <v>55</v>
      </c>
      <c r="Y2018" s="4">
        <v>0</v>
      </c>
      <c r="Z2018" s="4">
        <v>8</v>
      </c>
      <c r="AA2018" t="s">
        <v>37</v>
      </c>
      <c r="AB2018" t="s">
        <v>44</v>
      </c>
      <c r="AC2018" s="7">
        <v>1</v>
      </c>
      <c r="AD2018" t="s">
        <v>45</v>
      </c>
      <c r="AE2018">
        <f t="shared" si="31"/>
        <v>1</v>
      </c>
    </row>
    <row r="2019" spans="1:31" x14ac:dyDescent="0.35">
      <c r="A2019">
        <v>102018</v>
      </c>
      <c r="B2019" s="3">
        <v>45968</v>
      </c>
      <c r="C2019">
        <v>1145</v>
      </c>
      <c r="D2019" t="s">
        <v>64</v>
      </c>
      <c r="E2019" t="s">
        <v>76</v>
      </c>
      <c r="F2019" t="s">
        <v>71</v>
      </c>
      <c r="G2019" t="s">
        <v>33</v>
      </c>
      <c r="H2019" t="s">
        <v>34</v>
      </c>
      <c r="I2019" t="s">
        <v>35</v>
      </c>
      <c r="J2019" s="4">
        <v>24.8</v>
      </c>
      <c r="K2019" s="4">
        <v>19.57</v>
      </c>
      <c r="L2019">
        <v>15</v>
      </c>
      <c r="M2019" s="4">
        <v>72.8</v>
      </c>
      <c r="N2019" s="4">
        <v>412.54</v>
      </c>
      <c r="O2019" s="4">
        <v>157.84</v>
      </c>
      <c r="P2019" s="4">
        <v>6.52</v>
      </c>
      <c r="Q2019" s="4">
        <v>3.4</v>
      </c>
      <c r="R2019" s="4">
        <v>8.4700000000000006</v>
      </c>
      <c r="S2019" s="4">
        <v>0</v>
      </c>
      <c r="T2019" s="4">
        <v>0</v>
      </c>
      <c r="U2019" s="4">
        <v>176.23</v>
      </c>
      <c r="V2019" s="4">
        <v>236.31</v>
      </c>
      <c r="W2019" t="s">
        <v>21</v>
      </c>
      <c r="X2019" t="s">
        <v>36</v>
      </c>
      <c r="Y2019" s="4">
        <v>1</v>
      </c>
      <c r="Z2019" s="4">
        <v>3</v>
      </c>
      <c r="AA2019" t="s">
        <v>37</v>
      </c>
      <c r="AB2019" t="s">
        <v>38</v>
      </c>
      <c r="AC2019" s="7">
        <v>0</v>
      </c>
      <c r="AD2019" t="s">
        <v>39</v>
      </c>
      <c r="AE2019">
        <f t="shared" si="31"/>
        <v>0</v>
      </c>
    </row>
    <row r="2020" spans="1:31" x14ac:dyDescent="0.35">
      <c r="A2020">
        <v>102019</v>
      </c>
      <c r="B2020" s="3">
        <v>45945</v>
      </c>
      <c r="C2020">
        <v>1111</v>
      </c>
      <c r="D2020" t="s">
        <v>47</v>
      </c>
      <c r="E2020" t="s">
        <v>48</v>
      </c>
      <c r="F2020" t="s">
        <v>61</v>
      </c>
      <c r="G2020" t="s">
        <v>63</v>
      </c>
      <c r="H2020" t="s">
        <v>57</v>
      </c>
      <c r="I2020" t="s">
        <v>54</v>
      </c>
      <c r="J2020" s="4">
        <v>15.29</v>
      </c>
      <c r="K2020" s="4">
        <v>11.77</v>
      </c>
      <c r="L2020">
        <v>15</v>
      </c>
      <c r="M2020" s="4">
        <v>26.99</v>
      </c>
      <c r="N2020" s="4">
        <v>152.97</v>
      </c>
      <c r="O2020" s="4">
        <v>88.24</v>
      </c>
      <c r="P2020" s="4">
        <v>14.23</v>
      </c>
      <c r="Q2020" s="4">
        <v>2.16</v>
      </c>
      <c r="R2020" s="4">
        <v>11.54</v>
      </c>
      <c r="S2020" s="4">
        <v>65.94</v>
      </c>
      <c r="T2020" s="4">
        <v>11.83</v>
      </c>
      <c r="U2020" s="4">
        <v>193.94</v>
      </c>
      <c r="V2020" s="4">
        <v>-40.97</v>
      </c>
      <c r="W2020" t="s">
        <v>58</v>
      </c>
      <c r="X2020" t="s">
        <v>55</v>
      </c>
      <c r="Y2020" s="4">
        <v>4</v>
      </c>
      <c r="Z2020" s="4">
        <v>0</v>
      </c>
      <c r="AA2020" t="s">
        <v>37</v>
      </c>
      <c r="AB2020" t="s">
        <v>44</v>
      </c>
      <c r="AC2020" s="7">
        <v>1</v>
      </c>
      <c r="AD2020" t="s">
        <v>45</v>
      </c>
      <c r="AE2020">
        <f t="shared" si="31"/>
        <v>1</v>
      </c>
    </row>
    <row r="2021" spans="1:31" x14ac:dyDescent="0.35">
      <c r="A2021">
        <v>102020</v>
      </c>
      <c r="B2021" s="3">
        <v>45971</v>
      </c>
      <c r="C2021">
        <v>1003</v>
      </c>
      <c r="D2021" t="s">
        <v>30</v>
      </c>
      <c r="E2021" t="s">
        <v>72</v>
      </c>
      <c r="F2021" t="s">
        <v>32</v>
      </c>
      <c r="G2021" t="s">
        <v>63</v>
      </c>
      <c r="H2021" t="s">
        <v>57</v>
      </c>
      <c r="I2021" t="s">
        <v>54</v>
      </c>
      <c r="J2021" s="4">
        <v>26</v>
      </c>
      <c r="K2021" s="4">
        <v>11.83</v>
      </c>
      <c r="L2021">
        <v>0</v>
      </c>
      <c r="M2021" s="4">
        <v>0</v>
      </c>
      <c r="N2021" s="4">
        <v>307.58</v>
      </c>
      <c r="O2021" s="4">
        <v>177.98</v>
      </c>
      <c r="P2021" s="4">
        <v>11.53</v>
      </c>
      <c r="Q2021" s="4">
        <v>3.69</v>
      </c>
      <c r="R2021" s="4">
        <v>2.9</v>
      </c>
      <c r="S2021" s="4">
        <v>0</v>
      </c>
      <c r="T2021" s="4">
        <v>0</v>
      </c>
      <c r="U2021" s="4">
        <v>196.1</v>
      </c>
      <c r="V2021" s="4">
        <v>111.48</v>
      </c>
      <c r="W2021" t="s">
        <v>21</v>
      </c>
      <c r="X2021" t="s">
        <v>36</v>
      </c>
      <c r="Y2021" s="4">
        <v>24</v>
      </c>
      <c r="Z2021" s="4">
        <v>19</v>
      </c>
      <c r="AA2021" t="s">
        <v>52</v>
      </c>
      <c r="AB2021" t="s">
        <v>44</v>
      </c>
      <c r="AC2021" s="7">
        <v>3</v>
      </c>
      <c r="AD2021" t="s">
        <v>45</v>
      </c>
      <c r="AE2021">
        <f t="shared" si="31"/>
        <v>1</v>
      </c>
    </row>
    <row r="2022" spans="1:31" x14ac:dyDescent="0.35">
      <c r="A2022">
        <v>102021</v>
      </c>
      <c r="B2022" s="3">
        <v>45932</v>
      </c>
      <c r="C2022">
        <v>1052</v>
      </c>
      <c r="D2022" t="s">
        <v>64</v>
      </c>
      <c r="E2022" t="s">
        <v>67</v>
      </c>
      <c r="F2022" t="s">
        <v>41</v>
      </c>
      <c r="G2022" t="s">
        <v>46</v>
      </c>
      <c r="H2022" t="s">
        <v>57</v>
      </c>
      <c r="I2022" t="s">
        <v>35</v>
      </c>
      <c r="J2022" s="4">
        <v>32.49</v>
      </c>
      <c r="K2022" s="4">
        <v>16.66</v>
      </c>
      <c r="L2022">
        <v>0</v>
      </c>
      <c r="M2022" s="4">
        <v>0</v>
      </c>
      <c r="N2022" s="4">
        <v>541.28</v>
      </c>
      <c r="O2022" s="4">
        <v>229.31</v>
      </c>
      <c r="P2022" s="4">
        <v>9.3800000000000008</v>
      </c>
      <c r="Q2022" s="4">
        <v>3.79</v>
      </c>
      <c r="R2022" s="4">
        <v>6.41</v>
      </c>
      <c r="S2022" s="4">
        <v>0</v>
      </c>
      <c r="T2022" s="4">
        <v>0</v>
      </c>
      <c r="U2022" s="4">
        <v>248.89</v>
      </c>
      <c r="V2022" s="4">
        <v>292.39</v>
      </c>
      <c r="W2022" t="s">
        <v>21</v>
      </c>
      <c r="X2022" t="s">
        <v>36</v>
      </c>
      <c r="Y2022" s="4">
        <v>10</v>
      </c>
      <c r="Z2022" s="4">
        <v>6</v>
      </c>
      <c r="AA2022" t="s">
        <v>37</v>
      </c>
      <c r="AB2022" t="s">
        <v>38</v>
      </c>
      <c r="AC2022" s="7">
        <v>0</v>
      </c>
      <c r="AD2022" t="s">
        <v>39</v>
      </c>
      <c r="AE2022">
        <f t="shared" si="31"/>
        <v>0</v>
      </c>
    </row>
    <row r="2023" spans="1:31" x14ac:dyDescent="0.35">
      <c r="A2023">
        <v>102022</v>
      </c>
      <c r="B2023" s="3">
        <v>45975</v>
      </c>
      <c r="C2023">
        <v>1037</v>
      </c>
      <c r="D2023" t="s">
        <v>30</v>
      </c>
      <c r="E2023" t="s">
        <v>31</v>
      </c>
      <c r="F2023" t="s">
        <v>61</v>
      </c>
      <c r="G2023" t="s">
        <v>33</v>
      </c>
      <c r="H2023" t="s">
        <v>34</v>
      </c>
      <c r="I2023" t="s">
        <v>42</v>
      </c>
      <c r="J2023" s="4">
        <v>20.3</v>
      </c>
      <c r="K2023" s="4">
        <v>19.329999999999998</v>
      </c>
      <c r="L2023">
        <v>10</v>
      </c>
      <c r="M2023" s="4">
        <v>39.24</v>
      </c>
      <c r="N2023" s="4">
        <v>353.16</v>
      </c>
      <c r="O2023" s="4">
        <v>151.99</v>
      </c>
      <c r="P2023" s="4">
        <v>10.87</v>
      </c>
      <c r="Q2023" s="4">
        <v>5.89</v>
      </c>
      <c r="R2023" s="4">
        <v>0</v>
      </c>
      <c r="S2023" s="4">
        <v>224.89</v>
      </c>
      <c r="T2023" s="4">
        <v>0</v>
      </c>
      <c r="U2023" s="4">
        <v>393.64</v>
      </c>
      <c r="V2023" s="4">
        <v>-40.479999999999997</v>
      </c>
      <c r="W2023" t="s">
        <v>58</v>
      </c>
      <c r="X2023" t="s">
        <v>55</v>
      </c>
      <c r="Y2023" s="4">
        <v>4</v>
      </c>
      <c r="Z2023" s="4">
        <v>27</v>
      </c>
      <c r="AA2023" t="s">
        <v>37</v>
      </c>
      <c r="AB2023" t="s">
        <v>44</v>
      </c>
      <c r="AC2023" s="7">
        <v>2</v>
      </c>
      <c r="AD2023" t="s">
        <v>45</v>
      </c>
      <c r="AE2023">
        <f t="shared" si="31"/>
        <v>1</v>
      </c>
    </row>
    <row r="2024" spans="1:31" x14ac:dyDescent="0.35">
      <c r="A2024">
        <v>102023</v>
      </c>
      <c r="B2024" s="3">
        <v>45952</v>
      </c>
      <c r="C2024">
        <v>1121</v>
      </c>
      <c r="D2024" t="s">
        <v>59</v>
      </c>
      <c r="E2024" t="s">
        <v>60</v>
      </c>
      <c r="F2024" t="s">
        <v>71</v>
      </c>
      <c r="G2024" t="s">
        <v>63</v>
      </c>
      <c r="H2024" t="s">
        <v>34</v>
      </c>
      <c r="I2024" t="s">
        <v>54</v>
      </c>
      <c r="J2024" s="4">
        <v>9.27</v>
      </c>
      <c r="K2024" s="4">
        <v>13.23</v>
      </c>
      <c r="L2024">
        <v>5</v>
      </c>
      <c r="M2024" s="4">
        <v>6.13</v>
      </c>
      <c r="N2024" s="4">
        <v>116.51</v>
      </c>
      <c r="O2024" s="4">
        <v>62.61</v>
      </c>
      <c r="P2024" s="4">
        <v>1</v>
      </c>
      <c r="Q2024" s="4">
        <v>1.47</v>
      </c>
      <c r="R2024" s="4">
        <v>14.53</v>
      </c>
      <c r="S2024" s="4">
        <v>0</v>
      </c>
      <c r="T2024" s="4">
        <v>0</v>
      </c>
      <c r="U2024" s="4">
        <v>79.61</v>
      </c>
      <c r="V2024" s="4">
        <v>36.9</v>
      </c>
      <c r="W2024" t="s">
        <v>21</v>
      </c>
      <c r="X2024" t="s">
        <v>36</v>
      </c>
      <c r="Y2024" s="4">
        <v>7</v>
      </c>
      <c r="Z2024" s="4">
        <v>5</v>
      </c>
      <c r="AA2024" t="s">
        <v>37</v>
      </c>
      <c r="AB2024" t="s">
        <v>38</v>
      </c>
      <c r="AC2024" s="7">
        <v>0</v>
      </c>
      <c r="AD2024" t="s">
        <v>39</v>
      </c>
      <c r="AE2024">
        <f t="shared" si="31"/>
        <v>0</v>
      </c>
    </row>
    <row r="2025" spans="1:31" x14ac:dyDescent="0.35">
      <c r="A2025">
        <v>102024</v>
      </c>
      <c r="B2025" s="3">
        <v>45957</v>
      </c>
      <c r="C2025">
        <v>1111</v>
      </c>
      <c r="D2025" t="s">
        <v>64</v>
      </c>
      <c r="E2025" t="s">
        <v>67</v>
      </c>
      <c r="F2025" t="s">
        <v>49</v>
      </c>
      <c r="G2025" t="s">
        <v>63</v>
      </c>
      <c r="H2025" t="s">
        <v>57</v>
      </c>
      <c r="I2025" t="s">
        <v>35</v>
      </c>
      <c r="J2025" s="4">
        <v>27.95</v>
      </c>
      <c r="K2025" s="4">
        <v>11.94</v>
      </c>
      <c r="L2025">
        <v>5</v>
      </c>
      <c r="M2025" s="4">
        <v>16.690000000000001</v>
      </c>
      <c r="N2025" s="4">
        <v>317.02999999999997</v>
      </c>
      <c r="O2025" s="4">
        <v>233.5</v>
      </c>
      <c r="P2025" s="4">
        <v>7.83</v>
      </c>
      <c r="Q2025" s="4">
        <v>2.34</v>
      </c>
      <c r="R2025" s="4">
        <v>7.63</v>
      </c>
      <c r="S2025" s="4">
        <v>0</v>
      </c>
      <c r="T2025" s="4">
        <v>0</v>
      </c>
      <c r="U2025" s="4">
        <v>251.3</v>
      </c>
      <c r="V2025" s="4">
        <v>65.73</v>
      </c>
      <c r="W2025" t="s">
        <v>21</v>
      </c>
      <c r="X2025" t="s">
        <v>36</v>
      </c>
      <c r="Y2025" s="4">
        <v>63</v>
      </c>
      <c r="Z2025" s="4">
        <v>1</v>
      </c>
      <c r="AA2025" t="s">
        <v>43</v>
      </c>
      <c r="AB2025" t="s">
        <v>44</v>
      </c>
      <c r="AC2025" s="7">
        <v>2</v>
      </c>
      <c r="AD2025" t="s">
        <v>45</v>
      </c>
      <c r="AE2025">
        <f t="shared" si="31"/>
        <v>1</v>
      </c>
    </row>
    <row r="2026" spans="1:31" x14ac:dyDescent="0.35">
      <c r="A2026">
        <v>102025</v>
      </c>
      <c r="B2026" s="3">
        <v>45945</v>
      </c>
      <c r="C2026">
        <v>1029</v>
      </c>
      <c r="D2026" t="s">
        <v>59</v>
      </c>
      <c r="E2026" t="s">
        <v>60</v>
      </c>
      <c r="F2026" t="s">
        <v>71</v>
      </c>
      <c r="G2026" t="s">
        <v>50</v>
      </c>
      <c r="H2026" t="s">
        <v>34</v>
      </c>
      <c r="I2026" t="s">
        <v>42</v>
      </c>
      <c r="J2026" s="4">
        <v>32.58</v>
      </c>
      <c r="K2026" s="4">
        <v>18.11</v>
      </c>
      <c r="L2026">
        <v>5</v>
      </c>
      <c r="M2026" s="4">
        <v>29.5</v>
      </c>
      <c r="N2026" s="4">
        <v>560.52</v>
      </c>
      <c r="O2026" s="4">
        <v>230.26</v>
      </c>
      <c r="P2026" s="4">
        <v>8.64</v>
      </c>
      <c r="Q2026" s="4">
        <v>8.85</v>
      </c>
      <c r="R2026" s="4">
        <v>7.7</v>
      </c>
      <c r="S2026" s="4">
        <v>0</v>
      </c>
      <c r="T2026" s="4">
        <v>0</v>
      </c>
      <c r="U2026" s="4">
        <v>255.45</v>
      </c>
      <c r="V2026" s="4">
        <v>305.07</v>
      </c>
      <c r="W2026" t="s">
        <v>21</v>
      </c>
      <c r="X2026" t="s">
        <v>36</v>
      </c>
      <c r="Y2026" s="4">
        <v>8</v>
      </c>
      <c r="Z2026" s="4">
        <v>13</v>
      </c>
      <c r="AA2026" t="s">
        <v>37</v>
      </c>
      <c r="AB2026" t="s">
        <v>38</v>
      </c>
      <c r="AC2026" s="7">
        <v>0</v>
      </c>
      <c r="AD2026" t="s">
        <v>39</v>
      </c>
      <c r="AE2026">
        <f t="shared" si="31"/>
        <v>0</v>
      </c>
    </row>
    <row r="2027" spans="1:31" x14ac:dyDescent="0.35">
      <c r="A2027">
        <v>102026</v>
      </c>
      <c r="B2027" s="3">
        <v>46009</v>
      </c>
      <c r="C2027">
        <v>1059</v>
      </c>
      <c r="D2027" t="s">
        <v>64</v>
      </c>
      <c r="E2027" t="s">
        <v>67</v>
      </c>
      <c r="F2027" t="s">
        <v>32</v>
      </c>
      <c r="G2027" t="s">
        <v>63</v>
      </c>
      <c r="H2027" t="s">
        <v>51</v>
      </c>
      <c r="I2027" t="s">
        <v>35</v>
      </c>
      <c r="J2027" s="4">
        <v>21.81</v>
      </c>
      <c r="K2027" s="4">
        <v>12.6</v>
      </c>
      <c r="L2027">
        <v>0</v>
      </c>
      <c r="M2027" s="4">
        <v>0</v>
      </c>
      <c r="N2027" s="4">
        <v>274.81</v>
      </c>
      <c r="O2027" s="4">
        <v>133.44</v>
      </c>
      <c r="P2027" s="4">
        <v>5.38</v>
      </c>
      <c r="Q2027" s="4">
        <v>1.92</v>
      </c>
      <c r="R2027" s="4">
        <v>10.8</v>
      </c>
      <c r="S2027" s="4">
        <v>0</v>
      </c>
      <c r="T2027" s="4">
        <v>0</v>
      </c>
      <c r="U2027" s="4">
        <v>151.54</v>
      </c>
      <c r="V2027" s="4">
        <v>123.27</v>
      </c>
      <c r="W2027" t="s">
        <v>21</v>
      </c>
      <c r="X2027" t="s">
        <v>36</v>
      </c>
      <c r="Y2027" s="4">
        <v>8</v>
      </c>
      <c r="Z2027" s="4">
        <v>6</v>
      </c>
      <c r="AA2027" t="s">
        <v>37</v>
      </c>
      <c r="AB2027" t="s">
        <v>38</v>
      </c>
      <c r="AC2027" s="7">
        <v>0</v>
      </c>
      <c r="AD2027" t="s">
        <v>39</v>
      </c>
      <c r="AE2027">
        <f t="shared" si="31"/>
        <v>0</v>
      </c>
    </row>
    <row r="2028" spans="1:31" x14ac:dyDescent="0.35">
      <c r="A2028">
        <v>102027</v>
      </c>
      <c r="B2028" s="3">
        <v>45981</v>
      </c>
      <c r="C2028">
        <v>1145</v>
      </c>
      <c r="D2028" t="s">
        <v>64</v>
      </c>
      <c r="E2028" t="s">
        <v>67</v>
      </c>
      <c r="F2028" t="s">
        <v>41</v>
      </c>
      <c r="G2028" t="s">
        <v>33</v>
      </c>
      <c r="H2028" t="s">
        <v>34</v>
      </c>
      <c r="I2028" t="s">
        <v>35</v>
      </c>
      <c r="J2028" s="4">
        <v>28.31</v>
      </c>
      <c r="K2028" s="4">
        <v>17.8</v>
      </c>
      <c r="L2028">
        <v>20</v>
      </c>
      <c r="M2028" s="4">
        <v>100.78</v>
      </c>
      <c r="N2028" s="4">
        <v>403.14</v>
      </c>
      <c r="O2028" s="4">
        <v>173.71</v>
      </c>
      <c r="P2028" s="4">
        <v>6.11</v>
      </c>
      <c r="Q2028" s="4">
        <v>3.53</v>
      </c>
      <c r="R2028" s="4">
        <v>5.95</v>
      </c>
      <c r="S2028" s="4">
        <v>0</v>
      </c>
      <c r="T2028" s="4">
        <v>0</v>
      </c>
      <c r="U2028" s="4">
        <v>189.3</v>
      </c>
      <c r="V2028" s="4">
        <v>213.84</v>
      </c>
      <c r="W2028" t="s">
        <v>21</v>
      </c>
      <c r="X2028" t="s">
        <v>36</v>
      </c>
      <c r="Y2028" s="4">
        <v>13</v>
      </c>
      <c r="Z2028" s="4">
        <v>1</v>
      </c>
      <c r="AA2028" t="s">
        <v>37</v>
      </c>
      <c r="AB2028" t="s">
        <v>38</v>
      </c>
      <c r="AC2028" s="7">
        <v>0</v>
      </c>
      <c r="AD2028" t="s">
        <v>39</v>
      </c>
      <c r="AE2028">
        <f t="shared" si="31"/>
        <v>0</v>
      </c>
    </row>
    <row r="2029" spans="1:31" x14ac:dyDescent="0.35">
      <c r="A2029">
        <v>102028</v>
      </c>
      <c r="B2029" s="3">
        <v>46015</v>
      </c>
      <c r="C2029">
        <v>1059</v>
      </c>
      <c r="D2029" t="s">
        <v>64</v>
      </c>
      <c r="E2029" t="s">
        <v>76</v>
      </c>
      <c r="F2029" t="s">
        <v>71</v>
      </c>
      <c r="G2029" t="s">
        <v>33</v>
      </c>
      <c r="H2029" t="s">
        <v>34</v>
      </c>
      <c r="I2029" t="s">
        <v>54</v>
      </c>
      <c r="J2029" s="4">
        <v>37.93</v>
      </c>
      <c r="K2029" s="4">
        <v>18.66</v>
      </c>
      <c r="L2029">
        <v>0</v>
      </c>
      <c r="M2029" s="4">
        <v>0</v>
      </c>
      <c r="N2029" s="4">
        <v>707.77</v>
      </c>
      <c r="O2029" s="4">
        <v>275.89999999999998</v>
      </c>
      <c r="P2029" s="4">
        <v>10.45</v>
      </c>
      <c r="Q2029" s="4">
        <v>8.49</v>
      </c>
      <c r="R2029" s="4">
        <v>12.84</v>
      </c>
      <c r="S2029" s="4">
        <v>0</v>
      </c>
      <c r="T2029" s="4">
        <v>0</v>
      </c>
      <c r="U2029" s="4">
        <v>307.68</v>
      </c>
      <c r="V2029" s="4">
        <v>400.09</v>
      </c>
      <c r="W2029" t="s">
        <v>21</v>
      </c>
      <c r="X2029" t="s">
        <v>36</v>
      </c>
      <c r="Y2029" s="4">
        <v>13</v>
      </c>
      <c r="Z2029" s="4">
        <v>2</v>
      </c>
      <c r="AA2029" t="s">
        <v>37</v>
      </c>
      <c r="AB2029" t="s">
        <v>38</v>
      </c>
      <c r="AC2029" s="7">
        <v>0</v>
      </c>
      <c r="AD2029" t="s">
        <v>39</v>
      </c>
      <c r="AE2029">
        <f t="shared" si="31"/>
        <v>0</v>
      </c>
    </row>
    <row r="2030" spans="1:31" x14ac:dyDescent="0.35">
      <c r="A2030">
        <v>102029</v>
      </c>
      <c r="B2030" s="3">
        <v>45941</v>
      </c>
      <c r="C2030">
        <v>1135</v>
      </c>
      <c r="D2030" t="s">
        <v>59</v>
      </c>
      <c r="E2030" t="s">
        <v>73</v>
      </c>
      <c r="F2030" t="s">
        <v>49</v>
      </c>
      <c r="G2030" t="s">
        <v>63</v>
      </c>
      <c r="H2030" t="s">
        <v>34</v>
      </c>
      <c r="I2030" t="s">
        <v>42</v>
      </c>
      <c r="J2030" s="4">
        <v>11.14</v>
      </c>
      <c r="K2030" s="4">
        <v>10.74</v>
      </c>
      <c r="L2030">
        <v>0</v>
      </c>
      <c r="M2030" s="4">
        <v>0</v>
      </c>
      <c r="N2030" s="4">
        <v>119.64</v>
      </c>
      <c r="O2030" s="4">
        <v>76.260000000000005</v>
      </c>
      <c r="P2030" s="4">
        <v>2.81</v>
      </c>
      <c r="Q2030" s="4">
        <v>1.79</v>
      </c>
      <c r="R2030" s="4">
        <v>3.93</v>
      </c>
      <c r="S2030" s="4">
        <v>55.57</v>
      </c>
      <c r="T2030" s="4">
        <v>0</v>
      </c>
      <c r="U2030" s="4">
        <v>140.36000000000001</v>
      </c>
      <c r="V2030" s="4">
        <v>-20.72</v>
      </c>
      <c r="W2030" t="s">
        <v>58</v>
      </c>
      <c r="X2030" t="s">
        <v>66</v>
      </c>
      <c r="Y2030" s="4">
        <v>0</v>
      </c>
      <c r="Z2030" s="4">
        <v>12</v>
      </c>
      <c r="AA2030" t="s">
        <v>37</v>
      </c>
      <c r="AB2030" t="s">
        <v>38</v>
      </c>
      <c r="AC2030" s="7">
        <v>1</v>
      </c>
      <c r="AD2030" t="s">
        <v>45</v>
      </c>
      <c r="AE2030">
        <f t="shared" si="31"/>
        <v>0</v>
      </c>
    </row>
    <row r="2031" spans="1:31" x14ac:dyDescent="0.35">
      <c r="A2031">
        <v>102030</v>
      </c>
      <c r="B2031" s="3">
        <v>45974</v>
      </c>
      <c r="C2031">
        <v>1079</v>
      </c>
      <c r="D2031" t="s">
        <v>30</v>
      </c>
      <c r="E2031" t="s">
        <v>40</v>
      </c>
      <c r="F2031" t="s">
        <v>71</v>
      </c>
      <c r="G2031" t="s">
        <v>33</v>
      </c>
      <c r="H2031" t="s">
        <v>34</v>
      </c>
      <c r="I2031" t="s">
        <v>35</v>
      </c>
      <c r="J2031" s="4">
        <v>28.63</v>
      </c>
      <c r="K2031" s="4">
        <v>18.309999999999999</v>
      </c>
      <c r="L2031">
        <v>0</v>
      </c>
      <c r="M2031" s="4">
        <v>0</v>
      </c>
      <c r="N2031" s="4">
        <v>524.22</v>
      </c>
      <c r="O2031" s="4">
        <v>202.12</v>
      </c>
      <c r="P2031" s="4">
        <v>11.34</v>
      </c>
      <c r="Q2031" s="4">
        <v>3.67</v>
      </c>
      <c r="R2031" s="4">
        <v>7.34</v>
      </c>
      <c r="S2031" s="4">
        <v>0</v>
      </c>
      <c r="T2031" s="4">
        <v>0</v>
      </c>
      <c r="U2031" s="4">
        <v>224.47</v>
      </c>
      <c r="V2031" s="4">
        <v>299.75</v>
      </c>
      <c r="W2031" t="s">
        <v>21</v>
      </c>
      <c r="X2031" t="s">
        <v>36</v>
      </c>
      <c r="Y2031" s="4">
        <v>24</v>
      </c>
      <c r="Z2031" s="4">
        <v>10</v>
      </c>
      <c r="AA2031" t="s">
        <v>52</v>
      </c>
      <c r="AB2031" t="s">
        <v>44</v>
      </c>
      <c r="AC2031" s="7">
        <v>1</v>
      </c>
      <c r="AD2031" t="s">
        <v>45</v>
      </c>
      <c r="AE2031">
        <f t="shared" si="31"/>
        <v>1</v>
      </c>
    </row>
    <row r="2032" spans="1:31" x14ac:dyDescent="0.35">
      <c r="A2032">
        <v>102031</v>
      </c>
      <c r="B2032" s="3">
        <v>45932</v>
      </c>
      <c r="C2032">
        <v>1073</v>
      </c>
      <c r="D2032" t="s">
        <v>47</v>
      </c>
      <c r="E2032" t="s">
        <v>74</v>
      </c>
      <c r="F2032" t="s">
        <v>41</v>
      </c>
      <c r="G2032" t="s">
        <v>63</v>
      </c>
      <c r="H2032" t="s">
        <v>34</v>
      </c>
      <c r="I2032" t="s">
        <v>35</v>
      </c>
      <c r="J2032" s="4">
        <v>18.79</v>
      </c>
      <c r="K2032" s="4">
        <v>12.58</v>
      </c>
      <c r="L2032">
        <v>0</v>
      </c>
      <c r="M2032" s="4">
        <v>0</v>
      </c>
      <c r="N2032" s="4">
        <v>236.38</v>
      </c>
      <c r="O2032" s="4">
        <v>140.88999999999999</v>
      </c>
      <c r="P2032" s="4">
        <v>1</v>
      </c>
      <c r="Q2032" s="4">
        <v>1.65</v>
      </c>
      <c r="R2032" s="4">
        <v>0</v>
      </c>
      <c r="S2032" s="4">
        <v>0</v>
      </c>
      <c r="T2032" s="4">
        <v>0</v>
      </c>
      <c r="U2032" s="4">
        <v>143.54</v>
      </c>
      <c r="V2032" s="4">
        <v>92.84</v>
      </c>
      <c r="W2032" t="s">
        <v>21</v>
      </c>
      <c r="X2032" t="s">
        <v>36</v>
      </c>
      <c r="Y2032" s="4">
        <v>14</v>
      </c>
      <c r="Z2032" s="4">
        <v>9</v>
      </c>
      <c r="AA2032" t="s">
        <v>37</v>
      </c>
      <c r="AB2032" t="s">
        <v>38</v>
      </c>
      <c r="AC2032" s="7">
        <v>0</v>
      </c>
      <c r="AD2032" t="s">
        <v>39</v>
      </c>
      <c r="AE2032">
        <f t="shared" si="31"/>
        <v>0</v>
      </c>
    </row>
    <row r="2033" spans="1:31" x14ac:dyDescent="0.35">
      <c r="A2033">
        <v>102032</v>
      </c>
      <c r="B2033" s="3">
        <v>45962</v>
      </c>
      <c r="C2033">
        <v>1007</v>
      </c>
      <c r="D2033" t="s">
        <v>59</v>
      </c>
      <c r="E2033" t="s">
        <v>73</v>
      </c>
      <c r="F2033" t="s">
        <v>49</v>
      </c>
      <c r="G2033" t="s">
        <v>46</v>
      </c>
      <c r="H2033" t="s">
        <v>34</v>
      </c>
      <c r="I2033" t="s">
        <v>42</v>
      </c>
      <c r="J2033" s="4">
        <v>41.7</v>
      </c>
      <c r="K2033" s="4">
        <v>15.45</v>
      </c>
      <c r="L2033">
        <v>0</v>
      </c>
      <c r="M2033" s="4">
        <v>0</v>
      </c>
      <c r="N2033" s="4">
        <v>644.26</v>
      </c>
      <c r="O2033" s="4">
        <v>360.83</v>
      </c>
      <c r="P2033" s="4">
        <v>8.9600000000000009</v>
      </c>
      <c r="Q2033" s="4">
        <v>9.66</v>
      </c>
      <c r="R2033" s="4">
        <v>7.04</v>
      </c>
      <c r="S2033" s="4">
        <v>0</v>
      </c>
      <c r="T2033" s="4">
        <v>0</v>
      </c>
      <c r="U2033" s="4">
        <v>386.49</v>
      </c>
      <c r="V2033" s="4">
        <v>257.77</v>
      </c>
      <c r="W2033" t="s">
        <v>21</v>
      </c>
      <c r="X2033" t="s">
        <v>36</v>
      </c>
      <c r="Y2033" s="4">
        <v>2</v>
      </c>
      <c r="Z2033" s="4">
        <v>5</v>
      </c>
      <c r="AA2033" t="s">
        <v>37</v>
      </c>
      <c r="AB2033" t="s">
        <v>38</v>
      </c>
      <c r="AC2033" s="7">
        <v>0</v>
      </c>
      <c r="AD2033" t="s">
        <v>39</v>
      </c>
      <c r="AE2033">
        <f t="shared" si="31"/>
        <v>0</v>
      </c>
    </row>
    <row r="2034" spans="1:31" x14ac:dyDescent="0.35">
      <c r="A2034">
        <v>102033</v>
      </c>
      <c r="B2034" s="3">
        <v>45946</v>
      </c>
      <c r="C2034">
        <v>1137</v>
      </c>
      <c r="D2034" t="s">
        <v>59</v>
      </c>
      <c r="E2034" t="s">
        <v>68</v>
      </c>
      <c r="F2034" t="s">
        <v>41</v>
      </c>
      <c r="G2034" t="s">
        <v>63</v>
      </c>
      <c r="H2034" t="s">
        <v>57</v>
      </c>
      <c r="I2034" t="s">
        <v>54</v>
      </c>
      <c r="J2034" s="4">
        <v>16.239999999999998</v>
      </c>
      <c r="K2034" s="4">
        <v>12.64</v>
      </c>
      <c r="L2034">
        <v>20</v>
      </c>
      <c r="M2034" s="4">
        <v>41.05</v>
      </c>
      <c r="N2034" s="4">
        <v>164.22</v>
      </c>
      <c r="O2034" s="4">
        <v>113.79</v>
      </c>
      <c r="P2034" s="4">
        <v>7.64</v>
      </c>
      <c r="Q2034" s="4">
        <v>2.46</v>
      </c>
      <c r="R2034" s="4">
        <v>2.34</v>
      </c>
      <c r="S2034" s="4">
        <v>191.55</v>
      </c>
      <c r="T2034" s="4">
        <v>10.41</v>
      </c>
      <c r="U2034" s="4">
        <v>328.19</v>
      </c>
      <c r="V2034" s="4">
        <v>-163.97</v>
      </c>
      <c r="W2034" t="s">
        <v>58</v>
      </c>
      <c r="X2034" t="s">
        <v>55</v>
      </c>
      <c r="Y2034" s="4">
        <v>46</v>
      </c>
      <c r="Z2034" s="4">
        <v>1</v>
      </c>
      <c r="AA2034" t="s">
        <v>43</v>
      </c>
      <c r="AB2034" t="s">
        <v>44</v>
      </c>
      <c r="AC2034" s="7">
        <v>2</v>
      </c>
      <c r="AD2034" t="s">
        <v>45</v>
      </c>
      <c r="AE2034">
        <f t="shared" si="31"/>
        <v>1</v>
      </c>
    </row>
    <row r="2035" spans="1:31" x14ac:dyDescent="0.35">
      <c r="A2035">
        <v>102034</v>
      </c>
      <c r="B2035" s="3">
        <v>45934</v>
      </c>
      <c r="C2035">
        <v>1113</v>
      </c>
      <c r="D2035" t="s">
        <v>47</v>
      </c>
      <c r="E2035" t="s">
        <v>53</v>
      </c>
      <c r="F2035" t="s">
        <v>49</v>
      </c>
      <c r="G2035" t="s">
        <v>33</v>
      </c>
      <c r="H2035" t="s">
        <v>57</v>
      </c>
      <c r="I2035" t="s">
        <v>35</v>
      </c>
      <c r="J2035" s="4">
        <v>28.81</v>
      </c>
      <c r="K2035" s="4">
        <v>18.899999999999999</v>
      </c>
      <c r="L2035">
        <v>15</v>
      </c>
      <c r="M2035" s="4">
        <v>81.680000000000007</v>
      </c>
      <c r="N2035" s="4">
        <v>462.83</v>
      </c>
      <c r="O2035" s="4">
        <v>218.24</v>
      </c>
      <c r="P2035" s="4">
        <v>4.4800000000000004</v>
      </c>
      <c r="Q2035" s="4">
        <v>3.81</v>
      </c>
      <c r="R2035" s="4">
        <v>10.54</v>
      </c>
      <c r="S2035" s="4">
        <v>0</v>
      </c>
      <c r="T2035" s="4">
        <v>0</v>
      </c>
      <c r="U2035" s="4">
        <v>237.07</v>
      </c>
      <c r="V2035" s="4">
        <v>225.76</v>
      </c>
      <c r="W2035" t="s">
        <v>21</v>
      </c>
      <c r="X2035" t="s">
        <v>36</v>
      </c>
      <c r="Y2035" s="4">
        <v>2</v>
      </c>
      <c r="Z2035" s="4">
        <v>9</v>
      </c>
      <c r="AA2035" t="s">
        <v>37</v>
      </c>
      <c r="AB2035" t="s">
        <v>38</v>
      </c>
      <c r="AC2035" s="7">
        <v>0</v>
      </c>
      <c r="AD2035" t="s">
        <v>39</v>
      </c>
      <c r="AE2035">
        <f t="shared" si="31"/>
        <v>0</v>
      </c>
    </row>
    <row r="2036" spans="1:31" x14ac:dyDescent="0.35">
      <c r="A2036">
        <v>102035</v>
      </c>
      <c r="B2036" s="3">
        <v>45973</v>
      </c>
      <c r="C2036">
        <v>1125</v>
      </c>
      <c r="D2036" t="s">
        <v>30</v>
      </c>
      <c r="E2036" t="s">
        <v>31</v>
      </c>
      <c r="F2036" t="s">
        <v>32</v>
      </c>
      <c r="G2036" t="s">
        <v>50</v>
      </c>
      <c r="H2036" t="s">
        <v>34</v>
      </c>
      <c r="I2036" t="s">
        <v>42</v>
      </c>
      <c r="J2036" s="4">
        <v>33.270000000000003</v>
      </c>
      <c r="K2036" s="4">
        <v>19.79</v>
      </c>
      <c r="L2036">
        <v>0</v>
      </c>
      <c r="M2036" s="4">
        <v>0</v>
      </c>
      <c r="N2036" s="4">
        <v>658.41</v>
      </c>
      <c r="O2036" s="4">
        <v>286.2</v>
      </c>
      <c r="P2036" s="4">
        <v>5.87</v>
      </c>
      <c r="Q2036" s="4">
        <v>9.8800000000000008</v>
      </c>
      <c r="R2036" s="4">
        <v>6.34</v>
      </c>
      <c r="S2036" s="4">
        <v>0</v>
      </c>
      <c r="T2036" s="4">
        <v>0</v>
      </c>
      <c r="U2036" s="4">
        <v>308.29000000000002</v>
      </c>
      <c r="V2036" s="4">
        <v>350.12</v>
      </c>
      <c r="W2036" t="s">
        <v>21</v>
      </c>
      <c r="X2036" t="s">
        <v>36</v>
      </c>
      <c r="Y2036" s="4">
        <v>7</v>
      </c>
      <c r="Z2036" s="4">
        <v>1</v>
      </c>
      <c r="AA2036" t="s">
        <v>37</v>
      </c>
      <c r="AB2036" t="s">
        <v>38</v>
      </c>
      <c r="AC2036" s="7">
        <v>0</v>
      </c>
      <c r="AD2036" t="s">
        <v>39</v>
      </c>
      <c r="AE2036">
        <f t="shared" si="31"/>
        <v>0</v>
      </c>
    </row>
    <row r="2037" spans="1:31" x14ac:dyDescent="0.35">
      <c r="A2037">
        <v>102036</v>
      </c>
      <c r="B2037" s="3">
        <v>45992</v>
      </c>
      <c r="C2037">
        <v>1014</v>
      </c>
      <c r="D2037" t="s">
        <v>59</v>
      </c>
      <c r="E2037" t="s">
        <v>73</v>
      </c>
      <c r="F2037" t="s">
        <v>71</v>
      </c>
      <c r="G2037" t="s">
        <v>50</v>
      </c>
      <c r="H2037" t="s">
        <v>34</v>
      </c>
      <c r="I2037" t="s">
        <v>35</v>
      </c>
      <c r="J2037" s="4">
        <v>18.07</v>
      </c>
      <c r="K2037" s="4">
        <v>17.559999999999999</v>
      </c>
      <c r="L2037">
        <v>0</v>
      </c>
      <c r="M2037" s="4">
        <v>0</v>
      </c>
      <c r="N2037" s="4">
        <v>317.31</v>
      </c>
      <c r="O2037" s="4">
        <v>143.68</v>
      </c>
      <c r="P2037" s="4">
        <v>7.94</v>
      </c>
      <c r="Q2037" s="4">
        <v>2.2200000000000002</v>
      </c>
      <c r="R2037" s="4">
        <v>9.8000000000000007</v>
      </c>
      <c r="S2037" s="4">
        <v>241.21</v>
      </c>
      <c r="T2037" s="4">
        <v>0</v>
      </c>
      <c r="U2037" s="4">
        <v>404.85</v>
      </c>
      <c r="V2037" s="4">
        <v>-87.54</v>
      </c>
      <c r="W2037" t="s">
        <v>58</v>
      </c>
      <c r="X2037" t="s">
        <v>66</v>
      </c>
      <c r="Y2037" s="4">
        <v>4</v>
      </c>
      <c r="Z2037" s="4">
        <v>1</v>
      </c>
      <c r="AA2037" t="s">
        <v>37</v>
      </c>
      <c r="AB2037" t="s">
        <v>38</v>
      </c>
      <c r="AC2037" s="7">
        <v>1</v>
      </c>
      <c r="AD2037" t="s">
        <v>45</v>
      </c>
      <c r="AE2037">
        <f t="shared" si="31"/>
        <v>0</v>
      </c>
    </row>
    <row r="2038" spans="1:31" x14ac:dyDescent="0.35">
      <c r="A2038">
        <v>102037</v>
      </c>
      <c r="B2038" s="3">
        <v>45972</v>
      </c>
      <c r="C2038">
        <v>1056</v>
      </c>
      <c r="D2038" t="s">
        <v>30</v>
      </c>
      <c r="E2038" t="s">
        <v>62</v>
      </c>
      <c r="F2038" t="s">
        <v>61</v>
      </c>
      <c r="G2038" t="s">
        <v>63</v>
      </c>
      <c r="H2038" t="s">
        <v>51</v>
      </c>
      <c r="I2038" t="s">
        <v>35</v>
      </c>
      <c r="J2038" s="4">
        <v>21.55</v>
      </c>
      <c r="K2038" s="4">
        <v>12.7</v>
      </c>
      <c r="L2038">
        <v>0</v>
      </c>
      <c r="M2038" s="4">
        <v>0</v>
      </c>
      <c r="N2038" s="4">
        <v>273.68</v>
      </c>
      <c r="O2038" s="4">
        <v>146.36000000000001</v>
      </c>
      <c r="P2038" s="4">
        <v>3.87</v>
      </c>
      <c r="Q2038" s="4">
        <v>1.92</v>
      </c>
      <c r="R2038" s="4">
        <v>4.8600000000000003</v>
      </c>
      <c r="S2038" s="4">
        <v>210.2</v>
      </c>
      <c r="T2038" s="4">
        <v>15.1</v>
      </c>
      <c r="U2038" s="4">
        <v>382.31</v>
      </c>
      <c r="V2038" s="4">
        <v>-108.63</v>
      </c>
      <c r="W2038" t="s">
        <v>58</v>
      </c>
      <c r="X2038" t="s">
        <v>55</v>
      </c>
      <c r="Y2038" s="4">
        <v>1</v>
      </c>
      <c r="Z2038" s="4">
        <v>4</v>
      </c>
      <c r="AA2038" t="s">
        <v>37</v>
      </c>
      <c r="AB2038" t="s">
        <v>44</v>
      </c>
      <c r="AC2038" s="7">
        <v>4</v>
      </c>
      <c r="AD2038" t="s">
        <v>45</v>
      </c>
      <c r="AE2038">
        <f t="shared" si="31"/>
        <v>1</v>
      </c>
    </row>
    <row r="2039" spans="1:31" x14ac:dyDescent="0.35">
      <c r="A2039">
        <v>102038</v>
      </c>
      <c r="B2039" s="3">
        <v>45942</v>
      </c>
      <c r="C2039">
        <v>1107</v>
      </c>
      <c r="D2039" t="s">
        <v>59</v>
      </c>
      <c r="E2039" t="s">
        <v>60</v>
      </c>
      <c r="F2039" t="s">
        <v>41</v>
      </c>
      <c r="G2039" t="s">
        <v>33</v>
      </c>
      <c r="H2039" t="s">
        <v>57</v>
      </c>
      <c r="I2039" t="s">
        <v>35</v>
      </c>
      <c r="J2039" s="4">
        <v>10.26</v>
      </c>
      <c r="K2039" s="4">
        <v>18.46</v>
      </c>
      <c r="L2039">
        <v>0</v>
      </c>
      <c r="M2039" s="4">
        <v>0</v>
      </c>
      <c r="N2039" s="4">
        <v>189.4</v>
      </c>
      <c r="O2039" s="4">
        <v>77.680000000000007</v>
      </c>
      <c r="P2039" s="4">
        <v>7.77</v>
      </c>
      <c r="Q2039" s="4">
        <v>1.33</v>
      </c>
      <c r="R2039" s="4">
        <v>10.71</v>
      </c>
      <c r="S2039" s="4">
        <v>0</v>
      </c>
      <c r="T2039" s="4">
        <v>0</v>
      </c>
      <c r="U2039" s="4">
        <v>97.49</v>
      </c>
      <c r="V2039" s="4">
        <v>91.91</v>
      </c>
      <c r="W2039" t="s">
        <v>21</v>
      </c>
      <c r="X2039" t="s">
        <v>36</v>
      </c>
      <c r="Y2039" s="4">
        <v>2</v>
      </c>
      <c r="Z2039" s="4">
        <v>10</v>
      </c>
      <c r="AA2039" t="s">
        <v>37</v>
      </c>
      <c r="AB2039" t="s">
        <v>38</v>
      </c>
      <c r="AC2039" s="7">
        <v>0</v>
      </c>
      <c r="AD2039" t="s">
        <v>39</v>
      </c>
      <c r="AE2039">
        <f t="shared" si="31"/>
        <v>0</v>
      </c>
    </row>
    <row r="2040" spans="1:31" x14ac:dyDescent="0.35">
      <c r="A2040">
        <v>102039</v>
      </c>
      <c r="B2040" s="3">
        <v>45944</v>
      </c>
      <c r="C2040">
        <v>1006</v>
      </c>
      <c r="D2040" t="s">
        <v>30</v>
      </c>
      <c r="E2040" t="s">
        <v>72</v>
      </c>
      <c r="F2040" t="s">
        <v>61</v>
      </c>
      <c r="G2040" t="s">
        <v>46</v>
      </c>
      <c r="H2040" t="s">
        <v>51</v>
      </c>
      <c r="I2040" t="s">
        <v>35</v>
      </c>
      <c r="J2040" s="4">
        <v>41.37</v>
      </c>
      <c r="K2040" s="4">
        <v>14.95</v>
      </c>
      <c r="L2040">
        <v>15</v>
      </c>
      <c r="M2040" s="4">
        <v>92.77</v>
      </c>
      <c r="N2040" s="4">
        <v>525.71</v>
      </c>
      <c r="O2040" s="4">
        <v>303.49</v>
      </c>
      <c r="P2040" s="4">
        <v>9.6</v>
      </c>
      <c r="Q2040" s="4">
        <v>4.33</v>
      </c>
      <c r="R2040" s="4">
        <v>1.87</v>
      </c>
      <c r="S2040" s="4">
        <v>0</v>
      </c>
      <c r="T2040" s="4">
        <v>0</v>
      </c>
      <c r="U2040" s="4">
        <v>319.29000000000002</v>
      </c>
      <c r="V2040" s="4">
        <v>206.42</v>
      </c>
      <c r="W2040" t="s">
        <v>21</v>
      </c>
      <c r="X2040" t="s">
        <v>36</v>
      </c>
      <c r="Y2040" s="4">
        <v>2</v>
      </c>
      <c r="Z2040" s="4">
        <v>6</v>
      </c>
      <c r="AA2040" t="s">
        <v>37</v>
      </c>
      <c r="AB2040" t="s">
        <v>38</v>
      </c>
      <c r="AC2040" s="7">
        <v>0</v>
      </c>
      <c r="AD2040" t="s">
        <v>39</v>
      </c>
      <c r="AE2040">
        <f t="shared" si="31"/>
        <v>0</v>
      </c>
    </row>
    <row r="2041" spans="1:31" x14ac:dyDescent="0.35">
      <c r="A2041">
        <v>102040</v>
      </c>
      <c r="B2041" s="3">
        <v>45942</v>
      </c>
      <c r="C2041">
        <v>1138</v>
      </c>
      <c r="D2041" t="s">
        <v>59</v>
      </c>
      <c r="E2041" t="s">
        <v>60</v>
      </c>
      <c r="F2041" t="s">
        <v>41</v>
      </c>
      <c r="G2041" t="s">
        <v>63</v>
      </c>
      <c r="H2041" t="s">
        <v>34</v>
      </c>
      <c r="I2041" t="s">
        <v>35</v>
      </c>
      <c r="J2041" s="4">
        <v>21.46</v>
      </c>
      <c r="K2041" s="4">
        <v>12.58</v>
      </c>
      <c r="L2041">
        <v>0</v>
      </c>
      <c r="M2041" s="4">
        <v>0</v>
      </c>
      <c r="N2041" s="4">
        <v>269.97000000000003</v>
      </c>
      <c r="O2041" s="4">
        <v>153.04</v>
      </c>
      <c r="P2041" s="4">
        <v>6.49</v>
      </c>
      <c r="Q2041" s="4">
        <v>1.89</v>
      </c>
      <c r="R2041" s="4">
        <v>5.61</v>
      </c>
      <c r="S2041" s="4">
        <v>114.35</v>
      </c>
      <c r="T2041" s="4">
        <v>0</v>
      </c>
      <c r="U2041" s="4">
        <v>281.38</v>
      </c>
      <c r="V2041" s="4">
        <v>-11.41</v>
      </c>
      <c r="W2041" t="s">
        <v>58</v>
      </c>
      <c r="X2041" t="s">
        <v>55</v>
      </c>
      <c r="Y2041" s="4">
        <v>16</v>
      </c>
      <c r="Z2041" s="4">
        <v>11</v>
      </c>
      <c r="AA2041" t="s">
        <v>52</v>
      </c>
      <c r="AB2041" t="s">
        <v>44</v>
      </c>
      <c r="AC2041" s="7">
        <v>1</v>
      </c>
      <c r="AD2041" t="s">
        <v>45</v>
      </c>
      <c r="AE2041">
        <f t="shared" si="31"/>
        <v>1</v>
      </c>
    </row>
    <row r="2042" spans="1:31" x14ac:dyDescent="0.35">
      <c r="A2042">
        <v>102041</v>
      </c>
      <c r="B2042" s="3">
        <v>45958</v>
      </c>
      <c r="C2042">
        <v>1095</v>
      </c>
      <c r="D2042" t="s">
        <v>47</v>
      </c>
      <c r="E2042" t="s">
        <v>48</v>
      </c>
      <c r="F2042" t="s">
        <v>49</v>
      </c>
      <c r="G2042" t="s">
        <v>33</v>
      </c>
      <c r="H2042" t="s">
        <v>57</v>
      </c>
      <c r="I2042" t="s">
        <v>35</v>
      </c>
      <c r="J2042" s="4">
        <v>26.33</v>
      </c>
      <c r="K2042" s="4">
        <v>17.39</v>
      </c>
      <c r="L2042">
        <v>5</v>
      </c>
      <c r="M2042" s="4">
        <v>22.89</v>
      </c>
      <c r="N2042" s="4">
        <v>434.99</v>
      </c>
      <c r="O2042" s="4">
        <v>180.49</v>
      </c>
      <c r="P2042" s="4">
        <v>9.5500000000000007</v>
      </c>
      <c r="Q2042" s="4">
        <v>3.21</v>
      </c>
      <c r="R2042" s="4">
        <v>7.81</v>
      </c>
      <c r="S2042" s="4">
        <v>0</v>
      </c>
      <c r="T2042" s="4">
        <v>0</v>
      </c>
      <c r="U2042" s="4">
        <v>201.06</v>
      </c>
      <c r="V2042" s="4">
        <v>233.93</v>
      </c>
      <c r="W2042" t="s">
        <v>21</v>
      </c>
      <c r="X2042" t="s">
        <v>36</v>
      </c>
      <c r="Y2042" s="4">
        <v>19</v>
      </c>
      <c r="Z2042" s="4">
        <v>2</v>
      </c>
      <c r="AA2042" t="s">
        <v>52</v>
      </c>
      <c r="AB2042" t="s">
        <v>38</v>
      </c>
      <c r="AC2042" s="7">
        <v>0</v>
      </c>
      <c r="AD2042" t="s">
        <v>39</v>
      </c>
      <c r="AE2042">
        <f t="shared" si="31"/>
        <v>0</v>
      </c>
    </row>
    <row r="2043" spans="1:31" x14ac:dyDescent="0.35">
      <c r="A2043">
        <v>102042</v>
      </c>
      <c r="B2043" s="3">
        <v>45989</v>
      </c>
      <c r="C2043">
        <v>1086</v>
      </c>
      <c r="D2043" t="s">
        <v>47</v>
      </c>
      <c r="E2043" t="s">
        <v>56</v>
      </c>
      <c r="F2043" t="s">
        <v>61</v>
      </c>
      <c r="G2043" t="s">
        <v>63</v>
      </c>
      <c r="H2043" t="s">
        <v>34</v>
      </c>
      <c r="I2043" t="s">
        <v>42</v>
      </c>
      <c r="J2043" s="4">
        <v>8.81</v>
      </c>
      <c r="K2043" s="4">
        <v>11.41</v>
      </c>
      <c r="L2043">
        <v>5</v>
      </c>
      <c r="M2043" s="4">
        <v>5.03</v>
      </c>
      <c r="N2043" s="4">
        <v>95.49</v>
      </c>
      <c r="O2043" s="4">
        <v>73.569999999999993</v>
      </c>
      <c r="P2043" s="4">
        <v>10.74</v>
      </c>
      <c r="Q2043" s="4">
        <v>1.51</v>
      </c>
      <c r="R2043" s="4">
        <v>8.48</v>
      </c>
      <c r="S2043" s="4">
        <v>0</v>
      </c>
      <c r="T2043" s="4">
        <v>0</v>
      </c>
      <c r="U2043" s="4">
        <v>94.3</v>
      </c>
      <c r="V2043" s="4">
        <v>1.19</v>
      </c>
      <c r="W2043" t="s">
        <v>21</v>
      </c>
      <c r="X2043" t="s">
        <v>36</v>
      </c>
      <c r="Y2043" s="4">
        <v>12</v>
      </c>
      <c r="Z2043" s="4">
        <v>9</v>
      </c>
      <c r="AA2043" t="s">
        <v>37</v>
      </c>
      <c r="AB2043" t="s">
        <v>38</v>
      </c>
      <c r="AC2043" s="7">
        <v>0</v>
      </c>
      <c r="AD2043" t="s">
        <v>39</v>
      </c>
      <c r="AE2043">
        <f t="shared" si="31"/>
        <v>0</v>
      </c>
    </row>
    <row r="2044" spans="1:31" x14ac:dyDescent="0.35">
      <c r="A2044">
        <v>102043</v>
      </c>
      <c r="B2044" s="3">
        <v>45943</v>
      </c>
      <c r="C2044">
        <v>1071</v>
      </c>
      <c r="D2044" t="s">
        <v>59</v>
      </c>
      <c r="E2044" t="s">
        <v>70</v>
      </c>
      <c r="F2044" t="s">
        <v>49</v>
      </c>
      <c r="G2044" t="s">
        <v>46</v>
      </c>
      <c r="H2044" t="s">
        <v>57</v>
      </c>
      <c r="I2044" t="s">
        <v>54</v>
      </c>
      <c r="J2044" s="4">
        <v>29.64</v>
      </c>
      <c r="K2044" s="4">
        <v>14.27</v>
      </c>
      <c r="L2044">
        <v>5</v>
      </c>
      <c r="M2044" s="4">
        <v>21.15</v>
      </c>
      <c r="N2044" s="4">
        <v>401.81</v>
      </c>
      <c r="O2044" s="4">
        <v>211.3</v>
      </c>
      <c r="P2044" s="4">
        <v>10.5</v>
      </c>
      <c r="Q2044" s="4">
        <v>5.08</v>
      </c>
      <c r="R2044" s="4">
        <v>6.17</v>
      </c>
      <c r="S2044" s="4">
        <v>0</v>
      </c>
      <c r="T2044" s="4">
        <v>0</v>
      </c>
      <c r="U2044" s="4">
        <v>233.05</v>
      </c>
      <c r="V2044" s="4">
        <v>168.76</v>
      </c>
      <c r="W2044" t="s">
        <v>21</v>
      </c>
      <c r="X2044" t="s">
        <v>36</v>
      </c>
      <c r="Y2044" s="4">
        <v>20</v>
      </c>
      <c r="Z2044" s="4">
        <v>0</v>
      </c>
      <c r="AA2044" t="s">
        <v>52</v>
      </c>
      <c r="AB2044" t="s">
        <v>38</v>
      </c>
      <c r="AC2044" s="7">
        <v>1</v>
      </c>
      <c r="AD2044" t="s">
        <v>39</v>
      </c>
      <c r="AE2044">
        <f t="shared" si="31"/>
        <v>0</v>
      </c>
    </row>
    <row r="2045" spans="1:31" x14ac:dyDescent="0.35">
      <c r="A2045">
        <v>102044</v>
      </c>
      <c r="B2045" s="3">
        <v>46013</v>
      </c>
      <c r="C2045">
        <v>1059</v>
      </c>
      <c r="D2045" t="s">
        <v>47</v>
      </c>
      <c r="E2045" t="s">
        <v>53</v>
      </c>
      <c r="F2045" t="s">
        <v>71</v>
      </c>
      <c r="G2045" t="s">
        <v>63</v>
      </c>
      <c r="H2045" t="s">
        <v>57</v>
      </c>
      <c r="I2045" t="s">
        <v>35</v>
      </c>
      <c r="J2045" s="4">
        <v>24.45</v>
      </c>
      <c r="K2045" s="4">
        <v>12.7</v>
      </c>
      <c r="L2045">
        <v>10</v>
      </c>
      <c r="M2045" s="4">
        <v>31.05</v>
      </c>
      <c r="N2045" s="4">
        <v>279.47000000000003</v>
      </c>
      <c r="O2045" s="4">
        <v>185.87</v>
      </c>
      <c r="P2045" s="4">
        <v>3.12</v>
      </c>
      <c r="Q2045" s="4">
        <v>2.17</v>
      </c>
      <c r="R2045" s="4">
        <v>0</v>
      </c>
      <c r="S2045" s="4">
        <v>0</v>
      </c>
      <c r="T2045" s="4">
        <v>0</v>
      </c>
      <c r="U2045" s="4">
        <v>191.16</v>
      </c>
      <c r="V2045" s="4">
        <v>88.31</v>
      </c>
      <c r="W2045" t="s">
        <v>21</v>
      </c>
      <c r="X2045" t="s">
        <v>36</v>
      </c>
      <c r="Y2045" s="4">
        <v>10</v>
      </c>
      <c r="Z2045" s="4">
        <v>25</v>
      </c>
      <c r="AA2045" t="s">
        <v>37</v>
      </c>
      <c r="AB2045" t="s">
        <v>44</v>
      </c>
      <c r="AC2045" s="7">
        <v>3</v>
      </c>
      <c r="AD2045" t="s">
        <v>45</v>
      </c>
      <c r="AE2045">
        <f t="shared" si="31"/>
        <v>1</v>
      </c>
    </row>
    <row r="2046" spans="1:31" x14ac:dyDescent="0.35">
      <c r="A2046">
        <v>102045</v>
      </c>
      <c r="B2046" s="3">
        <v>45943</v>
      </c>
      <c r="C2046">
        <v>1074</v>
      </c>
      <c r="D2046" t="s">
        <v>30</v>
      </c>
      <c r="E2046" t="s">
        <v>62</v>
      </c>
      <c r="F2046" t="s">
        <v>61</v>
      </c>
      <c r="G2046" t="s">
        <v>46</v>
      </c>
      <c r="H2046" t="s">
        <v>57</v>
      </c>
      <c r="I2046" t="s">
        <v>54</v>
      </c>
      <c r="J2046" s="4">
        <v>30.48</v>
      </c>
      <c r="K2046" s="4">
        <v>18.55</v>
      </c>
      <c r="L2046">
        <v>0</v>
      </c>
      <c r="M2046" s="4">
        <v>0</v>
      </c>
      <c r="N2046" s="4">
        <v>565.4</v>
      </c>
      <c r="O2046" s="4">
        <v>193.76</v>
      </c>
      <c r="P2046" s="4">
        <v>9.6999999999999993</v>
      </c>
      <c r="Q2046" s="4">
        <v>6.78</v>
      </c>
      <c r="R2046" s="4">
        <v>8.48</v>
      </c>
      <c r="S2046" s="4">
        <v>0</v>
      </c>
      <c r="T2046" s="4">
        <v>0</v>
      </c>
      <c r="U2046" s="4">
        <v>218.72</v>
      </c>
      <c r="V2046" s="4">
        <v>346.68</v>
      </c>
      <c r="W2046" t="s">
        <v>21</v>
      </c>
      <c r="X2046" t="s">
        <v>36</v>
      </c>
      <c r="Y2046" s="4">
        <v>0</v>
      </c>
      <c r="Z2046" s="4">
        <v>0</v>
      </c>
      <c r="AA2046" t="s">
        <v>37</v>
      </c>
      <c r="AB2046" t="s">
        <v>38</v>
      </c>
      <c r="AC2046" s="7">
        <v>0</v>
      </c>
      <c r="AD2046" t="s">
        <v>39</v>
      </c>
      <c r="AE2046">
        <f t="shared" si="31"/>
        <v>0</v>
      </c>
    </row>
    <row r="2047" spans="1:31" x14ac:dyDescent="0.35">
      <c r="A2047">
        <v>102046</v>
      </c>
      <c r="B2047" s="3">
        <v>45993</v>
      </c>
      <c r="C2047">
        <v>1032</v>
      </c>
      <c r="D2047" t="s">
        <v>30</v>
      </c>
      <c r="E2047" t="s">
        <v>40</v>
      </c>
      <c r="F2047" t="s">
        <v>32</v>
      </c>
      <c r="G2047" t="s">
        <v>46</v>
      </c>
      <c r="H2047" t="s">
        <v>34</v>
      </c>
      <c r="I2047" t="s">
        <v>35</v>
      </c>
      <c r="J2047" s="4">
        <v>39.49</v>
      </c>
      <c r="K2047" s="4">
        <v>15.22</v>
      </c>
      <c r="L2047">
        <v>5</v>
      </c>
      <c r="M2047" s="4">
        <v>30.05</v>
      </c>
      <c r="N2047" s="4">
        <v>570.99</v>
      </c>
      <c r="O2047" s="4">
        <v>246.52</v>
      </c>
      <c r="P2047" s="4">
        <v>11.34</v>
      </c>
      <c r="Q2047" s="4">
        <v>4.21</v>
      </c>
      <c r="R2047" s="4">
        <v>10.99</v>
      </c>
      <c r="S2047" s="4">
        <v>317</v>
      </c>
      <c r="T2047" s="4">
        <v>0</v>
      </c>
      <c r="U2047" s="4">
        <v>590.05999999999995</v>
      </c>
      <c r="V2047" s="4">
        <v>-19.07</v>
      </c>
      <c r="W2047" t="s">
        <v>58</v>
      </c>
      <c r="X2047" t="s">
        <v>66</v>
      </c>
      <c r="Y2047" s="4">
        <v>20</v>
      </c>
      <c r="Z2047" s="4">
        <v>1</v>
      </c>
      <c r="AA2047" t="s">
        <v>52</v>
      </c>
      <c r="AB2047" t="s">
        <v>38</v>
      </c>
      <c r="AC2047" s="7">
        <v>2</v>
      </c>
      <c r="AD2047" t="s">
        <v>45</v>
      </c>
      <c r="AE2047">
        <f t="shared" si="31"/>
        <v>0</v>
      </c>
    </row>
    <row r="2048" spans="1:31" x14ac:dyDescent="0.35">
      <c r="A2048">
        <v>102047</v>
      </c>
      <c r="B2048" s="3">
        <v>45967</v>
      </c>
      <c r="C2048">
        <v>1092</v>
      </c>
      <c r="D2048" t="s">
        <v>47</v>
      </c>
      <c r="E2048" t="s">
        <v>74</v>
      </c>
      <c r="F2048" t="s">
        <v>61</v>
      </c>
      <c r="G2048" t="s">
        <v>50</v>
      </c>
      <c r="H2048" t="s">
        <v>51</v>
      </c>
      <c r="I2048" t="s">
        <v>42</v>
      </c>
      <c r="J2048" s="4">
        <v>40.04</v>
      </c>
      <c r="K2048" s="4">
        <v>17.45</v>
      </c>
      <c r="L2048">
        <v>0</v>
      </c>
      <c r="M2048" s="4">
        <v>0</v>
      </c>
      <c r="N2048" s="4">
        <v>698.7</v>
      </c>
      <c r="O2048" s="4">
        <v>254.6</v>
      </c>
      <c r="P2048" s="4">
        <v>6.47</v>
      </c>
      <c r="Q2048" s="4">
        <v>10.48</v>
      </c>
      <c r="R2048" s="4">
        <v>0</v>
      </c>
      <c r="S2048" s="4">
        <v>0</v>
      </c>
      <c r="T2048" s="4">
        <v>0</v>
      </c>
      <c r="U2048" s="4">
        <v>271.55</v>
      </c>
      <c r="V2048" s="4">
        <v>427.15</v>
      </c>
      <c r="W2048" t="s">
        <v>21</v>
      </c>
      <c r="X2048" t="s">
        <v>36</v>
      </c>
      <c r="Y2048" s="4">
        <v>43</v>
      </c>
      <c r="Z2048" s="4">
        <v>14</v>
      </c>
      <c r="AA2048" t="s">
        <v>43</v>
      </c>
      <c r="AB2048" t="s">
        <v>44</v>
      </c>
      <c r="AC2048" s="7">
        <v>2</v>
      </c>
      <c r="AD2048" t="s">
        <v>45</v>
      </c>
      <c r="AE2048">
        <f t="shared" si="31"/>
        <v>1</v>
      </c>
    </row>
    <row r="2049" spans="1:31" x14ac:dyDescent="0.35">
      <c r="A2049">
        <v>102048</v>
      </c>
      <c r="B2049" s="3">
        <v>46012</v>
      </c>
      <c r="C2049">
        <v>1037</v>
      </c>
      <c r="D2049" t="s">
        <v>47</v>
      </c>
      <c r="E2049" t="s">
        <v>48</v>
      </c>
      <c r="F2049" t="s">
        <v>71</v>
      </c>
      <c r="G2049" t="s">
        <v>50</v>
      </c>
      <c r="H2049" t="s">
        <v>34</v>
      </c>
      <c r="I2049" t="s">
        <v>69</v>
      </c>
      <c r="J2049" s="4">
        <v>32.81</v>
      </c>
      <c r="K2049" s="4">
        <v>17.13</v>
      </c>
      <c r="L2049">
        <v>0</v>
      </c>
      <c r="M2049" s="4">
        <v>0</v>
      </c>
      <c r="N2049" s="4">
        <v>562.04</v>
      </c>
      <c r="O2049" s="4">
        <v>229.01</v>
      </c>
      <c r="P2049" s="4">
        <v>4.47</v>
      </c>
      <c r="Q2049" s="4">
        <v>2.25</v>
      </c>
      <c r="R2049" s="4">
        <v>9.73</v>
      </c>
      <c r="S2049" s="4">
        <v>0</v>
      </c>
      <c r="T2049" s="4">
        <v>0</v>
      </c>
      <c r="U2049" s="4">
        <v>245.46</v>
      </c>
      <c r="V2049" s="4">
        <v>316.58</v>
      </c>
      <c r="W2049" t="s">
        <v>21</v>
      </c>
      <c r="X2049" t="s">
        <v>36</v>
      </c>
      <c r="Y2049" s="4">
        <v>12</v>
      </c>
      <c r="Z2049" s="4">
        <v>1</v>
      </c>
      <c r="AA2049" t="s">
        <v>37</v>
      </c>
      <c r="AB2049" t="s">
        <v>38</v>
      </c>
      <c r="AC2049" s="7">
        <v>0</v>
      </c>
      <c r="AD2049" t="s">
        <v>39</v>
      </c>
      <c r="AE2049">
        <f t="shared" si="31"/>
        <v>0</v>
      </c>
    </row>
    <row r="2050" spans="1:31" x14ac:dyDescent="0.35">
      <c r="A2050">
        <v>102049</v>
      </c>
      <c r="B2050" s="3">
        <v>45957</v>
      </c>
      <c r="C2050">
        <v>1048</v>
      </c>
      <c r="D2050" t="s">
        <v>59</v>
      </c>
      <c r="E2050" t="s">
        <v>68</v>
      </c>
      <c r="F2050" t="s">
        <v>32</v>
      </c>
      <c r="G2050" t="s">
        <v>46</v>
      </c>
      <c r="H2050" t="s">
        <v>57</v>
      </c>
      <c r="I2050" t="s">
        <v>42</v>
      </c>
      <c r="J2050" s="4">
        <v>45.01</v>
      </c>
      <c r="K2050" s="4">
        <v>15.31</v>
      </c>
      <c r="L2050">
        <v>0</v>
      </c>
      <c r="M2050" s="4">
        <v>0</v>
      </c>
      <c r="N2050" s="4">
        <v>689.1</v>
      </c>
      <c r="O2050" s="4">
        <v>300.3</v>
      </c>
      <c r="P2050" s="4">
        <v>11.12</v>
      </c>
      <c r="Q2050" s="4">
        <v>10.34</v>
      </c>
      <c r="R2050" s="4">
        <v>9.26</v>
      </c>
      <c r="S2050" s="4">
        <v>0</v>
      </c>
      <c r="T2050" s="4">
        <v>0</v>
      </c>
      <c r="U2050" s="4">
        <v>331.02</v>
      </c>
      <c r="V2050" s="4">
        <v>358.08</v>
      </c>
      <c r="W2050" t="s">
        <v>21</v>
      </c>
      <c r="X2050" t="s">
        <v>36</v>
      </c>
      <c r="Y2050" s="4">
        <v>14</v>
      </c>
      <c r="Z2050" s="4">
        <v>8</v>
      </c>
      <c r="AA2050" t="s">
        <v>37</v>
      </c>
      <c r="AB2050" t="s">
        <v>38</v>
      </c>
      <c r="AC2050" s="7">
        <v>0</v>
      </c>
      <c r="AD2050" t="s">
        <v>39</v>
      </c>
      <c r="AE2050">
        <f t="shared" si="31"/>
        <v>0</v>
      </c>
    </row>
    <row r="2051" spans="1:31" x14ac:dyDescent="0.35">
      <c r="A2051">
        <v>102050</v>
      </c>
      <c r="B2051" s="3">
        <v>45951</v>
      </c>
      <c r="C2051">
        <v>1108</v>
      </c>
      <c r="D2051" t="s">
        <v>59</v>
      </c>
      <c r="E2051" t="s">
        <v>70</v>
      </c>
      <c r="F2051" t="s">
        <v>41</v>
      </c>
      <c r="G2051" t="s">
        <v>50</v>
      </c>
      <c r="H2051" t="s">
        <v>34</v>
      </c>
      <c r="I2051" t="s">
        <v>35</v>
      </c>
      <c r="J2051" s="4">
        <v>17.239999999999998</v>
      </c>
      <c r="K2051" s="4">
        <v>17.86</v>
      </c>
      <c r="L2051">
        <v>10</v>
      </c>
      <c r="M2051" s="4">
        <v>30.79</v>
      </c>
      <c r="N2051" s="4">
        <v>277.12</v>
      </c>
      <c r="O2051" s="4">
        <v>102.67</v>
      </c>
      <c r="P2051" s="4">
        <v>3.74</v>
      </c>
      <c r="Q2051" s="4">
        <v>2.16</v>
      </c>
      <c r="R2051" s="4">
        <v>7.84</v>
      </c>
      <c r="S2051" s="4">
        <v>0</v>
      </c>
      <c r="T2051" s="4">
        <v>0</v>
      </c>
      <c r="U2051" s="4">
        <v>116.41</v>
      </c>
      <c r="V2051" s="4">
        <v>160.71</v>
      </c>
      <c r="W2051" t="s">
        <v>21</v>
      </c>
      <c r="X2051" t="s">
        <v>36</v>
      </c>
      <c r="Y2051" s="4">
        <v>34</v>
      </c>
      <c r="Z2051" s="4">
        <v>7</v>
      </c>
      <c r="AA2051" t="s">
        <v>43</v>
      </c>
      <c r="AB2051" t="s">
        <v>44</v>
      </c>
      <c r="AC2051" s="7">
        <v>2</v>
      </c>
      <c r="AD2051" t="s">
        <v>45</v>
      </c>
      <c r="AE2051">
        <f t="shared" ref="AE2051:AE2114" si="32">IF(AB2051="Yes",1,0)</f>
        <v>1</v>
      </c>
    </row>
    <row r="2052" spans="1:31" x14ac:dyDescent="0.35">
      <c r="A2052">
        <v>102051</v>
      </c>
      <c r="B2052" s="3">
        <v>46016</v>
      </c>
      <c r="C2052">
        <v>1118</v>
      </c>
      <c r="D2052" t="s">
        <v>47</v>
      </c>
      <c r="E2052" t="s">
        <v>48</v>
      </c>
      <c r="F2052" t="s">
        <v>61</v>
      </c>
      <c r="G2052" t="s">
        <v>46</v>
      </c>
      <c r="H2052" t="s">
        <v>57</v>
      </c>
      <c r="I2052" t="s">
        <v>35</v>
      </c>
      <c r="J2052" s="4">
        <v>39.36</v>
      </c>
      <c r="K2052" s="4">
        <v>14.82</v>
      </c>
      <c r="L2052">
        <v>10</v>
      </c>
      <c r="M2052" s="4">
        <v>58.33</v>
      </c>
      <c r="N2052" s="4">
        <v>524.99</v>
      </c>
      <c r="O2052" s="4">
        <v>351.31</v>
      </c>
      <c r="P2052" s="4">
        <v>6.04</v>
      </c>
      <c r="Q2052" s="4">
        <v>4.08</v>
      </c>
      <c r="R2052" s="4">
        <v>3.72</v>
      </c>
      <c r="S2052" s="4">
        <v>0</v>
      </c>
      <c r="T2052" s="4">
        <v>0</v>
      </c>
      <c r="U2052" s="4">
        <v>365.15</v>
      </c>
      <c r="V2052" s="4">
        <v>159.84</v>
      </c>
      <c r="W2052" t="s">
        <v>21</v>
      </c>
      <c r="X2052" t="s">
        <v>36</v>
      </c>
      <c r="Y2052" s="4">
        <v>17</v>
      </c>
      <c r="Z2052" s="4">
        <v>15</v>
      </c>
      <c r="AA2052" t="s">
        <v>52</v>
      </c>
      <c r="AB2052" t="s">
        <v>38</v>
      </c>
      <c r="AC2052" s="7">
        <v>1</v>
      </c>
      <c r="AD2052" t="s">
        <v>39</v>
      </c>
      <c r="AE2052">
        <f t="shared" si="32"/>
        <v>0</v>
      </c>
    </row>
    <row r="2053" spans="1:31" x14ac:dyDescent="0.35">
      <c r="A2053">
        <v>102052</v>
      </c>
      <c r="B2053" s="3">
        <v>46008</v>
      </c>
      <c r="C2053">
        <v>1114</v>
      </c>
      <c r="D2053" t="s">
        <v>59</v>
      </c>
      <c r="E2053" t="s">
        <v>70</v>
      </c>
      <c r="F2053" t="s">
        <v>32</v>
      </c>
      <c r="G2053" t="s">
        <v>33</v>
      </c>
      <c r="H2053" t="s">
        <v>34</v>
      </c>
      <c r="I2053" t="s">
        <v>42</v>
      </c>
      <c r="J2053" s="4">
        <v>24.86</v>
      </c>
      <c r="K2053" s="4">
        <v>18.559999999999999</v>
      </c>
      <c r="L2053">
        <v>0</v>
      </c>
      <c r="M2053" s="4">
        <v>0</v>
      </c>
      <c r="N2053" s="4">
        <v>461.4</v>
      </c>
      <c r="O2053" s="4">
        <v>144.85</v>
      </c>
      <c r="P2053" s="4">
        <v>3.94</v>
      </c>
      <c r="Q2053" s="4">
        <v>6.92</v>
      </c>
      <c r="R2053" s="4">
        <v>4.46</v>
      </c>
      <c r="S2053" s="4">
        <v>0</v>
      </c>
      <c r="T2053" s="4">
        <v>0</v>
      </c>
      <c r="U2053" s="4">
        <v>160.16999999999999</v>
      </c>
      <c r="V2053" s="4">
        <v>301.23</v>
      </c>
      <c r="W2053" t="s">
        <v>21</v>
      </c>
      <c r="X2053" t="s">
        <v>36</v>
      </c>
      <c r="Y2053" s="4">
        <v>2</v>
      </c>
      <c r="Z2053" s="4">
        <v>7</v>
      </c>
      <c r="AA2053" t="s">
        <v>37</v>
      </c>
      <c r="AB2053" t="s">
        <v>38</v>
      </c>
      <c r="AC2053" s="7">
        <v>0</v>
      </c>
      <c r="AD2053" t="s">
        <v>39</v>
      </c>
      <c r="AE2053">
        <f t="shared" si="32"/>
        <v>0</v>
      </c>
    </row>
    <row r="2054" spans="1:31" x14ac:dyDescent="0.35">
      <c r="A2054">
        <v>102053</v>
      </c>
      <c r="B2054" s="3">
        <v>45955</v>
      </c>
      <c r="C2054">
        <v>1112</v>
      </c>
      <c r="D2054" t="s">
        <v>59</v>
      </c>
      <c r="E2054" t="s">
        <v>73</v>
      </c>
      <c r="F2054" t="s">
        <v>61</v>
      </c>
      <c r="G2054" t="s">
        <v>50</v>
      </c>
      <c r="H2054" t="s">
        <v>34</v>
      </c>
      <c r="I2054" t="s">
        <v>35</v>
      </c>
      <c r="J2054" s="4">
        <v>39.25</v>
      </c>
      <c r="K2054" s="4">
        <v>17.93</v>
      </c>
      <c r="L2054">
        <v>0</v>
      </c>
      <c r="M2054" s="4">
        <v>0</v>
      </c>
      <c r="N2054" s="4">
        <v>703.75</v>
      </c>
      <c r="O2054" s="4">
        <v>300.31</v>
      </c>
      <c r="P2054" s="4">
        <v>10.89</v>
      </c>
      <c r="Q2054" s="4">
        <v>4.93</v>
      </c>
      <c r="R2054" s="4">
        <v>7.95</v>
      </c>
      <c r="S2054" s="4">
        <v>0</v>
      </c>
      <c r="T2054" s="4">
        <v>0</v>
      </c>
      <c r="U2054" s="4">
        <v>324.08</v>
      </c>
      <c r="V2054" s="4">
        <v>379.67</v>
      </c>
      <c r="W2054" t="s">
        <v>21</v>
      </c>
      <c r="X2054" t="s">
        <v>36</v>
      </c>
      <c r="Y2054" s="4">
        <v>9</v>
      </c>
      <c r="Z2054" s="4">
        <v>2</v>
      </c>
      <c r="AA2054" t="s">
        <v>37</v>
      </c>
      <c r="AB2054" t="s">
        <v>38</v>
      </c>
      <c r="AC2054" s="7">
        <v>0</v>
      </c>
      <c r="AD2054" t="s">
        <v>39</v>
      </c>
      <c r="AE2054">
        <f t="shared" si="32"/>
        <v>0</v>
      </c>
    </row>
    <row r="2055" spans="1:31" x14ac:dyDescent="0.35">
      <c r="A2055">
        <v>102054</v>
      </c>
      <c r="B2055" s="3">
        <v>46007</v>
      </c>
      <c r="C2055">
        <v>1038</v>
      </c>
      <c r="D2055" t="s">
        <v>30</v>
      </c>
      <c r="E2055" t="s">
        <v>40</v>
      </c>
      <c r="F2055" t="s">
        <v>32</v>
      </c>
      <c r="G2055" t="s">
        <v>50</v>
      </c>
      <c r="H2055" t="s">
        <v>34</v>
      </c>
      <c r="I2055" t="s">
        <v>35</v>
      </c>
      <c r="J2055" s="4">
        <v>39.61</v>
      </c>
      <c r="K2055" s="4">
        <v>17.579999999999998</v>
      </c>
      <c r="L2055">
        <v>15</v>
      </c>
      <c r="M2055" s="4">
        <v>104.45</v>
      </c>
      <c r="N2055" s="4">
        <v>591.89</v>
      </c>
      <c r="O2055" s="4">
        <v>286.19</v>
      </c>
      <c r="P2055" s="4">
        <v>4.96</v>
      </c>
      <c r="Q2055" s="4">
        <v>4.87</v>
      </c>
      <c r="R2055" s="4">
        <v>0</v>
      </c>
      <c r="S2055" s="4">
        <v>587.45000000000005</v>
      </c>
      <c r="T2055" s="4">
        <v>0</v>
      </c>
      <c r="U2055" s="4">
        <v>883.47</v>
      </c>
      <c r="V2055" s="4">
        <v>-291.58</v>
      </c>
      <c r="W2055" t="s">
        <v>58</v>
      </c>
      <c r="X2055" t="s">
        <v>66</v>
      </c>
      <c r="Y2055" s="4">
        <v>19</v>
      </c>
      <c r="Z2055" s="4">
        <v>2</v>
      </c>
      <c r="AA2055" t="s">
        <v>52</v>
      </c>
      <c r="AB2055" t="s">
        <v>38</v>
      </c>
      <c r="AC2055" s="7">
        <v>2</v>
      </c>
      <c r="AD2055" t="s">
        <v>45</v>
      </c>
      <c r="AE2055">
        <f t="shared" si="32"/>
        <v>0</v>
      </c>
    </row>
    <row r="2056" spans="1:31" x14ac:dyDescent="0.35">
      <c r="A2056">
        <v>102055</v>
      </c>
      <c r="B2056" s="3">
        <v>45992</v>
      </c>
      <c r="C2056">
        <v>1049</v>
      </c>
      <c r="D2056" t="s">
        <v>30</v>
      </c>
      <c r="E2056" t="s">
        <v>62</v>
      </c>
      <c r="F2056" t="s">
        <v>49</v>
      </c>
      <c r="G2056" t="s">
        <v>50</v>
      </c>
      <c r="H2056" t="s">
        <v>34</v>
      </c>
      <c r="I2056" t="s">
        <v>42</v>
      </c>
      <c r="J2056" s="4">
        <v>31</v>
      </c>
      <c r="K2056" s="4">
        <v>18.190000000000001</v>
      </c>
      <c r="L2056">
        <v>15</v>
      </c>
      <c r="M2056" s="4">
        <v>84.58</v>
      </c>
      <c r="N2056" s="4">
        <v>479.31</v>
      </c>
      <c r="O2056" s="4">
        <v>223.99</v>
      </c>
      <c r="P2056" s="4">
        <v>7.53</v>
      </c>
      <c r="Q2056" s="4">
        <v>8.4600000000000009</v>
      </c>
      <c r="R2056" s="4">
        <v>8.83</v>
      </c>
      <c r="S2056" s="4">
        <v>0</v>
      </c>
      <c r="T2056" s="4">
        <v>0</v>
      </c>
      <c r="U2056" s="4">
        <v>248.81</v>
      </c>
      <c r="V2056" s="4">
        <v>230.5</v>
      </c>
      <c r="W2056" t="s">
        <v>21</v>
      </c>
      <c r="X2056" t="s">
        <v>36</v>
      </c>
      <c r="Y2056" s="4">
        <v>0</v>
      </c>
      <c r="Z2056" s="4">
        <v>13</v>
      </c>
      <c r="AA2056" t="s">
        <v>37</v>
      </c>
      <c r="AB2056" t="s">
        <v>38</v>
      </c>
      <c r="AC2056" s="7">
        <v>1</v>
      </c>
      <c r="AD2056" t="s">
        <v>39</v>
      </c>
      <c r="AE2056">
        <f t="shared" si="32"/>
        <v>0</v>
      </c>
    </row>
    <row r="2057" spans="1:31" x14ac:dyDescent="0.35">
      <c r="A2057">
        <v>102056</v>
      </c>
      <c r="B2057" s="3">
        <v>45961</v>
      </c>
      <c r="C2057">
        <v>1066</v>
      </c>
      <c r="D2057" t="s">
        <v>59</v>
      </c>
      <c r="E2057" t="s">
        <v>60</v>
      </c>
      <c r="F2057" t="s">
        <v>41</v>
      </c>
      <c r="G2057" t="s">
        <v>33</v>
      </c>
      <c r="H2057" t="s">
        <v>57</v>
      </c>
      <c r="I2057" t="s">
        <v>35</v>
      </c>
      <c r="J2057" s="4">
        <v>26.37</v>
      </c>
      <c r="K2057" s="4">
        <v>18.7</v>
      </c>
      <c r="L2057">
        <v>0</v>
      </c>
      <c r="M2057" s="4">
        <v>0</v>
      </c>
      <c r="N2057" s="4">
        <v>493.12</v>
      </c>
      <c r="O2057" s="4">
        <v>158.02000000000001</v>
      </c>
      <c r="P2057" s="4">
        <v>9.43</v>
      </c>
      <c r="Q2057" s="4">
        <v>3.45</v>
      </c>
      <c r="R2057" s="4">
        <v>1.1100000000000001</v>
      </c>
      <c r="S2057" s="4">
        <v>0</v>
      </c>
      <c r="T2057" s="4">
        <v>0</v>
      </c>
      <c r="U2057" s="4">
        <v>172.01</v>
      </c>
      <c r="V2057" s="4">
        <v>321.11</v>
      </c>
      <c r="W2057" t="s">
        <v>21</v>
      </c>
      <c r="X2057" t="s">
        <v>36</v>
      </c>
      <c r="Y2057" s="4">
        <v>1</v>
      </c>
      <c r="Z2057" s="4">
        <v>8</v>
      </c>
      <c r="AA2057" t="s">
        <v>37</v>
      </c>
      <c r="AB2057" t="s">
        <v>38</v>
      </c>
      <c r="AC2057" s="7">
        <v>0</v>
      </c>
      <c r="AD2057" t="s">
        <v>39</v>
      </c>
      <c r="AE2057">
        <f t="shared" si="32"/>
        <v>0</v>
      </c>
    </row>
    <row r="2058" spans="1:31" x14ac:dyDescent="0.35">
      <c r="A2058">
        <v>102057</v>
      </c>
      <c r="B2058" s="3">
        <v>45935</v>
      </c>
      <c r="C2058">
        <v>1078</v>
      </c>
      <c r="D2058" t="s">
        <v>64</v>
      </c>
      <c r="E2058" t="s">
        <v>75</v>
      </c>
      <c r="F2058" t="s">
        <v>32</v>
      </c>
      <c r="G2058" t="s">
        <v>63</v>
      </c>
      <c r="H2058" t="s">
        <v>34</v>
      </c>
      <c r="I2058" t="s">
        <v>54</v>
      </c>
      <c r="J2058" s="4">
        <v>9.0299999999999994</v>
      </c>
      <c r="K2058" s="4">
        <v>13.92</v>
      </c>
      <c r="L2058">
        <v>0</v>
      </c>
      <c r="M2058" s="4">
        <v>0</v>
      </c>
      <c r="N2058" s="4">
        <v>125.7</v>
      </c>
      <c r="O2058" s="4">
        <v>61.55</v>
      </c>
      <c r="P2058" s="4">
        <v>5.89</v>
      </c>
      <c r="Q2058" s="4">
        <v>1.51</v>
      </c>
      <c r="R2058" s="4">
        <v>10.69</v>
      </c>
      <c r="S2058" s="4">
        <v>0</v>
      </c>
      <c r="T2058" s="4">
        <v>0</v>
      </c>
      <c r="U2058" s="4">
        <v>79.64</v>
      </c>
      <c r="V2058" s="4">
        <v>46.06</v>
      </c>
      <c r="W2058" t="s">
        <v>21</v>
      </c>
      <c r="X2058" t="s">
        <v>36</v>
      </c>
      <c r="Y2058" s="4">
        <v>15</v>
      </c>
      <c r="Z2058" s="4">
        <v>11</v>
      </c>
      <c r="AA2058" t="s">
        <v>37</v>
      </c>
      <c r="AB2058" t="s">
        <v>38</v>
      </c>
      <c r="AC2058" s="7">
        <v>0</v>
      </c>
      <c r="AD2058" t="s">
        <v>39</v>
      </c>
      <c r="AE2058">
        <f t="shared" si="32"/>
        <v>0</v>
      </c>
    </row>
    <row r="2059" spans="1:31" x14ac:dyDescent="0.35">
      <c r="A2059">
        <v>102058</v>
      </c>
      <c r="B2059" s="3">
        <v>45959</v>
      </c>
      <c r="C2059">
        <v>1005</v>
      </c>
      <c r="D2059" t="s">
        <v>64</v>
      </c>
      <c r="E2059" t="s">
        <v>76</v>
      </c>
      <c r="F2059" t="s">
        <v>71</v>
      </c>
      <c r="G2059" t="s">
        <v>63</v>
      </c>
      <c r="H2059" t="s">
        <v>34</v>
      </c>
      <c r="I2059" t="s">
        <v>35</v>
      </c>
      <c r="J2059" s="4">
        <v>14.56</v>
      </c>
      <c r="K2059" s="4">
        <v>12.97</v>
      </c>
      <c r="L2059">
        <v>5</v>
      </c>
      <c r="M2059" s="4">
        <v>9.44</v>
      </c>
      <c r="N2059" s="4">
        <v>179.4</v>
      </c>
      <c r="O2059" s="4">
        <v>99.33</v>
      </c>
      <c r="P2059" s="4">
        <v>6.85</v>
      </c>
      <c r="Q2059" s="4">
        <v>1.32</v>
      </c>
      <c r="R2059" s="4">
        <v>0.77</v>
      </c>
      <c r="S2059" s="4">
        <v>0</v>
      </c>
      <c r="T2059" s="4">
        <v>0</v>
      </c>
      <c r="U2059" s="4">
        <v>108.27</v>
      </c>
      <c r="V2059" s="4">
        <v>71.13</v>
      </c>
      <c r="W2059" t="s">
        <v>21</v>
      </c>
      <c r="X2059" t="s">
        <v>36</v>
      </c>
      <c r="Y2059" s="4">
        <v>11</v>
      </c>
      <c r="Z2059" s="4">
        <v>2</v>
      </c>
      <c r="AA2059" t="s">
        <v>37</v>
      </c>
      <c r="AB2059" t="s">
        <v>38</v>
      </c>
      <c r="AC2059" s="7">
        <v>0</v>
      </c>
      <c r="AD2059" t="s">
        <v>39</v>
      </c>
      <c r="AE2059">
        <f t="shared" si="32"/>
        <v>0</v>
      </c>
    </row>
    <row r="2060" spans="1:31" x14ac:dyDescent="0.35">
      <c r="A2060">
        <v>102059</v>
      </c>
      <c r="B2060" s="3">
        <v>46014</v>
      </c>
      <c r="C2060">
        <v>1079</v>
      </c>
      <c r="D2060" t="s">
        <v>59</v>
      </c>
      <c r="E2060" t="s">
        <v>68</v>
      </c>
      <c r="F2060" t="s">
        <v>41</v>
      </c>
      <c r="G2060" t="s">
        <v>46</v>
      </c>
      <c r="H2060" t="s">
        <v>34</v>
      </c>
      <c r="I2060" t="s">
        <v>35</v>
      </c>
      <c r="J2060" s="4">
        <v>26.05</v>
      </c>
      <c r="K2060" s="4">
        <v>15.62</v>
      </c>
      <c r="L2060">
        <v>5</v>
      </c>
      <c r="M2060" s="4">
        <v>20.34</v>
      </c>
      <c r="N2060" s="4">
        <v>386.56</v>
      </c>
      <c r="O2060" s="4">
        <v>177.67</v>
      </c>
      <c r="P2060" s="4">
        <v>9.7899999999999991</v>
      </c>
      <c r="Q2060" s="4">
        <v>2.85</v>
      </c>
      <c r="R2060" s="4">
        <v>5.34</v>
      </c>
      <c r="S2060" s="4">
        <v>144.81</v>
      </c>
      <c r="T2060" s="4">
        <v>0</v>
      </c>
      <c r="U2060" s="4">
        <v>340.46</v>
      </c>
      <c r="V2060" s="4">
        <v>46.1</v>
      </c>
      <c r="W2060" t="s">
        <v>21</v>
      </c>
      <c r="X2060" t="s">
        <v>66</v>
      </c>
      <c r="Y2060" s="4">
        <v>12</v>
      </c>
      <c r="Z2060" s="4">
        <v>0</v>
      </c>
      <c r="AA2060" t="s">
        <v>37</v>
      </c>
      <c r="AB2060" t="s">
        <v>38</v>
      </c>
      <c r="AC2060" s="7">
        <v>3</v>
      </c>
      <c r="AD2060" t="s">
        <v>45</v>
      </c>
      <c r="AE2060">
        <f t="shared" si="32"/>
        <v>0</v>
      </c>
    </row>
    <row r="2061" spans="1:31" x14ac:dyDescent="0.35">
      <c r="A2061">
        <v>102060</v>
      </c>
      <c r="B2061" s="3">
        <v>46021</v>
      </c>
      <c r="C2061">
        <v>1133</v>
      </c>
      <c r="D2061" t="s">
        <v>30</v>
      </c>
      <c r="E2061" t="s">
        <v>62</v>
      </c>
      <c r="F2061" t="s">
        <v>32</v>
      </c>
      <c r="G2061" t="s">
        <v>63</v>
      </c>
      <c r="H2061" t="s">
        <v>34</v>
      </c>
      <c r="I2061" t="s">
        <v>69</v>
      </c>
      <c r="J2061" s="4">
        <v>13.97</v>
      </c>
      <c r="K2061" s="4">
        <v>13.6</v>
      </c>
      <c r="L2061">
        <v>5</v>
      </c>
      <c r="M2061" s="4">
        <v>9.5</v>
      </c>
      <c r="N2061" s="4">
        <v>180.49</v>
      </c>
      <c r="O2061" s="4">
        <v>90.48</v>
      </c>
      <c r="P2061" s="4">
        <v>11.5</v>
      </c>
      <c r="Q2061" s="4">
        <v>0.76</v>
      </c>
      <c r="R2061" s="4">
        <v>10.9</v>
      </c>
      <c r="S2061" s="4">
        <v>98</v>
      </c>
      <c r="T2061" s="4">
        <v>0</v>
      </c>
      <c r="U2061" s="4">
        <v>211.64</v>
      </c>
      <c r="V2061" s="4">
        <v>-31.15</v>
      </c>
      <c r="W2061" t="s">
        <v>58</v>
      </c>
      <c r="X2061" t="s">
        <v>55</v>
      </c>
      <c r="Y2061" s="4">
        <v>0</v>
      </c>
      <c r="Z2061" s="4">
        <v>1</v>
      </c>
      <c r="AA2061" t="s">
        <v>37</v>
      </c>
      <c r="AB2061" t="s">
        <v>44</v>
      </c>
      <c r="AC2061" s="7">
        <v>1</v>
      </c>
      <c r="AD2061" t="s">
        <v>45</v>
      </c>
      <c r="AE2061">
        <f t="shared" si="32"/>
        <v>1</v>
      </c>
    </row>
    <row r="2062" spans="1:31" x14ac:dyDescent="0.35">
      <c r="A2062">
        <v>102061</v>
      </c>
      <c r="B2062" s="3">
        <v>45954</v>
      </c>
      <c r="C2062">
        <v>1036</v>
      </c>
      <c r="D2062" t="s">
        <v>59</v>
      </c>
      <c r="E2062" t="s">
        <v>60</v>
      </c>
      <c r="F2062" t="s">
        <v>61</v>
      </c>
      <c r="G2062" t="s">
        <v>46</v>
      </c>
      <c r="H2062" t="s">
        <v>34</v>
      </c>
      <c r="I2062" t="s">
        <v>35</v>
      </c>
      <c r="J2062" s="4">
        <v>29.76</v>
      </c>
      <c r="K2062" s="4">
        <v>16.34</v>
      </c>
      <c r="L2062">
        <v>5</v>
      </c>
      <c r="M2062" s="4">
        <v>24.31</v>
      </c>
      <c r="N2062" s="4">
        <v>461.97</v>
      </c>
      <c r="O2062" s="4">
        <v>235.44</v>
      </c>
      <c r="P2062" s="4">
        <v>8.6</v>
      </c>
      <c r="Q2062" s="4">
        <v>3.4</v>
      </c>
      <c r="R2062" s="4">
        <v>4.8499999999999996</v>
      </c>
      <c r="S2062" s="4">
        <v>0</v>
      </c>
      <c r="T2062" s="4">
        <v>0</v>
      </c>
      <c r="U2062" s="4">
        <v>252.29</v>
      </c>
      <c r="V2062" s="4">
        <v>209.68</v>
      </c>
      <c r="W2062" t="s">
        <v>21</v>
      </c>
      <c r="X2062" t="s">
        <v>36</v>
      </c>
      <c r="Y2062" s="4">
        <v>2</v>
      </c>
      <c r="Z2062" s="4">
        <v>15</v>
      </c>
      <c r="AA2062" t="s">
        <v>37</v>
      </c>
      <c r="AB2062" t="s">
        <v>38</v>
      </c>
      <c r="AC2062" s="7">
        <v>1</v>
      </c>
      <c r="AD2062" t="s">
        <v>39</v>
      </c>
      <c r="AE2062">
        <f t="shared" si="32"/>
        <v>0</v>
      </c>
    </row>
    <row r="2063" spans="1:31" x14ac:dyDescent="0.35">
      <c r="A2063">
        <v>102062</v>
      </c>
      <c r="B2063" s="3">
        <v>45943</v>
      </c>
      <c r="C2063">
        <v>1121</v>
      </c>
      <c r="D2063" t="s">
        <v>30</v>
      </c>
      <c r="E2063" t="s">
        <v>40</v>
      </c>
      <c r="F2063" t="s">
        <v>41</v>
      </c>
      <c r="G2063" t="s">
        <v>50</v>
      </c>
      <c r="H2063" t="s">
        <v>34</v>
      </c>
      <c r="I2063" t="s">
        <v>35</v>
      </c>
      <c r="J2063" s="4">
        <v>33.71</v>
      </c>
      <c r="K2063" s="4">
        <v>17.52</v>
      </c>
      <c r="L2063">
        <v>0</v>
      </c>
      <c r="M2063" s="4">
        <v>0</v>
      </c>
      <c r="N2063" s="4">
        <v>590.6</v>
      </c>
      <c r="O2063" s="4">
        <v>209.58</v>
      </c>
      <c r="P2063" s="4">
        <v>8.17</v>
      </c>
      <c r="Q2063" s="4">
        <v>4.13</v>
      </c>
      <c r="R2063" s="4">
        <v>3.13</v>
      </c>
      <c r="S2063" s="4">
        <v>0</v>
      </c>
      <c r="T2063" s="4">
        <v>0</v>
      </c>
      <c r="U2063" s="4">
        <v>225.01</v>
      </c>
      <c r="V2063" s="4">
        <v>365.59</v>
      </c>
      <c r="W2063" t="s">
        <v>21</v>
      </c>
      <c r="X2063" t="s">
        <v>36</v>
      </c>
      <c r="Y2063" s="4">
        <v>31</v>
      </c>
      <c r="Z2063" s="4">
        <v>3</v>
      </c>
      <c r="AA2063" t="s">
        <v>43</v>
      </c>
      <c r="AB2063" t="s">
        <v>44</v>
      </c>
      <c r="AC2063" s="7">
        <v>1</v>
      </c>
      <c r="AD2063" t="s">
        <v>45</v>
      </c>
      <c r="AE2063">
        <f t="shared" si="32"/>
        <v>1</v>
      </c>
    </row>
    <row r="2064" spans="1:31" x14ac:dyDescent="0.35">
      <c r="A2064">
        <v>102063</v>
      </c>
      <c r="B2064" s="3">
        <v>45959</v>
      </c>
      <c r="C2064">
        <v>1045</v>
      </c>
      <c r="D2064" t="s">
        <v>30</v>
      </c>
      <c r="E2064" t="s">
        <v>72</v>
      </c>
      <c r="F2064" t="s">
        <v>49</v>
      </c>
      <c r="G2064" t="s">
        <v>63</v>
      </c>
      <c r="H2064" t="s">
        <v>34</v>
      </c>
      <c r="I2064" t="s">
        <v>42</v>
      </c>
      <c r="J2064" s="4">
        <v>30.42</v>
      </c>
      <c r="K2064" s="4">
        <v>13.43</v>
      </c>
      <c r="L2064">
        <v>10</v>
      </c>
      <c r="M2064" s="4">
        <v>40.85</v>
      </c>
      <c r="N2064" s="4">
        <v>367.69</v>
      </c>
      <c r="O2064" s="4">
        <v>194.9</v>
      </c>
      <c r="P2064" s="4">
        <v>7.31</v>
      </c>
      <c r="Q2064" s="4">
        <v>6.13</v>
      </c>
      <c r="R2064" s="4">
        <v>5.78</v>
      </c>
      <c r="S2064" s="4">
        <v>0</v>
      </c>
      <c r="T2064" s="4">
        <v>0</v>
      </c>
      <c r="U2064" s="4">
        <v>214.12</v>
      </c>
      <c r="V2064" s="4">
        <v>153.57</v>
      </c>
      <c r="W2064" t="s">
        <v>21</v>
      </c>
      <c r="X2064" t="s">
        <v>36</v>
      </c>
      <c r="Y2064" s="4">
        <v>2</v>
      </c>
      <c r="Z2064" s="4">
        <v>13</v>
      </c>
      <c r="AA2064" t="s">
        <v>37</v>
      </c>
      <c r="AB2064" t="s">
        <v>38</v>
      </c>
      <c r="AC2064" s="7">
        <v>0</v>
      </c>
      <c r="AD2064" t="s">
        <v>39</v>
      </c>
      <c r="AE2064">
        <f t="shared" si="32"/>
        <v>0</v>
      </c>
    </row>
    <row r="2065" spans="1:31" x14ac:dyDescent="0.35">
      <c r="A2065">
        <v>102064</v>
      </c>
      <c r="B2065" s="3">
        <v>45975</v>
      </c>
      <c r="C2065">
        <v>1044</v>
      </c>
      <c r="D2065" t="s">
        <v>59</v>
      </c>
      <c r="E2065" t="s">
        <v>68</v>
      </c>
      <c r="F2065" t="s">
        <v>49</v>
      </c>
      <c r="G2065" t="s">
        <v>63</v>
      </c>
      <c r="H2065" t="s">
        <v>34</v>
      </c>
      <c r="I2065" t="s">
        <v>42</v>
      </c>
      <c r="J2065" s="4">
        <v>9.18</v>
      </c>
      <c r="K2065" s="4">
        <v>13.32</v>
      </c>
      <c r="L2065">
        <v>20</v>
      </c>
      <c r="M2065" s="4">
        <v>24.46</v>
      </c>
      <c r="N2065" s="4">
        <v>97.82</v>
      </c>
      <c r="O2065" s="4">
        <v>69.98</v>
      </c>
      <c r="P2065" s="4">
        <v>5.67</v>
      </c>
      <c r="Q2065" s="4">
        <v>1.83</v>
      </c>
      <c r="R2065" s="4">
        <v>4.46</v>
      </c>
      <c r="S2065" s="4">
        <v>0</v>
      </c>
      <c r="T2065" s="4">
        <v>0</v>
      </c>
      <c r="U2065" s="4">
        <v>81.94</v>
      </c>
      <c r="V2065" s="4">
        <v>15.88</v>
      </c>
      <c r="W2065" t="s">
        <v>21</v>
      </c>
      <c r="X2065" t="s">
        <v>36</v>
      </c>
      <c r="Y2065" s="4">
        <v>28</v>
      </c>
      <c r="Z2065" s="4">
        <v>5</v>
      </c>
      <c r="AA2065" t="s">
        <v>52</v>
      </c>
      <c r="AB2065" t="s">
        <v>44</v>
      </c>
      <c r="AC2065" s="7">
        <v>2</v>
      </c>
      <c r="AD2065" t="s">
        <v>45</v>
      </c>
      <c r="AE2065">
        <f t="shared" si="32"/>
        <v>1</v>
      </c>
    </row>
    <row r="2066" spans="1:31" x14ac:dyDescent="0.35">
      <c r="A2066">
        <v>102065</v>
      </c>
      <c r="B2066" s="3">
        <v>45944</v>
      </c>
      <c r="C2066">
        <v>1036</v>
      </c>
      <c r="D2066" t="s">
        <v>59</v>
      </c>
      <c r="E2066" t="s">
        <v>70</v>
      </c>
      <c r="F2066" t="s">
        <v>41</v>
      </c>
      <c r="G2066" t="s">
        <v>63</v>
      </c>
      <c r="H2066" t="s">
        <v>57</v>
      </c>
      <c r="I2066" t="s">
        <v>54</v>
      </c>
      <c r="J2066" s="4">
        <v>31.47</v>
      </c>
      <c r="K2066" s="4">
        <v>14.46</v>
      </c>
      <c r="L2066">
        <v>0</v>
      </c>
      <c r="M2066" s="4">
        <v>0</v>
      </c>
      <c r="N2066" s="4">
        <v>455.06</v>
      </c>
      <c r="O2066" s="4">
        <v>244.4</v>
      </c>
      <c r="P2066" s="4">
        <v>8.3800000000000008</v>
      </c>
      <c r="Q2066" s="4">
        <v>5.46</v>
      </c>
      <c r="R2066" s="4">
        <v>3.82</v>
      </c>
      <c r="S2066" s="4">
        <v>0</v>
      </c>
      <c r="T2066" s="4">
        <v>0</v>
      </c>
      <c r="U2066" s="4">
        <v>262.06</v>
      </c>
      <c r="V2066" s="4">
        <v>193</v>
      </c>
      <c r="W2066" t="s">
        <v>21</v>
      </c>
      <c r="X2066" t="s">
        <v>36</v>
      </c>
      <c r="Y2066" s="4">
        <v>33</v>
      </c>
      <c r="Z2066" s="4">
        <v>5</v>
      </c>
      <c r="AA2066" t="s">
        <v>43</v>
      </c>
      <c r="AB2066" t="s">
        <v>44</v>
      </c>
      <c r="AC2066" s="7">
        <v>4</v>
      </c>
      <c r="AD2066" t="s">
        <v>45</v>
      </c>
      <c r="AE2066">
        <f t="shared" si="32"/>
        <v>1</v>
      </c>
    </row>
    <row r="2067" spans="1:31" x14ac:dyDescent="0.35">
      <c r="A2067">
        <v>102066</v>
      </c>
      <c r="B2067" s="3">
        <v>45957</v>
      </c>
      <c r="C2067">
        <v>1053</v>
      </c>
      <c r="D2067" t="s">
        <v>30</v>
      </c>
      <c r="E2067" t="s">
        <v>40</v>
      </c>
      <c r="F2067" t="s">
        <v>41</v>
      </c>
      <c r="G2067" t="s">
        <v>63</v>
      </c>
      <c r="H2067" t="s">
        <v>57</v>
      </c>
      <c r="I2067" t="s">
        <v>35</v>
      </c>
      <c r="J2067" s="4">
        <v>19.37</v>
      </c>
      <c r="K2067" s="4">
        <v>12.24</v>
      </c>
      <c r="L2067">
        <v>10</v>
      </c>
      <c r="M2067" s="4">
        <v>23.71</v>
      </c>
      <c r="N2067" s="4">
        <v>213.38</v>
      </c>
      <c r="O2067" s="4">
        <v>138.99</v>
      </c>
      <c r="P2067" s="4">
        <v>11.24</v>
      </c>
      <c r="Q2067" s="4">
        <v>1.66</v>
      </c>
      <c r="R2067" s="4">
        <v>9.85</v>
      </c>
      <c r="S2067" s="4">
        <v>0</v>
      </c>
      <c r="T2067" s="4">
        <v>0</v>
      </c>
      <c r="U2067" s="4">
        <v>161.74</v>
      </c>
      <c r="V2067" s="4">
        <v>51.64</v>
      </c>
      <c r="W2067" t="s">
        <v>21</v>
      </c>
      <c r="X2067" t="s">
        <v>36</v>
      </c>
      <c r="Y2067" s="4">
        <v>1</v>
      </c>
      <c r="Z2067" s="4">
        <v>5</v>
      </c>
      <c r="AA2067" t="s">
        <v>37</v>
      </c>
      <c r="AB2067" t="s">
        <v>38</v>
      </c>
      <c r="AC2067" s="7">
        <v>0</v>
      </c>
      <c r="AD2067" t="s">
        <v>39</v>
      </c>
      <c r="AE2067">
        <f t="shared" si="32"/>
        <v>0</v>
      </c>
    </row>
    <row r="2068" spans="1:31" x14ac:dyDescent="0.35">
      <c r="A2068">
        <v>102067</v>
      </c>
      <c r="B2068" s="3">
        <v>45951</v>
      </c>
      <c r="C2068">
        <v>1063</v>
      </c>
      <c r="D2068" t="s">
        <v>59</v>
      </c>
      <c r="E2068" t="s">
        <v>70</v>
      </c>
      <c r="F2068" t="s">
        <v>32</v>
      </c>
      <c r="G2068" t="s">
        <v>46</v>
      </c>
      <c r="H2068" t="s">
        <v>34</v>
      </c>
      <c r="I2068" t="s">
        <v>35</v>
      </c>
      <c r="J2068" s="4">
        <v>21.15</v>
      </c>
      <c r="K2068" s="4">
        <v>15.19</v>
      </c>
      <c r="L2068">
        <v>15</v>
      </c>
      <c r="M2068" s="4">
        <v>48.19</v>
      </c>
      <c r="N2068" s="4">
        <v>273.08</v>
      </c>
      <c r="O2068" s="4">
        <v>138.59</v>
      </c>
      <c r="P2068" s="4">
        <v>11.91</v>
      </c>
      <c r="Q2068" s="4">
        <v>2.25</v>
      </c>
      <c r="R2068" s="4">
        <v>2.14</v>
      </c>
      <c r="S2068" s="4">
        <v>310.87</v>
      </c>
      <c r="T2068" s="4">
        <v>0</v>
      </c>
      <c r="U2068" s="4">
        <v>465.76</v>
      </c>
      <c r="V2068" s="4">
        <v>-192.68</v>
      </c>
      <c r="W2068" t="s">
        <v>58</v>
      </c>
      <c r="X2068" t="s">
        <v>55</v>
      </c>
      <c r="Y2068" s="4">
        <v>27</v>
      </c>
      <c r="Z2068" s="4">
        <v>18</v>
      </c>
      <c r="AA2068" t="s">
        <v>52</v>
      </c>
      <c r="AB2068" t="s">
        <v>44</v>
      </c>
      <c r="AC2068" s="7">
        <v>1</v>
      </c>
      <c r="AD2068" t="s">
        <v>45</v>
      </c>
      <c r="AE2068">
        <f t="shared" si="32"/>
        <v>1</v>
      </c>
    </row>
    <row r="2069" spans="1:31" x14ac:dyDescent="0.35">
      <c r="A2069">
        <v>102068</v>
      </c>
      <c r="B2069" s="3">
        <v>45973</v>
      </c>
      <c r="C2069">
        <v>1120</v>
      </c>
      <c r="D2069" t="s">
        <v>30</v>
      </c>
      <c r="E2069" t="s">
        <v>62</v>
      </c>
      <c r="F2069" t="s">
        <v>71</v>
      </c>
      <c r="G2069" t="s">
        <v>33</v>
      </c>
      <c r="H2069" t="s">
        <v>34</v>
      </c>
      <c r="I2069" t="s">
        <v>69</v>
      </c>
      <c r="J2069" s="4">
        <v>20.56</v>
      </c>
      <c r="K2069" s="4">
        <v>18.100000000000001</v>
      </c>
      <c r="L2069">
        <v>5</v>
      </c>
      <c r="M2069" s="4">
        <v>18.61</v>
      </c>
      <c r="N2069" s="4">
        <v>353.53</v>
      </c>
      <c r="O2069" s="4">
        <v>151.09</v>
      </c>
      <c r="P2069" s="4">
        <v>8.36</v>
      </c>
      <c r="Q2069" s="4">
        <v>1.49</v>
      </c>
      <c r="R2069" s="4">
        <v>1.1499999999999999</v>
      </c>
      <c r="S2069" s="4">
        <v>0</v>
      </c>
      <c r="T2069" s="4">
        <v>0</v>
      </c>
      <c r="U2069" s="4">
        <v>162.09</v>
      </c>
      <c r="V2069" s="4">
        <v>191.44</v>
      </c>
      <c r="W2069" t="s">
        <v>21</v>
      </c>
      <c r="X2069" t="s">
        <v>36</v>
      </c>
      <c r="Y2069" s="4">
        <v>15</v>
      </c>
      <c r="Z2069" s="4">
        <v>2</v>
      </c>
      <c r="AA2069" t="s">
        <v>37</v>
      </c>
      <c r="AB2069" t="s">
        <v>38</v>
      </c>
      <c r="AC2069" s="7">
        <v>0</v>
      </c>
      <c r="AD2069" t="s">
        <v>39</v>
      </c>
      <c r="AE2069">
        <f t="shared" si="32"/>
        <v>0</v>
      </c>
    </row>
    <row r="2070" spans="1:31" x14ac:dyDescent="0.35">
      <c r="A2070">
        <v>102069</v>
      </c>
      <c r="B2070" s="3">
        <v>45932</v>
      </c>
      <c r="C2070">
        <v>1111</v>
      </c>
      <c r="D2070" t="s">
        <v>59</v>
      </c>
      <c r="E2070" t="s">
        <v>68</v>
      </c>
      <c r="F2070" t="s">
        <v>61</v>
      </c>
      <c r="G2070" t="s">
        <v>63</v>
      </c>
      <c r="H2070" t="s">
        <v>57</v>
      </c>
      <c r="I2070" t="s">
        <v>35</v>
      </c>
      <c r="J2070" s="4">
        <v>32.35</v>
      </c>
      <c r="K2070" s="4">
        <v>12.16</v>
      </c>
      <c r="L2070">
        <v>0</v>
      </c>
      <c r="M2070" s="4">
        <v>0</v>
      </c>
      <c r="N2070" s="4">
        <v>393.38</v>
      </c>
      <c r="O2070" s="4">
        <v>244.5</v>
      </c>
      <c r="P2070" s="4">
        <v>1.58</v>
      </c>
      <c r="Q2070" s="4">
        <v>2.75</v>
      </c>
      <c r="R2070" s="4">
        <v>3.63</v>
      </c>
      <c r="S2070" s="4">
        <v>0</v>
      </c>
      <c r="T2070" s="4">
        <v>0</v>
      </c>
      <c r="U2070" s="4">
        <v>252.46</v>
      </c>
      <c r="V2070" s="4">
        <v>140.91999999999999</v>
      </c>
      <c r="W2070" t="s">
        <v>21</v>
      </c>
      <c r="X2070" t="s">
        <v>36</v>
      </c>
      <c r="Y2070" s="4">
        <v>9</v>
      </c>
      <c r="Z2070" s="4">
        <v>8</v>
      </c>
      <c r="AA2070" t="s">
        <v>37</v>
      </c>
      <c r="AB2070" t="s">
        <v>38</v>
      </c>
      <c r="AC2070" s="7">
        <v>1</v>
      </c>
      <c r="AD2070" t="s">
        <v>39</v>
      </c>
      <c r="AE2070">
        <f t="shared" si="32"/>
        <v>0</v>
      </c>
    </row>
    <row r="2071" spans="1:31" x14ac:dyDescent="0.35">
      <c r="A2071">
        <v>102070</v>
      </c>
      <c r="B2071" s="3">
        <v>46021</v>
      </c>
      <c r="C2071">
        <v>1017</v>
      </c>
      <c r="D2071" t="s">
        <v>30</v>
      </c>
      <c r="E2071" t="s">
        <v>31</v>
      </c>
      <c r="F2071" t="s">
        <v>61</v>
      </c>
      <c r="G2071" t="s">
        <v>63</v>
      </c>
      <c r="H2071" t="s">
        <v>51</v>
      </c>
      <c r="I2071" t="s">
        <v>69</v>
      </c>
      <c r="J2071" s="4">
        <v>32.590000000000003</v>
      </c>
      <c r="K2071" s="4">
        <v>12.46</v>
      </c>
      <c r="L2071">
        <v>0</v>
      </c>
      <c r="M2071" s="4">
        <v>0</v>
      </c>
      <c r="N2071" s="4">
        <v>406.07</v>
      </c>
      <c r="O2071" s="4">
        <v>244.55</v>
      </c>
      <c r="P2071" s="4">
        <v>5.62</v>
      </c>
      <c r="Q2071" s="4">
        <v>1.62</v>
      </c>
      <c r="R2071" s="4">
        <v>7.26</v>
      </c>
      <c r="S2071" s="4">
        <v>0</v>
      </c>
      <c r="T2071" s="4">
        <v>0</v>
      </c>
      <c r="U2071" s="4">
        <v>259.05</v>
      </c>
      <c r="V2071" s="4">
        <v>147.02000000000001</v>
      </c>
      <c r="W2071" t="s">
        <v>21</v>
      </c>
      <c r="X2071" t="s">
        <v>36</v>
      </c>
      <c r="Y2071" s="4">
        <v>1</v>
      </c>
      <c r="Z2071" s="4">
        <v>11</v>
      </c>
      <c r="AA2071" t="s">
        <v>37</v>
      </c>
      <c r="AB2071" t="s">
        <v>38</v>
      </c>
      <c r="AC2071" s="7">
        <v>0</v>
      </c>
      <c r="AD2071" t="s">
        <v>39</v>
      </c>
      <c r="AE2071">
        <f t="shared" si="32"/>
        <v>0</v>
      </c>
    </row>
    <row r="2072" spans="1:31" x14ac:dyDescent="0.35">
      <c r="A2072">
        <v>102071</v>
      </c>
      <c r="B2072" s="3">
        <v>46000</v>
      </c>
      <c r="C2072">
        <v>1074</v>
      </c>
      <c r="D2072" t="s">
        <v>47</v>
      </c>
      <c r="E2072" t="s">
        <v>48</v>
      </c>
      <c r="F2072" t="s">
        <v>61</v>
      </c>
      <c r="G2072" t="s">
        <v>33</v>
      </c>
      <c r="H2072" t="s">
        <v>51</v>
      </c>
      <c r="I2072" t="s">
        <v>35</v>
      </c>
      <c r="J2072" s="4">
        <v>33.479999999999997</v>
      </c>
      <c r="K2072" s="4">
        <v>19.38</v>
      </c>
      <c r="L2072">
        <v>20</v>
      </c>
      <c r="M2072" s="4">
        <v>129.77000000000001</v>
      </c>
      <c r="N2072" s="4">
        <v>519.07000000000005</v>
      </c>
      <c r="O2072" s="4">
        <v>247.74</v>
      </c>
      <c r="P2072" s="4">
        <v>4.59</v>
      </c>
      <c r="Q2072" s="4">
        <v>4.54</v>
      </c>
      <c r="R2072" s="4">
        <v>3.48</v>
      </c>
      <c r="S2072" s="4">
        <v>0</v>
      </c>
      <c r="T2072" s="4">
        <v>0</v>
      </c>
      <c r="U2072" s="4">
        <v>260.35000000000002</v>
      </c>
      <c r="V2072" s="4">
        <v>258.72000000000003</v>
      </c>
      <c r="W2072" t="s">
        <v>21</v>
      </c>
      <c r="X2072" t="s">
        <v>36</v>
      </c>
      <c r="Y2072" s="4">
        <v>13</v>
      </c>
      <c r="Z2072" s="4">
        <v>21</v>
      </c>
      <c r="AA2072" t="s">
        <v>37</v>
      </c>
      <c r="AB2072" t="s">
        <v>44</v>
      </c>
      <c r="AC2072" s="7">
        <v>1</v>
      </c>
      <c r="AD2072" t="s">
        <v>45</v>
      </c>
      <c r="AE2072">
        <f t="shared" si="32"/>
        <v>1</v>
      </c>
    </row>
    <row r="2073" spans="1:31" x14ac:dyDescent="0.35">
      <c r="A2073">
        <v>102072</v>
      </c>
      <c r="B2073" s="3">
        <v>45989</v>
      </c>
      <c r="C2073">
        <v>1036</v>
      </c>
      <c r="D2073" t="s">
        <v>47</v>
      </c>
      <c r="E2073" t="s">
        <v>56</v>
      </c>
      <c r="F2073" t="s">
        <v>71</v>
      </c>
      <c r="G2073" t="s">
        <v>63</v>
      </c>
      <c r="H2073" t="s">
        <v>57</v>
      </c>
      <c r="I2073" t="s">
        <v>42</v>
      </c>
      <c r="J2073" s="4">
        <v>18.32</v>
      </c>
      <c r="K2073" s="4">
        <v>11.82</v>
      </c>
      <c r="L2073">
        <v>0</v>
      </c>
      <c r="M2073" s="4">
        <v>0</v>
      </c>
      <c r="N2073" s="4">
        <v>216.54</v>
      </c>
      <c r="O2073" s="4">
        <v>135.29</v>
      </c>
      <c r="P2073" s="4">
        <v>9.15</v>
      </c>
      <c r="Q2073" s="4">
        <v>3.25</v>
      </c>
      <c r="R2073" s="4">
        <v>12.51</v>
      </c>
      <c r="S2073" s="4">
        <v>0</v>
      </c>
      <c r="T2073" s="4">
        <v>0</v>
      </c>
      <c r="U2073" s="4">
        <v>160.19999999999999</v>
      </c>
      <c r="V2073" s="4">
        <v>56.34</v>
      </c>
      <c r="W2073" t="s">
        <v>21</v>
      </c>
      <c r="X2073" t="s">
        <v>36</v>
      </c>
      <c r="Y2073" s="4">
        <v>13</v>
      </c>
      <c r="Z2073" s="4">
        <v>11</v>
      </c>
      <c r="AA2073" t="s">
        <v>37</v>
      </c>
      <c r="AB2073" t="s">
        <v>38</v>
      </c>
      <c r="AC2073" s="7">
        <v>0</v>
      </c>
      <c r="AD2073" t="s">
        <v>39</v>
      </c>
      <c r="AE2073">
        <f t="shared" si="32"/>
        <v>0</v>
      </c>
    </row>
    <row r="2074" spans="1:31" x14ac:dyDescent="0.35">
      <c r="A2074">
        <v>102073</v>
      </c>
      <c r="B2074" s="3">
        <v>46006</v>
      </c>
      <c r="C2074">
        <v>1138</v>
      </c>
      <c r="D2074" t="s">
        <v>59</v>
      </c>
      <c r="E2074" t="s">
        <v>70</v>
      </c>
      <c r="F2074" t="s">
        <v>49</v>
      </c>
      <c r="G2074" t="s">
        <v>50</v>
      </c>
      <c r="H2074" t="s">
        <v>34</v>
      </c>
      <c r="I2074" t="s">
        <v>69</v>
      </c>
      <c r="J2074" s="4">
        <v>24.45</v>
      </c>
      <c r="K2074" s="4">
        <v>17.45</v>
      </c>
      <c r="L2074">
        <v>0</v>
      </c>
      <c r="M2074" s="4">
        <v>0</v>
      </c>
      <c r="N2074" s="4">
        <v>426.65</v>
      </c>
      <c r="O2074" s="4">
        <v>196.57</v>
      </c>
      <c r="P2074" s="4">
        <v>7.35</v>
      </c>
      <c r="Q2074" s="4">
        <v>1.71</v>
      </c>
      <c r="R2074" s="4">
        <v>0.51</v>
      </c>
      <c r="S2074" s="4">
        <v>0</v>
      </c>
      <c r="T2074" s="4">
        <v>0</v>
      </c>
      <c r="U2074" s="4">
        <v>206.14</v>
      </c>
      <c r="V2074" s="4">
        <v>220.51</v>
      </c>
      <c r="W2074" t="s">
        <v>21</v>
      </c>
      <c r="X2074" t="s">
        <v>36</v>
      </c>
      <c r="Y2074" s="4">
        <v>1</v>
      </c>
      <c r="Z2074" s="4">
        <v>1</v>
      </c>
      <c r="AA2074" t="s">
        <v>37</v>
      </c>
      <c r="AB2074" t="s">
        <v>38</v>
      </c>
      <c r="AC2074" s="7">
        <v>1</v>
      </c>
      <c r="AD2074" t="s">
        <v>39</v>
      </c>
      <c r="AE2074">
        <f t="shared" si="32"/>
        <v>0</v>
      </c>
    </row>
    <row r="2075" spans="1:31" x14ac:dyDescent="0.35">
      <c r="A2075">
        <v>102074</v>
      </c>
      <c r="B2075" s="3">
        <v>45952</v>
      </c>
      <c r="C2075">
        <v>1139</v>
      </c>
      <c r="D2075" t="s">
        <v>64</v>
      </c>
      <c r="E2075" t="s">
        <v>65</v>
      </c>
      <c r="F2075" t="s">
        <v>32</v>
      </c>
      <c r="G2075" t="s">
        <v>50</v>
      </c>
      <c r="H2075" t="s">
        <v>34</v>
      </c>
      <c r="I2075" t="s">
        <v>35</v>
      </c>
      <c r="J2075" s="4">
        <v>24.55</v>
      </c>
      <c r="K2075" s="4">
        <v>18.59</v>
      </c>
      <c r="L2075">
        <v>5</v>
      </c>
      <c r="M2075" s="4">
        <v>22.82</v>
      </c>
      <c r="N2075" s="4">
        <v>433.56</v>
      </c>
      <c r="O2075" s="4">
        <v>193.29</v>
      </c>
      <c r="P2075" s="4">
        <v>3.78</v>
      </c>
      <c r="Q2075" s="4">
        <v>3.19</v>
      </c>
      <c r="R2075" s="4">
        <v>4.6900000000000004</v>
      </c>
      <c r="S2075" s="4">
        <v>0</v>
      </c>
      <c r="T2075" s="4">
        <v>0</v>
      </c>
      <c r="U2075" s="4">
        <v>204.95</v>
      </c>
      <c r="V2075" s="4">
        <v>228.61</v>
      </c>
      <c r="W2075" t="s">
        <v>21</v>
      </c>
      <c r="X2075" t="s">
        <v>36</v>
      </c>
      <c r="Y2075" s="4">
        <v>9</v>
      </c>
      <c r="Z2075" s="4">
        <v>4</v>
      </c>
      <c r="AA2075" t="s">
        <v>37</v>
      </c>
      <c r="AB2075" t="s">
        <v>38</v>
      </c>
      <c r="AC2075" s="7">
        <v>0</v>
      </c>
      <c r="AD2075" t="s">
        <v>39</v>
      </c>
      <c r="AE2075">
        <f t="shared" si="32"/>
        <v>0</v>
      </c>
    </row>
    <row r="2076" spans="1:31" x14ac:dyDescent="0.35">
      <c r="A2076">
        <v>102075</v>
      </c>
      <c r="B2076" s="3">
        <v>45982</v>
      </c>
      <c r="C2076">
        <v>1083</v>
      </c>
      <c r="D2076" t="s">
        <v>64</v>
      </c>
      <c r="E2076" t="s">
        <v>75</v>
      </c>
      <c r="F2076" t="s">
        <v>32</v>
      </c>
      <c r="G2076" t="s">
        <v>33</v>
      </c>
      <c r="H2076" t="s">
        <v>34</v>
      </c>
      <c r="I2076" t="s">
        <v>54</v>
      </c>
      <c r="J2076" s="4">
        <v>17.510000000000002</v>
      </c>
      <c r="K2076" s="4">
        <v>19.84</v>
      </c>
      <c r="L2076">
        <v>0</v>
      </c>
      <c r="M2076" s="4">
        <v>0</v>
      </c>
      <c r="N2076" s="4">
        <v>347.4</v>
      </c>
      <c r="O2076" s="4">
        <v>124.36</v>
      </c>
      <c r="P2076" s="4">
        <v>6.77</v>
      </c>
      <c r="Q2076" s="4">
        <v>4.17</v>
      </c>
      <c r="R2076" s="4">
        <v>4.32</v>
      </c>
      <c r="S2076" s="4">
        <v>167.06</v>
      </c>
      <c r="T2076" s="4">
        <v>0</v>
      </c>
      <c r="U2076" s="4">
        <v>306.68</v>
      </c>
      <c r="V2076" s="4">
        <v>40.72</v>
      </c>
      <c r="W2076" t="s">
        <v>21</v>
      </c>
      <c r="X2076" t="s">
        <v>55</v>
      </c>
      <c r="Y2076" s="4">
        <v>37</v>
      </c>
      <c r="Z2076" s="4">
        <v>15</v>
      </c>
      <c r="AA2076" t="s">
        <v>43</v>
      </c>
      <c r="AB2076" t="s">
        <v>44</v>
      </c>
      <c r="AC2076" s="7">
        <v>2</v>
      </c>
      <c r="AD2076" t="s">
        <v>45</v>
      </c>
      <c r="AE2076">
        <f t="shared" si="32"/>
        <v>1</v>
      </c>
    </row>
    <row r="2077" spans="1:31" x14ac:dyDescent="0.35">
      <c r="A2077">
        <v>102076</v>
      </c>
      <c r="B2077" s="3">
        <v>45970</v>
      </c>
      <c r="C2077">
        <v>1039</v>
      </c>
      <c r="D2077" t="s">
        <v>47</v>
      </c>
      <c r="E2077" t="s">
        <v>53</v>
      </c>
      <c r="F2077" t="s">
        <v>49</v>
      </c>
      <c r="G2077" t="s">
        <v>46</v>
      </c>
      <c r="H2077" t="s">
        <v>34</v>
      </c>
      <c r="I2077" t="s">
        <v>54</v>
      </c>
      <c r="J2077" s="4">
        <v>19.68</v>
      </c>
      <c r="K2077" s="4">
        <v>16.68</v>
      </c>
      <c r="L2077">
        <v>0</v>
      </c>
      <c r="M2077" s="4">
        <v>0</v>
      </c>
      <c r="N2077" s="4">
        <v>328.26</v>
      </c>
      <c r="O2077" s="4">
        <v>157.38999999999999</v>
      </c>
      <c r="P2077" s="4">
        <v>2.79</v>
      </c>
      <c r="Q2077" s="4">
        <v>3.94</v>
      </c>
      <c r="R2077" s="4">
        <v>3.3</v>
      </c>
      <c r="S2077" s="4">
        <v>0</v>
      </c>
      <c r="T2077" s="4">
        <v>0</v>
      </c>
      <c r="U2077" s="4">
        <v>167.42</v>
      </c>
      <c r="V2077" s="4">
        <v>160.84</v>
      </c>
      <c r="W2077" t="s">
        <v>21</v>
      </c>
      <c r="X2077" t="s">
        <v>36</v>
      </c>
      <c r="Y2077" s="4">
        <v>3</v>
      </c>
      <c r="Z2077" s="4">
        <v>34</v>
      </c>
      <c r="AA2077" t="s">
        <v>37</v>
      </c>
      <c r="AB2077" t="s">
        <v>44</v>
      </c>
      <c r="AC2077" s="7">
        <v>3</v>
      </c>
      <c r="AD2077" t="s">
        <v>45</v>
      </c>
      <c r="AE2077">
        <f t="shared" si="32"/>
        <v>1</v>
      </c>
    </row>
    <row r="2078" spans="1:31" x14ac:dyDescent="0.35">
      <c r="A2078">
        <v>102077</v>
      </c>
      <c r="B2078" s="3">
        <v>45965</v>
      </c>
      <c r="C2078">
        <v>1028</v>
      </c>
      <c r="D2078" t="s">
        <v>30</v>
      </c>
      <c r="E2078" t="s">
        <v>72</v>
      </c>
      <c r="F2078" t="s">
        <v>32</v>
      </c>
      <c r="G2078" t="s">
        <v>33</v>
      </c>
      <c r="H2078" t="s">
        <v>34</v>
      </c>
      <c r="I2078" t="s">
        <v>42</v>
      </c>
      <c r="J2078" s="4">
        <v>27.63</v>
      </c>
      <c r="K2078" s="4">
        <v>18.2</v>
      </c>
      <c r="L2078">
        <v>15</v>
      </c>
      <c r="M2078" s="4">
        <v>75.430000000000007</v>
      </c>
      <c r="N2078" s="4">
        <v>427.44</v>
      </c>
      <c r="O2078" s="4">
        <v>206.37</v>
      </c>
      <c r="P2078" s="4">
        <v>3.19</v>
      </c>
      <c r="Q2078" s="4">
        <v>7.54</v>
      </c>
      <c r="R2078" s="4">
        <v>11.52</v>
      </c>
      <c r="S2078" s="4">
        <v>0</v>
      </c>
      <c r="T2078" s="4">
        <v>0</v>
      </c>
      <c r="U2078" s="4">
        <v>228.62</v>
      </c>
      <c r="V2078" s="4">
        <v>198.82</v>
      </c>
      <c r="W2078" t="s">
        <v>21</v>
      </c>
      <c r="X2078" t="s">
        <v>36</v>
      </c>
      <c r="Y2078" s="4">
        <v>37</v>
      </c>
      <c r="Z2078" s="4">
        <v>2</v>
      </c>
      <c r="AA2078" t="s">
        <v>43</v>
      </c>
      <c r="AB2078" t="s">
        <v>44</v>
      </c>
      <c r="AC2078" s="7">
        <v>3</v>
      </c>
      <c r="AD2078" t="s">
        <v>45</v>
      </c>
      <c r="AE2078">
        <f t="shared" si="32"/>
        <v>1</v>
      </c>
    </row>
    <row r="2079" spans="1:31" x14ac:dyDescent="0.35">
      <c r="A2079">
        <v>102078</v>
      </c>
      <c r="B2079" s="3">
        <v>45938</v>
      </c>
      <c r="C2079">
        <v>1037</v>
      </c>
      <c r="D2079" t="s">
        <v>30</v>
      </c>
      <c r="E2079" t="s">
        <v>72</v>
      </c>
      <c r="F2079" t="s">
        <v>71</v>
      </c>
      <c r="G2079" t="s">
        <v>46</v>
      </c>
      <c r="H2079" t="s">
        <v>57</v>
      </c>
      <c r="I2079" t="s">
        <v>69</v>
      </c>
      <c r="J2079" s="4">
        <v>22.66</v>
      </c>
      <c r="K2079" s="4">
        <v>15.21</v>
      </c>
      <c r="L2079">
        <v>15</v>
      </c>
      <c r="M2079" s="4">
        <v>51.7</v>
      </c>
      <c r="N2079" s="4">
        <v>292.95999999999998</v>
      </c>
      <c r="O2079" s="4">
        <v>161.76</v>
      </c>
      <c r="P2079" s="4">
        <v>10.68</v>
      </c>
      <c r="Q2079" s="4">
        <v>1.38</v>
      </c>
      <c r="R2079" s="4">
        <v>1.8</v>
      </c>
      <c r="S2079" s="4">
        <v>0</v>
      </c>
      <c r="T2079" s="4">
        <v>0</v>
      </c>
      <c r="U2079" s="4">
        <v>175.62</v>
      </c>
      <c r="V2079" s="4">
        <v>117.34</v>
      </c>
      <c r="W2079" t="s">
        <v>21</v>
      </c>
      <c r="X2079" t="s">
        <v>36</v>
      </c>
      <c r="Y2079" s="4">
        <v>0</v>
      </c>
      <c r="Z2079" s="4">
        <v>3</v>
      </c>
      <c r="AA2079" t="s">
        <v>37</v>
      </c>
      <c r="AB2079" t="s">
        <v>38</v>
      </c>
      <c r="AC2079" s="7">
        <v>0</v>
      </c>
      <c r="AD2079" t="s">
        <v>39</v>
      </c>
      <c r="AE2079">
        <f t="shared" si="32"/>
        <v>0</v>
      </c>
    </row>
    <row r="2080" spans="1:31" x14ac:dyDescent="0.35">
      <c r="A2080">
        <v>102079</v>
      </c>
      <c r="B2080" s="3">
        <v>46014</v>
      </c>
      <c r="C2080">
        <v>1091</v>
      </c>
      <c r="D2080" t="s">
        <v>64</v>
      </c>
      <c r="E2080" t="s">
        <v>76</v>
      </c>
      <c r="F2080" t="s">
        <v>61</v>
      </c>
      <c r="G2080" t="s">
        <v>50</v>
      </c>
      <c r="H2080" t="s">
        <v>57</v>
      </c>
      <c r="I2080" t="s">
        <v>35</v>
      </c>
      <c r="J2080" s="4">
        <v>29.82</v>
      </c>
      <c r="K2080" s="4">
        <v>18.170000000000002</v>
      </c>
      <c r="L2080">
        <v>0</v>
      </c>
      <c r="M2080" s="4">
        <v>0</v>
      </c>
      <c r="N2080" s="4">
        <v>541.83000000000004</v>
      </c>
      <c r="O2080" s="4">
        <v>223.84</v>
      </c>
      <c r="P2080" s="4">
        <v>9.75</v>
      </c>
      <c r="Q2080" s="4">
        <v>3.79</v>
      </c>
      <c r="R2080" s="4">
        <v>6.56</v>
      </c>
      <c r="S2080" s="4">
        <v>0</v>
      </c>
      <c r="T2080" s="4">
        <v>0</v>
      </c>
      <c r="U2080" s="4">
        <v>243.94</v>
      </c>
      <c r="V2080" s="4">
        <v>297.89</v>
      </c>
      <c r="W2080" t="s">
        <v>21</v>
      </c>
      <c r="X2080" t="s">
        <v>36</v>
      </c>
      <c r="Y2080" s="4">
        <v>3</v>
      </c>
      <c r="Z2080" s="4">
        <v>23</v>
      </c>
      <c r="AA2080" t="s">
        <v>37</v>
      </c>
      <c r="AB2080" t="s">
        <v>44</v>
      </c>
      <c r="AC2080" s="7">
        <v>1</v>
      </c>
      <c r="AD2080" t="s">
        <v>45</v>
      </c>
      <c r="AE2080">
        <f t="shared" si="32"/>
        <v>1</v>
      </c>
    </row>
    <row r="2081" spans="1:31" x14ac:dyDescent="0.35">
      <c r="A2081">
        <v>102080</v>
      </c>
      <c r="B2081" s="3">
        <v>46018</v>
      </c>
      <c r="C2081">
        <v>1126</v>
      </c>
      <c r="D2081" t="s">
        <v>47</v>
      </c>
      <c r="E2081" t="s">
        <v>48</v>
      </c>
      <c r="F2081" t="s">
        <v>61</v>
      </c>
      <c r="G2081" t="s">
        <v>50</v>
      </c>
      <c r="H2081" t="s">
        <v>57</v>
      </c>
      <c r="I2081" t="s">
        <v>35</v>
      </c>
      <c r="J2081" s="4">
        <v>30.02</v>
      </c>
      <c r="K2081" s="4">
        <v>18.420000000000002</v>
      </c>
      <c r="L2081">
        <v>15</v>
      </c>
      <c r="M2081" s="4">
        <v>82.95</v>
      </c>
      <c r="N2081" s="4">
        <v>470.02</v>
      </c>
      <c r="O2081" s="4">
        <v>193.42</v>
      </c>
      <c r="P2081" s="4">
        <v>9.94</v>
      </c>
      <c r="Q2081" s="4">
        <v>3.87</v>
      </c>
      <c r="R2081" s="4">
        <v>4.3</v>
      </c>
      <c r="S2081" s="4">
        <v>0</v>
      </c>
      <c r="T2081" s="4">
        <v>0</v>
      </c>
      <c r="U2081" s="4">
        <v>211.53</v>
      </c>
      <c r="V2081" s="4">
        <v>258.49</v>
      </c>
      <c r="W2081" t="s">
        <v>21</v>
      </c>
      <c r="X2081" t="s">
        <v>36</v>
      </c>
      <c r="Y2081" s="4">
        <v>11</v>
      </c>
      <c r="Z2081" s="4">
        <v>4</v>
      </c>
      <c r="AA2081" t="s">
        <v>37</v>
      </c>
      <c r="AB2081" t="s">
        <v>38</v>
      </c>
      <c r="AC2081" s="7">
        <v>0</v>
      </c>
      <c r="AD2081" t="s">
        <v>39</v>
      </c>
      <c r="AE2081">
        <f t="shared" si="32"/>
        <v>0</v>
      </c>
    </row>
    <row r="2082" spans="1:31" x14ac:dyDescent="0.35">
      <c r="A2082">
        <v>102081</v>
      </c>
      <c r="B2082" s="3">
        <v>45982</v>
      </c>
      <c r="C2082">
        <v>1091</v>
      </c>
      <c r="D2082" t="s">
        <v>64</v>
      </c>
      <c r="E2082" t="s">
        <v>75</v>
      </c>
      <c r="F2082" t="s">
        <v>41</v>
      </c>
      <c r="G2082" t="s">
        <v>46</v>
      </c>
      <c r="H2082" t="s">
        <v>34</v>
      </c>
      <c r="I2082" t="s">
        <v>35</v>
      </c>
      <c r="J2082" s="4">
        <v>27.97</v>
      </c>
      <c r="K2082" s="4">
        <v>16.29</v>
      </c>
      <c r="L2082">
        <v>0</v>
      </c>
      <c r="M2082" s="4">
        <v>0</v>
      </c>
      <c r="N2082" s="4">
        <v>455.63</v>
      </c>
      <c r="O2082" s="4">
        <v>176.57</v>
      </c>
      <c r="P2082" s="4">
        <v>9.99</v>
      </c>
      <c r="Q2082" s="4">
        <v>3.19</v>
      </c>
      <c r="R2082" s="4">
        <v>2.91</v>
      </c>
      <c r="S2082" s="4">
        <v>0</v>
      </c>
      <c r="T2082" s="4">
        <v>0</v>
      </c>
      <c r="U2082" s="4">
        <v>192.66</v>
      </c>
      <c r="V2082" s="4">
        <v>262.97000000000003</v>
      </c>
      <c r="W2082" t="s">
        <v>21</v>
      </c>
      <c r="X2082" t="s">
        <v>36</v>
      </c>
      <c r="Y2082" s="4">
        <v>3</v>
      </c>
      <c r="Z2082" s="4">
        <v>3</v>
      </c>
      <c r="AA2082" t="s">
        <v>37</v>
      </c>
      <c r="AB2082" t="s">
        <v>38</v>
      </c>
      <c r="AC2082" s="7">
        <v>0</v>
      </c>
      <c r="AD2082" t="s">
        <v>39</v>
      </c>
      <c r="AE2082">
        <f t="shared" si="32"/>
        <v>0</v>
      </c>
    </row>
    <row r="2083" spans="1:31" x14ac:dyDescent="0.35">
      <c r="A2083">
        <v>102082</v>
      </c>
      <c r="B2083" s="3">
        <v>45932</v>
      </c>
      <c r="C2083">
        <v>1137</v>
      </c>
      <c r="D2083" t="s">
        <v>30</v>
      </c>
      <c r="E2083" t="s">
        <v>72</v>
      </c>
      <c r="F2083" t="s">
        <v>71</v>
      </c>
      <c r="G2083" t="s">
        <v>46</v>
      </c>
      <c r="H2083" t="s">
        <v>57</v>
      </c>
      <c r="I2083" t="s">
        <v>35</v>
      </c>
      <c r="J2083" s="4">
        <v>27.93</v>
      </c>
      <c r="K2083" s="4">
        <v>14.76</v>
      </c>
      <c r="L2083">
        <v>0</v>
      </c>
      <c r="M2083" s="4">
        <v>0</v>
      </c>
      <c r="N2083" s="4">
        <v>412.25</v>
      </c>
      <c r="O2083" s="4">
        <v>183</v>
      </c>
      <c r="P2083" s="4">
        <v>4.09</v>
      </c>
      <c r="Q2083" s="4">
        <v>2.89</v>
      </c>
      <c r="R2083" s="4">
        <v>4.67</v>
      </c>
      <c r="S2083" s="4">
        <v>0</v>
      </c>
      <c r="T2083" s="4">
        <v>0</v>
      </c>
      <c r="U2083" s="4">
        <v>194.65</v>
      </c>
      <c r="V2083" s="4">
        <v>217.6</v>
      </c>
      <c r="W2083" t="s">
        <v>21</v>
      </c>
      <c r="X2083" t="s">
        <v>36</v>
      </c>
      <c r="Y2083" s="4">
        <v>24</v>
      </c>
      <c r="Z2083" s="4">
        <v>15</v>
      </c>
      <c r="AA2083" t="s">
        <v>52</v>
      </c>
      <c r="AB2083" t="s">
        <v>44</v>
      </c>
      <c r="AC2083" s="7">
        <v>2</v>
      </c>
      <c r="AD2083" t="s">
        <v>45</v>
      </c>
      <c r="AE2083">
        <f t="shared" si="32"/>
        <v>1</v>
      </c>
    </row>
    <row r="2084" spans="1:31" x14ac:dyDescent="0.35">
      <c r="A2084">
        <v>102083</v>
      </c>
      <c r="B2084" s="3">
        <v>46011</v>
      </c>
      <c r="C2084">
        <v>1018</v>
      </c>
      <c r="D2084" t="s">
        <v>30</v>
      </c>
      <c r="E2084" t="s">
        <v>72</v>
      </c>
      <c r="F2084" t="s">
        <v>49</v>
      </c>
      <c r="G2084" t="s">
        <v>33</v>
      </c>
      <c r="H2084" t="s">
        <v>57</v>
      </c>
      <c r="I2084" t="s">
        <v>35</v>
      </c>
      <c r="J2084" s="4">
        <v>27.59</v>
      </c>
      <c r="K2084" s="4">
        <v>19.29</v>
      </c>
      <c r="L2084">
        <v>0</v>
      </c>
      <c r="M2084" s="4">
        <v>0</v>
      </c>
      <c r="N2084" s="4">
        <v>532.21</v>
      </c>
      <c r="O2084" s="4">
        <v>157.41999999999999</v>
      </c>
      <c r="P2084" s="4">
        <v>8.89</v>
      </c>
      <c r="Q2084" s="4">
        <v>3.73</v>
      </c>
      <c r="R2084" s="4">
        <v>5.86</v>
      </c>
      <c r="S2084" s="4">
        <v>0</v>
      </c>
      <c r="T2084" s="4">
        <v>0</v>
      </c>
      <c r="U2084" s="4">
        <v>175.9</v>
      </c>
      <c r="V2084" s="4">
        <v>356.31</v>
      </c>
      <c r="W2084" t="s">
        <v>21</v>
      </c>
      <c r="X2084" t="s">
        <v>36</v>
      </c>
      <c r="Y2084" s="4">
        <v>42</v>
      </c>
      <c r="Z2084" s="4">
        <v>5</v>
      </c>
      <c r="AA2084" t="s">
        <v>43</v>
      </c>
      <c r="AB2084" t="s">
        <v>44</v>
      </c>
      <c r="AC2084" s="7">
        <v>1</v>
      </c>
      <c r="AD2084" t="s">
        <v>45</v>
      </c>
      <c r="AE2084">
        <f t="shared" si="32"/>
        <v>1</v>
      </c>
    </row>
    <row r="2085" spans="1:31" x14ac:dyDescent="0.35">
      <c r="A2085">
        <v>102084</v>
      </c>
      <c r="B2085" s="3">
        <v>45934</v>
      </c>
      <c r="C2085">
        <v>1039</v>
      </c>
      <c r="D2085" t="s">
        <v>30</v>
      </c>
      <c r="E2085" t="s">
        <v>31</v>
      </c>
      <c r="F2085" t="s">
        <v>49</v>
      </c>
      <c r="G2085" t="s">
        <v>50</v>
      </c>
      <c r="H2085" t="s">
        <v>51</v>
      </c>
      <c r="I2085" t="s">
        <v>35</v>
      </c>
      <c r="J2085" s="4">
        <v>36.950000000000003</v>
      </c>
      <c r="K2085" s="4">
        <v>17.47</v>
      </c>
      <c r="L2085">
        <v>10</v>
      </c>
      <c r="M2085" s="4">
        <v>64.55</v>
      </c>
      <c r="N2085" s="4">
        <v>580.97</v>
      </c>
      <c r="O2085" s="4">
        <v>252.5</v>
      </c>
      <c r="P2085" s="4">
        <v>13.04</v>
      </c>
      <c r="Q2085" s="4">
        <v>4.5199999999999996</v>
      </c>
      <c r="R2085" s="4">
        <v>9.0399999999999991</v>
      </c>
      <c r="S2085" s="4">
        <v>0</v>
      </c>
      <c r="T2085" s="4">
        <v>0</v>
      </c>
      <c r="U2085" s="4">
        <v>279.10000000000002</v>
      </c>
      <c r="V2085" s="4">
        <v>301.87</v>
      </c>
      <c r="W2085" t="s">
        <v>21</v>
      </c>
      <c r="X2085" t="s">
        <v>36</v>
      </c>
      <c r="Y2085" s="4">
        <v>27</v>
      </c>
      <c r="Z2085" s="4">
        <v>26</v>
      </c>
      <c r="AA2085" t="s">
        <v>52</v>
      </c>
      <c r="AB2085" t="s">
        <v>44</v>
      </c>
      <c r="AC2085" s="7">
        <v>1</v>
      </c>
      <c r="AD2085" t="s">
        <v>45</v>
      </c>
      <c r="AE2085">
        <f t="shared" si="32"/>
        <v>1</v>
      </c>
    </row>
    <row r="2086" spans="1:31" x14ac:dyDescent="0.35">
      <c r="A2086">
        <v>102085</v>
      </c>
      <c r="B2086" s="3">
        <v>46016</v>
      </c>
      <c r="C2086">
        <v>1077</v>
      </c>
      <c r="D2086" t="s">
        <v>59</v>
      </c>
      <c r="E2086" t="s">
        <v>70</v>
      </c>
      <c r="F2086" t="s">
        <v>61</v>
      </c>
      <c r="G2086" t="s">
        <v>46</v>
      </c>
      <c r="H2086" t="s">
        <v>34</v>
      </c>
      <c r="I2086" t="s">
        <v>35</v>
      </c>
      <c r="J2086" s="4">
        <v>40.47</v>
      </c>
      <c r="K2086" s="4">
        <v>15.85</v>
      </c>
      <c r="L2086">
        <v>0</v>
      </c>
      <c r="M2086" s="4">
        <v>0</v>
      </c>
      <c r="N2086" s="4">
        <v>641.45000000000005</v>
      </c>
      <c r="O2086" s="4">
        <v>274.19</v>
      </c>
      <c r="P2086" s="4">
        <v>7.57</v>
      </c>
      <c r="Q2086" s="4">
        <v>4.49</v>
      </c>
      <c r="R2086" s="4">
        <v>0</v>
      </c>
      <c r="S2086" s="4">
        <v>0</v>
      </c>
      <c r="T2086" s="4">
        <v>0</v>
      </c>
      <c r="U2086" s="4">
        <v>286.25</v>
      </c>
      <c r="V2086" s="4">
        <v>355.2</v>
      </c>
      <c r="W2086" t="s">
        <v>21</v>
      </c>
      <c r="X2086" t="s">
        <v>36</v>
      </c>
      <c r="Y2086" s="4">
        <v>7</v>
      </c>
      <c r="Z2086" s="4">
        <v>16</v>
      </c>
      <c r="AA2086" t="s">
        <v>37</v>
      </c>
      <c r="AB2086" t="s">
        <v>44</v>
      </c>
      <c r="AC2086" s="7">
        <v>2</v>
      </c>
      <c r="AD2086" t="s">
        <v>45</v>
      </c>
      <c r="AE2086">
        <f t="shared" si="32"/>
        <v>1</v>
      </c>
    </row>
    <row r="2087" spans="1:31" x14ac:dyDescent="0.35">
      <c r="A2087">
        <v>102086</v>
      </c>
      <c r="B2087" s="3">
        <v>45997</v>
      </c>
      <c r="C2087">
        <v>1146</v>
      </c>
      <c r="D2087" t="s">
        <v>30</v>
      </c>
      <c r="E2087" t="s">
        <v>72</v>
      </c>
      <c r="F2087" t="s">
        <v>61</v>
      </c>
      <c r="G2087" t="s">
        <v>50</v>
      </c>
      <c r="H2087" t="s">
        <v>34</v>
      </c>
      <c r="I2087" t="s">
        <v>69</v>
      </c>
      <c r="J2087" s="4">
        <v>36.049999999999997</v>
      </c>
      <c r="K2087" s="4">
        <v>17.690000000000001</v>
      </c>
      <c r="L2087">
        <v>5</v>
      </c>
      <c r="M2087" s="4">
        <v>31.89</v>
      </c>
      <c r="N2087" s="4">
        <v>605.83000000000004</v>
      </c>
      <c r="O2087" s="4">
        <v>259.02999999999997</v>
      </c>
      <c r="P2087" s="4">
        <v>7.88</v>
      </c>
      <c r="Q2087" s="4">
        <v>2.5499999999999998</v>
      </c>
      <c r="R2087" s="4">
        <v>1.0900000000000001</v>
      </c>
      <c r="S2087" s="4">
        <v>0</v>
      </c>
      <c r="T2087" s="4">
        <v>0</v>
      </c>
      <c r="U2087" s="4">
        <v>270.55</v>
      </c>
      <c r="V2087" s="4">
        <v>335.28</v>
      </c>
      <c r="W2087" t="s">
        <v>21</v>
      </c>
      <c r="X2087" t="s">
        <v>36</v>
      </c>
      <c r="Y2087" s="4">
        <v>4</v>
      </c>
      <c r="Z2087" s="4">
        <v>3</v>
      </c>
      <c r="AA2087" t="s">
        <v>37</v>
      </c>
      <c r="AB2087" t="s">
        <v>38</v>
      </c>
      <c r="AC2087" s="7">
        <v>0</v>
      </c>
      <c r="AD2087" t="s">
        <v>39</v>
      </c>
      <c r="AE2087">
        <f t="shared" si="32"/>
        <v>0</v>
      </c>
    </row>
    <row r="2088" spans="1:31" x14ac:dyDescent="0.35">
      <c r="A2088">
        <v>102087</v>
      </c>
      <c r="B2088" s="3">
        <v>45976</v>
      </c>
      <c r="C2088">
        <v>1016</v>
      </c>
      <c r="D2088" t="s">
        <v>47</v>
      </c>
      <c r="E2088" t="s">
        <v>53</v>
      </c>
      <c r="F2088" t="s">
        <v>71</v>
      </c>
      <c r="G2088" t="s">
        <v>33</v>
      </c>
      <c r="H2088" t="s">
        <v>34</v>
      </c>
      <c r="I2088" t="s">
        <v>35</v>
      </c>
      <c r="J2088" s="4">
        <v>29.46</v>
      </c>
      <c r="K2088" s="4">
        <v>18.649999999999999</v>
      </c>
      <c r="L2088">
        <v>5</v>
      </c>
      <c r="M2088" s="4">
        <v>27.47</v>
      </c>
      <c r="N2088" s="4">
        <v>521.96</v>
      </c>
      <c r="O2088" s="4">
        <v>219.6</v>
      </c>
      <c r="P2088" s="4">
        <v>5.91</v>
      </c>
      <c r="Q2088" s="4">
        <v>3.85</v>
      </c>
      <c r="R2088" s="4">
        <v>9.74</v>
      </c>
      <c r="S2088" s="4">
        <v>0</v>
      </c>
      <c r="T2088" s="4">
        <v>0</v>
      </c>
      <c r="U2088" s="4">
        <v>239.1</v>
      </c>
      <c r="V2088" s="4">
        <v>282.86</v>
      </c>
      <c r="W2088" t="s">
        <v>21</v>
      </c>
      <c r="X2088" t="s">
        <v>36</v>
      </c>
      <c r="Y2088" s="4">
        <v>2</v>
      </c>
      <c r="Z2088" s="4">
        <v>1</v>
      </c>
      <c r="AA2088" t="s">
        <v>37</v>
      </c>
      <c r="AB2088" t="s">
        <v>38</v>
      </c>
      <c r="AC2088" s="7">
        <v>0</v>
      </c>
      <c r="AD2088" t="s">
        <v>39</v>
      </c>
      <c r="AE2088">
        <f t="shared" si="32"/>
        <v>0</v>
      </c>
    </row>
    <row r="2089" spans="1:31" x14ac:dyDescent="0.35">
      <c r="A2089">
        <v>102088</v>
      </c>
      <c r="B2089" s="3">
        <v>45955</v>
      </c>
      <c r="C2089">
        <v>1092</v>
      </c>
      <c r="D2089" t="s">
        <v>30</v>
      </c>
      <c r="E2089" t="s">
        <v>40</v>
      </c>
      <c r="F2089" t="s">
        <v>32</v>
      </c>
      <c r="G2089" t="s">
        <v>33</v>
      </c>
      <c r="H2089" t="s">
        <v>57</v>
      </c>
      <c r="I2089" t="s">
        <v>42</v>
      </c>
      <c r="J2089" s="4">
        <v>29.97</v>
      </c>
      <c r="K2089" s="4">
        <v>19.760000000000002</v>
      </c>
      <c r="L2089">
        <v>0</v>
      </c>
      <c r="M2089" s="4">
        <v>0</v>
      </c>
      <c r="N2089" s="4">
        <v>592.21</v>
      </c>
      <c r="O2089" s="4">
        <v>177.16</v>
      </c>
      <c r="P2089" s="4">
        <v>9.01</v>
      </c>
      <c r="Q2089" s="4">
        <v>8.8800000000000008</v>
      </c>
      <c r="R2089" s="4">
        <v>5.24</v>
      </c>
      <c r="S2089" s="4">
        <v>0</v>
      </c>
      <c r="T2089" s="4">
        <v>0</v>
      </c>
      <c r="U2089" s="4">
        <v>200.29</v>
      </c>
      <c r="V2089" s="4">
        <v>391.92</v>
      </c>
      <c r="W2089" t="s">
        <v>21</v>
      </c>
      <c r="X2089" t="s">
        <v>36</v>
      </c>
      <c r="Y2089" s="4">
        <v>12</v>
      </c>
      <c r="Z2089" s="4">
        <v>8</v>
      </c>
      <c r="AA2089" t="s">
        <v>37</v>
      </c>
      <c r="AB2089" t="s">
        <v>38</v>
      </c>
      <c r="AC2089" s="7">
        <v>0</v>
      </c>
      <c r="AD2089" t="s">
        <v>39</v>
      </c>
      <c r="AE2089">
        <f t="shared" si="32"/>
        <v>0</v>
      </c>
    </row>
    <row r="2090" spans="1:31" x14ac:dyDescent="0.35">
      <c r="A2090">
        <v>102089</v>
      </c>
      <c r="B2090" s="3">
        <v>46022</v>
      </c>
      <c r="C2090">
        <v>1072</v>
      </c>
      <c r="D2090" t="s">
        <v>30</v>
      </c>
      <c r="E2090" t="s">
        <v>31</v>
      </c>
      <c r="F2090" t="s">
        <v>71</v>
      </c>
      <c r="G2090" t="s">
        <v>63</v>
      </c>
      <c r="H2090" t="s">
        <v>57</v>
      </c>
      <c r="I2090" t="s">
        <v>35</v>
      </c>
      <c r="J2090" s="4">
        <v>17.329999999999998</v>
      </c>
      <c r="K2090" s="4">
        <v>12.01</v>
      </c>
      <c r="L2090">
        <v>10</v>
      </c>
      <c r="M2090" s="4">
        <v>20.81</v>
      </c>
      <c r="N2090" s="4">
        <v>187.32</v>
      </c>
      <c r="O2090" s="4">
        <v>117.49</v>
      </c>
      <c r="P2090" s="4">
        <v>6.62</v>
      </c>
      <c r="Q2090" s="4">
        <v>1.46</v>
      </c>
      <c r="R2090" s="4">
        <v>4.6399999999999997</v>
      </c>
      <c r="S2090" s="4">
        <v>0</v>
      </c>
      <c r="T2090" s="4">
        <v>0</v>
      </c>
      <c r="U2090" s="4">
        <v>130.21</v>
      </c>
      <c r="V2090" s="4">
        <v>57.11</v>
      </c>
      <c r="W2090" t="s">
        <v>21</v>
      </c>
      <c r="X2090" t="s">
        <v>36</v>
      </c>
      <c r="Y2090" s="4">
        <v>12</v>
      </c>
      <c r="Z2090" s="4">
        <v>36</v>
      </c>
      <c r="AA2090" t="s">
        <v>37</v>
      </c>
      <c r="AB2090" t="s">
        <v>44</v>
      </c>
      <c r="AC2090" s="7">
        <v>2</v>
      </c>
      <c r="AD2090" t="s">
        <v>45</v>
      </c>
      <c r="AE2090">
        <f t="shared" si="32"/>
        <v>1</v>
      </c>
    </row>
    <row r="2091" spans="1:31" x14ac:dyDescent="0.35">
      <c r="A2091">
        <v>102090</v>
      </c>
      <c r="B2091" s="3">
        <v>45954</v>
      </c>
      <c r="C2091">
        <v>1110</v>
      </c>
      <c r="D2091" t="s">
        <v>47</v>
      </c>
      <c r="E2091" t="s">
        <v>56</v>
      </c>
      <c r="F2091" t="s">
        <v>41</v>
      </c>
      <c r="G2091" t="s">
        <v>46</v>
      </c>
      <c r="H2091" t="s">
        <v>34</v>
      </c>
      <c r="I2091" t="s">
        <v>35</v>
      </c>
      <c r="J2091" s="4">
        <v>16.53</v>
      </c>
      <c r="K2091" s="4">
        <v>16.62</v>
      </c>
      <c r="L2091">
        <v>0</v>
      </c>
      <c r="M2091" s="4">
        <v>0</v>
      </c>
      <c r="N2091" s="4">
        <v>274.73</v>
      </c>
      <c r="O2091" s="4">
        <v>117.02</v>
      </c>
      <c r="P2091" s="4">
        <v>13.49</v>
      </c>
      <c r="Q2091" s="4">
        <v>1.92</v>
      </c>
      <c r="R2091" s="4">
        <v>8.51</v>
      </c>
      <c r="S2091" s="4">
        <v>0</v>
      </c>
      <c r="T2091" s="4">
        <v>0</v>
      </c>
      <c r="U2091" s="4">
        <v>140.94</v>
      </c>
      <c r="V2091" s="4">
        <v>133.79</v>
      </c>
      <c r="W2091" t="s">
        <v>21</v>
      </c>
      <c r="X2091" t="s">
        <v>36</v>
      </c>
      <c r="Y2091" s="4">
        <v>27</v>
      </c>
      <c r="Z2091" s="4">
        <v>0</v>
      </c>
      <c r="AA2091" t="s">
        <v>52</v>
      </c>
      <c r="AB2091" t="s">
        <v>44</v>
      </c>
      <c r="AC2091" s="7">
        <v>2</v>
      </c>
      <c r="AD2091" t="s">
        <v>45</v>
      </c>
      <c r="AE2091">
        <f t="shared" si="32"/>
        <v>1</v>
      </c>
    </row>
    <row r="2092" spans="1:31" x14ac:dyDescent="0.35">
      <c r="A2092">
        <v>102091</v>
      </c>
      <c r="B2092" s="3">
        <v>45980</v>
      </c>
      <c r="C2092">
        <v>1097</v>
      </c>
      <c r="D2092" t="s">
        <v>59</v>
      </c>
      <c r="E2092" t="s">
        <v>60</v>
      </c>
      <c r="F2092" t="s">
        <v>61</v>
      </c>
      <c r="G2092" t="s">
        <v>33</v>
      </c>
      <c r="H2092" t="s">
        <v>34</v>
      </c>
      <c r="I2092" t="s">
        <v>69</v>
      </c>
      <c r="J2092" s="4">
        <v>24.54</v>
      </c>
      <c r="K2092" s="4">
        <v>19.23</v>
      </c>
      <c r="L2092">
        <v>0</v>
      </c>
      <c r="M2092" s="4">
        <v>0</v>
      </c>
      <c r="N2092" s="4">
        <v>471.9</v>
      </c>
      <c r="O2092" s="4">
        <v>162.03</v>
      </c>
      <c r="P2092" s="4">
        <v>9.32</v>
      </c>
      <c r="Q2092" s="4">
        <v>1.89</v>
      </c>
      <c r="R2092" s="4">
        <v>8.73</v>
      </c>
      <c r="S2092" s="4">
        <v>0</v>
      </c>
      <c r="T2092" s="4">
        <v>0</v>
      </c>
      <c r="U2092" s="4">
        <v>181.97</v>
      </c>
      <c r="V2092" s="4">
        <v>289.93</v>
      </c>
      <c r="W2092" t="s">
        <v>21</v>
      </c>
      <c r="X2092" t="s">
        <v>36</v>
      </c>
      <c r="Y2092" s="4">
        <v>18</v>
      </c>
      <c r="Z2092" s="4">
        <v>2</v>
      </c>
      <c r="AA2092" t="s">
        <v>52</v>
      </c>
      <c r="AB2092" t="s">
        <v>38</v>
      </c>
      <c r="AC2092" s="7">
        <v>0</v>
      </c>
      <c r="AD2092" t="s">
        <v>39</v>
      </c>
      <c r="AE2092">
        <f t="shared" si="32"/>
        <v>0</v>
      </c>
    </row>
    <row r="2093" spans="1:31" x14ac:dyDescent="0.35">
      <c r="A2093">
        <v>102092</v>
      </c>
      <c r="B2093" s="3">
        <v>46011</v>
      </c>
      <c r="C2093">
        <v>1037</v>
      </c>
      <c r="D2093" t="s">
        <v>47</v>
      </c>
      <c r="E2093" t="s">
        <v>56</v>
      </c>
      <c r="F2093" t="s">
        <v>41</v>
      </c>
      <c r="G2093" t="s">
        <v>63</v>
      </c>
      <c r="H2093" t="s">
        <v>34</v>
      </c>
      <c r="I2093" t="s">
        <v>35</v>
      </c>
      <c r="J2093" s="4">
        <v>28.63</v>
      </c>
      <c r="K2093" s="4">
        <v>14.55</v>
      </c>
      <c r="L2093">
        <v>10</v>
      </c>
      <c r="M2093" s="4">
        <v>41.66</v>
      </c>
      <c r="N2093" s="4">
        <v>374.91</v>
      </c>
      <c r="O2093" s="4">
        <v>176.96</v>
      </c>
      <c r="P2093" s="4">
        <v>9.4700000000000006</v>
      </c>
      <c r="Q2093" s="4">
        <v>2.92</v>
      </c>
      <c r="R2093" s="4">
        <v>3.18</v>
      </c>
      <c r="S2093" s="4">
        <v>0</v>
      </c>
      <c r="T2093" s="4">
        <v>0</v>
      </c>
      <c r="U2093" s="4">
        <v>192.53</v>
      </c>
      <c r="V2093" s="4">
        <v>182.38</v>
      </c>
      <c r="W2093" t="s">
        <v>21</v>
      </c>
      <c r="X2093" t="s">
        <v>36</v>
      </c>
      <c r="Y2093" s="4">
        <v>1</v>
      </c>
      <c r="Z2093" s="4">
        <v>3</v>
      </c>
      <c r="AA2093" t="s">
        <v>37</v>
      </c>
      <c r="AB2093" t="s">
        <v>38</v>
      </c>
      <c r="AC2093" s="7">
        <v>0</v>
      </c>
      <c r="AD2093" t="s">
        <v>39</v>
      </c>
      <c r="AE2093">
        <f t="shared" si="32"/>
        <v>0</v>
      </c>
    </row>
    <row r="2094" spans="1:31" x14ac:dyDescent="0.35">
      <c r="A2094">
        <v>102093</v>
      </c>
      <c r="B2094" s="3">
        <v>45940</v>
      </c>
      <c r="C2094">
        <v>1061</v>
      </c>
      <c r="D2094" t="s">
        <v>59</v>
      </c>
      <c r="E2094" t="s">
        <v>68</v>
      </c>
      <c r="F2094" t="s">
        <v>32</v>
      </c>
      <c r="G2094" t="s">
        <v>63</v>
      </c>
      <c r="H2094" t="s">
        <v>34</v>
      </c>
      <c r="I2094" t="s">
        <v>42</v>
      </c>
      <c r="J2094" s="4">
        <v>14.57</v>
      </c>
      <c r="K2094" s="4">
        <v>12.75</v>
      </c>
      <c r="L2094">
        <v>5</v>
      </c>
      <c r="M2094" s="4">
        <v>9.2899999999999991</v>
      </c>
      <c r="N2094" s="4">
        <v>176.48</v>
      </c>
      <c r="O2094" s="4">
        <v>95.45</v>
      </c>
      <c r="P2094" s="4">
        <v>8.2100000000000009</v>
      </c>
      <c r="Q2094" s="4">
        <v>2.79</v>
      </c>
      <c r="R2094" s="4">
        <v>1.57</v>
      </c>
      <c r="S2094" s="4">
        <v>105.4</v>
      </c>
      <c r="T2094" s="4">
        <v>0</v>
      </c>
      <c r="U2094" s="4">
        <v>213.42</v>
      </c>
      <c r="V2094" s="4">
        <v>-36.94</v>
      </c>
      <c r="W2094" t="s">
        <v>58</v>
      </c>
      <c r="X2094" t="s">
        <v>66</v>
      </c>
      <c r="Y2094" s="4">
        <v>1</v>
      </c>
      <c r="Z2094" s="4">
        <v>4</v>
      </c>
      <c r="AA2094" t="s">
        <v>37</v>
      </c>
      <c r="AB2094" t="s">
        <v>38</v>
      </c>
      <c r="AC2094" s="7">
        <v>2</v>
      </c>
      <c r="AD2094" t="s">
        <v>45</v>
      </c>
      <c r="AE2094">
        <f t="shared" si="32"/>
        <v>0</v>
      </c>
    </row>
    <row r="2095" spans="1:31" x14ac:dyDescent="0.35">
      <c r="A2095">
        <v>102094</v>
      </c>
      <c r="B2095" s="3">
        <v>45943</v>
      </c>
      <c r="C2095">
        <v>1037</v>
      </c>
      <c r="D2095" t="s">
        <v>59</v>
      </c>
      <c r="E2095" t="s">
        <v>73</v>
      </c>
      <c r="F2095" t="s">
        <v>61</v>
      </c>
      <c r="G2095" t="s">
        <v>33</v>
      </c>
      <c r="H2095" t="s">
        <v>51</v>
      </c>
      <c r="I2095" t="s">
        <v>35</v>
      </c>
      <c r="J2095" s="4">
        <v>31.7</v>
      </c>
      <c r="K2095" s="4">
        <v>19.27</v>
      </c>
      <c r="L2095">
        <v>5</v>
      </c>
      <c r="M2095" s="4">
        <v>30.54</v>
      </c>
      <c r="N2095" s="4">
        <v>580.32000000000005</v>
      </c>
      <c r="O2095" s="4">
        <v>230.56</v>
      </c>
      <c r="P2095" s="4">
        <v>6.48</v>
      </c>
      <c r="Q2095" s="4">
        <v>4.28</v>
      </c>
      <c r="R2095" s="4">
        <v>7.59</v>
      </c>
      <c r="S2095" s="4">
        <v>301.45999999999998</v>
      </c>
      <c r="T2095" s="4">
        <v>10.58</v>
      </c>
      <c r="U2095" s="4">
        <v>560.95000000000005</v>
      </c>
      <c r="V2095" s="4">
        <v>19.37</v>
      </c>
      <c r="W2095" t="s">
        <v>21</v>
      </c>
      <c r="X2095" t="s">
        <v>55</v>
      </c>
      <c r="Y2095" s="4">
        <v>21</v>
      </c>
      <c r="Z2095" s="4">
        <v>39</v>
      </c>
      <c r="AA2095" t="s">
        <v>52</v>
      </c>
      <c r="AB2095" t="s">
        <v>44</v>
      </c>
      <c r="AC2095" s="7">
        <v>2</v>
      </c>
      <c r="AD2095" t="s">
        <v>45</v>
      </c>
      <c r="AE2095">
        <f t="shared" si="32"/>
        <v>1</v>
      </c>
    </row>
    <row r="2096" spans="1:31" x14ac:dyDescent="0.35">
      <c r="A2096">
        <v>102095</v>
      </c>
      <c r="B2096" s="3">
        <v>45998</v>
      </c>
      <c r="C2096">
        <v>1123</v>
      </c>
      <c r="D2096" t="s">
        <v>64</v>
      </c>
      <c r="E2096" t="s">
        <v>67</v>
      </c>
      <c r="F2096" t="s">
        <v>32</v>
      </c>
      <c r="G2096" t="s">
        <v>46</v>
      </c>
      <c r="H2096" t="s">
        <v>34</v>
      </c>
      <c r="I2096" t="s">
        <v>35</v>
      </c>
      <c r="J2096" s="4">
        <v>22.52</v>
      </c>
      <c r="K2096" s="4">
        <v>15.17</v>
      </c>
      <c r="L2096">
        <v>5</v>
      </c>
      <c r="M2096" s="4">
        <v>17.079999999999998</v>
      </c>
      <c r="N2096" s="4">
        <v>324.55</v>
      </c>
      <c r="O2096" s="4">
        <v>171.13</v>
      </c>
      <c r="P2096" s="4">
        <v>5.97</v>
      </c>
      <c r="Q2096" s="4">
        <v>2.39</v>
      </c>
      <c r="R2096" s="4">
        <v>12.08</v>
      </c>
      <c r="S2096" s="4">
        <v>316.33999999999997</v>
      </c>
      <c r="T2096" s="4">
        <v>0</v>
      </c>
      <c r="U2096" s="4">
        <v>507.91</v>
      </c>
      <c r="V2096" s="4">
        <v>-183.36</v>
      </c>
      <c r="W2096" t="s">
        <v>58</v>
      </c>
      <c r="X2096" t="s">
        <v>55</v>
      </c>
      <c r="Y2096" s="4">
        <v>6</v>
      </c>
      <c r="Z2096" s="4">
        <v>7</v>
      </c>
      <c r="AA2096" t="s">
        <v>37</v>
      </c>
      <c r="AB2096" t="s">
        <v>44</v>
      </c>
      <c r="AC2096" s="7">
        <v>2</v>
      </c>
      <c r="AD2096" t="s">
        <v>45</v>
      </c>
      <c r="AE2096">
        <f t="shared" si="32"/>
        <v>1</v>
      </c>
    </row>
    <row r="2097" spans="1:31" x14ac:dyDescent="0.35">
      <c r="A2097">
        <v>102096</v>
      </c>
      <c r="B2097" s="3">
        <v>46021</v>
      </c>
      <c r="C2097">
        <v>1017</v>
      </c>
      <c r="D2097" t="s">
        <v>59</v>
      </c>
      <c r="E2097" t="s">
        <v>68</v>
      </c>
      <c r="F2097" t="s">
        <v>71</v>
      </c>
      <c r="G2097" t="s">
        <v>33</v>
      </c>
      <c r="H2097" t="s">
        <v>34</v>
      </c>
      <c r="I2097" t="s">
        <v>69</v>
      </c>
      <c r="J2097" s="4">
        <v>38.33</v>
      </c>
      <c r="K2097" s="4">
        <v>17.84</v>
      </c>
      <c r="L2097">
        <v>5</v>
      </c>
      <c r="M2097" s="4">
        <v>34.19</v>
      </c>
      <c r="N2097" s="4">
        <v>649.62</v>
      </c>
      <c r="O2097" s="4">
        <v>256.31</v>
      </c>
      <c r="P2097" s="4">
        <v>9.86</v>
      </c>
      <c r="Q2097" s="4">
        <v>2.74</v>
      </c>
      <c r="R2097" s="4">
        <v>5.14</v>
      </c>
      <c r="S2097" s="4">
        <v>0</v>
      </c>
      <c r="T2097" s="4">
        <v>0</v>
      </c>
      <c r="U2097" s="4">
        <v>274.05</v>
      </c>
      <c r="V2097" s="4">
        <v>375.57</v>
      </c>
      <c r="W2097" t="s">
        <v>21</v>
      </c>
      <c r="X2097" t="s">
        <v>36</v>
      </c>
      <c r="Y2097" s="4">
        <v>8</v>
      </c>
      <c r="Z2097" s="4">
        <v>10</v>
      </c>
      <c r="AA2097" t="s">
        <v>37</v>
      </c>
      <c r="AB2097" t="s">
        <v>38</v>
      </c>
      <c r="AC2097" s="7">
        <v>0</v>
      </c>
      <c r="AD2097" t="s">
        <v>39</v>
      </c>
      <c r="AE2097">
        <f t="shared" si="32"/>
        <v>0</v>
      </c>
    </row>
    <row r="2098" spans="1:31" x14ac:dyDescent="0.35">
      <c r="A2098">
        <v>102097</v>
      </c>
      <c r="B2098" s="3">
        <v>45995</v>
      </c>
      <c r="C2098">
        <v>1120</v>
      </c>
      <c r="D2098" t="s">
        <v>30</v>
      </c>
      <c r="E2098" t="s">
        <v>62</v>
      </c>
      <c r="F2098" t="s">
        <v>32</v>
      </c>
      <c r="G2098" t="s">
        <v>50</v>
      </c>
      <c r="H2098" t="s">
        <v>34</v>
      </c>
      <c r="I2098" t="s">
        <v>35</v>
      </c>
      <c r="J2098" s="4">
        <v>31.11</v>
      </c>
      <c r="K2098" s="4">
        <v>18.11</v>
      </c>
      <c r="L2098">
        <v>10</v>
      </c>
      <c r="M2098" s="4">
        <v>56.34</v>
      </c>
      <c r="N2098" s="4">
        <v>507.06</v>
      </c>
      <c r="O2098" s="4">
        <v>208.32</v>
      </c>
      <c r="P2098" s="4">
        <v>8.17</v>
      </c>
      <c r="Q2098" s="4">
        <v>3.94</v>
      </c>
      <c r="R2098" s="4">
        <v>9.09</v>
      </c>
      <c r="S2098" s="4">
        <v>0</v>
      </c>
      <c r="T2098" s="4">
        <v>0</v>
      </c>
      <c r="U2098" s="4">
        <v>229.52</v>
      </c>
      <c r="V2098" s="4">
        <v>277.54000000000002</v>
      </c>
      <c r="W2098" t="s">
        <v>21</v>
      </c>
      <c r="X2098" t="s">
        <v>36</v>
      </c>
      <c r="Y2098" s="4">
        <v>3</v>
      </c>
      <c r="Z2098" s="4">
        <v>9</v>
      </c>
      <c r="AA2098" t="s">
        <v>37</v>
      </c>
      <c r="AB2098" t="s">
        <v>38</v>
      </c>
      <c r="AC2098" s="7">
        <v>0</v>
      </c>
      <c r="AD2098" t="s">
        <v>39</v>
      </c>
      <c r="AE2098">
        <f t="shared" si="32"/>
        <v>0</v>
      </c>
    </row>
    <row r="2099" spans="1:31" x14ac:dyDescent="0.35">
      <c r="A2099">
        <v>102098</v>
      </c>
      <c r="B2099" s="3">
        <v>45951</v>
      </c>
      <c r="C2099">
        <v>1139</v>
      </c>
      <c r="D2099" t="s">
        <v>59</v>
      </c>
      <c r="E2099" t="s">
        <v>70</v>
      </c>
      <c r="F2099" t="s">
        <v>49</v>
      </c>
      <c r="G2099" t="s">
        <v>63</v>
      </c>
      <c r="H2099" t="s">
        <v>34</v>
      </c>
      <c r="I2099" t="s">
        <v>35</v>
      </c>
      <c r="J2099" s="4">
        <v>21.38</v>
      </c>
      <c r="K2099" s="4">
        <v>12.76</v>
      </c>
      <c r="L2099">
        <v>20</v>
      </c>
      <c r="M2099" s="4">
        <v>54.56</v>
      </c>
      <c r="N2099" s="4">
        <v>218.25</v>
      </c>
      <c r="O2099" s="4">
        <v>154.04</v>
      </c>
      <c r="P2099" s="4">
        <v>1.9</v>
      </c>
      <c r="Q2099" s="4">
        <v>1.91</v>
      </c>
      <c r="R2099" s="4">
        <v>0</v>
      </c>
      <c r="S2099" s="4">
        <v>0</v>
      </c>
      <c r="T2099" s="4">
        <v>0</v>
      </c>
      <c r="U2099" s="4">
        <v>157.85</v>
      </c>
      <c r="V2099" s="4">
        <v>60.4</v>
      </c>
      <c r="W2099" t="s">
        <v>21</v>
      </c>
      <c r="X2099" t="s">
        <v>36</v>
      </c>
      <c r="Y2099" s="4">
        <v>9</v>
      </c>
      <c r="Z2099" s="4">
        <v>0</v>
      </c>
      <c r="AA2099" t="s">
        <v>37</v>
      </c>
      <c r="AB2099" t="s">
        <v>38</v>
      </c>
      <c r="AC2099" s="7">
        <v>0</v>
      </c>
      <c r="AD2099" t="s">
        <v>39</v>
      </c>
      <c r="AE2099">
        <f t="shared" si="32"/>
        <v>0</v>
      </c>
    </row>
    <row r="2100" spans="1:31" x14ac:dyDescent="0.35">
      <c r="A2100">
        <v>102099</v>
      </c>
      <c r="B2100" s="3">
        <v>45939</v>
      </c>
      <c r="C2100">
        <v>1005</v>
      </c>
      <c r="D2100" t="s">
        <v>30</v>
      </c>
      <c r="E2100" t="s">
        <v>31</v>
      </c>
      <c r="F2100" t="s">
        <v>61</v>
      </c>
      <c r="G2100" t="s">
        <v>63</v>
      </c>
      <c r="H2100" t="s">
        <v>51</v>
      </c>
      <c r="I2100" t="s">
        <v>42</v>
      </c>
      <c r="J2100" s="4">
        <v>28.71</v>
      </c>
      <c r="K2100" s="4">
        <v>11.91</v>
      </c>
      <c r="L2100">
        <v>5</v>
      </c>
      <c r="M2100" s="4">
        <v>17.100000000000001</v>
      </c>
      <c r="N2100" s="4">
        <v>324.83999999999997</v>
      </c>
      <c r="O2100" s="4">
        <v>167.68</v>
      </c>
      <c r="P2100" s="4">
        <v>9.49</v>
      </c>
      <c r="Q2100" s="4">
        <v>5.13</v>
      </c>
      <c r="R2100" s="4">
        <v>6.99</v>
      </c>
      <c r="S2100" s="4">
        <v>0</v>
      </c>
      <c r="T2100" s="4">
        <v>0</v>
      </c>
      <c r="U2100" s="4">
        <v>189.29</v>
      </c>
      <c r="V2100" s="4">
        <v>135.55000000000001</v>
      </c>
      <c r="W2100" t="s">
        <v>21</v>
      </c>
      <c r="X2100" t="s">
        <v>36</v>
      </c>
      <c r="Y2100" s="4">
        <v>29</v>
      </c>
      <c r="Z2100" s="4">
        <v>4</v>
      </c>
      <c r="AA2100" t="s">
        <v>52</v>
      </c>
      <c r="AB2100" t="s">
        <v>44</v>
      </c>
      <c r="AC2100" s="7">
        <v>1</v>
      </c>
      <c r="AD2100" t="s">
        <v>45</v>
      </c>
      <c r="AE2100">
        <f t="shared" si="32"/>
        <v>1</v>
      </c>
    </row>
    <row r="2101" spans="1:31" x14ac:dyDescent="0.35">
      <c r="A2101">
        <v>102100</v>
      </c>
      <c r="B2101" s="3">
        <v>45972</v>
      </c>
      <c r="C2101">
        <v>1003</v>
      </c>
      <c r="D2101" t="s">
        <v>47</v>
      </c>
      <c r="E2101" t="s">
        <v>56</v>
      </c>
      <c r="F2101" t="s">
        <v>32</v>
      </c>
      <c r="G2101" t="s">
        <v>46</v>
      </c>
      <c r="H2101" t="s">
        <v>34</v>
      </c>
      <c r="I2101" t="s">
        <v>54</v>
      </c>
      <c r="J2101" s="4">
        <v>26.06</v>
      </c>
      <c r="K2101" s="4">
        <v>15.64</v>
      </c>
      <c r="L2101">
        <v>10</v>
      </c>
      <c r="M2101" s="4">
        <v>40.76</v>
      </c>
      <c r="N2101" s="4">
        <v>366.82</v>
      </c>
      <c r="O2101" s="4">
        <v>160.81</v>
      </c>
      <c r="P2101" s="4">
        <v>10.78</v>
      </c>
      <c r="Q2101" s="4">
        <v>4.8899999999999997</v>
      </c>
      <c r="R2101" s="4">
        <v>0</v>
      </c>
      <c r="S2101" s="4">
        <v>209.8</v>
      </c>
      <c r="T2101" s="4">
        <v>0</v>
      </c>
      <c r="U2101" s="4">
        <v>386.28</v>
      </c>
      <c r="V2101" s="4">
        <v>-19.46</v>
      </c>
      <c r="W2101" t="s">
        <v>58</v>
      </c>
      <c r="X2101" t="s">
        <v>66</v>
      </c>
      <c r="Y2101" s="4">
        <v>37</v>
      </c>
      <c r="Z2101" s="4">
        <v>4</v>
      </c>
      <c r="AA2101" t="s">
        <v>43</v>
      </c>
      <c r="AB2101" t="s">
        <v>44</v>
      </c>
      <c r="AC2101" s="7">
        <v>4</v>
      </c>
      <c r="AD2101" t="s">
        <v>45</v>
      </c>
      <c r="AE2101">
        <f t="shared" si="32"/>
        <v>1</v>
      </c>
    </row>
    <row r="2102" spans="1:31" x14ac:dyDescent="0.35">
      <c r="A2102">
        <v>102101</v>
      </c>
      <c r="B2102" s="3">
        <v>46013</v>
      </c>
      <c r="C2102">
        <v>1093</v>
      </c>
      <c r="D2102" t="s">
        <v>59</v>
      </c>
      <c r="E2102" t="s">
        <v>68</v>
      </c>
      <c r="F2102" t="s">
        <v>61</v>
      </c>
      <c r="G2102" t="s">
        <v>50</v>
      </c>
      <c r="H2102" t="s">
        <v>34</v>
      </c>
      <c r="I2102" t="s">
        <v>35</v>
      </c>
      <c r="J2102" s="4">
        <v>30.4</v>
      </c>
      <c r="K2102" s="4">
        <v>17.62</v>
      </c>
      <c r="L2102">
        <v>0</v>
      </c>
      <c r="M2102" s="4">
        <v>0</v>
      </c>
      <c r="N2102" s="4">
        <v>535.65</v>
      </c>
      <c r="O2102" s="4">
        <v>208.09</v>
      </c>
      <c r="P2102" s="4">
        <v>10.039999999999999</v>
      </c>
      <c r="Q2102" s="4">
        <v>3.75</v>
      </c>
      <c r="R2102" s="4">
        <v>5.44</v>
      </c>
      <c r="S2102" s="4">
        <v>314</v>
      </c>
      <c r="T2102" s="4">
        <v>0</v>
      </c>
      <c r="U2102" s="4">
        <v>541.32000000000005</v>
      </c>
      <c r="V2102" s="4">
        <v>-5.67</v>
      </c>
      <c r="W2102" t="s">
        <v>58</v>
      </c>
      <c r="X2102" t="s">
        <v>55</v>
      </c>
      <c r="Y2102" s="4">
        <v>6</v>
      </c>
      <c r="Z2102" s="4">
        <v>11</v>
      </c>
      <c r="AA2102" t="s">
        <v>37</v>
      </c>
      <c r="AB2102" t="s">
        <v>44</v>
      </c>
      <c r="AC2102" s="7">
        <v>2</v>
      </c>
      <c r="AD2102" t="s">
        <v>45</v>
      </c>
      <c r="AE2102">
        <f t="shared" si="32"/>
        <v>1</v>
      </c>
    </row>
    <row r="2103" spans="1:31" x14ac:dyDescent="0.35">
      <c r="A2103">
        <v>102102</v>
      </c>
      <c r="B2103" s="3">
        <v>45964</v>
      </c>
      <c r="C2103">
        <v>1088</v>
      </c>
      <c r="D2103" t="s">
        <v>47</v>
      </c>
      <c r="E2103" t="s">
        <v>48</v>
      </c>
      <c r="F2103" t="s">
        <v>41</v>
      </c>
      <c r="G2103" t="s">
        <v>46</v>
      </c>
      <c r="H2103" t="s">
        <v>34</v>
      </c>
      <c r="I2103" t="s">
        <v>54</v>
      </c>
      <c r="J2103" s="4">
        <v>32.46</v>
      </c>
      <c r="K2103" s="4">
        <v>15.74</v>
      </c>
      <c r="L2103">
        <v>0</v>
      </c>
      <c r="M2103" s="4">
        <v>0</v>
      </c>
      <c r="N2103" s="4">
        <v>510.92</v>
      </c>
      <c r="O2103" s="4">
        <v>304.7</v>
      </c>
      <c r="P2103" s="4">
        <v>9.1199999999999992</v>
      </c>
      <c r="Q2103" s="4">
        <v>6.13</v>
      </c>
      <c r="R2103" s="4">
        <v>5.23</v>
      </c>
      <c r="S2103" s="4">
        <v>205.22</v>
      </c>
      <c r="T2103" s="4">
        <v>0</v>
      </c>
      <c r="U2103" s="4">
        <v>530.4</v>
      </c>
      <c r="V2103" s="4">
        <v>-19.48</v>
      </c>
      <c r="W2103" t="s">
        <v>58</v>
      </c>
      <c r="X2103" t="s">
        <v>55</v>
      </c>
      <c r="Y2103" s="4">
        <v>7</v>
      </c>
      <c r="Z2103" s="4">
        <v>3</v>
      </c>
      <c r="AA2103" t="s">
        <v>37</v>
      </c>
      <c r="AB2103" t="s">
        <v>44</v>
      </c>
      <c r="AC2103" s="7">
        <v>2</v>
      </c>
      <c r="AD2103" t="s">
        <v>45</v>
      </c>
      <c r="AE2103">
        <f t="shared" si="32"/>
        <v>1</v>
      </c>
    </row>
    <row r="2104" spans="1:31" x14ac:dyDescent="0.35">
      <c r="A2104">
        <v>102103</v>
      </c>
      <c r="B2104" s="3">
        <v>45950</v>
      </c>
      <c r="C2104">
        <v>1002</v>
      </c>
      <c r="D2104" t="s">
        <v>59</v>
      </c>
      <c r="E2104" t="s">
        <v>70</v>
      </c>
      <c r="F2104" t="s">
        <v>32</v>
      </c>
      <c r="G2104" t="s">
        <v>63</v>
      </c>
      <c r="H2104" t="s">
        <v>34</v>
      </c>
      <c r="I2104" t="s">
        <v>35</v>
      </c>
      <c r="J2104" s="4">
        <v>16.77</v>
      </c>
      <c r="K2104" s="4">
        <v>12.19</v>
      </c>
      <c r="L2104">
        <v>5</v>
      </c>
      <c r="M2104" s="4">
        <v>10.220000000000001</v>
      </c>
      <c r="N2104" s="4">
        <v>194.21</v>
      </c>
      <c r="O2104" s="4">
        <v>115.44</v>
      </c>
      <c r="P2104" s="4">
        <v>7.92</v>
      </c>
      <c r="Q2104" s="4">
        <v>1.43</v>
      </c>
      <c r="R2104" s="4">
        <v>11.63</v>
      </c>
      <c r="S2104" s="4">
        <v>0</v>
      </c>
      <c r="T2104" s="4">
        <v>0</v>
      </c>
      <c r="U2104" s="4">
        <v>136.41999999999999</v>
      </c>
      <c r="V2104" s="4">
        <v>57.79</v>
      </c>
      <c r="W2104" t="s">
        <v>21</v>
      </c>
      <c r="X2104" t="s">
        <v>36</v>
      </c>
      <c r="Y2104" s="4">
        <v>4</v>
      </c>
      <c r="Z2104" s="4">
        <v>4</v>
      </c>
      <c r="AA2104" t="s">
        <v>37</v>
      </c>
      <c r="AB2104" t="s">
        <v>38</v>
      </c>
      <c r="AC2104" s="7">
        <v>0</v>
      </c>
      <c r="AD2104" t="s">
        <v>39</v>
      </c>
      <c r="AE2104">
        <f t="shared" si="32"/>
        <v>0</v>
      </c>
    </row>
    <row r="2105" spans="1:31" x14ac:dyDescent="0.35">
      <c r="A2105">
        <v>102104</v>
      </c>
      <c r="B2105" s="3">
        <v>45954</v>
      </c>
      <c r="C2105">
        <v>1084</v>
      </c>
      <c r="D2105" t="s">
        <v>30</v>
      </c>
      <c r="E2105" t="s">
        <v>62</v>
      </c>
      <c r="F2105" t="s">
        <v>71</v>
      </c>
      <c r="G2105" t="s">
        <v>46</v>
      </c>
      <c r="H2105" t="s">
        <v>51</v>
      </c>
      <c r="I2105" t="s">
        <v>42</v>
      </c>
      <c r="J2105" s="4">
        <v>23.6</v>
      </c>
      <c r="K2105" s="4">
        <v>14.98</v>
      </c>
      <c r="L2105">
        <v>5</v>
      </c>
      <c r="M2105" s="4">
        <v>17.68</v>
      </c>
      <c r="N2105" s="4">
        <v>335.85</v>
      </c>
      <c r="O2105" s="4">
        <v>167.36</v>
      </c>
      <c r="P2105" s="4">
        <v>13.76</v>
      </c>
      <c r="Q2105" s="4">
        <v>5.3</v>
      </c>
      <c r="R2105" s="4">
        <v>12.85</v>
      </c>
      <c r="S2105" s="4">
        <v>0</v>
      </c>
      <c r="T2105" s="4">
        <v>0</v>
      </c>
      <c r="U2105" s="4">
        <v>199.27</v>
      </c>
      <c r="V2105" s="4">
        <v>136.58000000000001</v>
      </c>
      <c r="W2105" t="s">
        <v>21</v>
      </c>
      <c r="X2105" t="s">
        <v>36</v>
      </c>
      <c r="Y2105" s="4">
        <v>5</v>
      </c>
      <c r="Z2105" s="4">
        <v>9</v>
      </c>
      <c r="AA2105" t="s">
        <v>37</v>
      </c>
      <c r="AB2105" t="s">
        <v>38</v>
      </c>
      <c r="AC2105" s="7">
        <v>2</v>
      </c>
      <c r="AD2105" t="s">
        <v>39</v>
      </c>
      <c r="AE2105">
        <f t="shared" si="32"/>
        <v>0</v>
      </c>
    </row>
    <row r="2106" spans="1:31" x14ac:dyDescent="0.35">
      <c r="A2106">
        <v>102105</v>
      </c>
      <c r="B2106" s="3">
        <v>45995</v>
      </c>
      <c r="C2106">
        <v>1137</v>
      </c>
      <c r="D2106" t="s">
        <v>30</v>
      </c>
      <c r="E2106" t="s">
        <v>72</v>
      </c>
      <c r="F2106" t="s">
        <v>61</v>
      </c>
      <c r="G2106" t="s">
        <v>50</v>
      </c>
      <c r="H2106" t="s">
        <v>34</v>
      </c>
      <c r="I2106" t="s">
        <v>35</v>
      </c>
      <c r="J2106" s="4">
        <v>41.14</v>
      </c>
      <c r="K2106" s="4">
        <v>18.18</v>
      </c>
      <c r="L2106">
        <v>0</v>
      </c>
      <c r="M2106" s="4">
        <v>0</v>
      </c>
      <c r="N2106" s="4">
        <v>747.93</v>
      </c>
      <c r="O2106" s="4">
        <v>307.66000000000003</v>
      </c>
      <c r="P2106" s="4">
        <v>18.100000000000001</v>
      </c>
      <c r="Q2106" s="4">
        <v>5.24</v>
      </c>
      <c r="R2106" s="4">
        <v>6.42</v>
      </c>
      <c r="S2106" s="4">
        <v>0</v>
      </c>
      <c r="T2106" s="4">
        <v>0</v>
      </c>
      <c r="U2106" s="4">
        <v>337.42</v>
      </c>
      <c r="V2106" s="4">
        <v>410.51</v>
      </c>
      <c r="W2106" t="s">
        <v>21</v>
      </c>
      <c r="X2106" t="s">
        <v>36</v>
      </c>
      <c r="Y2106" s="4">
        <v>7</v>
      </c>
      <c r="Z2106" s="4">
        <v>24</v>
      </c>
      <c r="AA2106" t="s">
        <v>37</v>
      </c>
      <c r="AB2106" t="s">
        <v>44</v>
      </c>
      <c r="AC2106" s="7">
        <v>1</v>
      </c>
      <c r="AD2106" t="s">
        <v>45</v>
      </c>
      <c r="AE2106">
        <f t="shared" si="32"/>
        <v>1</v>
      </c>
    </row>
    <row r="2107" spans="1:31" x14ac:dyDescent="0.35">
      <c r="A2107">
        <v>102106</v>
      </c>
      <c r="B2107" s="3">
        <v>45954</v>
      </c>
      <c r="C2107">
        <v>1020</v>
      </c>
      <c r="D2107" t="s">
        <v>64</v>
      </c>
      <c r="E2107" t="s">
        <v>76</v>
      </c>
      <c r="F2107" t="s">
        <v>32</v>
      </c>
      <c r="G2107" t="s">
        <v>63</v>
      </c>
      <c r="H2107" t="s">
        <v>57</v>
      </c>
      <c r="I2107" t="s">
        <v>42</v>
      </c>
      <c r="J2107" s="4">
        <v>21.61</v>
      </c>
      <c r="K2107" s="4">
        <v>12.84</v>
      </c>
      <c r="L2107">
        <v>0</v>
      </c>
      <c r="M2107" s="4">
        <v>0</v>
      </c>
      <c r="N2107" s="4">
        <v>277.47000000000003</v>
      </c>
      <c r="O2107" s="4">
        <v>174.83</v>
      </c>
      <c r="P2107" s="4">
        <v>8.42</v>
      </c>
      <c r="Q2107" s="4">
        <v>4.16</v>
      </c>
      <c r="R2107" s="4">
        <v>4.83</v>
      </c>
      <c r="S2107" s="4">
        <v>211.79</v>
      </c>
      <c r="T2107" s="4">
        <v>20.190000000000001</v>
      </c>
      <c r="U2107" s="4">
        <v>424.22</v>
      </c>
      <c r="V2107" s="4">
        <v>-146.75</v>
      </c>
      <c r="W2107" t="s">
        <v>58</v>
      </c>
      <c r="X2107" t="s">
        <v>55</v>
      </c>
      <c r="Y2107" s="4">
        <v>9</v>
      </c>
      <c r="Z2107" s="4">
        <v>0</v>
      </c>
      <c r="AA2107" t="s">
        <v>37</v>
      </c>
      <c r="AB2107" t="s">
        <v>44</v>
      </c>
      <c r="AC2107" s="7">
        <v>1</v>
      </c>
      <c r="AD2107" t="s">
        <v>45</v>
      </c>
      <c r="AE2107">
        <f t="shared" si="32"/>
        <v>1</v>
      </c>
    </row>
    <row r="2108" spans="1:31" x14ac:dyDescent="0.35">
      <c r="A2108">
        <v>102107</v>
      </c>
      <c r="B2108" s="3">
        <v>45979</v>
      </c>
      <c r="C2108">
        <v>1121</v>
      </c>
      <c r="D2108" t="s">
        <v>47</v>
      </c>
      <c r="E2108" t="s">
        <v>74</v>
      </c>
      <c r="F2108" t="s">
        <v>41</v>
      </c>
      <c r="G2108" t="s">
        <v>50</v>
      </c>
      <c r="H2108" t="s">
        <v>34</v>
      </c>
      <c r="I2108" t="s">
        <v>69</v>
      </c>
      <c r="J2108" s="4">
        <v>24.09</v>
      </c>
      <c r="K2108" s="4">
        <v>16.21</v>
      </c>
      <c r="L2108">
        <v>15</v>
      </c>
      <c r="M2108" s="4">
        <v>58.58</v>
      </c>
      <c r="N2108" s="4">
        <v>331.92</v>
      </c>
      <c r="O2108" s="4">
        <v>176.06</v>
      </c>
      <c r="P2108" s="4">
        <v>8.86</v>
      </c>
      <c r="Q2108" s="4">
        <v>1.56</v>
      </c>
      <c r="R2108" s="4">
        <v>6</v>
      </c>
      <c r="S2108" s="4">
        <v>0</v>
      </c>
      <c r="T2108" s="4">
        <v>0</v>
      </c>
      <c r="U2108" s="4">
        <v>192.48</v>
      </c>
      <c r="V2108" s="4">
        <v>139.44</v>
      </c>
      <c r="W2108" t="s">
        <v>21</v>
      </c>
      <c r="X2108" t="s">
        <v>36</v>
      </c>
      <c r="Y2108" s="4">
        <v>12</v>
      </c>
      <c r="Z2108" s="4">
        <v>12</v>
      </c>
      <c r="AA2108" t="s">
        <v>37</v>
      </c>
      <c r="AB2108" t="s">
        <v>38</v>
      </c>
      <c r="AC2108" s="7">
        <v>0</v>
      </c>
      <c r="AD2108" t="s">
        <v>39</v>
      </c>
      <c r="AE2108">
        <f t="shared" si="32"/>
        <v>0</v>
      </c>
    </row>
    <row r="2109" spans="1:31" x14ac:dyDescent="0.35">
      <c r="A2109">
        <v>102108</v>
      </c>
      <c r="B2109" s="3">
        <v>45981</v>
      </c>
      <c r="C2109">
        <v>1051</v>
      </c>
      <c r="D2109" t="s">
        <v>59</v>
      </c>
      <c r="E2109" t="s">
        <v>73</v>
      </c>
      <c r="F2109" t="s">
        <v>41</v>
      </c>
      <c r="G2109" t="s">
        <v>46</v>
      </c>
      <c r="H2109" t="s">
        <v>51</v>
      </c>
      <c r="I2109" t="s">
        <v>42</v>
      </c>
      <c r="J2109" s="4">
        <v>42.64</v>
      </c>
      <c r="K2109" s="4">
        <v>15.45</v>
      </c>
      <c r="L2109">
        <v>15</v>
      </c>
      <c r="M2109" s="4">
        <v>98.82</v>
      </c>
      <c r="N2109" s="4">
        <v>559.97</v>
      </c>
      <c r="O2109" s="4">
        <v>331.87</v>
      </c>
      <c r="P2109" s="4">
        <v>7.72</v>
      </c>
      <c r="Q2109" s="4">
        <v>9.8800000000000008</v>
      </c>
      <c r="R2109" s="4">
        <v>13.95</v>
      </c>
      <c r="S2109" s="4">
        <v>0</v>
      </c>
      <c r="T2109" s="4">
        <v>0</v>
      </c>
      <c r="U2109" s="4">
        <v>363.42</v>
      </c>
      <c r="V2109" s="4">
        <v>196.55</v>
      </c>
      <c r="W2109" t="s">
        <v>21</v>
      </c>
      <c r="X2109" t="s">
        <v>36</v>
      </c>
      <c r="Y2109" s="4">
        <v>42</v>
      </c>
      <c r="Z2109" s="4">
        <v>10</v>
      </c>
      <c r="AA2109" t="s">
        <v>43</v>
      </c>
      <c r="AB2109" t="s">
        <v>44</v>
      </c>
      <c r="AC2109" s="7">
        <v>1</v>
      </c>
      <c r="AD2109" t="s">
        <v>45</v>
      </c>
      <c r="AE2109">
        <f t="shared" si="32"/>
        <v>1</v>
      </c>
    </row>
    <row r="2110" spans="1:31" x14ac:dyDescent="0.35">
      <c r="A2110">
        <v>102109</v>
      </c>
      <c r="B2110" s="3">
        <v>45942</v>
      </c>
      <c r="C2110">
        <v>1002</v>
      </c>
      <c r="D2110" t="s">
        <v>30</v>
      </c>
      <c r="E2110" t="s">
        <v>40</v>
      </c>
      <c r="F2110" t="s">
        <v>49</v>
      </c>
      <c r="G2110" t="s">
        <v>63</v>
      </c>
      <c r="H2110" t="s">
        <v>51</v>
      </c>
      <c r="I2110" t="s">
        <v>54</v>
      </c>
      <c r="J2110" s="4">
        <v>11.42</v>
      </c>
      <c r="K2110" s="4">
        <v>12.87</v>
      </c>
      <c r="L2110">
        <v>5</v>
      </c>
      <c r="M2110" s="4">
        <v>7.35</v>
      </c>
      <c r="N2110" s="4">
        <v>139.63</v>
      </c>
      <c r="O2110" s="4">
        <v>89.91</v>
      </c>
      <c r="P2110" s="4">
        <v>6.82</v>
      </c>
      <c r="Q2110" s="4">
        <v>1.76</v>
      </c>
      <c r="R2110" s="4">
        <v>1.99</v>
      </c>
      <c r="S2110" s="4">
        <v>0</v>
      </c>
      <c r="T2110" s="4">
        <v>0</v>
      </c>
      <c r="U2110" s="4">
        <v>100.48</v>
      </c>
      <c r="V2110" s="4">
        <v>39.15</v>
      </c>
      <c r="W2110" t="s">
        <v>21</v>
      </c>
      <c r="X2110" t="s">
        <v>36</v>
      </c>
      <c r="Y2110" s="4">
        <v>0</v>
      </c>
      <c r="Z2110" s="4">
        <v>31</v>
      </c>
      <c r="AA2110" t="s">
        <v>37</v>
      </c>
      <c r="AB2110" t="s">
        <v>44</v>
      </c>
      <c r="AC2110" s="7">
        <v>1</v>
      </c>
      <c r="AD2110" t="s">
        <v>45</v>
      </c>
      <c r="AE2110">
        <f t="shared" si="32"/>
        <v>1</v>
      </c>
    </row>
    <row r="2111" spans="1:31" x14ac:dyDescent="0.35">
      <c r="A2111">
        <v>102110</v>
      </c>
      <c r="B2111" s="3">
        <v>46000</v>
      </c>
      <c r="C2111">
        <v>1133</v>
      </c>
      <c r="D2111" t="s">
        <v>64</v>
      </c>
      <c r="E2111" t="s">
        <v>65</v>
      </c>
      <c r="F2111" t="s">
        <v>41</v>
      </c>
      <c r="G2111" t="s">
        <v>50</v>
      </c>
      <c r="H2111" t="s">
        <v>51</v>
      </c>
      <c r="I2111" t="s">
        <v>54</v>
      </c>
      <c r="J2111" s="4">
        <v>22.26</v>
      </c>
      <c r="K2111" s="4">
        <v>18</v>
      </c>
      <c r="L2111">
        <v>0</v>
      </c>
      <c r="M2111" s="4">
        <v>0</v>
      </c>
      <c r="N2111" s="4">
        <v>400.68</v>
      </c>
      <c r="O2111" s="4">
        <v>187.88</v>
      </c>
      <c r="P2111" s="4">
        <v>12.14</v>
      </c>
      <c r="Q2111" s="4">
        <v>4.8099999999999996</v>
      </c>
      <c r="R2111" s="4">
        <v>10.93</v>
      </c>
      <c r="S2111" s="4">
        <v>0</v>
      </c>
      <c r="T2111" s="4">
        <v>0</v>
      </c>
      <c r="U2111" s="4">
        <v>215.76</v>
      </c>
      <c r="V2111" s="4">
        <v>184.92</v>
      </c>
      <c r="W2111" t="s">
        <v>21</v>
      </c>
      <c r="X2111" t="s">
        <v>36</v>
      </c>
      <c r="Y2111" s="4">
        <v>38</v>
      </c>
      <c r="Z2111" s="4">
        <v>4</v>
      </c>
      <c r="AA2111" t="s">
        <v>43</v>
      </c>
      <c r="AB2111" t="s">
        <v>44</v>
      </c>
      <c r="AC2111" s="7">
        <v>1</v>
      </c>
      <c r="AD2111" t="s">
        <v>45</v>
      </c>
      <c r="AE2111">
        <f t="shared" si="32"/>
        <v>1</v>
      </c>
    </row>
    <row r="2112" spans="1:31" x14ac:dyDescent="0.35">
      <c r="A2112">
        <v>102111</v>
      </c>
      <c r="B2112" s="3">
        <v>45933</v>
      </c>
      <c r="C2112">
        <v>1067</v>
      </c>
      <c r="D2112" t="s">
        <v>64</v>
      </c>
      <c r="E2112" t="s">
        <v>65</v>
      </c>
      <c r="F2112" t="s">
        <v>71</v>
      </c>
      <c r="G2112" t="s">
        <v>63</v>
      </c>
      <c r="H2112" t="s">
        <v>34</v>
      </c>
      <c r="I2112" t="s">
        <v>69</v>
      </c>
      <c r="J2112" s="4">
        <v>32.049999999999997</v>
      </c>
      <c r="K2112" s="4">
        <v>13.05</v>
      </c>
      <c r="L2112">
        <v>10</v>
      </c>
      <c r="M2112" s="4">
        <v>41.82</v>
      </c>
      <c r="N2112" s="4">
        <v>376.43</v>
      </c>
      <c r="O2112" s="4">
        <v>239.53</v>
      </c>
      <c r="P2112" s="4">
        <v>7.52</v>
      </c>
      <c r="Q2112" s="4">
        <v>1.67</v>
      </c>
      <c r="R2112" s="4">
        <v>10.23</v>
      </c>
      <c r="S2112" s="4">
        <v>0</v>
      </c>
      <c r="T2112" s="4">
        <v>0</v>
      </c>
      <c r="U2112" s="4">
        <v>258.95</v>
      </c>
      <c r="V2112" s="4">
        <v>117.48</v>
      </c>
      <c r="W2112" t="s">
        <v>21</v>
      </c>
      <c r="X2112" t="s">
        <v>36</v>
      </c>
      <c r="Y2112" s="4">
        <v>20</v>
      </c>
      <c r="Z2112" s="4">
        <v>3</v>
      </c>
      <c r="AA2112" t="s">
        <v>52</v>
      </c>
      <c r="AB2112" t="s">
        <v>38</v>
      </c>
      <c r="AC2112" s="7">
        <v>0</v>
      </c>
      <c r="AD2112" t="s">
        <v>39</v>
      </c>
      <c r="AE2112">
        <f t="shared" si="32"/>
        <v>0</v>
      </c>
    </row>
    <row r="2113" spans="1:31" x14ac:dyDescent="0.35">
      <c r="A2113">
        <v>102112</v>
      </c>
      <c r="B2113" s="3">
        <v>45954</v>
      </c>
      <c r="C2113">
        <v>1125</v>
      </c>
      <c r="D2113" t="s">
        <v>59</v>
      </c>
      <c r="E2113" t="s">
        <v>73</v>
      </c>
      <c r="F2113" t="s">
        <v>32</v>
      </c>
      <c r="G2113" t="s">
        <v>33</v>
      </c>
      <c r="H2113" t="s">
        <v>34</v>
      </c>
      <c r="I2113" t="s">
        <v>42</v>
      </c>
      <c r="J2113" s="4">
        <v>19.100000000000001</v>
      </c>
      <c r="K2113" s="4">
        <v>17.55</v>
      </c>
      <c r="L2113">
        <v>10</v>
      </c>
      <c r="M2113" s="4">
        <v>33.520000000000003</v>
      </c>
      <c r="N2113" s="4">
        <v>301.69</v>
      </c>
      <c r="O2113" s="4">
        <v>139.80000000000001</v>
      </c>
      <c r="P2113" s="4">
        <v>9.34</v>
      </c>
      <c r="Q2113" s="4">
        <v>5.03</v>
      </c>
      <c r="R2113" s="4">
        <v>0.42</v>
      </c>
      <c r="S2113" s="4">
        <v>304.77999999999997</v>
      </c>
      <c r="T2113" s="4">
        <v>0</v>
      </c>
      <c r="U2113" s="4">
        <v>459.37</v>
      </c>
      <c r="V2113" s="4">
        <v>-157.68</v>
      </c>
      <c r="W2113" t="s">
        <v>58</v>
      </c>
      <c r="X2113" t="s">
        <v>55</v>
      </c>
      <c r="Y2113" s="4">
        <v>8</v>
      </c>
      <c r="Z2113" s="4">
        <v>8</v>
      </c>
      <c r="AA2113" t="s">
        <v>37</v>
      </c>
      <c r="AB2113" t="s">
        <v>44</v>
      </c>
      <c r="AC2113" s="7">
        <v>1</v>
      </c>
      <c r="AD2113" t="s">
        <v>45</v>
      </c>
      <c r="AE2113">
        <f t="shared" si="32"/>
        <v>1</v>
      </c>
    </row>
    <row r="2114" spans="1:31" x14ac:dyDescent="0.35">
      <c r="A2114">
        <v>102113</v>
      </c>
      <c r="B2114" s="3">
        <v>45985</v>
      </c>
      <c r="C2114">
        <v>1139</v>
      </c>
      <c r="D2114" t="s">
        <v>30</v>
      </c>
      <c r="E2114" t="s">
        <v>62</v>
      </c>
      <c r="F2114" t="s">
        <v>61</v>
      </c>
      <c r="G2114" t="s">
        <v>63</v>
      </c>
      <c r="H2114" t="s">
        <v>51</v>
      </c>
      <c r="I2114" t="s">
        <v>35</v>
      </c>
      <c r="J2114" s="4">
        <v>24.8</v>
      </c>
      <c r="K2114" s="4">
        <v>12.32</v>
      </c>
      <c r="L2114">
        <v>10</v>
      </c>
      <c r="M2114" s="4">
        <v>30.55</v>
      </c>
      <c r="N2114" s="4">
        <v>274.99</v>
      </c>
      <c r="O2114" s="4">
        <v>182.23</v>
      </c>
      <c r="P2114" s="4">
        <v>6.14</v>
      </c>
      <c r="Q2114" s="4">
        <v>2.14</v>
      </c>
      <c r="R2114" s="4">
        <v>11.16</v>
      </c>
      <c r="S2114" s="4">
        <v>0</v>
      </c>
      <c r="T2114" s="4">
        <v>0</v>
      </c>
      <c r="U2114" s="4">
        <v>201.67</v>
      </c>
      <c r="V2114" s="4">
        <v>73.319999999999993</v>
      </c>
      <c r="W2114" t="s">
        <v>21</v>
      </c>
      <c r="X2114" t="s">
        <v>36</v>
      </c>
      <c r="Y2114" s="4">
        <v>23</v>
      </c>
      <c r="Z2114" s="4">
        <v>6</v>
      </c>
      <c r="AA2114" t="s">
        <v>52</v>
      </c>
      <c r="AB2114" t="s">
        <v>44</v>
      </c>
      <c r="AC2114" s="7">
        <v>1</v>
      </c>
      <c r="AD2114" t="s">
        <v>45</v>
      </c>
      <c r="AE2114">
        <f t="shared" si="32"/>
        <v>1</v>
      </c>
    </row>
    <row r="2115" spans="1:31" x14ac:dyDescent="0.35">
      <c r="A2115">
        <v>102114</v>
      </c>
      <c r="B2115" s="3">
        <v>45977</v>
      </c>
      <c r="C2115">
        <v>1086</v>
      </c>
      <c r="D2115" t="s">
        <v>64</v>
      </c>
      <c r="E2115" t="s">
        <v>65</v>
      </c>
      <c r="F2115" t="s">
        <v>32</v>
      </c>
      <c r="G2115" t="s">
        <v>63</v>
      </c>
      <c r="H2115" t="s">
        <v>51</v>
      </c>
      <c r="I2115" t="s">
        <v>35</v>
      </c>
      <c r="J2115" s="4">
        <v>11.74</v>
      </c>
      <c r="K2115" s="4">
        <v>12.48</v>
      </c>
      <c r="L2115">
        <v>15</v>
      </c>
      <c r="M2115" s="4">
        <v>21.98</v>
      </c>
      <c r="N2115" s="4">
        <v>124.54</v>
      </c>
      <c r="O2115" s="4">
        <v>88.29</v>
      </c>
      <c r="P2115" s="4">
        <v>6.43</v>
      </c>
      <c r="Q2115" s="4">
        <v>1.03</v>
      </c>
      <c r="R2115" s="4">
        <v>0</v>
      </c>
      <c r="S2115" s="4">
        <v>0</v>
      </c>
      <c r="T2115" s="4">
        <v>0</v>
      </c>
      <c r="U2115" s="4">
        <v>95.75</v>
      </c>
      <c r="V2115" s="4">
        <v>28.79</v>
      </c>
      <c r="W2115" t="s">
        <v>21</v>
      </c>
      <c r="X2115" t="s">
        <v>36</v>
      </c>
      <c r="Y2115" s="4">
        <v>2</v>
      </c>
      <c r="Z2115" s="4">
        <v>3</v>
      </c>
      <c r="AA2115" t="s">
        <v>37</v>
      </c>
      <c r="AB2115" t="s">
        <v>38</v>
      </c>
      <c r="AC2115" s="7">
        <v>0</v>
      </c>
      <c r="AD2115" t="s">
        <v>39</v>
      </c>
      <c r="AE2115">
        <f t="shared" ref="AE2115:AE2178" si="33">IF(AB2115="Yes",1,0)</f>
        <v>0</v>
      </c>
    </row>
    <row r="2116" spans="1:31" x14ac:dyDescent="0.35">
      <c r="A2116">
        <v>102115</v>
      </c>
      <c r="B2116" s="3">
        <v>45998</v>
      </c>
      <c r="C2116">
        <v>1126</v>
      </c>
      <c r="D2116" t="s">
        <v>30</v>
      </c>
      <c r="E2116" t="s">
        <v>62</v>
      </c>
      <c r="F2116" t="s">
        <v>49</v>
      </c>
      <c r="G2116" t="s">
        <v>46</v>
      </c>
      <c r="H2116" t="s">
        <v>51</v>
      </c>
      <c r="I2116" t="s">
        <v>69</v>
      </c>
      <c r="J2116" s="4">
        <v>22.93</v>
      </c>
      <c r="K2116" s="4">
        <v>15.41</v>
      </c>
      <c r="L2116">
        <v>0</v>
      </c>
      <c r="M2116" s="4">
        <v>0</v>
      </c>
      <c r="N2116" s="4">
        <v>353.35</v>
      </c>
      <c r="O2116" s="4">
        <v>136.84</v>
      </c>
      <c r="P2116" s="4">
        <v>4.91</v>
      </c>
      <c r="Q2116" s="4">
        <v>1.41</v>
      </c>
      <c r="R2116" s="4">
        <v>10.18</v>
      </c>
      <c r="S2116" s="4">
        <v>347.99</v>
      </c>
      <c r="T2116" s="4">
        <v>7.11</v>
      </c>
      <c r="U2116" s="4">
        <v>508.44</v>
      </c>
      <c r="V2116" s="4">
        <v>-155.09</v>
      </c>
      <c r="W2116" t="s">
        <v>58</v>
      </c>
      <c r="X2116" t="s">
        <v>66</v>
      </c>
      <c r="Y2116" s="4">
        <v>0</v>
      </c>
      <c r="Z2116" s="4">
        <v>12</v>
      </c>
      <c r="AA2116" t="s">
        <v>37</v>
      </c>
      <c r="AB2116" t="s">
        <v>38</v>
      </c>
      <c r="AC2116" s="7">
        <v>1</v>
      </c>
      <c r="AD2116" t="s">
        <v>45</v>
      </c>
      <c r="AE2116">
        <f t="shared" si="33"/>
        <v>0</v>
      </c>
    </row>
    <row r="2117" spans="1:31" x14ac:dyDescent="0.35">
      <c r="A2117">
        <v>102116</v>
      </c>
      <c r="B2117" s="3">
        <v>45952</v>
      </c>
      <c r="C2117">
        <v>1063</v>
      </c>
      <c r="D2117" t="s">
        <v>47</v>
      </c>
      <c r="E2117" t="s">
        <v>53</v>
      </c>
      <c r="F2117" t="s">
        <v>71</v>
      </c>
      <c r="G2117" t="s">
        <v>63</v>
      </c>
      <c r="H2117" t="s">
        <v>51</v>
      </c>
      <c r="I2117" t="s">
        <v>69</v>
      </c>
      <c r="J2117" s="4">
        <v>11.5</v>
      </c>
      <c r="K2117" s="4">
        <v>12.89</v>
      </c>
      <c r="L2117">
        <v>10</v>
      </c>
      <c r="M2117" s="4">
        <v>14.82</v>
      </c>
      <c r="N2117" s="4">
        <v>133.41999999999999</v>
      </c>
      <c r="O2117" s="4">
        <v>94.77</v>
      </c>
      <c r="P2117" s="4">
        <v>6.36</v>
      </c>
      <c r="Q2117" s="4">
        <v>0.59</v>
      </c>
      <c r="R2117" s="4">
        <v>4.95</v>
      </c>
      <c r="S2117" s="4">
        <v>110.05</v>
      </c>
      <c r="T2117" s="4">
        <v>10.35</v>
      </c>
      <c r="U2117" s="4">
        <v>227.07</v>
      </c>
      <c r="V2117" s="4">
        <v>-93.65</v>
      </c>
      <c r="W2117" t="s">
        <v>58</v>
      </c>
      <c r="X2117" t="s">
        <v>55</v>
      </c>
      <c r="Y2117" s="4">
        <v>7</v>
      </c>
      <c r="Z2117" s="4">
        <v>7</v>
      </c>
      <c r="AA2117" t="s">
        <v>37</v>
      </c>
      <c r="AB2117" t="s">
        <v>44</v>
      </c>
      <c r="AC2117" s="7">
        <v>3</v>
      </c>
      <c r="AD2117" t="s">
        <v>45</v>
      </c>
      <c r="AE2117">
        <f t="shared" si="33"/>
        <v>1</v>
      </c>
    </row>
    <row r="2118" spans="1:31" x14ac:dyDescent="0.35">
      <c r="A2118">
        <v>102117</v>
      </c>
      <c r="B2118" s="3">
        <v>45969</v>
      </c>
      <c r="C2118">
        <v>1137</v>
      </c>
      <c r="D2118" t="s">
        <v>30</v>
      </c>
      <c r="E2118" t="s">
        <v>62</v>
      </c>
      <c r="F2118" t="s">
        <v>49</v>
      </c>
      <c r="G2118" t="s">
        <v>63</v>
      </c>
      <c r="H2118" t="s">
        <v>51</v>
      </c>
      <c r="I2118" t="s">
        <v>69</v>
      </c>
      <c r="J2118" s="4">
        <v>17.89</v>
      </c>
      <c r="K2118" s="4">
        <v>13.98</v>
      </c>
      <c r="L2118">
        <v>15</v>
      </c>
      <c r="M2118" s="4">
        <v>37.520000000000003</v>
      </c>
      <c r="N2118" s="4">
        <v>212.58</v>
      </c>
      <c r="O2118" s="4">
        <v>137.54</v>
      </c>
      <c r="P2118" s="4">
        <v>6.37</v>
      </c>
      <c r="Q2118" s="4">
        <v>1</v>
      </c>
      <c r="R2118" s="4">
        <v>3.8</v>
      </c>
      <c r="S2118" s="4">
        <v>0</v>
      </c>
      <c r="T2118" s="4">
        <v>0</v>
      </c>
      <c r="U2118" s="4">
        <v>148.71</v>
      </c>
      <c r="V2118" s="4">
        <v>63.87</v>
      </c>
      <c r="W2118" t="s">
        <v>21</v>
      </c>
      <c r="X2118" t="s">
        <v>36</v>
      </c>
      <c r="Y2118" s="4">
        <v>0</v>
      </c>
      <c r="Z2118" s="4">
        <v>7</v>
      </c>
      <c r="AA2118" t="s">
        <v>37</v>
      </c>
      <c r="AB2118" t="s">
        <v>38</v>
      </c>
      <c r="AC2118" s="7">
        <v>0</v>
      </c>
      <c r="AD2118" t="s">
        <v>39</v>
      </c>
      <c r="AE2118">
        <f t="shared" si="33"/>
        <v>0</v>
      </c>
    </row>
    <row r="2119" spans="1:31" x14ac:dyDescent="0.35">
      <c r="A2119">
        <v>102118</v>
      </c>
      <c r="B2119" s="3">
        <v>45983</v>
      </c>
      <c r="C2119">
        <v>1080</v>
      </c>
      <c r="D2119" t="s">
        <v>59</v>
      </c>
      <c r="E2119" t="s">
        <v>73</v>
      </c>
      <c r="F2119" t="s">
        <v>61</v>
      </c>
      <c r="G2119" t="s">
        <v>63</v>
      </c>
      <c r="H2119" t="s">
        <v>57</v>
      </c>
      <c r="I2119" t="s">
        <v>35</v>
      </c>
      <c r="J2119" s="4">
        <v>21.72</v>
      </c>
      <c r="K2119" s="4">
        <v>12.73</v>
      </c>
      <c r="L2119">
        <v>15</v>
      </c>
      <c r="M2119" s="4">
        <v>41.48</v>
      </c>
      <c r="N2119" s="4">
        <v>235.02</v>
      </c>
      <c r="O2119" s="4">
        <v>138.93</v>
      </c>
      <c r="P2119" s="4">
        <v>7.03</v>
      </c>
      <c r="Q2119" s="4">
        <v>1.94</v>
      </c>
      <c r="R2119" s="4">
        <v>3.59</v>
      </c>
      <c r="S2119" s="4">
        <v>0</v>
      </c>
      <c r="T2119" s="4">
        <v>0</v>
      </c>
      <c r="U2119" s="4">
        <v>151.49</v>
      </c>
      <c r="V2119" s="4">
        <v>83.53</v>
      </c>
      <c r="W2119" t="s">
        <v>21</v>
      </c>
      <c r="X2119" t="s">
        <v>36</v>
      </c>
      <c r="Y2119" s="4">
        <v>7</v>
      </c>
      <c r="Z2119" s="4">
        <v>4</v>
      </c>
      <c r="AA2119" t="s">
        <v>37</v>
      </c>
      <c r="AB2119" t="s">
        <v>38</v>
      </c>
      <c r="AC2119" s="7">
        <v>0</v>
      </c>
      <c r="AD2119" t="s">
        <v>39</v>
      </c>
      <c r="AE2119">
        <f t="shared" si="33"/>
        <v>0</v>
      </c>
    </row>
    <row r="2120" spans="1:31" x14ac:dyDescent="0.35">
      <c r="A2120">
        <v>102119</v>
      </c>
      <c r="B2120" s="3">
        <v>46013</v>
      </c>
      <c r="C2120">
        <v>1075</v>
      </c>
      <c r="D2120" t="s">
        <v>47</v>
      </c>
      <c r="E2120" t="s">
        <v>53</v>
      </c>
      <c r="F2120" t="s">
        <v>49</v>
      </c>
      <c r="G2120" t="s">
        <v>63</v>
      </c>
      <c r="H2120" t="s">
        <v>34</v>
      </c>
      <c r="I2120" t="s">
        <v>42</v>
      </c>
      <c r="J2120" s="4">
        <v>17.3</v>
      </c>
      <c r="K2120" s="4">
        <v>12.98</v>
      </c>
      <c r="L2120">
        <v>0</v>
      </c>
      <c r="M2120" s="4">
        <v>0</v>
      </c>
      <c r="N2120" s="4">
        <v>224.55</v>
      </c>
      <c r="O2120" s="4">
        <v>131.9</v>
      </c>
      <c r="P2120" s="4">
        <v>11.26</v>
      </c>
      <c r="Q2120" s="4">
        <v>3.37</v>
      </c>
      <c r="R2120" s="4">
        <v>1.45</v>
      </c>
      <c r="S2120" s="4">
        <v>0</v>
      </c>
      <c r="T2120" s="4">
        <v>0</v>
      </c>
      <c r="U2120" s="4">
        <v>147.97999999999999</v>
      </c>
      <c r="V2120" s="4">
        <v>76.569999999999993</v>
      </c>
      <c r="W2120" t="s">
        <v>21</v>
      </c>
      <c r="X2120" t="s">
        <v>36</v>
      </c>
      <c r="Y2120" s="4">
        <v>2</v>
      </c>
      <c r="Z2120" s="4">
        <v>18</v>
      </c>
      <c r="AA2120" t="s">
        <v>37</v>
      </c>
      <c r="AB2120" t="s">
        <v>44</v>
      </c>
      <c r="AC2120" s="7">
        <v>2</v>
      </c>
      <c r="AD2120" t="s">
        <v>45</v>
      </c>
      <c r="AE2120">
        <f t="shared" si="33"/>
        <v>1</v>
      </c>
    </row>
    <row r="2121" spans="1:31" x14ac:dyDescent="0.35">
      <c r="A2121">
        <v>102120</v>
      </c>
      <c r="B2121" s="3">
        <v>45968</v>
      </c>
      <c r="C2121">
        <v>1062</v>
      </c>
      <c r="D2121" t="s">
        <v>47</v>
      </c>
      <c r="E2121" t="s">
        <v>53</v>
      </c>
      <c r="F2121" t="s">
        <v>71</v>
      </c>
      <c r="G2121" t="s">
        <v>50</v>
      </c>
      <c r="H2121" t="s">
        <v>34</v>
      </c>
      <c r="I2121" t="s">
        <v>35</v>
      </c>
      <c r="J2121" s="4">
        <v>32.81</v>
      </c>
      <c r="K2121" s="4">
        <v>17.420000000000002</v>
      </c>
      <c r="L2121">
        <v>15</v>
      </c>
      <c r="M2121" s="4">
        <v>85.73</v>
      </c>
      <c r="N2121" s="4">
        <v>485.82</v>
      </c>
      <c r="O2121" s="4">
        <v>226.22</v>
      </c>
      <c r="P2121" s="4">
        <v>6.91</v>
      </c>
      <c r="Q2121" s="4">
        <v>4</v>
      </c>
      <c r="R2121" s="4">
        <v>2.84</v>
      </c>
      <c r="S2121" s="4">
        <v>0</v>
      </c>
      <c r="T2121" s="4">
        <v>0</v>
      </c>
      <c r="U2121" s="4">
        <v>239.97</v>
      </c>
      <c r="V2121" s="4">
        <v>245.85</v>
      </c>
      <c r="W2121" t="s">
        <v>21</v>
      </c>
      <c r="X2121" t="s">
        <v>36</v>
      </c>
      <c r="Y2121" s="4">
        <v>2</v>
      </c>
      <c r="Z2121" s="4">
        <v>0</v>
      </c>
      <c r="AA2121" t="s">
        <v>37</v>
      </c>
      <c r="AB2121" t="s">
        <v>38</v>
      </c>
      <c r="AC2121" s="7">
        <v>0</v>
      </c>
      <c r="AD2121" t="s">
        <v>39</v>
      </c>
      <c r="AE2121">
        <f t="shared" si="33"/>
        <v>0</v>
      </c>
    </row>
    <row r="2122" spans="1:31" x14ac:dyDescent="0.35">
      <c r="A2122">
        <v>102121</v>
      </c>
      <c r="B2122" s="3">
        <v>46011</v>
      </c>
      <c r="C2122">
        <v>1002</v>
      </c>
      <c r="D2122" t="s">
        <v>30</v>
      </c>
      <c r="E2122" t="s">
        <v>31</v>
      </c>
      <c r="F2122" t="s">
        <v>32</v>
      </c>
      <c r="G2122" t="s">
        <v>46</v>
      </c>
      <c r="H2122" t="s">
        <v>34</v>
      </c>
      <c r="I2122" t="s">
        <v>35</v>
      </c>
      <c r="J2122" s="4">
        <v>30.89</v>
      </c>
      <c r="K2122" s="4">
        <v>15.37</v>
      </c>
      <c r="L2122">
        <v>5</v>
      </c>
      <c r="M2122" s="4">
        <v>23.74</v>
      </c>
      <c r="N2122" s="4">
        <v>451.04</v>
      </c>
      <c r="O2122" s="4">
        <v>287.24</v>
      </c>
      <c r="P2122" s="4">
        <v>7.22</v>
      </c>
      <c r="Q2122" s="4">
        <v>3.32</v>
      </c>
      <c r="R2122" s="4">
        <v>2.54</v>
      </c>
      <c r="S2122" s="4">
        <v>0</v>
      </c>
      <c r="T2122" s="4">
        <v>0</v>
      </c>
      <c r="U2122" s="4">
        <v>300.32</v>
      </c>
      <c r="V2122" s="4">
        <v>150.72</v>
      </c>
      <c r="W2122" t="s">
        <v>21</v>
      </c>
      <c r="X2122" t="s">
        <v>36</v>
      </c>
      <c r="Y2122" s="4">
        <v>4</v>
      </c>
      <c r="Z2122" s="4">
        <v>8</v>
      </c>
      <c r="AA2122" t="s">
        <v>37</v>
      </c>
      <c r="AB2122" t="s">
        <v>38</v>
      </c>
      <c r="AC2122" s="7">
        <v>2</v>
      </c>
      <c r="AD2122" t="s">
        <v>39</v>
      </c>
      <c r="AE2122">
        <f t="shared" si="33"/>
        <v>0</v>
      </c>
    </row>
    <row r="2123" spans="1:31" x14ac:dyDescent="0.35">
      <c r="A2123">
        <v>102122</v>
      </c>
      <c r="B2123" s="3">
        <v>46009</v>
      </c>
      <c r="C2123">
        <v>1105</v>
      </c>
      <c r="D2123" t="s">
        <v>30</v>
      </c>
      <c r="E2123" t="s">
        <v>72</v>
      </c>
      <c r="F2123" t="s">
        <v>61</v>
      </c>
      <c r="G2123" t="s">
        <v>50</v>
      </c>
      <c r="H2123" t="s">
        <v>34</v>
      </c>
      <c r="I2123" t="s">
        <v>35</v>
      </c>
      <c r="J2123" s="4">
        <v>30.98</v>
      </c>
      <c r="K2123" s="4">
        <v>17.63</v>
      </c>
      <c r="L2123">
        <v>0</v>
      </c>
      <c r="M2123" s="4">
        <v>0</v>
      </c>
      <c r="N2123" s="4">
        <v>546.17999999999995</v>
      </c>
      <c r="O2123" s="4">
        <v>237.92</v>
      </c>
      <c r="P2123" s="4">
        <v>12.63</v>
      </c>
      <c r="Q2123" s="4">
        <v>3.82</v>
      </c>
      <c r="R2123" s="4">
        <v>2.91</v>
      </c>
      <c r="S2123" s="4">
        <v>0</v>
      </c>
      <c r="T2123" s="4">
        <v>0</v>
      </c>
      <c r="U2123" s="4">
        <v>257.27999999999997</v>
      </c>
      <c r="V2123" s="4">
        <v>288.89999999999998</v>
      </c>
      <c r="W2123" t="s">
        <v>21</v>
      </c>
      <c r="X2123" t="s">
        <v>36</v>
      </c>
      <c r="Y2123" s="4">
        <v>2</v>
      </c>
      <c r="Z2123" s="4">
        <v>8</v>
      </c>
      <c r="AA2123" t="s">
        <v>37</v>
      </c>
      <c r="AB2123" t="s">
        <v>38</v>
      </c>
      <c r="AC2123" s="7">
        <v>0</v>
      </c>
      <c r="AD2123" t="s">
        <v>39</v>
      </c>
      <c r="AE2123">
        <f t="shared" si="33"/>
        <v>0</v>
      </c>
    </row>
    <row r="2124" spans="1:31" x14ac:dyDescent="0.35">
      <c r="A2124">
        <v>102123</v>
      </c>
      <c r="B2124" s="3">
        <v>45997</v>
      </c>
      <c r="C2124">
        <v>1093</v>
      </c>
      <c r="D2124" t="s">
        <v>64</v>
      </c>
      <c r="E2124" t="s">
        <v>65</v>
      </c>
      <c r="F2124" t="s">
        <v>41</v>
      </c>
      <c r="G2124" t="s">
        <v>50</v>
      </c>
      <c r="H2124" t="s">
        <v>57</v>
      </c>
      <c r="I2124" t="s">
        <v>35</v>
      </c>
      <c r="J2124" s="4">
        <v>30.66</v>
      </c>
      <c r="K2124" s="4">
        <v>17.46</v>
      </c>
      <c r="L2124">
        <v>5</v>
      </c>
      <c r="M2124" s="4">
        <v>26.77</v>
      </c>
      <c r="N2124" s="4">
        <v>508.55</v>
      </c>
      <c r="O2124" s="4">
        <v>225.49</v>
      </c>
      <c r="P2124" s="4">
        <v>8.8699999999999992</v>
      </c>
      <c r="Q2124" s="4">
        <v>3.75</v>
      </c>
      <c r="R2124" s="4">
        <v>4.5999999999999996</v>
      </c>
      <c r="S2124" s="4">
        <v>0</v>
      </c>
      <c r="T2124" s="4">
        <v>0</v>
      </c>
      <c r="U2124" s="4">
        <v>242.71</v>
      </c>
      <c r="V2124" s="4">
        <v>265.83999999999997</v>
      </c>
      <c r="W2124" t="s">
        <v>21</v>
      </c>
      <c r="X2124" t="s">
        <v>36</v>
      </c>
      <c r="Y2124" s="4">
        <v>5</v>
      </c>
      <c r="Z2124" s="4">
        <v>19</v>
      </c>
      <c r="AA2124" t="s">
        <v>37</v>
      </c>
      <c r="AB2124" t="s">
        <v>44</v>
      </c>
      <c r="AC2124" s="7">
        <v>1</v>
      </c>
      <c r="AD2124" t="s">
        <v>45</v>
      </c>
      <c r="AE2124">
        <f t="shared" si="33"/>
        <v>1</v>
      </c>
    </row>
    <row r="2125" spans="1:31" x14ac:dyDescent="0.35">
      <c r="A2125">
        <v>102124</v>
      </c>
      <c r="B2125" s="3">
        <v>45933</v>
      </c>
      <c r="C2125">
        <v>1026</v>
      </c>
      <c r="D2125" t="s">
        <v>30</v>
      </c>
      <c r="E2125" t="s">
        <v>72</v>
      </c>
      <c r="F2125" t="s">
        <v>49</v>
      </c>
      <c r="G2125" t="s">
        <v>63</v>
      </c>
      <c r="H2125" t="s">
        <v>57</v>
      </c>
      <c r="I2125" t="s">
        <v>69</v>
      </c>
      <c r="J2125" s="4">
        <v>5.13</v>
      </c>
      <c r="K2125" s="4">
        <v>13.84</v>
      </c>
      <c r="L2125">
        <v>5</v>
      </c>
      <c r="M2125" s="4">
        <v>3.55</v>
      </c>
      <c r="N2125" s="4">
        <v>67.45</v>
      </c>
      <c r="O2125" s="4">
        <v>37.86</v>
      </c>
      <c r="P2125" s="4">
        <v>8.4</v>
      </c>
      <c r="Q2125" s="4">
        <v>0.28000000000000003</v>
      </c>
      <c r="R2125" s="4">
        <v>10.71</v>
      </c>
      <c r="S2125" s="4">
        <v>0</v>
      </c>
      <c r="T2125" s="4">
        <v>0</v>
      </c>
      <c r="U2125" s="4">
        <v>57.25</v>
      </c>
      <c r="V2125" s="4">
        <v>10.199999999999999</v>
      </c>
      <c r="W2125" t="s">
        <v>21</v>
      </c>
      <c r="X2125" t="s">
        <v>36</v>
      </c>
      <c r="Y2125" s="4">
        <v>5</v>
      </c>
      <c r="Z2125" s="4">
        <v>3</v>
      </c>
      <c r="AA2125" t="s">
        <v>37</v>
      </c>
      <c r="AB2125" t="s">
        <v>38</v>
      </c>
      <c r="AC2125" s="7">
        <v>2</v>
      </c>
      <c r="AD2125" t="s">
        <v>39</v>
      </c>
      <c r="AE2125">
        <f t="shared" si="33"/>
        <v>0</v>
      </c>
    </row>
    <row r="2126" spans="1:31" x14ac:dyDescent="0.35">
      <c r="A2126">
        <v>102125</v>
      </c>
      <c r="B2126" s="3">
        <v>45969</v>
      </c>
      <c r="C2126">
        <v>1109</v>
      </c>
      <c r="D2126" t="s">
        <v>30</v>
      </c>
      <c r="E2126" t="s">
        <v>72</v>
      </c>
      <c r="F2126" t="s">
        <v>32</v>
      </c>
      <c r="G2126" t="s">
        <v>33</v>
      </c>
      <c r="H2126" t="s">
        <v>34</v>
      </c>
      <c r="I2126" t="s">
        <v>35</v>
      </c>
      <c r="J2126" s="4">
        <v>30.71</v>
      </c>
      <c r="K2126" s="4">
        <v>18.329999999999998</v>
      </c>
      <c r="L2126">
        <v>15</v>
      </c>
      <c r="M2126" s="4">
        <v>84.44</v>
      </c>
      <c r="N2126" s="4">
        <v>478.47</v>
      </c>
      <c r="O2126" s="4">
        <v>258.44</v>
      </c>
      <c r="P2126" s="4">
        <v>8.65</v>
      </c>
      <c r="Q2126" s="4">
        <v>3.94</v>
      </c>
      <c r="R2126" s="4">
        <v>0.31</v>
      </c>
      <c r="S2126" s="4">
        <v>0</v>
      </c>
      <c r="T2126" s="4">
        <v>0</v>
      </c>
      <c r="U2126" s="4">
        <v>271.33999999999997</v>
      </c>
      <c r="V2126" s="4">
        <v>207.13</v>
      </c>
      <c r="W2126" t="s">
        <v>21</v>
      </c>
      <c r="X2126" t="s">
        <v>36</v>
      </c>
      <c r="Y2126" s="4">
        <v>8</v>
      </c>
      <c r="Z2126" s="4">
        <v>3</v>
      </c>
      <c r="AA2126" t="s">
        <v>37</v>
      </c>
      <c r="AB2126" t="s">
        <v>38</v>
      </c>
      <c r="AC2126" s="7">
        <v>0</v>
      </c>
      <c r="AD2126" t="s">
        <v>39</v>
      </c>
      <c r="AE2126">
        <f t="shared" si="33"/>
        <v>0</v>
      </c>
    </row>
    <row r="2127" spans="1:31" x14ac:dyDescent="0.35">
      <c r="A2127">
        <v>102126</v>
      </c>
      <c r="B2127" s="3">
        <v>45962</v>
      </c>
      <c r="C2127">
        <v>1098</v>
      </c>
      <c r="D2127" t="s">
        <v>47</v>
      </c>
      <c r="E2127" t="s">
        <v>74</v>
      </c>
      <c r="F2127" t="s">
        <v>71</v>
      </c>
      <c r="G2127" t="s">
        <v>63</v>
      </c>
      <c r="H2127" t="s">
        <v>57</v>
      </c>
      <c r="I2127" t="s">
        <v>35</v>
      </c>
      <c r="J2127" s="4">
        <v>9.3800000000000008</v>
      </c>
      <c r="K2127" s="4">
        <v>12.66</v>
      </c>
      <c r="L2127">
        <v>5</v>
      </c>
      <c r="M2127" s="4">
        <v>5.94</v>
      </c>
      <c r="N2127" s="4">
        <v>112.81</v>
      </c>
      <c r="O2127" s="4">
        <v>60.93</v>
      </c>
      <c r="P2127" s="4">
        <v>4.92</v>
      </c>
      <c r="Q2127" s="4">
        <v>0.83</v>
      </c>
      <c r="R2127" s="4">
        <v>7.02</v>
      </c>
      <c r="S2127" s="4">
        <v>0</v>
      </c>
      <c r="T2127" s="4">
        <v>0</v>
      </c>
      <c r="U2127" s="4">
        <v>73.7</v>
      </c>
      <c r="V2127" s="4">
        <v>39.11</v>
      </c>
      <c r="W2127" t="s">
        <v>21</v>
      </c>
      <c r="X2127" t="s">
        <v>36</v>
      </c>
      <c r="Y2127" s="4">
        <v>18</v>
      </c>
      <c r="Z2127" s="4">
        <v>6</v>
      </c>
      <c r="AA2127" t="s">
        <v>52</v>
      </c>
      <c r="AB2127" t="s">
        <v>38</v>
      </c>
      <c r="AC2127" s="7">
        <v>0</v>
      </c>
      <c r="AD2127" t="s">
        <v>39</v>
      </c>
      <c r="AE2127">
        <f t="shared" si="33"/>
        <v>0</v>
      </c>
    </row>
    <row r="2128" spans="1:31" x14ac:dyDescent="0.35">
      <c r="A2128">
        <v>102127</v>
      </c>
      <c r="B2128" s="3">
        <v>46014</v>
      </c>
      <c r="C2128">
        <v>1063</v>
      </c>
      <c r="D2128" t="s">
        <v>59</v>
      </c>
      <c r="E2128" t="s">
        <v>70</v>
      </c>
      <c r="F2128" t="s">
        <v>49</v>
      </c>
      <c r="G2128" t="s">
        <v>33</v>
      </c>
      <c r="H2128" t="s">
        <v>34</v>
      </c>
      <c r="I2128" t="s">
        <v>35</v>
      </c>
      <c r="J2128" s="4">
        <v>36.090000000000003</v>
      </c>
      <c r="K2128" s="4">
        <v>19.55</v>
      </c>
      <c r="L2128">
        <v>10</v>
      </c>
      <c r="M2128" s="4">
        <v>70.56</v>
      </c>
      <c r="N2128" s="4">
        <v>635</v>
      </c>
      <c r="O2128" s="4">
        <v>202.8</v>
      </c>
      <c r="P2128" s="4">
        <v>8.66</v>
      </c>
      <c r="Q2128" s="4">
        <v>4.9400000000000004</v>
      </c>
      <c r="R2128" s="4">
        <v>6.49</v>
      </c>
      <c r="S2128" s="4">
        <v>0</v>
      </c>
      <c r="T2128" s="4">
        <v>0</v>
      </c>
      <c r="U2128" s="4">
        <v>222.89</v>
      </c>
      <c r="V2128" s="4">
        <v>412.11</v>
      </c>
      <c r="W2128" t="s">
        <v>21</v>
      </c>
      <c r="X2128" t="s">
        <v>36</v>
      </c>
      <c r="Y2128" s="4">
        <v>17</v>
      </c>
      <c r="Z2128" s="4">
        <v>12</v>
      </c>
      <c r="AA2128" t="s">
        <v>52</v>
      </c>
      <c r="AB2128" t="s">
        <v>38</v>
      </c>
      <c r="AC2128" s="7">
        <v>0</v>
      </c>
      <c r="AD2128" t="s">
        <v>39</v>
      </c>
      <c r="AE2128">
        <f t="shared" si="33"/>
        <v>0</v>
      </c>
    </row>
    <row r="2129" spans="1:31" x14ac:dyDescent="0.35">
      <c r="A2129">
        <v>102128</v>
      </c>
      <c r="B2129" s="3">
        <v>45978</v>
      </c>
      <c r="C2129">
        <v>1048</v>
      </c>
      <c r="D2129" t="s">
        <v>59</v>
      </c>
      <c r="E2129" t="s">
        <v>68</v>
      </c>
      <c r="F2129" t="s">
        <v>41</v>
      </c>
      <c r="G2129" t="s">
        <v>63</v>
      </c>
      <c r="H2129" t="s">
        <v>51</v>
      </c>
      <c r="I2129" t="s">
        <v>54</v>
      </c>
      <c r="J2129" s="4">
        <v>21.29</v>
      </c>
      <c r="K2129" s="4">
        <v>13.62</v>
      </c>
      <c r="L2129">
        <v>10</v>
      </c>
      <c r="M2129" s="4">
        <v>29</v>
      </c>
      <c r="N2129" s="4">
        <v>260.97000000000003</v>
      </c>
      <c r="O2129" s="4">
        <v>166</v>
      </c>
      <c r="P2129" s="4">
        <v>7.9</v>
      </c>
      <c r="Q2129" s="4">
        <v>3.48</v>
      </c>
      <c r="R2129" s="4">
        <v>1.1499999999999999</v>
      </c>
      <c r="S2129" s="4">
        <v>0</v>
      </c>
      <c r="T2129" s="4">
        <v>0</v>
      </c>
      <c r="U2129" s="4">
        <v>178.53</v>
      </c>
      <c r="V2129" s="4">
        <v>82.44</v>
      </c>
      <c r="W2129" t="s">
        <v>21</v>
      </c>
      <c r="X2129" t="s">
        <v>36</v>
      </c>
      <c r="Y2129" s="4">
        <v>2</v>
      </c>
      <c r="Z2129" s="4">
        <v>20</v>
      </c>
      <c r="AA2129" t="s">
        <v>37</v>
      </c>
      <c r="AB2129" t="s">
        <v>44</v>
      </c>
      <c r="AC2129" s="7">
        <v>1</v>
      </c>
      <c r="AD2129" t="s">
        <v>45</v>
      </c>
      <c r="AE2129">
        <f t="shared" si="33"/>
        <v>1</v>
      </c>
    </row>
    <row r="2130" spans="1:31" x14ac:dyDescent="0.35">
      <c r="A2130">
        <v>102129</v>
      </c>
      <c r="B2130" s="3">
        <v>45985</v>
      </c>
      <c r="C2130">
        <v>1027</v>
      </c>
      <c r="D2130" t="s">
        <v>47</v>
      </c>
      <c r="E2130" t="s">
        <v>48</v>
      </c>
      <c r="F2130" t="s">
        <v>41</v>
      </c>
      <c r="G2130" t="s">
        <v>50</v>
      </c>
      <c r="H2130" t="s">
        <v>34</v>
      </c>
      <c r="I2130" t="s">
        <v>35</v>
      </c>
      <c r="J2130" s="4">
        <v>31.63</v>
      </c>
      <c r="K2130" s="4">
        <v>19.36</v>
      </c>
      <c r="L2130">
        <v>5</v>
      </c>
      <c r="M2130" s="4">
        <v>30.62</v>
      </c>
      <c r="N2130" s="4">
        <v>581.74</v>
      </c>
      <c r="O2130" s="4">
        <v>197.32</v>
      </c>
      <c r="P2130" s="4">
        <v>6.3</v>
      </c>
      <c r="Q2130" s="4">
        <v>4.29</v>
      </c>
      <c r="R2130" s="4">
        <v>0.02</v>
      </c>
      <c r="S2130" s="4">
        <v>0</v>
      </c>
      <c r="T2130" s="4">
        <v>0</v>
      </c>
      <c r="U2130" s="4">
        <v>207.93</v>
      </c>
      <c r="V2130" s="4">
        <v>373.81</v>
      </c>
      <c r="W2130" t="s">
        <v>21</v>
      </c>
      <c r="X2130" t="s">
        <v>36</v>
      </c>
      <c r="Y2130" s="4">
        <v>5</v>
      </c>
      <c r="Z2130" s="4">
        <v>24</v>
      </c>
      <c r="AA2130" t="s">
        <v>37</v>
      </c>
      <c r="AB2130" t="s">
        <v>44</v>
      </c>
      <c r="AC2130" s="7">
        <v>2</v>
      </c>
      <c r="AD2130" t="s">
        <v>45</v>
      </c>
      <c r="AE2130">
        <f t="shared" si="33"/>
        <v>1</v>
      </c>
    </row>
    <row r="2131" spans="1:31" x14ac:dyDescent="0.35">
      <c r="A2131">
        <v>102130</v>
      </c>
      <c r="B2131" s="3">
        <v>46016</v>
      </c>
      <c r="C2131">
        <v>1077</v>
      </c>
      <c r="D2131" t="s">
        <v>47</v>
      </c>
      <c r="E2131" t="s">
        <v>48</v>
      </c>
      <c r="F2131" t="s">
        <v>49</v>
      </c>
      <c r="G2131" t="s">
        <v>46</v>
      </c>
      <c r="H2131" t="s">
        <v>51</v>
      </c>
      <c r="I2131" t="s">
        <v>35</v>
      </c>
      <c r="J2131" s="4">
        <v>31.19</v>
      </c>
      <c r="K2131" s="4">
        <v>15.93</v>
      </c>
      <c r="L2131">
        <v>0</v>
      </c>
      <c r="M2131" s="4">
        <v>0</v>
      </c>
      <c r="N2131" s="4">
        <v>496.86</v>
      </c>
      <c r="O2131" s="4">
        <v>241.1</v>
      </c>
      <c r="P2131" s="4">
        <v>7.94</v>
      </c>
      <c r="Q2131" s="4">
        <v>3.48</v>
      </c>
      <c r="R2131" s="4">
        <v>5.94</v>
      </c>
      <c r="S2131" s="4">
        <v>0</v>
      </c>
      <c r="T2131" s="4">
        <v>0</v>
      </c>
      <c r="U2131" s="4">
        <v>258.45999999999998</v>
      </c>
      <c r="V2131" s="4">
        <v>238.4</v>
      </c>
      <c r="W2131" t="s">
        <v>21</v>
      </c>
      <c r="X2131" t="s">
        <v>36</v>
      </c>
      <c r="Y2131" s="4">
        <v>21</v>
      </c>
      <c r="Z2131" s="4">
        <v>26</v>
      </c>
      <c r="AA2131" t="s">
        <v>52</v>
      </c>
      <c r="AB2131" t="s">
        <v>44</v>
      </c>
      <c r="AC2131" s="7">
        <v>2</v>
      </c>
      <c r="AD2131" t="s">
        <v>45</v>
      </c>
      <c r="AE2131">
        <f t="shared" si="33"/>
        <v>1</v>
      </c>
    </row>
    <row r="2132" spans="1:31" x14ac:dyDescent="0.35">
      <c r="A2132">
        <v>102131</v>
      </c>
      <c r="B2132" s="3">
        <v>45987</v>
      </c>
      <c r="C2132">
        <v>1081</v>
      </c>
      <c r="D2132" t="s">
        <v>59</v>
      </c>
      <c r="E2132" t="s">
        <v>60</v>
      </c>
      <c r="F2132" t="s">
        <v>41</v>
      </c>
      <c r="G2132" t="s">
        <v>63</v>
      </c>
      <c r="H2132" t="s">
        <v>57</v>
      </c>
      <c r="I2132" t="s">
        <v>54</v>
      </c>
      <c r="J2132" s="4">
        <v>19.239999999999998</v>
      </c>
      <c r="K2132" s="4">
        <v>11.66</v>
      </c>
      <c r="L2132">
        <v>15</v>
      </c>
      <c r="M2132" s="4">
        <v>33.65</v>
      </c>
      <c r="N2132" s="4">
        <v>190.69</v>
      </c>
      <c r="O2132" s="4">
        <v>123.83</v>
      </c>
      <c r="P2132" s="4">
        <v>4.5</v>
      </c>
      <c r="Q2132" s="4">
        <v>2.69</v>
      </c>
      <c r="R2132" s="4">
        <v>3.85</v>
      </c>
      <c r="S2132" s="4">
        <v>0</v>
      </c>
      <c r="T2132" s="4">
        <v>0</v>
      </c>
      <c r="U2132" s="4">
        <v>134.87</v>
      </c>
      <c r="V2132" s="4">
        <v>55.82</v>
      </c>
      <c r="W2132" t="s">
        <v>21</v>
      </c>
      <c r="X2132" t="s">
        <v>36</v>
      </c>
      <c r="Y2132" s="4">
        <v>8</v>
      </c>
      <c r="Z2132" s="4">
        <v>2</v>
      </c>
      <c r="AA2132" t="s">
        <v>37</v>
      </c>
      <c r="AB2132" t="s">
        <v>38</v>
      </c>
      <c r="AC2132" s="7">
        <v>0</v>
      </c>
      <c r="AD2132" t="s">
        <v>39</v>
      </c>
      <c r="AE2132">
        <f t="shared" si="33"/>
        <v>0</v>
      </c>
    </row>
    <row r="2133" spans="1:31" x14ac:dyDescent="0.35">
      <c r="A2133">
        <v>102132</v>
      </c>
      <c r="B2133" s="3">
        <v>45952</v>
      </c>
      <c r="C2133">
        <v>1069</v>
      </c>
      <c r="D2133" t="s">
        <v>64</v>
      </c>
      <c r="E2133" t="s">
        <v>76</v>
      </c>
      <c r="F2133" t="s">
        <v>61</v>
      </c>
      <c r="G2133" t="s">
        <v>46</v>
      </c>
      <c r="H2133" t="s">
        <v>34</v>
      </c>
      <c r="I2133" t="s">
        <v>35</v>
      </c>
      <c r="J2133" s="4">
        <v>30.22</v>
      </c>
      <c r="K2133" s="4">
        <v>14.9</v>
      </c>
      <c r="L2133">
        <v>0</v>
      </c>
      <c r="M2133" s="4">
        <v>0</v>
      </c>
      <c r="N2133" s="4">
        <v>450.28</v>
      </c>
      <c r="O2133" s="4">
        <v>197.82</v>
      </c>
      <c r="P2133" s="4">
        <v>4.4800000000000004</v>
      </c>
      <c r="Q2133" s="4">
        <v>3.15</v>
      </c>
      <c r="R2133" s="4">
        <v>6.84</v>
      </c>
      <c r="S2133" s="4">
        <v>0</v>
      </c>
      <c r="T2133" s="4">
        <v>0</v>
      </c>
      <c r="U2133" s="4">
        <v>212.29</v>
      </c>
      <c r="V2133" s="4">
        <v>237.99</v>
      </c>
      <c r="W2133" t="s">
        <v>21</v>
      </c>
      <c r="X2133" t="s">
        <v>36</v>
      </c>
      <c r="Y2133" s="4">
        <v>1</v>
      </c>
      <c r="Z2133" s="4">
        <v>20</v>
      </c>
      <c r="AA2133" t="s">
        <v>37</v>
      </c>
      <c r="AB2133" t="s">
        <v>44</v>
      </c>
      <c r="AC2133" s="7">
        <v>4</v>
      </c>
      <c r="AD2133" t="s">
        <v>45</v>
      </c>
      <c r="AE2133">
        <f t="shared" si="33"/>
        <v>1</v>
      </c>
    </row>
    <row r="2134" spans="1:31" x14ac:dyDescent="0.35">
      <c r="A2134">
        <v>102133</v>
      </c>
      <c r="B2134" s="3">
        <v>45965</v>
      </c>
      <c r="C2134">
        <v>1077</v>
      </c>
      <c r="D2134" t="s">
        <v>30</v>
      </c>
      <c r="E2134" t="s">
        <v>62</v>
      </c>
      <c r="F2134" t="s">
        <v>49</v>
      </c>
      <c r="G2134" t="s">
        <v>50</v>
      </c>
      <c r="H2134" t="s">
        <v>57</v>
      </c>
      <c r="I2134" t="s">
        <v>42</v>
      </c>
      <c r="J2134" s="4">
        <v>23.71</v>
      </c>
      <c r="K2134" s="4">
        <v>17.579999999999998</v>
      </c>
      <c r="L2134">
        <v>0</v>
      </c>
      <c r="M2134" s="4">
        <v>0</v>
      </c>
      <c r="N2134" s="4">
        <v>416.82</v>
      </c>
      <c r="O2134" s="4">
        <v>151.07</v>
      </c>
      <c r="P2134" s="4">
        <v>10.36</v>
      </c>
      <c r="Q2134" s="4">
        <v>6.25</v>
      </c>
      <c r="R2134" s="4">
        <v>4.97</v>
      </c>
      <c r="S2134" s="4">
        <v>0</v>
      </c>
      <c r="T2134" s="4">
        <v>0</v>
      </c>
      <c r="U2134" s="4">
        <v>172.65</v>
      </c>
      <c r="V2134" s="4">
        <v>244.17</v>
      </c>
      <c r="W2134" t="s">
        <v>21</v>
      </c>
      <c r="X2134" t="s">
        <v>36</v>
      </c>
      <c r="Y2134" s="4">
        <v>43</v>
      </c>
      <c r="Z2134" s="4">
        <v>25</v>
      </c>
      <c r="AA2134" t="s">
        <v>43</v>
      </c>
      <c r="AB2134" t="s">
        <v>44</v>
      </c>
      <c r="AC2134" s="7">
        <v>1</v>
      </c>
      <c r="AD2134" t="s">
        <v>45</v>
      </c>
      <c r="AE2134">
        <f t="shared" si="33"/>
        <v>1</v>
      </c>
    </row>
    <row r="2135" spans="1:31" x14ac:dyDescent="0.35">
      <c r="A2135">
        <v>102134</v>
      </c>
      <c r="B2135" s="3">
        <v>45983</v>
      </c>
      <c r="C2135">
        <v>1007</v>
      </c>
      <c r="D2135" t="s">
        <v>30</v>
      </c>
      <c r="E2135" t="s">
        <v>40</v>
      </c>
      <c r="F2135" t="s">
        <v>49</v>
      </c>
      <c r="G2135" t="s">
        <v>63</v>
      </c>
      <c r="H2135" t="s">
        <v>57</v>
      </c>
      <c r="I2135" t="s">
        <v>54</v>
      </c>
      <c r="J2135" s="4">
        <v>24.34</v>
      </c>
      <c r="K2135" s="4">
        <v>13.56</v>
      </c>
      <c r="L2135">
        <v>5</v>
      </c>
      <c r="M2135" s="4">
        <v>16.5</v>
      </c>
      <c r="N2135" s="4">
        <v>313.55</v>
      </c>
      <c r="O2135" s="4">
        <v>165.41</v>
      </c>
      <c r="P2135" s="4">
        <v>3.69</v>
      </c>
      <c r="Q2135" s="4">
        <v>3.96</v>
      </c>
      <c r="R2135" s="4">
        <v>5.03</v>
      </c>
      <c r="S2135" s="4">
        <v>221.8</v>
      </c>
      <c r="T2135" s="4">
        <v>11.75</v>
      </c>
      <c r="U2135" s="4">
        <v>411.64</v>
      </c>
      <c r="V2135" s="4">
        <v>-98.09</v>
      </c>
      <c r="W2135" t="s">
        <v>58</v>
      </c>
      <c r="X2135" t="s">
        <v>66</v>
      </c>
      <c r="Y2135" s="4">
        <v>20</v>
      </c>
      <c r="Z2135" s="4">
        <v>7</v>
      </c>
      <c r="AA2135" t="s">
        <v>52</v>
      </c>
      <c r="AB2135" t="s">
        <v>38</v>
      </c>
      <c r="AC2135" s="7">
        <v>1</v>
      </c>
      <c r="AD2135" t="s">
        <v>45</v>
      </c>
      <c r="AE2135">
        <f t="shared" si="33"/>
        <v>0</v>
      </c>
    </row>
    <row r="2136" spans="1:31" x14ac:dyDescent="0.35">
      <c r="A2136">
        <v>102135</v>
      </c>
      <c r="B2136" s="3">
        <v>46022</v>
      </c>
      <c r="C2136">
        <v>1057</v>
      </c>
      <c r="D2136" t="s">
        <v>47</v>
      </c>
      <c r="E2136" t="s">
        <v>48</v>
      </c>
      <c r="F2136" t="s">
        <v>71</v>
      </c>
      <c r="G2136" t="s">
        <v>33</v>
      </c>
      <c r="H2136" t="s">
        <v>34</v>
      </c>
      <c r="I2136" t="s">
        <v>35</v>
      </c>
      <c r="J2136" s="4">
        <v>27.35</v>
      </c>
      <c r="K2136" s="4">
        <v>19.82</v>
      </c>
      <c r="L2136">
        <v>15</v>
      </c>
      <c r="M2136" s="4">
        <v>81.31</v>
      </c>
      <c r="N2136" s="4">
        <v>460.77</v>
      </c>
      <c r="O2136" s="4">
        <v>222.99</v>
      </c>
      <c r="P2136" s="4">
        <v>12.34</v>
      </c>
      <c r="Q2136" s="4">
        <v>3.79</v>
      </c>
      <c r="R2136" s="4">
        <v>6.83</v>
      </c>
      <c r="S2136" s="4">
        <v>0</v>
      </c>
      <c r="T2136" s="4">
        <v>0</v>
      </c>
      <c r="U2136" s="4">
        <v>245.95</v>
      </c>
      <c r="V2136" s="4">
        <v>214.82</v>
      </c>
      <c r="W2136" t="s">
        <v>21</v>
      </c>
      <c r="X2136" t="s">
        <v>36</v>
      </c>
      <c r="Y2136" s="4">
        <v>3</v>
      </c>
      <c r="Z2136" s="4">
        <v>3</v>
      </c>
      <c r="AA2136" t="s">
        <v>37</v>
      </c>
      <c r="AB2136" t="s">
        <v>38</v>
      </c>
      <c r="AC2136" s="7">
        <v>0</v>
      </c>
      <c r="AD2136" t="s">
        <v>39</v>
      </c>
      <c r="AE2136">
        <f t="shared" si="33"/>
        <v>0</v>
      </c>
    </row>
    <row r="2137" spans="1:31" x14ac:dyDescent="0.35">
      <c r="A2137">
        <v>102136</v>
      </c>
      <c r="B2137" s="3">
        <v>45961</v>
      </c>
      <c r="C2137">
        <v>1020</v>
      </c>
      <c r="D2137" t="s">
        <v>64</v>
      </c>
      <c r="E2137" t="s">
        <v>65</v>
      </c>
      <c r="F2137" t="s">
        <v>41</v>
      </c>
      <c r="G2137" t="s">
        <v>63</v>
      </c>
      <c r="H2137" t="s">
        <v>34</v>
      </c>
      <c r="I2137" t="s">
        <v>54</v>
      </c>
      <c r="J2137" s="4">
        <v>16.66</v>
      </c>
      <c r="K2137" s="4">
        <v>15.02</v>
      </c>
      <c r="L2137">
        <v>0</v>
      </c>
      <c r="M2137" s="4">
        <v>0</v>
      </c>
      <c r="N2137" s="4">
        <v>250.23</v>
      </c>
      <c r="O2137" s="4">
        <v>145.46</v>
      </c>
      <c r="P2137" s="4">
        <v>3.18</v>
      </c>
      <c r="Q2137" s="4">
        <v>3</v>
      </c>
      <c r="R2137" s="4">
        <v>11.73</v>
      </c>
      <c r="S2137" s="4">
        <v>0</v>
      </c>
      <c r="T2137" s="4">
        <v>0</v>
      </c>
      <c r="U2137" s="4">
        <v>163.37</v>
      </c>
      <c r="V2137" s="4">
        <v>86.86</v>
      </c>
      <c r="W2137" t="s">
        <v>21</v>
      </c>
      <c r="X2137" t="s">
        <v>36</v>
      </c>
      <c r="Y2137" s="4">
        <v>24</v>
      </c>
      <c r="Z2137" s="4">
        <v>19</v>
      </c>
      <c r="AA2137" t="s">
        <v>52</v>
      </c>
      <c r="AB2137" t="s">
        <v>44</v>
      </c>
      <c r="AC2137" s="7">
        <v>4</v>
      </c>
      <c r="AD2137" t="s">
        <v>45</v>
      </c>
      <c r="AE2137">
        <f t="shared" si="33"/>
        <v>1</v>
      </c>
    </row>
    <row r="2138" spans="1:31" x14ac:dyDescent="0.35">
      <c r="A2138">
        <v>102137</v>
      </c>
      <c r="B2138" s="3">
        <v>45961</v>
      </c>
      <c r="C2138">
        <v>1030</v>
      </c>
      <c r="D2138" t="s">
        <v>30</v>
      </c>
      <c r="E2138" t="s">
        <v>31</v>
      </c>
      <c r="F2138" t="s">
        <v>49</v>
      </c>
      <c r="G2138" t="s">
        <v>63</v>
      </c>
      <c r="H2138" t="s">
        <v>34</v>
      </c>
      <c r="I2138" t="s">
        <v>42</v>
      </c>
      <c r="J2138" s="4">
        <v>20.440000000000001</v>
      </c>
      <c r="K2138" s="4">
        <v>12.58</v>
      </c>
      <c r="L2138">
        <v>0</v>
      </c>
      <c r="M2138" s="4">
        <v>0</v>
      </c>
      <c r="N2138" s="4">
        <v>257.14</v>
      </c>
      <c r="O2138" s="4">
        <v>124.11</v>
      </c>
      <c r="P2138" s="4">
        <v>11.37</v>
      </c>
      <c r="Q2138" s="4">
        <v>3.86</v>
      </c>
      <c r="R2138" s="4">
        <v>5.61</v>
      </c>
      <c r="S2138" s="4">
        <v>0</v>
      </c>
      <c r="T2138" s="4">
        <v>0</v>
      </c>
      <c r="U2138" s="4">
        <v>144.94999999999999</v>
      </c>
      <c r="V2138" s="4">
        <v>112.19</v>
      </c>
      <c r="W2138" t="s">
        <v>21</v>
      </c>
      <c r="X2138" t="s">
        <v>36</v>
      </c>
      <c r="Y2138" s="4">
        <v>3</v>
      </c>
      <c r="Z2138" s="4">
        <v>1</v>
      </c>
      <c r="AA2138" t="s">
        <v>37</v>
      </c>
      <c r="AB2138" t="s">
        <v>38</v>
      </c>
      <c r="AC2138" s="7">
        <v>0</v>
      </c>
      <c r="AD2138" t="s">
        <v>39</v>
      </c>
      <c r="AE2138">
        <f t="shared" si="33"/>
        <v>0</v>
      </c>
    </row>
    <row r="2139" spans="1:31" x14ac:dyDescent="0.35">
      <c r="A2139">
        <v>102138</v>
      </c>
      <c r="B2139" s="3">
        <v>45997</v>
      </c>
      <c r="C2139">
        <v>1094</v>
      </c>
      <c r="D2139" t="s">
        <v>64</v>
      </c>
      <c r="E2139" t="s">
        <v>75</v>
      </c>
      <c r="F2139" t="s">
        <v>71</v>
      </c>
      <c r="G2139" t="s">
        <v>63</v>
      </c>
      <c r="H2139" t="s">
        <v>57</v>
      </c>
      <c r="I2139" t="s">
        <v>69</v>
      </c>
      <c r="J2139" s="4">
        <v>10.9</v>
      </c>
      <c r="K2139" s="4">
        <v>11.85</v>
      </c>
      <c r="L2139">
        <v>10</v>
      </c>
      <c r="M2139" s="4">
        <v>12.92</v>
      </c>
      <c r="N2139" s="4">
        <v>116.24</v>
      </c>
      <c r="O2139" s="4">
        <v>85.1</v>
      </c>
      <c r="P2139" s="4">
        <v>7.58</v>
      </c>
      <c r="Q2139" s="4">
        <v>0.52</v>
      </c>
      <c r="R2139" s="4">
        <v>0.52</v>
      </c>
      <c r="S2139" s="4">
        <v>0</v>
      </c>
      <c r="T2139" s="4">
        <v>0</v>
      </c>
      <c r="U2139" s="4">
        <v>93.72</v>
      </c>
      <c r="V2139" s="4">
        <v>22.52</v>
      </c>
      <c r="W2139" t="s">
        <v>21</v>
      </c>
      <c r="X2139" t="s">
        <v>36</v>
      </c>
      <c r="Y2139" s="4">
        <v>1</v>
      </c>
      <c r="Z2139" s="4">
        <v>1</v>
      </c>
      <c r="AA2139" t="s">
        <v>37</v>
      </c>
      <c r="AB2139" t="s">
        <v>38</v>
      </c>
      <c r="AC2139" s="7">
        <v>0</v>
      </c>
      <c r="AD2139" t="s">
        <v>39</v>
      </c>
      <c r="AE2139">
        <f t="shared" si="33"/>
        <v>0</v>
      </c>
    </row>
    <row r="2140" spans="1:31" x14ac:dyDescent="0.35">
      <c r="A2140">
        <v>102139</v>
      </c>
      <c r="B2140" s="3">
        <v>45945</v>
      </c>
      <c r="C2140">
        <v>1077</v>
      </c>
      <c r="D2140" t="s">
        <v>30</v>
      </c>
      <c r="E2140" t="s">
        <v>62</v>
      </c>
      <c r="F2140" t="s">
        <v>71</v>
      </c>
      <c r="G2140" t="s">
        <v>63</v>
      </c>
      <c r="H2140" t="s">
        <v>57</v>
      </c>
      <c r="I2140" t="s">
        <v>69</v>
      </c>
      <c r="J2140" s="4">
        <v>20.260000000000002</v>
      </c>
      <c r="K2140" s="4">
        <v>12.61</v>
      </c>
      <c r="L2140">
        <v>5</v>
      </c>
      <c r="M2140" s="4">
        <v>12.77</v>
      </c>
      <c r="N2140" s="4">
        <v>242.71</v>
      </c>
      <c r="O2140" s="4">
        <v>169.31</v>
      </c>
      <c r="P2140" s="4">
        <v>9.43</v>
      </c>
      <c r="Q2140" s="4">
        <v>1.02</v>
      </c>
      <c r="R2140" s="4">
        <v>2.0299999999999998</v>
      </c>
      <c r="S2140" s="4">
        <v>0</v>
      </c>
      <c r="T2140" s="4">
        <v>0</v>
      </c>
      <c r="U2140" s="4">
        <v>181.79</v>
      </c>
      <c r="V2140" s="4">
        <v>60.92</v>
      </c>
      <c r="W2140" t="s">
        <v>21</v>
      </c>
      <c r="X2140" t="s">
        <v>36</v>
      </c>
      <c r="Y2140" s="4">
        <v>14</v>
      </c>
      <c r="Z2140" s="4">
        <v>8</v>
      </c>
      <c r="AA2140" t="s">
        <v>37</v>
      </c>
      <c r="AB2140" t="s">
        <v>38</v>
      </c>
      <c r="AC2140" s="7">
        <v>0</v>
      </c>
      <c r="AD2140" t="s">
        <v>39</v>
      </c>
      <c r="AE2140">
        <f t="shared" si="33"/>
        <v>0</v>
      </c>
    </row>
    <row r="2141" spans="1:31" x14ac:dyDescent="0.35">
      <c r="A2141">
        <v>102140</v>
      </c>
      <c r="B2141" s="3">
        <v>45948</v>
      </c>
      <c r="C2141">
        <v>1071</v>
      </c>
      <c r="D2141" t="s">
        <v>59</v>
      </c>
      <c r="E2141" t="s">
        <v>60</v>
      </c>
      <c r="F2141" t="s">
        <v>32</v>
      </c>
      <c r="G2141" t="s">
        <v>63</v>
      </c>
      <c r="H2141" t="s">
        <v>57</v>
      </c>
      <c r="I2141" t="s">
        <v>35</v>
      </c>
      <c r="J2141" s="4">
        <v>7.82</v>
      </c>
      <c r="K2141" s="4">
        <v>13.03</v>
      </c>
      <c r="L2141">
        <v>0</v>
      </c>
      <c r="M2141" s="4">
        <v>0</v>
      </c>
      <c r="N2141" s="4">
        <v>101.89</v>
      </c>
      <c r="O2141" s="4">
        <v>62.04</v>
      </c>
      <c r="P2141" s="4">
        <v>10.73</v>
      </c>
      <c r="Q2141" s="4">
        <v>0.71</v>
      </c>
      <c r="R2141" s="4">
        <v>11.17</v>
      </c>
      <c r="S2141" s="4">
        <v>0</v>
      </c>
      <c r="T2141" s="4">
        <v>0</v>
      </c>
      <c r="U2141" s="4">
        <v>84.65</v>
      </c>
      <c r="V2141" s="4">
        <v>17.239999999999998</v>
      </c>
      <c r="W2141" t="s">
        <v>21</v>
      </c>
      <c r="X2141" t="s">
        <v>36</v>
      </c>
      <c r="Y2141" s="4">
        <v>8</v>
      </c>
      <c r="Z2141" s="4">
        <v>7</v>
      </c>
      <c r="AA2141" t="s">
        <v>37</v>
      </c>
      <c r="AB2141" t="s">
        <v>38</v>
      </c>
      <c r="AC2141" s="7">
        <v>0</v>
      </c>
      <c r="AD2141" t="s">
        <v>39</v>
      </c>
      <c r="AE2141">
        <f t="shared" si="33"/>
        <v>0</v>
      </c>
    </row>
    <row r="2142" spans="1:31" x14ac:dyDescent="0.35">
      <c r="A2142">
        <v>102141</v>
      </c>
      <c r="B2142" s="3">
        <v>46015</v>
      </c>
      <c r="C2142">
        <v>1146</v>
      </c>
      <c r="D2142" t="s">
        <v>64</v>
      </c>
      <c r="E2142" t="s">
        <v>65</v>
      </c>
      <c r="F2142" t="s">
        <v>61</v>
      </c>
      <c r="G2142" t="s">
        <v>63</v>
      </c>
      <c r="H2142" t="s">
        <v>34</v>
      </c>
      <c r="I2142" t="s">
        <v>35</v>
      </c>
      <c r="J2142" s="4">
        <v>19.100000000000001</v>
      </c>
      <c r="K2142" s="4">
        <v>12.7</v>
      </c>
      <c r="L2142">
        <v>5</v>
      </c>
      <c r="M2142" s="4">
        <v>12.13</v>
      </c>
      <c r="N2142" s="4">
        <v>230.44</v>
      </c>
      <c r="O2142" s="4">
        <v>152.63</v>
      </c>
      <c r="P2142" s="4">
        <v>6.77</v>
      </c>
      <c r="Q2142" s="4">
        <v>1.7</v>
      </c>
      <c r="R2142" s="4">
        <v>6.83</v>
      </c>
      <c r="S2142" s="4">
        <v>0</v>
      </c>
      <c r="T2142" s="4">
        <v>0</v>
      </c>
      <c r="U2142" s="4">
        <v>167.93</v>
      </c>
      <c r="V2142" s="4">
        <v>62.51</v>
      </c>
      <c r="W2142" t="s">
        <v>21</v>
      </c>
      <c r="X2142" t="s">
        <v>36</v>
      </c>
      <c r="Y2142" s="4">
        <v>3</v>
      </c>
      <c r="Z2142" s="4">
        <v>3</v>
      </c>
      <c r="AA2142" t="s">
        <v>37</v>
      </c>
      <c r="AB2142" t="s">
        <v>38</v>
      </c>
      <c r="AC2142" s="7">
        <v>0</v>
      </c>
      <c r="AD2142" t="s">
        <v>39</v>
      </c>
      <c r="AE2142">
        <f t="shared" si="33"/>
        <v>0</v>
      </c>
    </row>
    <row r="2143" spans="1:31" x14ac:dyDescent="0.35">
      <c r="A2143">
        <v>102142</v>
      </c>
      <c r="B2143" s="3">
        <v>45948</v>
      </c>
      <c r="C2143">
        <v>1126</v>
      </c>
      <c r="D2143" t="s">
        <v>59</v>
      </c>
      <c r="E2143" t="s">
        <v>68</v>
      </c>
      <c r="F2143" t="s">
        <v>41</v>
      </c>
      <c r="G2143" t="s">
        <v>50</v>
      </c>
      <c r="H2143" t="s">
        <v>34</v>
      </c>
      <c r="I2143" t="s">
        <v>35</v>
      </c>
      <c r="J2143" s="4">
        <v>25.19</v>
      </c>
      <c r="K2143" s="4">
        <v>17.489999999999998</v>
      </c>
      <c r="L2143">
        <v>0</v>
      </c>
      <c r="M2143" s="4">
        <v>0</v>
      </c>
      <c r="N2143" s="4">
        <v>440.57</v>
      </c>
      <c r="O2143" s="4">
        <v>160.08000000000001</v>
      </c>
      <c r="P2143" s="4">
        <v>13.17</v>
      </c>
      <c r="Q2143" s="4">
        <v>3.08</v>
      </c>
      <c r="R2143" s="4">
        <v>7.12</v>
      </c>
      <c r="S2143" s="4">
        <v>0</v>
      </c>
      <c r="T2143" s="4">
        <v>0</v>
      </c>
      <c r="U2143" s="4">
        <v>183.45</v>
      </c>
      <c r="V2143" s="4">
        <v>257.12</v>
      </c>
      <c r="W2143" t="s">
        <v>21</v>
      </c>
      <c r="X2143" t="s">
        <v>36</v>
      </c>
      <c r="Y2143" s="4">
        <v>8</v>
      </c>
      <c r="Z2143" s="4">
        <v>3</v>
      </c>
      <c r="AA2143" t="s">
        <v>37</v>
      </c>
      <c r="AB2143" t="s">
        <v>38</v>
      </c>
      <c r="AC2143" s="7">
        <v>0</v>
      </c>
      <c r="AD2143" t="s">
        <v>39</v>
      </c>
      <c r="AE2143">
        <f t="shared" si="33"/>
        <v>0</v>
      </c>
    </row>
    <row r="2144" spans="1:31" x14ac:dyDescent="0.35">
      <c r="A2144">
        <v>102143</v>
      </c>
      <c r="B2144" s="3">
        <v>45975</v>
      </c>
      <c r="C2144">
        <v>1055</v>
      </c>
      <c r="D2144" t="s">
        <v>30</v>
      </c>
      <c r="E2144" t="s">
        <v>40</v>
      </c>
      <c r="F2144" t="s">
        <v>61</v>
      </c>
      <c r="G2144" t="s">
        <v>50</v>
      </c>
      <c r="H2144" t="s">
        <v>34</v>
      </c>
      <c r="I2144" t="s">
        <v>54</v>
      </c>
      <c r="J2144" s="4">
        <v>34.71</v>
      </c>
      <c r="K2144" s="4">
        <v>17.59</v>
      </c>
      <c r="L2144">
        <v>20</v>
      </c>
      <c r="M2144" s="4">
        <v>122.11</v>
      </c>
      <c r="N2144" s="4">
        <v>488.44</v>
      </c>
      <c r="O2144" s="4">
        <v>266.64</v>
      </c>
      <c r="P2144" s="4">
        <v>1.64</v>
      </c>
      <c r="Q2144" s="4">
        <v>7.33</v>
      </c>
      <c r="R2144" s="4">
        <v>0</v>
      </c>
      <c r="S2144" s="4">
        <v>0</v>
      </c>
      <c r="T2144" s="4">
        <v>0</v>
      </c>
      <c r="U2144" s="4">
        <v>275.61</v>
      </c>
      <c r="V2144" s="4">
        <v>212.83</v>
      </c>
      <c r="W2144" t="s">
        <v>21</v>
      </c>
      <c r="X2144" t="s">
        <v>36</v>
      </c>
      <c r="Y2144" s="4">
        <v>13</v>
      </c>
      <c r="Z2144" s="4">
        <v>7</v>
      </c>
      <c r="AA2144" t="s">
        <v>37</v>
      </c>
      <c r="AB2144" t="s">
        <v>38</v>
      </c>
      <c r="AC2144" s="7">
        <v>0</v>
      </c>
      <c r="AD2144" t="s">
        <v>39</v>
      </c>
      <c r="AE2144">
        <f t="shared" si="33"/>
        <v>0</v>
      </c>
    </row>
    <row r="2145" spans="1:31" x14ac:dyDescent="0.35">
      <c r="A2145">
        <v>102144</v>
      </c>
      <c r="B2145" s="3">
        <v>46003</v>
      </c>
      <c r="C2145">
        <v>1026</v>
      </c>
      <c r="D2145" t="s">
        <v>47</v>
      </c>
      <c r="E2145" t="s">
        <v>53</v>
      </c>
      <c r="F2145" t="s">
        <v>32</v>
      </c>
      <c r="G2145" t="s">
        <v>63</v>
      </c>
      <c r="H2145" t="s">
        <v>57</v>
      </c>
      <c r="I2145" t="s">
        <v>35</v>
      </c>
      <c r="J2145" s="4">
        <v>20.16</v>
      </c>
      <c r="K2145" s="4">
        <v>13.21</v>
      </c>
      <c r="L2145">
        <v>10</v>
      </c>
      <c r="M2145" s="4">
        <v>26.63</v>
      </c>
      <c r="N2145" s="4">
        <v>239.68</v>
      </c>
      <c r="O2145" s="4">
        <v>150.91</v>
      </c>
      <c r="P2145" s="4">
        <v>8.56</v>
      </c>
      <c r="Q2145" s="4">
        <v>1.86</v>
      </c>
      <c r="R2145" s="4">
        <v>3.97</v>
      </c>
      <c r="S2145" s="4">
        <v>0</v>
      </c>
      <c r="T2145" s="4">
        <v>0</v>
      </c>
      <c r="U2145" s="4">
        <v>165.3</v>
      </c>
      <c r="V2145" s="4">
        <v>74.38</v>
      </c>
      <c r="W2145" t="s">
        <v>21</v>
      </c>
      <c r="X2145" t="s">
        <v>36</v>
      </c>
      <c r="Y2145" s="4">
        <v>13</v>
      </c>
      <c r="Z2145" s="4">
        <v>0</v>
      </c>
      <c r="AA2145" t="s">
        <v>37</v>
      </c>
      <c r="AB2145" t="s">
        <v>38</v>
      </c>
      <c r="AC2145" s="7">
        <v>0</v>
      </c>
      <c r="AD2145" t="s">
        <v>39</v>
      </c>
      <c r="AE2145">
        <f t="shared" si="33"/>
        <v>0</v>
      </c>
    </row>
    <row r="2146" spans="1:31" x14ac:dyDescent="0.35">
      <c r="A2146">
        <v>102145</v>
      </c>
      <c r="B2146" s="3">
        <v>45966</v>
      </c>
      <c r="C2146">
        <v>1120</v>
      </c>
      <c r="D2146" t="s">
        <v>47</v>
      </c>
      <c r="E2146" t="s">
        <v>48</v>
      </c>
      <c r="F2146" t="s">
        <v>49</v>
      </c>
      <c r="G2146" t="s">
        <v>46</v>
      </c>
      <c r="H2146" t="s">
        <v>34</v>
      </c>
      <c r="I2146" t="s">
        <v>35</v>
      </c>
      <c r="J2146" s="4">
        <v>33.71</v>
      </c>
      <c r="K2146" s="4">
        <v>15.29</v>
      </c>
      <c r="L2146">
        <v>10</v>
      </c>
      <c r="M2146" s="4">
        <v>51.54</v>
      </c>
      <c r="N2146" s="4">
        <v>463.89</v>
      </c>
      <c r="O2146" s="4">
        <v>175.91</v>
      </c>
      <c r="P2146" s="4">
        <v>7.22</v>
      </c>
      <c r="Q2146" s="4">
        <v>3.61</v>
      </c>
      <c r="R2146" s="4">
        <v>4.6399999999999997</v>
      </c>
      <c r="S2146" s="4">
        <v>412.14</v>
      </c>
      <c r="T2146" s="4">
        <v>0</v>
      </c>
      <c r="U2146" s="4">
        <v>603.52</v>
      </c>
      <c r="V2146" s="4">
        <v>-139.63</v>
      </c>
      <c r="W2146" t="s">
        <v>58</v>
      </c>
      <c r="X2146" t="s">
        <v>66</v>
      </c>
      <c r="Y2146" s="4">
        <v>10</v>
      </c>
      <c r="Z2146" s="4">
        <v>6</v>
      </c>
      <c r="AA2146" t="s">
        <v>37</v>
      </c>
      <c r="AB2146" t="s">
        <v>38</v>
      </c>
      <c r="AC2146" s="7">
        <v>1</v>
      </c>
      <c r="AD2146" t="s">
        <v>45</v>
      </c>
      <c r="AE2146">
        <f t="shared" si="33"/>
        <v>0</v>
      </c>
    </row>
    <row r="2147" spans="1:31" x14ac:dyDescent="0.35">
      <c r="A2147">
        <v>102146</v>
      </c>
      <c r="B2147" s="3">
        <v>45988</v>
      </c>
      <c r="C2147">
        <v>1131</v>
      </c>
      <c r="D2147" t="s">
        <v>47</v>
      </c>
      <c r="E2147" t="s">
        <v>74</v>
      </c>
      <c r="F2147" t="s">
        <v>32</v>
      </c>
      <c r="G2147" t="s">
        <v>63</v>
      </c>
      <c r="H2147" t="s">
        <v>34</v>
      </c>
      <c r="I2147" t="s">
        <v>35</v>
      </c>
      <c r="J2147" s="4">
        <v>30.23</v>
      </c>
      <c r="K2147" s="4">
        <v>12.13</v>
      </c>
      <c r="L2147">
        <v>15</v>
      </c>
      <c r="M2147" s="4">
        <v>55</v>
      </c>
      <c r="N2147" s="4">
        <v>311.69</v>
      </c>
      <c r="O2147" s="4">
        <v>236.83</v>
      </c>
      <c r="P2147" s="4">
        <v>10.1</v>
      </c>
      <c r="Q2147" s="4">
        <v>2.57</v>
      </c>
      <c r="R2147" s="4">
        <v>6.69</v>
      </c>
      <c r="S2147" s="4">
        <v>0</v>
      </c>
      <c r="T2147" s="4">
        <v>0</v>
      </c>
      <c r="U2147" s="4">
        <v>256.19</v>
      </c>
      <c r="V2147" s="4">
        <v>55.5</v>
      </c>
      <c r="W2147" t="s">
        <v>21</v>
      </c>
      <c r="X2147" t="s">
        <v>36</v>
      </c>
      <c r="Y2147" s="4">
        <v>7</v>
      </c>
      <c r="Z2147" s="4">
        <v>5</v>
      </c>
      <c r="AA2147" t="s">
        <v>37</v>
      </c>
      <c r="AB2147" t="s">
        <v>38</v>
      </c>
      <c r="AC2147" s="7">
        <v>0</v>
      </c>
      <c r="AD2147" t="s">
        <v>39</v>
      </c>
      <c r="AE2147">
        <f t="shared" si="33"/>
        <v>0</v>
      </c>
    </row>
    <row r="2148" spans="1:31" x14ac:dyDescent="0.35">
      <c r="A2148">
        <v>102147</v>
      </c>
      <c r="B2148" s="3">
        <v>45941</v>
      </c>
      <c r="C2148">
        <v>1124</v>
      </c>
      <c r="D2148" t="s">
        <v>47</v>
      </c>
      <c r="E2148" t="s">
        <v>74</v>
      </c>
      <c r="F2148" t="s">
        <v>49</v>
      </c>
      <c r="G2148" t="s">
        <v>50</v>
      </c>
      <c r="H2148" t="s">
        <v>34</v>
      </c>
      <c r="I2148" t="s">
        <v>54</v>
      </c>
      <c r="J2148" s="4">
        <v>30.74</v>
      </c>
      <c r="K2148" s="4">
        <v>18.059999999999999</v>
      </c>
      <c r="L2148">
        <v>0</v>
      </c>
      <c r="M2148" s="4">
        <v>0</v>
      </c>
      <c r="N2148" s="4">
        <v>555.16</v>
      </c>
      <c r="O2148" s="4">
        <v>187.56</v>
      </c>
      <c r="P2148" s="4">
        <v>10.98</v>
      </c>
      <c r="Q2148" s="4">
        <v>6.66</v>
      </c>
      <c r="R2148" s="4">
        <v>4.79</v>
      </c>
      <c r="S2148" s="4">
        <v>0</v>
      </c>
      <c r="T2148" s="4">
        <v>0</v>
      </c>
      <c r="U2148" s="4">
        <v>209.99</v>
      </c>
      <c r="V2148" s="4">
        <v>345.17</v>
      </c>
      <c r="W2148" t="s">
        <v>21</v>
      </c>
      <c r="X2148" t="s">
        <v>36</v>
      </c>
      <c r="Y2148" s="4">
        <v>16</v>
      </c>
      <c r="Z2148" s="4">
        <v>18</v>
      </c>
      <c r="AA2148" t="s">
        <v>52</v>
      </c>
      <c r="AB2148" t="s">
        <v>44</v>
      </c>
      <c r="AC2148" s="7">
        <v>2</v>
      </c>
      <c r="AD2148" t="s">
        <v>45</v>
      </c>
      <c r="AE2148">
        <f t="shared" si="33"/>
        <v>1</v>
      </c>
    </row>
    <row r="2149" spans="1:31" x14ac:dyDescent="0.35">
      <c r="A2149">
        <v>102148</v>
      </c>
      <c r="B2149" s="3">
        <v>46001</v>
      </c>
      <c r="C2149">
        <v>1036</v>
      </c>
      <c r="D2149" t="s">
        <v>47</v>
      </c>
      <c r="E2149" t="s">
        <v>56</v>
      </c>
      <c r="F2149" t="s">
        <v>41</v>
      </c>
      <c r="G2149" t="s">
        <v>63</v>
      </c>
      <c r="H2149" t="s">
        <v>34</v>
      </c>
      <c r="I2149" t="s">
        <v>69</v>
      </c>
      <c r="J2149" s="4">
        <v>31.86</v>
      </c>
      <c r="K2149" s="4">
        <v>14.39</v>
      </c>
      <c r="L2149">
        <v>20</v>
      </c>
      <c r="M2149" s="4">
        <v>91.69</v>
      </c>
      <c r="N2149" s="4">
        <v>366.78</v>
      </c>
      <c r="O2149" s="4">
        <v>215.04</v>
      </c>
      <c r="P2149" s="4">
        <v>6.04</v>
      </c>
      <c r="Q2149" s="4">
        <v>1.83</v>
      </c>
      <c r="R2149" s="4">
        <v>7.34</v>
      </c>
      <c r="S2149" s="4">
        <v>0</v>
      </c>
      <c r="T2149" s="4">
        <v>0</v>
      </c>
      <c r="U2149" s="4">
        <v>230.25</v>
      </c>
      <c r="V2149" s="4">
        <v>136.53</v>
      </c>
      <c r="W2149" t="s">
        <v>21</v>
      </c>
      <c r="X2149" t="s">
        <v>36</v>
      </c>
      <c r="Y2149" s="4">
        <v>6</v>
      </c>
      <c r="Z2149" s="4">
        <v>5</v>
      </c>
      <c r="AA2149" t="s">
        <v>37</v>
      </c>
      <c r="AB2149" t="s">
        <v>38</v>
      </c>
      <c r="AC2149" s="7">
        <v>2</v>
      </c>
      <c r="AD2149" t="s">
        <v>39</v>
      </c>
      <c r="AE2149">
        <f t="shared" si="33"/>
        <v>0</v>
      </c>
    </row>
    <row r="2150" spans="1:31" x14ac:dyDescent="0.35">
      <c r="A2150">
        <v>102149</v>
      </c>
      <c r="B2150" s="3">
        <v>45979</v>
      </c>
      <c r="C2150">
        <v>1145</v>
      </c>
      <c r="D2150" t="s">
        <v>30</v>
      </c>
      <c r="E2150" t="s">
        <v>72</v>
      </c>
      <c r="F2150" t="s">
        <v>61</v>
      </c>
      <c r="G2150" t="s">
        <v>33</v>
      </c>
      <c r="H2150" t="s">
        <v>57</v>
      </c>
      <c r="I2150" t="s">
        <v>35</v>
      </c>
      <c r="J2150" s="4">
        <v>17.809999999999999</v>
      </c>
      <c r="K2150" s="4">
        <v>19.95</v>
      </c>
      <c r="L2150">
        <v>0</v>
      </c>
      <c r="M2150" s="4">
        <v>0</v>
      </c>
      <c r="N2150" s="4">
        <v>355.31</v>
      </c>
      <c r="O2150" s="4">
        <v>127.66</v>
      </c>
      <c r="P2150" s="4">
        <v>14.51</v>
      </c>
      <c r="Q2150" s="4">
        <v>2.4900000000000002</v>
      </c>
      <c r="R2150" s="4">
        <v>9.14</v>
      </c>
      <c r="S2150" s="4">
        <v>0</v>
      </c>
      <c r="T2150" s="4">
        <v>0</v>
      </c>
      <c r="U2150" s="4">
        <v>153.80000000000001</v>
      </c>
      <c r="V2150" s="4">
        <v>201.51</v>
      </c>
      <c r="W2150" t="s">
        <v>21</v>
      </c>
      <c r="X2150" t="s">
        <v>36</v>
      </c>
      <c r="Y2150" s="4">
        <v>3</v>
      </c>
      <c r="Z2150" s="4">
        <v>2</v>
      </c>
      <c r="AA2150" t="s">
        <v>37</v>
      </c>
      <c r="AB2150" t="s">
        <v>38</v>
      </c>
      <c r="AC2150" s="7">
        <v>0</v>
      </c>
      <c r="AD2150" t="s">
        <v>39</v>
      </c>
      <c r="AE2150">
        <f t="shared" si="33"/>
        <v>0</v>
      </c>
    </row>
    <row r="2151" spans="1:31" x14ac:dyDescent="0.35">
      <c r="A2151">
        <v>102150</v>
      </c>
      <c r="B2151" s="3">
        <v>45960</v>
      </c>
      <c r="C2151">
        <v>1062</v>
      </c>
      <c r="D2151" t="s">
        <v>59</v>
      </c>
      <c r="E2151" t="s">
        <v>68</v>
      </c>
      <c r="F2151" t="s">
        <v>41</v>
      </c>
      <c r="G2151" t="s">
        <v>50</v>
      </c>
      <c r="H2151" t="s">
        <v>34</v>
      </c>
      <c r="I2151" t="s">
        <v>35</v>
      </c>
      <c r="J2151" s="4">
        <v>34.58</v>
      </c>
      <c r="K2151" s="4">
        <v>18.350000000000001</v>
      </c>
      <c r="L2151">
        <v>20</v>
      </c>
      <c r="M2151" s="4">
        <v>126.91</v>
      </c>
      <c r="N2151" s="4">
        <v>507.63</v>
      </c>
      <c r="O2151" s="4">
        <v>213.66</v>
      </c>
      <c r="P2151" s="4">
        <v>6.87</v>
      </c>
      <c r="Q2151" s="4">
        <v>4.4400000000000004</v>
      </c>
      <c r="R2151" s="4">
        <v>11.19</v>
      </c>
      <c r="S2151" s="4">
        <v>0</v>
      </c>
      <c r="T2151" s="4">
        <v>0</v>
      </c>
      <c r="U2151" s="4">
        <v>236.16</v>
      </c>
      <c r="V2151" s="4">
        <v>271.47000000000003</v>
      </c>
      <c r="W2151" t="s">
        <v>21</v>
      </c>
      <c r="X2151" t="s">
        <v>36</v>
      </c>
      <c r="Y2151" s="4">
        <v>40</v>
      </c>
      <c r="Z2151" s="4">
        <v>3</v>
      </c>
      <c r="AA2151" t="s">
        <v>43</v>
      </c>
      <c r="AB2151" t="s">
        <v>44</v>
      </c>
      <c r="AC2151" s="7">
        <v>2</v>
      </c>
      <c r="AD2151" t="s">
        <v>45</v>
      </c>
      <c r="AE2151">
        <f t="shared" si="33"/>
        <v>1</v>
      </c>
    </row>
    <row r="2152" spans="1:31" x14ac:dyDescent="0.35">
      <c r="A2152">
        <v>102151</v>
      </c>
      <c r="B2152" s="3">
        <v>46019</v>
      </c>
      <c r="C2152">
        <v>1052</v>
      </c>
      <c r="D2152" t="s">
        <v>47</v>
      </c>
      <c r="E2152" t="s">
        <v>53</v>
      </c>
      <c r="F2152" t="s">
        <v>71</v>
      </c>
      <c r="G2152" t="s">
        <v>63</v>
      </c>
      <c r="H2152" t="s">
        <v>34</v>
      </c>
      <c r="I2152" t="s">
        <v>69</v>
      </c>
      <c r="J2152" s="4">
        <v>21.71</v>
      </c>
      <c r="K2152" s="4">
        <v>12.68</v>
      </c>
      <c r="L2152">
        <v>5</v>
      </c>
      <c r="M2152" s="4">
        <v>13.76</v>
      </c>
      <c r="N2152" s="4">
        <v>261.52</v>
      </c>
      <c r="O2152" s="4">
        <v>141.76</v>
      </c>
      <c r="P2152" s="4">
        <v>3.44</v>
      </c>
      <c r="Q2152" s="4">
        <v>1.1000000000000001</v>
      </c>
      <c r="R2152" s="4">
        <v>6.84</v>
      </c>
      <c r="S2152" s="4">
        <v>0</v>
      </c>
      <c r="T2152" s="4">
        <v>0</v>
      </c>
      <c r="U2152" s="4">
        <v>153.13999999999999</v>
      </c>
      <c r="V2152" s="4">
        <v>108.38</v>
      </c>
      <c r="W2152" t="s">
        <v>21</v>
      </c>
      <c r="X2152" t="s">
        <v>36</v>
      </c>
      <c r="Y2152" s="4">
        <v>9</v>
      </c>
      <c r="Z2152" s="4">
        <v>3</v>
      </c>
      <c r="AA2152" t="s">
        <v>37</v>
      </c>
      <c r="AB2152" t="s">
        <v>38</v>
      </c>
      <c r="AC2152" s="7">
        <v>0</v>
      </c>
      <c r="AD2152" t="s">
        <v>39</v>
      </c>
      <c r="AE2152">
        <f t="shared" si="33"/>
        <v>0</v>
      </c>
    </row>
    <row r="2153" spans="1:31" x14ac:dyDescent="0.35">
      <c r="A2153">
        <v>102152</v>
      </c>
      <c r="B2153" s="3">
        <v>45934</v>
      </c>
      <c r="C2153">
        <v>1038</v>
      </c>
      <c r="D2153" t="s">
        <v>47</v>
      </c>
      <c r="E2153" t="s">
        <v>53</v>
      </c>
      <c r="F2153" t="s">
        <v>71</v>
      </c>
      <c r="G2153" t="s">
        <v>63</v>
      </c>
      <c r="H2153" t="s">
        <v>34</v>
      </c>
      <c r="I2153" t="s">
        <v>54</v>
      </c>
      <c r="J2153" s="4">
        <v>12.35</v>
      </c>
      <c r="K2153" s="4">
        <v>11.23</v>
      </c>
      <c r="L2153">
        <v>10</v>
      </c>
      <c r="M2153" s="4">
        <v>13.87</v>
      </c>
      <c r="N2153" s="4">
        <v>124.82</v>
      </c>
      <c r="O2153" s="4">
        <v>91.58</v>
      </c>
      <c r="P2153" s="4">
        <v>6.92</v>
      </c>
      <c r="Q2153" s="4">
        <v>1.66</v>
      </c>
      <c r="R2153" s="4">
        <v>0</v>
      </c>
      <c r="S2153" s="4">
        <v>0</v>
      </c>
      <c r="T2153" s="4">
        <v>0</v>
      </c>
      <c r="U2153" s="4">
        <v>100.16</v>
      </c>
      <c r="V2153" s="4">
        <v>24.66</v>
      </c>
      <c r="W2153" t="s">
        <v>21</v>
      </c>
      <c r="X2153" t="s">
        <v>36</v>
      </c>
      <c r="Y2153" s="4">
        <v>13</v>
      </c>
      <c r="Z2153" s="4">
        <v>6</v>
      </c>
      <c r="AA2153" t="s">
        <v>37</v>
      </c>
      <c r="AB2153" t="s">
        <v>38</v>
      </c>
      <c r="AC2153" s="7">
        <v>0</v>
      </c>
      <c r="AD2153" t="s">
        <v>39</v>
      </c>
      <c r="AE2153">
        <f t="shared" si="33"/>
        <v>0</v>
      </c>
    </row>
    <row r="2154" spans="1:31" x14ac:dyDescent="0.35">
      <c r="A2154">
        <v>102153</v>
      </c>
      <c r="B2154" s="3">
        <v>45989</v>
      </c>
      <c r="C2154">
        <v>1067</v>
      </c>
      <c r="D2154" t="s">
        <v>30</v>
      </c>
      <c r="E2154" t="s">
        <v>40</v>
      </c>
      <c r="F2154" t="s">
        <v>49</v>
      </c>
      <c r="G2154" t="s">
        <v>33</v>
      </c>
      <c r="H2154" t="s">
        <v>34</v>
      </c>
      <c r="I2154" t="s">
        <v>54</v>
      </c>
      <c r="J2154" s="4">
        <v>33.67</v>
      </c>
      <c r="K2154" s="4">
        <v>19.5</v>
      </c>
      <c r="L2154">
        <v>10</v>
      </c>
      <c r="M2154" s="4">
        <v>65.66</v>
      </c>
      <c r="N2154" s="4">
        <v>590.9</v>
      </c>
      <c r="O2154" s="4">
        <v>240.7</v>
      </c>
      <c r="P2154" s="4">
        <v>13.74</v>
      </c>
      <c r="Q2154" s="4">
        <v>7.88</v>
      </c>
      <c r="R2154" s="4">
        <v>8.33</v>
      </c>
      <c r="S2154" s="4">
        <v>0</v>
      </c>
      <c r="T2154" s="4">
        <v>0</v>
      </c>
      <c r="U2154" s="4">
        <v>270.64999999999998</v>
      </c>
      <c r="V2154" s="4">
        <v>320.25</v>
      </c>
      <c r="W2154" t="s">
        <v>21</v>
      </c>
      <c r="X2154" t="s">
        <v>36</v>
      </c>
      <c r="Y2154" s="4">
        <v>21</v>
      </c>
      <c r="Z2154" s="4">
        <v>8</v>
      </c>
      <c r="AA2154" t="s">
        <v>52</v>
      </c>
      <c r="AB2154" t="s">
        <v>44</v>
      </c>
      <c r="AC2154" s="7">
        <v>2</v>
      </c>
      <c r="AD2154" t="s">
        <v>45</v>
      </c>
      <c r="AE2154">
        <f t="shared" si="33"/>
        <v>1</v>
      </c>
    </row>
    <row r="2155" spans="1:31" x14ac:dyDescent="0.35">
      <c r="A2155">
        <v>102154</v>
      </c>
      <c r="B2155" s="3">
        <v>45959</v>
      </c>
      <c r="C2155">
        <v>1091</v>
      </c>
      <c r="D2155" t="s">
        <v>59</v>
      </c>
      <c r="E2155" t="s">
        <v>73</v>
      </c>
      <c r="F2155" t="s">
        <v>71</v>
      </c>
      <c r="G2155" t="s">
        <v>33</v>
      </c>
      <c r="H2155" t="s">
        <v>34</v>
      </c>
      <c r="I2155" t="s">
        <v>42</v>
      </c>
      <c r="J2155" s="4">
        <v>21.44</v>
      </c>
      <c r="K2155" s="4">
        <v>17.61</v>
      </c>
      <c r="L2155">
        <v>20</v>
      </c>
      <c r="M2155" s="4">
        <v>75.510000000000005</v>
      </c>
      <c r="N2155" s="4">
        <v>302.05</v>
      </c>
      <c r="O2155" s="4">
        <v>147.85</v>
      </c>
      <c r="P2155" s="4">
        <v>8.65</v>
      </c>
      <c r="Q2155" s="4">
        <v>5.66</v>
      </c>
      <c r="R2155" s="4">
        <v>12.13</v>
      </c>
      <c r="S2155" s="4">
        <v>0</v>
      </c>
      <c r="T2155" s="4">
        <v>0</v>
      </c>
      <c r="U2155" s="4">
        <v>174.29</v>
      </c>
      <c r="V2155" s="4">
        <v>127.76</v>
      </c>
      <c r="W2155" t="s">
        <v>21</v>
      </c>
      <c r="X2155" t="s">
        <v>36</v>
      </c>
      <c r="Y2155" s="4">
        <v>3</v>
      </c>
      <c r="Z2155" s="4">
        <v>5</v>
      </c>
      <c r="AA2155" t="s">
        <v>37</v>
      </c>
      <c r="AB2155" t="s">
        <v>38</v>
      </c>
      <c r="AC2155" s="7">
        <v>0</v>
      </c>
      <c r="AD2155" t="s">
        <v>39</v>
      </c>
      <c r="AE2155">
        <f t="shared" si="33"/>
        <v>0</v>
      </c>
    </row>
    <row r="2156" spans="1:31" x14ac:dyDescent="0.35">
      <c r="A2156">
        <v>102155</v>
      </c>
      <c r="B2156" s="3">
        <v>45988</v>
      </c>
      <c r="C2156">
        <v>1065</v>
      </c>
      <c r="D2156" t="s">
        <v>47</v>
      </c>
      <c r="E2156" t="s">
        <v>53</v>
      </c>
      <c r="F2156" t="s">
        <v>41</v>
      </c>
      <c r="G2156" t="s">
        <v>63</v>
      </c>
      <c r="H2156" t="s">
        <v>51</v>
      </c>
      <c r="I2156" t="s">
        <v>35</v>
      </c>
      <c r="J2156" s="4">
        <v>27.27</v>
      </c>
      <c r="K2156" s="4">
        <v>13.36</v>
      </c>
      <c r="L2156">
        <v>10</v>
      </c>
      <c r="M2156" s="4">
        <v>36.43</v>
      </c>
      <c r="N2156" s="4">
        <v>327.9</v>
      </c>
      <c r="O2156" s="4">
        <v>224.36</v>
      </c>
      <c r="P2156" s="4">
        <v>6.57</v>
      </c>
      <c r="Q2156" s="4">
        <v>2.5499999999999998</v>
      </c>
      <c r="R2156" s="4">
        <v>9.7899999999999991</v>
      </c>
      <c r="S2156" s="4">
        <v>347.72</v>
      </c>
      <c r="T2156" s="4">
        <v>11.84</v>
      </c>
      <c r="U2156" s="4">
        <v>602.83000000000004</v>
      </c>
      <c r="V2156" s="4">
        <v>-274.93</v>
      </c>
      <c r="W2156" t="s">
        <v>58</v>
      </c>
      <c r="X2156" t="s">
        <v>66</v>
      </c>
      <c r="Y2156" s="4">
        <v>4</v>
      </c>
      <c r="Z2156" s="4">
        <v>7</v>
      </c>
      <c r="AA2156" t="s">
        <v>37</v>
      </c>
      <c r="AB2156" t="s">
        <v>38</v>
      </c>
      <c r="AC2156" s="7">
        <v>1</v>
      </c>
      <c r="AD2156" t="s">
        <v>45</v>
      </c>
      <c r="AE2156">
        <f t="shared" si="33"/>
        <v>0</v>
      </c>
    </row>
    <row r="2157" spans="1:31" x14ac:dyDescent="0.35">
      <c r="A2157">
        <v>102156</v>
      </c>
      <c r="B2157" s="3">
        <v>45964</v>
      </c>
      <c r="C2157">
        <v>1052</v>
      </c>
      <c r="D2157" t="s">
        <v>59</v>
      </c>
      <c r="E2157" t="s">
        <v>70</v>
      </c>
      <c r="F2157" t="s">
        <v>71</v>
      </c>
      <c r="G2157" t="s">
        <v>50</v>
      </c>
      <c r="H2157" t="s">
        <v>34</v>
      </c>
      <c r="I2157" t="s">
        <v>35</v>
      </c>
      <c r="J2157" s="4">
        <v>34.28</v>
      </c>
      <c r="K2157" s="4">
        <v>17.46</v>
      </c>
      <c r="L2157">
        <v>15</v>
      </c>
      <c r="M2157" s="4">
        <v>89.78</v>
      </c>
      <c r="N2157" s="4">
        <v>508.75</v>
      </c>
      <c r="O2157" s="4">
        <v>260.08</v>
      </c>
      <c r="P2157" s="4">
        <v>8.34</v>
      </c>
      <c r="Q2157" s="4">
        <v>4.1900000000000004</v>
      </c>
      <c r="R2157" s="4">
        <v>10.65</v>
      </c>
      <c r="S2157" s="4">
        <v>0</v>
      </c>
      <c r="T2157" s="4">
        <v>0</v>
      </c>
      <c r="U2157" s="4">
        <v>283.26</v>
      </c>
      <c r="V2157" s="4">
        <v>225.49</v>
      </c>
      <c r="W2157" t="s">
        <v>21</v>
      </c>
      <c r="X2157" t="s">
        <v>36</v>
      </c>
      <c r="Y2157" s="4">
        <v>4</v>
      </c>
      <c r="Z2157" s="4">
        <v>8</v>
      </c>
      <c r="AA2157" t="s">
        <v>37</v>
      </c>
      <c r="AB2157" t="s">
        <v>38</v>
      </c>
      <c r="AC2157" s="7">
        <v>0</v>
      </c>
      <c r="AD2157" t="s">
        <v>39</v>
      </c>
      <c r="AE2157">
        <f t="shared" si="33"/>
        <v>0</v>
      </c>
    </row>
    <row r="2158" spans="1:31" x14ac:dyDescent="0.35">
      <c r="A2158">
        <v>102157</v>
      </c>
      <c r="B2158" s="3">
        <v>45952</v>
      </c>
      <c r="C2158">
        <v>1003</v>
      </c>
      <c r="D2158" t="s">
        <v>47</v>
      </c>
      <c r="E2158" t="s">
        <v>48</v>
      </c>
      <c r="F2158" t="s">
        <v>41</v>
      </c>
      <c r="G2158" t="s">
        <v>50</v>
      </c>
      <c r="H2158" t="s">
        <v>34</v>
      </c>
      <c r="I2158" t="s">
        <v>35</v>
      </c>
      <c r="J2158" s="4">
        <v>37.119999999999997</v>
      </c>
      <c r="K2158" s="4">
        <v>16.600000000000001</v>
      </c>
      <c r="L2158">
        <v>15</v>
      </c>
      <c r="M2158" s="4">
        <v>92.43</v>
      </c>
      <c r="N2158" s="4">
        <v>523.76</v>
      </c>
      <c r="O2158" s="4">
        <v>258.82</v>
      </c>
      <c r="P2158" s="4">
        <v>8.8800000000000008</v>
      </c>
      <c r="Q2158" s="4">
        <v>4.3099999999999996</v>
      </c>
      <c r="R2158" s="4">
        <v>8.2100000000000009</v>
      </c>
      <c r="S2158" s="4">
        <v>0</v>
      </c>
      <c r="T2158" s="4">
        <v>0</v>
      </c>
      <c r="U2158" s="4">
        <v>280.22000000000003</v>
      </c>
      <c r="V2158" s="4">
        <v>243.54</v>
      </c>
      <c r="W2158" t="s">
        <v>21</v>
      </c>
      <c r="X2158" t="s">
        <v>36</v>
      </c>
      <c r="Y2158" s="4">
        <v>3</v>
      </c>
      <c r="Z2158" s="4">
        <v>7</v>
      </c>
      <c r="AA2158" t="s">
        <v>37</v>
      </c>
      <c r="AB2158" t="s">
        <v>38</v>
      </c>
      <c r="AC2158" s="7">
        <v>0</v>
      </c>
      <c r="AD2158" t="s">
        <v>39</v>
      </c>
      <c r="AE2158">
        <f t="shared" si="33"/>
        <v>0</v>
      </c>
    </row>
    <row r="2159" spans="1:31" x14ac:dyDescent="0.35">
      <c r="A2159">
        <v>102158</v>
      </c>
      <c r="B2159" s="3">
        <v>45979</v>
      </c>
      <c r="C2159">
        <v>1048</v>
      </c>
      <c r="D2159" t="s">
        <v>30</v>
      </c>
      <c r="E2159" t="s">
        <v>40</v>
      </c>
      <c r="F2159" t="s">
        <v>41</v>
      </c>
      <c r="G2159" t="s">
        <v>50</v>
      </c>
      <c r="H2159" t="s">
        <v>57</v>
      </c>
      <c r="I2159" t="s">
        <v>69</v>
      </c>
      <c r="J2159" s="4">
        <v>30.4</v>
      </c>
      <c r="K2159" s="4">
        <v>16.2</v>
      </c>
      <c r="L2159">
        <v>0</v>
      </c>
      <c r="M2159" s="4">
        <v>0</v>
      </c>
      <c r="N2159" s="4">
        <v>492.48</v>
      </c>
      <c r="O2159" s="4">
        <v>267.05</v>
      </c>
      <c r="P2159" s="4">
        <v>12.16</v>
      </c>
      <c r="Q2159" s="4">
        <v>1.97</v>
      </c>
      <c r="R2159" s="4">
        <v>10.039999999999999</v>
      </c>
      <c r="S2159" s="4">
        <v>261.3</v>
      </c>
      <c r="T2159" s="4">
        <v>3.61</v>
      </c>
      <c r="U2159" s="4">
        <v>556.13</v>
      </c>
      <c r="V2159" s="4">
        <v>-63.65</v>
      </c>
      <c r="W2159" t="s">
        <v>58</v>
      </c>
      <c r="X2159" t="s">
        <v>55</v>
      </c>
      <c r="Y2159" s="4">
        <v>26</v>
      </c>
      <c r="Z2159" s="4">
        <v>31</v>
      </c>
      <c r="AA2159" t="s">
        <v>52</v>
      </c>
      <c r="AB2159" t="s">
        <v>44</v>
      </c>
      <c r="AC2159" s="7">
        <v>1</v>
      </c>
      <c r="AD2159" t="s">
        <v>45</v>
      </c>
      <c r="AE2159">
        <f t="shared" si="33"/>
        <v>1</v>
      </c>
    </row>
    <row r="2160" spans="1:31" x14ac:dyDescent="0.35">
      <c r="A2160">
        <v>102159</v>
      </c>
      <c r="B2160" s="3">
        <v>45983</v>
      </c>
      <c r="C2160">
        <v>1036</v>
      </c>
      <c r="D2160" t="s">
        <v>59</v>
      </c>
      <c r="E2160" t="s">
        <v>68</v>
      </c>
      <c r="F2160" t="s">
        <v>32</v>
      </c>
      <c r="G2160" t="s">
        <v>63</v>
      </c>
      <c r="H2160" t="s">
        <v>34</v>
      </c>
      <c r="I2160" t="s">
        <v>42</v>
      </c>
      <c r="J2160" s="4">
        <v>20.84</v>
      </c>
      <c r="K2160" s="4">
        <v>12.78</v>
      </c>
      <c r="L2160">
        <v>5</v>
      </c>
      <c r="M2160" s="4">
        <v>13.32</v>
      </c>
      <c r="N2160" s="4">
        <v>253.02</v>
      </c>
      <c r="O2160" s="4">
        <v>174.08</v>
      </c>
      <c r="P2160" s="4">
        <v>15.03</v>
      </c>
      <c r="Q2160" s="4">
        <v>4</v>
      </c>
      <c r="R2160" s="4">
        <v>5.86</v>
      </c>
      <c r="S2160" s="4">
        <v>0</v>
      </c>
      <c r="T2160" s="4">
        <v>0</v>
      </c>
      <c r="U2160" s="4">
        <v>198.97</v>
      </c>
      <c r="V2160" s="4">
        <v>54.05</v>
      </c>
      <c r="W2160" t="s">
        <v>21</v>
      </c>
      <c r="X2160" t="s">
        <v>36</v>
      </c>
      <c r="Y2160" s="4">
        <v>11</v>
      </c>
      <c r="Z2160" s="4">
        <v>6</v>
      </c>
      <c r="AA2160" t="s">
        <v>37</v>
      </c>
      <c r="AB2160" t="s">
        <v>38</v>
      </c>
      <c r="AC2160" s="7">
        <v>0</v>
      </c>
      <c r="AD2160" t="s">
        <v>39</v>
      </c>
      <c r="AE2160">
        <f t="shared" si="33"/>
        <v>0</v>
      </c>
    </row>
    <row r="2161" spans="1:31" x14ac:dyDescent="0.35">
      <c r="A2161">
        <v>102160</v>
      </c>
      <c r="B2161" s="3">
        <v>45952</v>
      </c>
      <c r="C2161">
        <v>1075</v>
      </c>
      <c r="D2161" t="s">
        <v>59</v>
      </c>
      <c r="E2161" t="s">
        <v>70</v>
      </c>
      <c r="F2161" t="s">
        <v>61</v>
      </c>
      <c r="G2161" t="s">
        <v>63</v>
      </c>
      <c r="H2161" t="s">
        <v>34</v>
      </c>
      <c r="I2161" t="s">
        <v>69</v>
      </c>
      <c r="J2161" s="4">
        <v>23.91</v>
      </c>
      <c r="K2161" s="4">
        <v>11.87</v>
      </c>
      <c r="L2161">
        <v>5</v>
      </c>
      <c r="M2161" s="4">
        <v>14.19</v>
      </c>
      <c r="N2161" s="4">
        <v>269.62</v>
      </c>
      <c r="O2161" s="4">
        <v>170.11</v>
      </c>
      <c r="P2161" s="4">
        <v>5.38</v>
      </c>
      <c r="Q2161" s="4">
        <v>1.1399999999999999</v>
      </c>
      <c r="R2161" s="4">
        <v>0</v>
      </c>
      <c r="S2161" s="4">
        <v>0</v>
      </c>
      <c r="T2161" s="4">
        <v>0</v>
      </c>
      <c r="U2161" s="4">
        <v>176.63</v>
      </c>
      <c r="V2161" s="4">
        <v>92.99</v>
      </c>
      <c r="W2161" t="s">
        <v>21</v>
      </c>
      <c r="X2161" t="s">
        <v>36</v>
      </c>
      <c r="Y2161" s="4">
        <v>17</v>
      </c>
      <c r="Z2161" s="4">
        <v>6</v>
      </c>
      <c r="AA2161" t="s">
        <v>52</v>
      </c>
      <c r="AB2161" t="s">
        <v>38</v>
      </c>
      <c r="AC2161" s="7">
        <v>0</v>
      </c>
      <c r="AD2161" t="s">
        <v>39</v>
      </c>
      <c r="AE2161">
        <f t="shared" si="33"/>
        <v>0</v>
      </c>
    </row>
    <row r="2162" spans="1:31" x14ac:dyDescent="0.35">
      <c r="A2162">
        <v>102161</v>
      </c>
      <c r="B2162" s="3">
        <v>45975</v>
      </c>
      <c r="C2162">
        <v>1049</v>
      </c>
      <c r="D2162" t="s">
        <v>30</v>
      </c>
      <c r="E2162" t="s">
        <v>62</v>
      </c>
      <c r="F2162" t="s">
        <v>71</v>
      </c>
      <c r="G2162" t="s">
        <v>50</v>
      </c>
      <c r="H2162" t="s">
        <v>51</v>
      </c>
      <c r="I2162" t="s">
        <v>35</v>
      </c>
      <c r="J2162" s="4">
        <v>40.4</v>
      </c>
      <c r="K2162" s="4">
        <v>16.670000000000002</v>
      </c>
      <c r="L2162">
        <v>5</v>
      </c>
      <c r="M2162" s="4">
        <v>33.67</v>
      </c>
      <c r="N2162" s="4">
        <v>639.79999999999995</v>
      </c>
      <c r="O2162" s="4">
        <v>296.58</v>
      </c>
      <c r="P2162" s="4">
        <v>6.76</v>
      </c>
      <c r="Q2162" s="4">
        <v>4.71</v>
      </c>
      <c r="R2162" s="4">
        <v>6.33</v>
      </c>
      <c r="S2162" s="4">
        <v>294.97000000000003</v>
      </c>
      <c r="T2162" s="4">
        <v>2.14</v>
      </c>
      <c r="U2162" s="4">
        <v>611.49</v>
      </c>
      <c r="V2162" s="4">
        <v>28.31</v>
      </c>
      <c r="W2162" t="s">
        <v>21</v>
      </c>
      <c r="X2162" t="s">
        <v>55</v>
      </c>
      <c r="Y2162" s="4">
        <v>0</v>
      </c>
      <c r="Z2162" s="4">
        <v>6</v>
      </c>
      <c r="AA2162" t="s">
        <v>37</v>
      </c>
      <c r="AB2162" t="s">
        <v>44</v>
      </c>
      <c r="AC2162" s="7">
        <v>1</v>
      </c>
      <c r="AD2162" t="s">
        <v>45</v>
      </c>
      <c r="AE2162">
        <f t="shared" si="33"/>
        <v>1</v>
      </c>
    </row>
    <row r="2163" spans="1:31" x14ac:dyDescent="0.35">
      <c r="A2163">
        <v>102162</v>
      </c>
      <c r="B2163" s="3">
        <v>45951</v>
      </c>
      <c r="C2163">
        <v>1010</v>
      </c>
      <c r="D2163" t="s">
        <v>47</v>
      </c>
      <c r="E2163" t="s">
        <v>48</v>
      </c>
      <c r="F2163" t="s">
        <v>41</v>
      </c>
      <c r="G2163" t="s">
        <v>46</v>
      </c>
      <c r="H2163" t="s">
        <v>34</v>
      </c>
      <c r="I2163" t="s">
        <v>42</v>
      </c>
      <c r="J2163" s="4">
        <v>32.79</v>
      </c>
      <c r="K2163" s="4">
        <v>14.37</v>
      </c>
      <c r="L2163">
        <v>15</v>
      </c>
      <c r="M2163" s="4">
        <v>70.680000000000007</v>
      </c>
      <c r="N2163" s="4">
        <v>400.51</v>
      </c>
      <c r="O2163" s="4">
        <v>238.42</v>
      </c>
      <c r="P2163" s="4">
        <v>9.0399999999999991</v>
      </c>
      <c r="Q2163" s="4">
        <v>7.07</v>
      </c>
      <c r="R2163" s="4">
        <v>5.04</v>
      </c>
      <c r="S2163" s="4">
        <v>0</v>
      </c>
      <c r="T2163" s="4">
        <v>0</v>
      </c>
      <c r="U2163" s="4">
        <v>259.57</v>
      </c>
      <c r="V2163" s="4">
        <v>140.94</v>
      </c>
      <c r="W2163" t="s">
        <v>21</v>
      </c>
      <c r="X2163" t="s">
        <v>36</v>
      </c>
      <c r="Y2163" s="4">
        <v>14</v>
      </c>
      <c r="Z2163" s="4">
        <v>1</v>
      </c>
      <c r="AA2163" t="s">
        <v>37</v>
      </c>
      <c r="AB2163" t="s">
        <v>38</v>
      </c>
      <c r="AC2163" s="7">
        <v>0</v>
      </c>
      <c r="AD2163" t="s">
        <v>39</v>
      </c>
      <c r="AE2163">
        <f t="shared" si="33"/>
        <v>0</v>
      </c>
    </row>
    <row r="2164" spans="1:31" x14ac:dyDescent="0.35">
      <c r="A2164">
        <v>102163</v>
      </c>
      <c r="B2164" s="3">
        <v>45969</v>
      </c>
      <c r="C2164">
        <v>1139</v>
      </c>
      <c r="D2164" t="s">
        <v>64</v>
      </c>
      <c r="E2164" t="s">
        <v>76</v>
      </c>
      <c r="F2164" t="s">
        <v>61</v>
      </c>
      <c r="G2164" t="s">
        <v>50</v>
      </c>
      <c r="H2164" t="s">
        <v>57</v>
      </c>
      <c r="I2164" t="s">
        <v>35</v>
      </c>
      <c r="J2164" s="4">
        <v>26.11</v>
      </c>
      <c r="K2164" s="4">
        <v>18.260000000000002</v>
      </c>
      <c r="L2164">
        <v>10</v>
      </c>
      <c r="M2164" s="4">
        <v>47.68</v>
      </c>
      <c r="N2164" s="4">
        <v>429.09</v>
      </c>
      <c r="O2164" s="4">
        <v>186.19</v>
      </c>
      <c r="P2164" s="4">
        <v>7.46</v>
      </c>
      <c r="Q2164" s="4">
        <v>3.34</v>
      </c>
      <c r="R2164" s="4">
        <v>3.21</v>
      </c>
      <c r="S2164" s="4">
        <v>0</v>
      </c>
      <c r="T2164" s="4">
        <v>0</v>
      </c>
      <c r="U2164" s="4">
        <v>200.2</v>
      </c>
      <c r="V2164" s="4">
        <v>228.89</v>
      </c>
      <c r="W2164" t="s">
        <v>21</v>
      </c>
      <c r="X2164" t="s">
        <v>36</v>
      </c>
      <c r="Y2164" s="4">
        <v>6</v>
      </c>
      <c r="Z2164" s="4">
        <v>3</v>
      </c>
      <c r="AA2164" t="s">
        <v>37</v>
      </c>
      <c r="AB2164" t="s">
        <v>38</v>
      </c>
      <c r="AC2164" s="7">
        <v>0</v>
      </c>
      <c r="AD2164" t="s">
        <v>39</v>
      </c>
      <c r="AE2164">
        <f t="shared" si="33"/>
        <v>0</v>
      </c>
    </row>
    <row r="2165" spans="1:31" x14ac:dyDescent="0.35">
      <c r="A2165">
        <v>102164</v>
      </c>
      <c r="B2165" s="3">
        <v>45997</v>
      </c>
      <c r="C2165">
        <v>1108</v>
      </c>
      <c r="D2165" t="s">
        <v>47</v>
      </c>
      <c r="E2165" t="s">
        <v>48</v>
      </c>
      <c r="F2165" t="s">
        <v>32</v>
      </c>
      <c r="G2165" t="s">
        <v>46</v>
      </c>
      <c r="H2165" t="s">
        <v>34</v>
      </c>
      <c r="I2165" t="s">
        <v>35</v>
      </c>
      <c r="J2165" s="4">
        <v>12.29</v>
      </c>
      <c r="K2165" s="4">
        <v>15.38</v>
      </c>
      <c r="L2165">
        <v>0</v>
      </c>
      <c r="M2165" s="4">
        <v>0</v>
      </c>
      <c r="N2165" s="4">
        <v>189.02</v>
      </c>
      <c r="O2165" s="4">
        <v>92.29</v>
      </c>
      <c r="P2165" s="4">
        <v>7.63</v>
      </c>
      <c r="Q2165" s="4">
        <v>1.32</v>
      </c>
      <c r="R2165" s="4">
        <v>9.4600000000000009</v>
      </c>
      <c r="S2165" s="4">
        <v>0</v>
      </c>
      <c r="T2165" s="4">
        <v>0</v>
      </c>
      <c r="U2165" s="4">
        <v>110.7</v>
      </c>
      <c r="V2165" s="4">
        <v>78.319999999999993</v>
      </c>
      <c r="W2165" t="s">
        <v>21</v>
      </c>
      <c r="X2165" t="s">
        <v>36</v>
      </c>
      <c r="Y2165" s="4">
        <v>39</v>
      </c>
      <c r="Z2165" s="4">
        <v>0</v>
      </c>
      <c r="AA2165" t="s">
        <v>43</v>
      </c>
      <c r="AB2165" t="s">
        <v>44</v>
      </c>
      <c r="AC2165" s="7">
        <v>3</v>
      </c>
      <c r="AD2165" t="s">
        <v>45</v>
      </c>
      <c r="AE2165">
        <f t="shared" si="33"/>
        <v>1</v>
      </c>
    </row>
    <row r="2166" spans="1:31" x14ac:dyDescent="0.35">
      <c r="A2166">
        <v>102165</v>
      </c>
      <c r="B2166" s="3">
        <v>45983</v>
      </c>
      <c r="C2166">
        <v>1021</v>
      </c>
      <c r="D2166" t="s">
        <v>47</v>
      </c>
      <c r="E2166" t="s">
        <v>48</v>
      </c>
      <c r="F2166" t="s">
        <v>71</v>
      </c>
      <c r="G2166" t="s">
        <v>63</v>
      </c>
      <c r="H2166" t="s">
        <v>57</v>
      </c>
      <c r="I2166" t="s">
        <v>42</v>
      </c>
      <c r="J2166" s="4">
        <v>14.93</v>
      </c>
      <c r="K2166" s="4">
        <v>13.09</v>
      </c>
      <c r="L2166">
        <v>0</v>
      </c>
      <c r="M2166" s="4">
        <v>0</v>
      </c>
      <c r="N2166" s="4">
        <v>195.43</v>
      </c>
      <c r="O2166" s="4">
        <v>87.97</v>
      </c>
      <c r="P2166" s="4">
        <v>11.06</v>
      </c>
      <c r="Q2166" s="4">
        <v>2.93</v>
      </c>
      <c r="R2166" s="4">
        <v>8.77</v>
      </c>
      <c r="S2166" s="4">
        <v>0</v>
      </c>
      <c r="T2166" s="4">
        <v>0</v>
      </c>
      <c r="U2166" s="4">
        <v>110.73</v>
      </c>
      <c r="V2166" s="4">
        <v>84.7</v>
      </c>
      <c r="W2166" t="s">
        <v>21</v>
      </c>
      <c r="X2166" t="s">
        <v>36</v>
      </c>
      <c r="Y2166" s="4">
        <v>7</v>
      </c>
      <c r="Z2166" s="4">
        <v>4</v>
      </c>
      <c r="AA2166" t="s">
        <v>37</v>
      </c>
      <c r="AB2166" t="s">
        <v>38</v>
      </c>
      <c r="AC2166" s="7">
        <v>0</v>
      </c>
      <c r="AD2166" t="s">
        <v>39</v>
      </c>
      <c r="AE2166">
        <f t="shared" si="33"/>
        <v>0</v>
      </c>
    </row>
    <row r="2167" spans="1:31" x14ac:dyDescent="0.35">
      <c r="A2167">
        <v>102166</v>
      </c>
      <c r="B2167" s="3">
        <v>45985</v>
      </c>
      <c r="C2167">
        <v>1094</v>
      </c>
      <c r="D2167" t="s">
        <v>30</v>
      </c>
      <c r="E2167" t="s">
        <v>72</v>
      </c>
      <c r="F2167" t="s">
        <v>61</v>
      </c>
      <c r="G2167" t="s">
        <v>46</v>
      </c>
      <c r="H2167" t="s">
        <v>34</v>
      </c>
      <c r="I2167" t="s">
        <v>42</v>
      </c>
      <c r="J2167" s="4">
        <v>31.96</v>
      </c>
      <c r="K2167" s="4">
        <v>14.84</v>
      </c>
      <c r="L2167">
        <v>0</v>
      </c>
      <c r="M2167" s="4">
        <v>0</v>
      </c>
      <c r="N2167" s="4">
        <v>474.29</v>
      </c>
      <c r="O2167" s="4">
        <v>250.42</v>
      </c>
      <c r="P2167" s="4">
        <v>11.66</v>
      </c>
      <c r="Q2167" s="4">
        <v>7.11</v>
      </c>
      <c r="R2167" s="4">
        <v>3.48</v>
      </c>
      <c r="S2167" s="4">
        <v>0</v>
      </c>
      <c r="T2167" s="4">
        <v>0</v>
      </c>
      <c r="U2167" s="4">
        <v>272.67</v>
      </c>
      <c r="V2167" s="4">
        <v>201.62</v>
      </c>
      <c r="W2167" t="s">
        <v>21</v>
      </c>
      <c r="X2167" t="s">
        <v>36</v>
      </c>
      <c r="Y2167" s="4">
        <v>4</v>
      </c>
      <c r="Z2167" s="4">
        <v>1</v>
      </c>
      <c r="AA2167" t="s">
        <v>37</v>
      </c>
      <c r="AB2167" t="s">
        <v>38</v>
      </c>
      <c r="AC2167" s="7">
        <v>0</v>
      </c>
      <c r="AD2167" t="s">
        <v>39</v>
      </c>
      <c r="AE2167">
        <f t="shared" si="33"/>
        <v>0</v>
      </c>
    </row>
    <row r="2168" spans="1:31" x14ac:dyDescent="0.35">
      <c r="A2168">
        <v>102167</v>
      </c>
      <c r="B2168" s="3">
        <v>45945</v>
      </c>
      <c r="C2168">
        <v>1089</v>
      </c>
      <c r="D2168" t="s">
        <v>64</v>
      </c>
      <c r="E2168" t="s">
        <v>75</v>
      </c>
      <c r="F2168" t="s">
        <v>32</v>
      </c>
      <c r="G2168" t="s">
        <v>50</v>
      </c>
      <c r="H2168" t="s">
        <v>34</v>
      </c>
      <c r="I2168" t="s">
        <v>54</v>
      </c>
      <c r="J2168" s="4">
        <v>18.71</v>
      </c>
      <c r="K2168" s="4">
        <v>17.8</v>
      </c>
      <c r="L2168">
        <v>20</v>
      </c>
      <c r="M2168" s="4">
        <v>66.61</v>
      </c>
      <c r="N2168" s="4">
        <v>266.43</v>
      </c>
      <c r="O2168" s="4">
        <v>129.16</v>
      </c>
      <c r="P2168" s="4">
        <v>10.91</v>
      </c>
      <c r="Q2168" s="4">
        <v>4</v>
      </c>
      <c r="R2168" s="4">
        <v>0.63</v>
      </c>
      <c r="S2168" s="4">
        <v>0</v>
      </c>
      <c r="T2168" s="4">
        <v>0</v>
      </c>
      <c r="U2168" s="4">
        <v>144.69999999999999</v>
      </c>
      <c r="V2168" s="4">
        <v>121.73</v>
      </c>
      <c r="W2168" t="s">
        <v>21</v>
      </c>
      <c r="X2168" t="s">
        <v>36</v>
      </c>
      <c r="Y2168" s="4">
        <v>6</v>
      </c>
      <c r="Z2168" s="4">
        <v>0</v>
      </c>
      <c r="AA2168" t="s">
        <v>37</v>
      </c>
      <c r="AB2168" t="s">
        <v>38</v>
      </c>
      <c r="AC2168" s="7">
        <v>0</v>
      </c>
      <c r="AD2168" t="s">
        <v>39</v>
      </c>
      <c r="AE2168">
        <f t="shared" si="33"/>
        <v>0</v>
      </c>
    </row>
    <row r="2169" spans="1:31" x14ac:dyDescent="0.35">
      <c r="A2169">
        <v>102168</v>
      </c>
      <c r="B2169" s="3">
        <v>45984</v>
      </c>
      <c r="C2169">
        <v>1008</v>
      </c>
      <c r="D2169" t="s">
        <v>30</v>
      </c>
      <c r="E2169" t="s">
        <v>72</v>
      </c>
      <c r="F2169" t="s">
        <v>71</v>
      </c>
      <c r="G2169" t="s">
        <v>63</v>
      </c>
      <c r="H2169" t="s">
        <v>51</v>
      </c>
      <c r="I2169" t="s">
        <v>35</v>
      </c>
      <c r="J2169" s="4">
        <v>28.14</v>
      </c>
      <c r="K2169" s="4">
        <v>12.71</v>
      </c>
      <c r="L2169">
        <v>0</v>
      </c>
      <c r="M2169" s="4">
        <v>0</v>
      </c>
      <c r="N2169" s="4">
        <v>357.66</v>
      </c>
      <c r="O2169" s="4">
        <v>192.37</v>
      </c>
      <c r="P2169" s="4">
        <v>3.02</v>
      </c>
      <c r="Q2169" s="4">
        <v>2.5</v>
      </c>
      <c r="R2169" s="4">
        <v>4.57</v>
      </c>
      <c r="S2169" s="4">
        <v>0</v>
      </c>
      <c r="T2169" s="4">
        <v>0</v>
      </c>
      <c r="U2169" s="4">
        <v>202.46</v>
      </c>
      <c r="V2169" s="4">
        <v>155.19999999999999</v>
      </c>
      <c r="W2169" t="s">
        <v>21</v>
      </c>
      <c r="X2169" t="s">
        <v>36</v>
      </c>
      <c r="Y2169" s="4">
        <v>19</v>
      </c>
      <c r="Z2169" s="4">
        <v>4</v>
      </c>
      <c r="AA2169" t="s">
        <v>52</v>
      </c>
      <c r="AB2169" t="s">
        <v>38</v>
      </c>
      <c r="AC2169" s="7">
        <v>0</v>
      </c>
      <c r="AD2169" t="s">
        <v>39</v>
      </c>
      <c r="AE2169">
        <f t="shared" si="33"/>
        <v>0</v>
      </c>
    </row>
    <row r="2170" spans="1:31" x14ac:dyDescent="0.35">
      <c r="A2170">
        <v>102169</v>
      </c>
      <c r="B2170" s="3">
        <v>46018</v>
      </c>
      <c r="C2170">
        <v>1028</v>
      </c>
      <c r="D2170" t="s">
        <v>64</v>
      </c>
      <c r="E2170" t="s">
        <v>67</v>
      </c>
      <c r="F2170" t="s">
        <v>61</v>
      </c>
      <c r="G2170" t="s">
        <v>63</v>
      </c>
      <c r="H2170" t="s">
        <v>34</v>
      </c>
      <c r="I2170" t="s">
        <v>35</v>
      </c>
      <c r="J2170" s="4">
        <v>16.68</v>
      </c>
      <c r="K2170" s="4">
        <v>11.41</v>
      </c>
      <c r="L2170">
        <v>5</v>
      </c>
      <c r="M2170" s="4">
        <v>9.52</v>
      </c>
      <c r="N2170" s="4">
        <v>180.8</v>
      </c>
      <c r="O2170" s="4">
        <v>132.26</v>
      </c>
      <c r="P2170" s="4">
        <v>7.29</v>
      </c>
      <c r="Q2170" s="4">
        <v>1.33</v>
      </c>
      <c r="R2170" s="4">
        <v>6.64</v>
      </c>
      <c r="S2170" s="4">
        <v>0</v>
      </c>
      <c r="T2170" s="4">
        <v>0</v>
      </c>
      <c r="U2170" s="4">
        <v>147.52000000000001</v>
      </c>
      <c r="V2170" s="4">
        <v>33.28</v>
      </c>
      <c r="W2170" t="s">
        <v>21</v>
      </c>
      <c r="X2170" t="s">
        <v>36</v>
      </c>
      <c r="Y2170" s="4">
        <v>3</v>
      </c>
      <c r="Z2170" s="4">
        <v>10</v>
      </c>
      <c r="AA2170" t="s">
        <v>37</v>
      </c>
      <c r="AB2170" t="s">
        <v>38</v>
      </c>
      <c r="AC2170" s="7">
        <v>0</v>
      </c>
      <c r="AD2170" t="s">
        <v>39</v>
      </c>
      <c r="AE2170">
        <f t="shared" si="33"/>
        <v>0</v>
      </c>
    </row>
    <row r="2171" spans="1:31" x14ac:dyDescent="0.35">
      <c r="A2171">
        <v>102170</v>
      </c>
      <c r="B2171" s="3">
        <v>45991</v>
      </c>
      <c r="C2171">
        <v>1084</v>
      </c>
      <c r="D2171" t="s">
        <v>30</v>
      </c>
      <c r="E2171" t="s">
        <v>62</v>
      </c>
      <c r="F2171" t="s">
        <v>61</v>
      </c>
      <c r="G2171" t="s">
        <v>63</v>
      </c>
      <c r="H2171" t="s">
        <v>34</v>
      </c>
      <c r="I2171" t="s">
        <v>69</v>
      </c>
      <c r="J2171" s="4">
        <v>15.23</v>
      </c>
      <c r="K2171" s="4">
        <v>14.49</v>
      </c>
      <c r="L2171">
        <v>0</v>
      </c>
      <c r="M2171" s="4">
        <v>0</v>
      </c>
      <c r="N2171" s="4">
        <v>220.68</v>
      </c>
      <c r="O2171" s="4">
        <v>110.33</v>
      </c>
      <c r="P2171" s="4">
        <v>13.04</v>
      </c>
      <c r="Q2171" s="4">
        <v>0.88</v>
      </c>
      <c r="R2171" s="4">
        <v>3.34</v>
      </c>
      <c r="S2171" s="4">
        <v>0</v>
      </c>
      <c r="T2171" s="4">
        <v>0</v>
      </c>
      <c r="U2171" s="4">
        <v>127.59</v>
      </c>
      <c r="V2171" s="4">
        <v>93.09</v>
      </c>
      <c r="W2171" t="s">
        <v>21</v>
      </c>
      <c r="X2171" t="s">
        <v>36</v>
      </c>
      <c r="Y2171" s="4">
        <v>1</v>
      </c>
      <c r="Z2171" s="4">
        <v>6</v>
      </c>
      <c r="AA2171" t="s">
        <v>37</v>
      </c>
      <c r="AB2171" t="s">
        <v>38</v>
      </c>
      <c r="AC2171" s="7">
        <v>0</v>
      </c>
      <c r="AD2171" t="s">
        <v>39</v>
      </c>
      <c r="AE2171">
        <f t="shared" si="33"/>
        <v>0</v>
      </c>
    </row>
    <row r="2172" spans="1:31" x14ac:dyDescent="0.35">
      <c r="A2172">
        <v>102171</v>
      </c>
      <c r="B2172" s="3">
        <v>46005</v>
      </c>
      <c r="C2172">
        <v>1016</v>
      </c>
      <c r="D2172" t="s">
        <v>59</v>
      </c>
      <c r="E2172" t="s">
        <v>68</v>
      </c>
      <c r="F2172" t="s">
        <v>61</v>
      </c>
      <c r="G2172" t="s">
        <v>33</v>
      </c>
      <c r="H2172" t="s">
        <v>51</v>
      </c>
      <c r="I2172" t="s">
        <v>54</v>
      </c>
      <c r="J2172" s="4">
        <v>21.29</v>
      </c>
      <c r="K2172" s="4">
        <v>19.649999999999999</v>
      </c>
      <c r="L2172">
        <v>20</v>
      </c>
      <c r="M2172" s="4">
        <v>83.67</v>
      </c>
      <c r="N2172" s="4">
        <v>334.68</v>
      </c>
      <c r="O2172" s="4">
        <v>150.9</v>
      </c>
      <c r="P2172" s="4">
        <v>13.91</v>
      </c>
      <c r="Q2172" s="4">
        <v>5.0199999999999996</v>
      </c>
      <c r="R2172" s="4">
        <v>8.56</v>
      </c>
      <c r="S2172" s="4">
        <v>0</v>
      </c>
      <c r="T2172" s="4">
        <v>0</v>
      </c>
      <c r="U2172" s="4">
        <v>178.39</v>
      </c>
      <c r="V2172" s="4">
        <v>156.29</v>
      </c>
      <c r="W2172" t="s">
        <v>21</v>
      </c>
      <c r="X2172" t="s">
        <v>36</v>
      </c>
      <c r="Y2172" s="4">
        <v>2</v>
      </c>
      <c r="Z2172" s="4">
        <v>0</v>
      </c>
      <c r="AA2172" t="s">
        <v>37</v>
      </c>
      <c r="AB2172" t="s">
        <v>38</v>
      </c>
      <c r="AC2172" s="7">
        <v>2</v>
      </c>
      <c r="AD2172" t="s">
        <v>39</v>
      </c>
      <c r="AE2172">
        <f t="shared" si="33"/>
        <v>0</v>
      </c>
    </row>
    <row r="2173" spans="1:31" x14ac:dyDescent="0.35">
      <c r="A2173">
        <v>102172</v>
      </c>
      <c r="B2173" s="3">
        <v>45945</v>
      </c>
      <c r="C2173">
        <v>1012</v>
      </c>
      <c r="D2173" t="s">
        <v>59</v>
      </c>
      <c r="E2173" t="s">
        <v>68</v>
      </c>
      <c r="F2173" t="s">
        <v>49</v>
      </c>
      <c r="G2173" t="s">
        <v>46</v>
      </c>
      <c r="H2173" t="s">
        <v>57</v>
      </c>
      <c r="I2173" t="s">
        <v>35</v>
      </c>
      <c r="J2173" s="4">
        <v>20.149999999999999</v>
      </c>
      <c r="K2173" s="4">
        <v>14.96</v>
      </c>
      <c r="L2173">
        <v>20</v>
      </c>
      <c r="M2173" s="4">
        <v>60.29</v>
      </c>
      <c r="N2173" s="4">
        <v>241.15</v>
      </c>
      <c r="O2173" s="4">
        <v>139.80000000000001</v>
      </c>
      <c r="P2173" s="4">
        <v>7.02</v>
      </c>
      <c r="Q2173" s="4">
        <v>2.11</v>
      </c>
      <c r="R2173" s="4">
        <v>0</v>
      </c>
      <c r="S2173" s="4">
        <v>0</v>
      </c>
      <c r="T2173" s="4">
        <v>0</v>
      </c>
      <c r="U2173" s="4">
        <v>148.93</v>
      </c>
      <c r="V2173" s="4">
        <v>92.22</v>
      </c>
      <c r="W2173" t="s">
        <v>21</v>
      </c>
      <c r="X2173" t="s">
        <v>36</v>
      </c>
      <c r="Y2173" s="4">
        <v>17</v>
      </c>
      <c r="Z2173" s="4">
        <v>1</v>
      </c>
      <c r="AA2173" t="s">
        <v>52</v>
      </c>
      <c r="AB2173" t="s">
        <v>38</v>
      </c>
      <c r="AC2173" s="7">
        <v>2</v>
      </c>
      <c r="AD2173" t="s">
        <v>39</v>
      </c>
      <c r="AE2173">
        <f t="shared" si="33"/>
        <v>0</v>
      </c>
    </row>
    <row r="2174" spans="1:31" x14ac:dyDescent="0.35">
      <c r="A2174">
        <v>102173</v>
      </c>
      <c r="B2174" s="3">
        <v>45954</v>
      </c>
      <c r="C2174">
        <v>1055</v>
      </c>
      <c r="D2174" t="s">
        <v>64</v>
      </c>
      <c r="E2174" t="s">
        <v>75</v>
      </c>
      <c r="F2174" t="s">
        <v>41</v>
      </c>
      <c r="G2174" t="s">
        <v>63</v>
      </c>
      <c r="H2174" t="s">
        <v>34</v>
      </c>
      <c r="I2174" t="s">
        <v>69</v>
      </c>
      <c r="J2174" s="4">
        <v>26.67</v>
      </c>
      <c r="K2174" s="4">
        <v>11.33</v>
      </c>
      <c r="L2174">
        <v>0</v>
      </c>
      <c r="M2174" s="4">
        <v>0</v>
      </c>
      <c r="N2174" s="4">
        <v>302.17</v>
      </c>
      <c r="O2174" s="4">
        <v>162.83000000000001</v>
      </c>
      <c r="P2174" s="4">
        <v>4.78</v>
      </c>
      <c r="Q2174" s="4">
        <v>1.21</v>
      </c>
      <c r="R2174" s="4">
        <v>4.55</v>
      </c>
      <c r="S2174" s="4">
        <v>0</v>
      </c>
      <c r="T2174" s="4">
        <v>0</v>
      </c>
      <c r="U2174" s="4">
        <v>173.37</v>
      </c>
      <c r="V2174" s="4">
        <v>128.80000000000001</v>
      </c>
      <c r="W2174" t="s">
        <v>21</v>
      </c>
      <c r="X2174" t="s">
        <v>36</v>
      </c>
      <c r="Y2174" s="4">
        <v>8</v>
      </c>
      <c r="Z2174" s="4">
        <v>7</v>
      </c>
      <c r="AA2174" t="s">
        <v>37</v>
      </c>
      <c r="AB2174" t="s">
        <v>38</v>
      </c>
      <c r="AC2174" s="7">
        <v>0</v>
      </c>
      <c r="AD2174" t="s">
        <v>39</v>
      </c>
      <c r="AE2174">
        <f t="shared" si="33"/>
        <v>0</v>
      </c>
    </row>
    <row r="2175" spans="1:31" x14ac:dyDescent="0.35">
      <c r="A2175">
        <v>102174</v>
      </c>
      <c r="B2175" s="3">
        <v>46010</v>
      </c>
      <c r="C2175">
        <v>1044</v>
      </c>
      <c r="D2175" t="s">
        <v>47</v>
      </c>
      <c r="E2175" t="s">
        <v>74</v>
      </c>
      <c r="F2175" t="s">
        <v>61</v>
      </c>
      <c r="G2175" t="s">
        <v>33</v>
      </c>
      <c r="H2175" t="s">
        <v>34</v>
      </c>
      <c r="I2175" t="s">
        <v>42</v>
      </c>
      <c r="J2175" s="4">
        <v>17.53</v>
      </c>
      <c r="K2175" s="4">
        <v>18.03</v>
      </c>
      <c r="L2175">
        <v>15</v>
      </c>
      <c r="M2175" s="4">
        <v>47.41</v>
      </c>
      <c r="N2175" s="4">
        <v>268.66000000000003</v>
      </c>
      <c r="O2175" s="4">
        <v>148.65</v>
      </c>
      <c r="P2175" s="4">
        <v>9.44</v>
      </c>
      <c r="Q2175" s="4">
        <v>4.74</v>
      </c>
      <c r="R2175" s="4">
        <v>0.15</v>
      </c>
      <c r="S2175" s="4">
        <v>0</v>
      </c>
      <c r="T2175" s="4">
        <v>0</v>
      </c>
      <c r="U2175" s="4">
        <v>162.97999999999999</v>
      </c>
      <c r="V2175" s="4">
        <v>105.68</v>
      </c>
      <c r="W2175" t="s">
        <v>21</v>
      </c>
      <c r="X2175" t="s">
        <v>36</v>
      </c>
      <c r="Y2175" s="4">
        <v>7</v>
      </c>
      <c r="Z2175" s="4">
        <v>1</v>
      </c>
      <c r="AA2175" t="s">
        <v>37</v>
      </c>
      <c r="AB2175" t="s">
        <v>38</v>
      </c>
      <c r="AC2175" s="7">
        <v>0</v>
      </c>
      <c r="AD2175" t="s">
        <v>39</v>
      </c>
      <c r="AE2175">
        <f t="shared" si="33"/>
        <v>0</v>
      </c>
    </row>
    <row r="2176" spans="1:31" x14ac:dyDescent="0.35">
      <c r="A2176">
        <v>102175</v>
      </c>
      <c r="B2176" s="3">
        <v>45972</v>
      </c>
      <c r="C2176">
        <v>1036</v>
      </c>
      <c r="D2176" t="s">
        <v>30</v>
      </c>
      <c r="E2176" t="s">
        <v>72</v>
      </c>
      <c r="F2176" t="s">
        <v>49</v>
      </c>
      <c r="G2176" t="s">
        <v>63</v>
      </c>
      <c r="H2176" t="s">
        <v>51</v>
      </c>
      <c r="I2176" t="s">
        <v>42</v>
      </c>
      <c r="J2176" s="4">
        <v>30.82</v>
      </c>
      <c r="K2176" s="4">
        <v>13.18</v>
      </c>
      <c r="L2176">
        <v>20</v>
      </c>
      <c r="M2176" s="4">
        <v>81.239999999999995</v>
      </c>
      <c r="N2176" s="4">
        <v>324.97000000000003</v>
      </c>
      <c r="O2176" s="4">
        <v>206.95</v>
      </c>
      <c r="P2176" s="4">
        <v>7.13</v>
      </c>
      <c r="Q2176" s="4">
        <v>6.09</v>
      </c>
      <c r="R2176" s="4">
        <v>3.61</v>
      </c>
      <c r="S2176" s="4">
        <v>0</v>
      </c>
      <c r="T2176" s="4">
        <v>0</v>
      </c>
      <c r="U2176" s="4">
        <v>223.78</v>
      </c>
      <c r="V2176" s="4">
        <v>101.19</v>
      </c>
      <c r="W2176" t="s">
        <v>21</v>
      </c>
      <c r="X2176" t="s">
        <v>36</v>
      </c>
      <c r="Y2176" s="4">
        <v>3</v>
      </c>
      <c r="Z2176" s="4">
        <v>36</v>
      </c>
      <c r="AA2176" t="s">
        <v>37</v>
      </c>
      <c r="AB2176" t="s">
        <v>44</v>
      </c>
      <c r="AC2176" s="7">
        <v>3</v>
      </c>
      <c r="AD2176" t="s">
        <v>45</v>
      </c>
      <c r="AE2176">
        <f t="shared" si="33"/>
        <v>1</v>
      </c>
    </row>
    <row r="2177" spans="1:31" x14ac:dyDescent="0.35">
      <c r="A2177">
        <v>102176</v>
      </c>
      <c r="B2177" s="3">
        <v>45981</v>
      </c>
      <c r="C2177">
        <v>1121</v>
      </c>
      <c r="D2177" t="s">
        <v>30</v>
      </c>
      <c r="E2177" t="s">
        <v>62</v>
      </c>
      <c r="F2177" t="s">
        <v>61</v>
      </c>
      <c r="G2177" t="s">
        <v>33</v>
      </c>
      <c r="H2177" t="s">
        <v>57</v>
      </c>
      <c r="I2177" t="s">
        <v>35</v>
      </c>
      <c r="J2177" s="4">
        <v>29.45</v>
      </c>
      <c r="K2177" s="4">
        <v>19.170000000000002</v>
      </c>
      <c r="L2177">
        <v>10</v>
      </c>
      <c r="M2177" s="4">
        <v>56.46</v>
      </c>
      <c r="N2177" s="4">
        <v>508.1</v>
      </c>
      <c r="O2177" s="4">
        <v>189.42</v>
      </c>
      <c r="P2177" s="4">
        <v>6.39</v>
      </c>
      <c r="Q2177" s="4">
        <v>3.95</v>
      </c>
      <c r="R2177" s="4">
        <v>13.13</v>
      </c>
      <c r="S2177" s="4">
        <v>0</v>
      </c>
      <c r="T2177" s="4">
        <v>0</v>
      </c>
      <c r="U2177" s="4">
        <v>212.89</v>
      </c>
      <c r="V2177" s="4">
        <v>295.20999999999998</v>
      </c>
      <c r="W2177" t="s">
        <v>21</v>
      </c>
      <c r="X2177" t="s">
        <v>36</v>
      </c>
      <c r="Y2177" s="4">
        <v>14</v>
      </c>
      <c r="Z2177" s="4">
        <v>11</v>
      </c>
      <c r="AA2177" t="s">
        <v>37</v>
      </c>
      <c r="AB2177" t="s">
        <v>38</v>
      </c>
      <c r="AC2177" s="7">
        <v>0</v>
      </c>
      <c r="AD2177" t="s">
        <v>39</v>
      </c>
      <c r="AE2177">
        <f t="shared" si="33"/>
        <v>0</v>
      </c>
    </row>
    <row r="2178" spans="1:31" x14ac:dyDescent="0.35">
      <c r="A2178">
        <v>102177</v>
      </c>
      <c r="B2178" s="3">
        <v>45948</v>
      </c>
      <c r="C2178">
        <v>1080</v>
      </c>
      <c r="D2178" t="s">
        <v>59</v>
      </c>
      <c r="E2178" t="s">
        <v>60</v>
      </c>
      <c r="F2178" t="s">
        <v>32</v>
      </c>
      <c r="G2178" t="s">
        <v>50</v>
      </c>
      <c r="H2178" t="s">
        <v>34</v>
      </c>
      <c r="I2178" t="s">
        <v>54</v>
      </c>
      <c r="J2178" s="4">
        <v>30.57</v>
      </c>
      <c r="K2178" s="4">
        <v>17.48</v>
      </c>
      <c r="L2178">
        <v>0</v>
      </c>
      <c r="M2178" s="4">
        <v>0</v>
      </c>
      <c r="N2178" s="4">
        <v>534.36</v>
      </c>
      <c r="O2178" s="4">
        <v>212.63</v>
      </c>
      <c r="P2178" s="4">
        <v>7.01</v>
      </c>
      <c r="Q2178" s="4">
        <v>6.41</v>
      </c>
      <c r="R2178" s="4">
        <v>12.2</v>
      </c>
      <c r="S2178" s="4">
        <v>0</v>
      </c>
      <c r="T2178" s="4">
        <v>0</v>
      </c>
      <c r="U2178" s="4">
        <v>238.25</v>
      </c>
      <c r="V2178" s="4">
        <v>296.11</v>
      </c>
      <c r="W2178" t="s">
        <v>21</v>
      </c>
      <c r="X2178" t="s">
        <v>36</v>
      </c>
      <c r="Y2178" s="4">
        <v>12</v>
      </c>
      <c r="Z2178" s="4">
        <v>17</v>
      </c>
      <c r="AA2178" t="s">
        <v>37</v>
      </c>
      <c r="AB2178" t="s">
        <v>44</v>
      </c>
      <c r="AC2178" s="7">
        <v>1</v>
      </c>
      <c r="AD2178" t="s">
        <v>45</v>
      </c>
      <c r="AE2178">
        <f t="shared" si="33"/>
        <v>1</v>
      </c>
    </row>
    <row r="2179" spans="1:31" x14ac:dyDescent="0.35">
      <c r="A2179">
        <v>102178</v>
      </c>
      <c r="B2179" s="3">
        <v>46013</v>
      </c>
      <c r="C2179">
        <v>1051</v>
      </c>
      <c r="D2179" t="s">
        <v>64</v>
      </c>
      <c r="E2179" t="s">
        <v>67</v>
      </c>
      <c r="F2179" t="s">
        <v>61</v>
      </c>
      <c r="G2179" t="s">
        <v>63</v>
      </c>
      <c r="H2179" t="s">
        <v>34</v>
      </c>
      <c r="I2179" t="s">
        <v>35</v>
      </c>
      <c r="J2179" s="4">
        <v>15.38</v>
      </c>
      <c r="K2179" s="4">
        <v>12.5</v>
      </c>
      <c r="L2179">
        <v>0</v>
      </c>
      <c r="M2179" s="4">
        <v>0</v>
      </c>
      <c r="N2179" s="4">
        <v>192.25</v>
      </c>
      <c r="O2179" s="4">
        <v>102.3</v>
      </c>
      <c r="P2179" s="4">
        <v>6.15</v>
      </c>
      <c r="Q2179" s="4">
        <v>1.35</v>
      </c>
      <c r="R2179" s="4">
        <v>9.64</v>
      </c>
      <c r="S2179" s="4">
        <v>0</v>
      </c>
      <c r="T2179" s="4">
        <v>0</v>
      </c>
      <c r="U2179" s="4">
        <v>119.44</v>
      </c>
      <c r="V2179" s="4">
        <v>72.81</v>
      </c>
      <c r="W2179" t="s">
        <v>21</v>
      </c>
      <c r="X2179" t="s">
        <v>36</v>
      </c>
      <c r="Y2179" s="4">
        <v>21</v>
      </c>
      <c r="Z2179" s="4">
        <v>13</v>
      </c>
      <c r="AA2179" t="s">
        <v>52</v>
      </c>
      <c r="AB2179" t="s">
        <v>44</v>
      </c>
      <c r="AC2179" s="7">
        <v>3</v>
      </c>
      <c r="AD2179" t="s">
        <v>45</v>
      </c>
      <c r="AE2179">
        <f t="shared" ref="AE2179:AE2242" si="34">IF(AB2179="Yes",1,0)</f>
        <v>1</v>
      </c>
    </row>
    <row r="2180" spans="1:31" x14ac:dyDescent="0.35">
      <c r="A2180">
        <v>102179</v>
      </c>
      <c r="B2180" s="3">
        <v>45950</v>
      </c>
      <c r="C2180">
        <v>1090</v>
      </c>
      <c r="D2180" t="s">
        <v>30</v>
      </c>
      <c r="E2180" t="s">
        <v>40</v>
      </c>
      <c r="F2180" t="s">
        <v>41</v>
      </c>
      <c r="G2180" t="s">
        <v>63</v>
      </c>
      <c r="H2180" t="s">
        <v>51</v>
      </c>
      <c r="I2180" t="s">
        <v>42</v>
      </c>
      <c r="J2180" s="4">
        <v>20.2</v>
      </c>
      <c r="K2180" s="4">
        <v>11.64</v>
      </c>
      <c r="L2180">
        <v>0</v>
      </c>
      <c r="M2180" s="4">
        <v>0</v>
      </c>
      <c r="N2180" s="4">
        <v>235.13</v>
      </c>
      <c r="O2180" s="4">
        <v>151.63999999999999</v>
      </c>
      <c r="P2180" s="4">
        <v>5.68</v>
      </c>
      <c r="Q2180" s="4">
        <v>3.53</v>
      </c>
      <c r="R2180" s="4">
        <v>7.77</v>
      </c>
      <c r="S2180" s="4">
        <v>0</v>
      </c>
      <c r="T2180" s="4">
        <v>0</v>
      </c>
      <c r="U2180" s="4">
        <v>168.62</v>
      </c>
      <c r="V2180" s="4">
        <v>66.510000000000005</v>
      </c>
      <c r="W2180" t="s">
        <v>21</v>
      </c>
      <c r="X2180" t="s">
        <v>36</v>
      </c>
      <c r="Y2180" s="4">
        <v>5</v>
      </c>
      <c r="Z2180" s="4">
        <v>4</v>
      </c>
      <c r="AA2180" t="s">
        <v>37</v>
      </c>
      <c r="AB2180" t="s">
        <v>38</v>
      </c>
      <c r="AC2180" s="7">
        <v>0</v>
      </c>
      <c r="AD2180" t="s">
        <v>39</v>
      </c>
      <c r="AE2180">
        <f t="shared" si="34"/>
        <v>0</v>
      </c>
    </row>
    <row r="2181" spans="1:31" x14ac:dyDescent="0.35">
      <c r="A2181">
        <v>102180</v>
      </c>
      <c r="B2181" s="3">
        <v>45993</v>
      </c>
      <c r="C2181">
        <v>1093</v>
      </c>
      <c r="D2181" t="s">
        <v>59</v>
      </c>
      <c r="E2181" t="s">
        <v>70</v>
      </c>
      <c r="F2181" t="s">
        <v>71</v>
      </c>
      <c r="G2181" t="s">
        <v>50</v>
      </c>
      <c r="H2181" t="s">
        <v>57</v>
      </c>
      <c r="I2181" t="s">
        <v>69</v>
      </c>
      <c r="J2181" s="4">
        <v>23.42</v>
      </c>
      <c r="K2181" s="4">
        <v>18.649999999999999</v>
      </c>
      <c r="L2181">
        <v>5</v>
      </c>
      <c r="M2181" s="4">
        <v>21.84</v>
      </c>
      <c r="N2181" s="4">
        <v>414.94</v>
      </c>
      <c r="O2181" s="4">
        <v>192.91</v>
      </c>
      <c r="P2181" s="4">
        <v>9.1300000000000008</v>
      </c>
      <c r="Q2181" s="4">
        <v>1.75</v>
      </c>
      <c r="R2181" s="4">
        <v>14.04</v>
      </c>
      <c r="S2181" s="4">
        <v>0</v>
      </c>
      <c r="T2181" s="4">
        <v>0</v>
      </c>
      <c r="U2181" s="4">
        <v>217.83</v>
      </c>
      <c r="V2181" s="4">
        <v>197.11</v>
      </c>
      <c r="W2181" t="s">
        <v>21</v>
      </c>
      <c r="X2181" t="s">
        <v>36</v>
      </c>
      <c r="Y2181" s="4">
        <v>2</v>
      </c>
      <c r="Z2181" s="4">
        <v>12</v>
      </c>
      <c r="AA2181" t="s">
        <v>37</v>
      </c>
      <c r="AB2181" t="s">
        <v>38</v>
      </c>
      <c r="AC2181" s="7">
        <v>0</v>
      </c>
      <c r="AD2181" t="s">
        <v>39</v>
      </c>
      <c r="AE2181">
        <f t="shared" si="34"/>
        <v>0</v>
      </c>
    </row>
    <row r="2182" spans="1:31" x14ac:dyDescent="0.35">
      <c r="A2182">
        <v>102181</v>
      </c>
      <c r="B2182" s="3">
        <v>45950</v>
      </c>
      <c r="C2182">
        <v>1135</v>
      </c>
      <c r="D2182" t="s">
        <v>59</v>
      </c>
      <c r="E2182" t="s">
        <v>60</v>
      </c>
      <c r="F2182" t="s">
        <v>71</v>
      </c>
      <c r="G2182" t="s">
        <v>63</v>
      </c>
      <c r="H2182" t="s">
        <v>34</v>
      </c>
      <c r="I2182" t="s">
        <v>35</v>
      </c>
      <c r="J2182" s="4">
        <v>30.05</v>
      </c>
      <c r="K2182" s="4">
        <v>13.2</v>
      </c>
      <c r="L2182">
        <v>0</v>
      </c>
      <c r="M2182" s="4">
        <v>0</v>
      </c>
      <c r="N2182" s="4">
        <v>396.66</v>
      </c>
      <c r="O2182" s="4">
        <v>189.08</v>
      </c>
      <c r="P2182" s="4">
        <v>6.15</v>
      </c>
      <c r="Q2182" s="4">
        <v>2.78</v>
      </c>
      <c r="R2182" s="4">
        <v>2.13</v>
      </c>
      <c r="S2182" s="4">
        <v>0</v>
      </c>
      <c r="T2182" s="4">
        <v>0</v>
      </c>
      <c r="U2182" s="4">
        <v>200.14</v>
      </c>
      <c r="V2182" s="4">
        <v>196.52</v>
      </c>
      <c r="W2182" t="s">
        <v>21</v>
      </c>
      <c r="X2182" t="s">
        <v>36</v>
      </c>
      <c r="Y2182" s="4">
        <v>6</v>
      </c>
      <c r="Z2182" s="4">
        <v>1</v>
      </c>
      <c r="AA2182" t="s">
        <v>37</v>
      </c>
      <c r="AB2182" t="s">
        <v>38</v>
      </c>
      <c r="AC2182" s="7">
        <v>0</v>
      </c>
      <c r="AD2182" t="s">
        <v>39</v>
      </c>
      <c r="AE2182">
        <f t="shared" si="34"/>
        <v>0</v>
      </c>
    </row>
    <row r="2183" spans="1:31" x14ac:dyDescent="0.35">
      <c r="A2183">
        <v>102182</v>
      </c>
      <c r="B2183" s="3">
        <v>45936</v>
      </c>
      <c r="C2183">
        <v>1009</v>
      </c>
      <c r="D2183" t="s">
        <v>30</v>
      </c>
      <c r="E2183" t="s">
        <v>72</v>
      </c>
      <c r="F2183" t="s">
        <v>41</v>
      </c>
      <c r="G2183" t="s">
        <v>33</v>
      </c>
      <c r="H2183" t="s">
        <v>34</v>
      </c>
      <c r="I2183" t="s">
        <v>69</v>
      </c>
      <c r="J2183" s="4">
        <v>30.82</v>
      </c>
      <c r="K2183" s="4">
        <v>18.829999999999998</v>
      </c>
      <c r="L2183">
        <v>20</v>
      </c>
      <c r="M2183" s="4">
        <v>116.07</v>
      </c>
      <c r="N2183" s="4">
        <v>464.27</v>
      </c>
      <c r="O2183" s="4">
        <v>233.3</v>
      </c>
      <c r="P2183" s="4">
        <v>1.71</v>
      </c>
      <c r="Q2183" s="4">
        <v>2.3199999999999998</v>
      </c>
      <c r="R2183" s="4">
        <v>2.2000000000000002</v>
      </c>
      <c r="S2183" s="4">
        <v>0</v>
      </c>
      <c r="T2183" s="4">
        <v>0</v>
      </c>
      <c r="U2183" s="4">
        <v>239.53</v>
      </c>
      <c r="V2183" s="4">
        <v>224.74</v>
      </c>
      <c r="W2183" t="s">
        <v>21</v>
      </c>
      <c r="X2183" t="s">
        <v>36</v>
      </c>
      <c r="Y2183" s="4">
        <v>23</v>
      </c>
      <c r="Z2183" s="4">
        <v>12</v>
      </c>
      <c r="AA2183" t="s">
        <v>52</v>
      </c>
      <c r="AB2183" t="s">
        <v>44</v>
      </c>
      <c r="AC2183" s="7">
        <v>1</v>
      </c>
      <c r="AD2183" t="s">
        <v>45</v>
      </c>
      <c r="AE2183">
        <f t="shared" si="34"/>
        <v>1</v>
      </c>
    </row>
    <row r="2184" spans="1:31" x14ac:dyDescent="0.35">
      <c r="A2184">
        <v>102183</v>
      </c>
      <c r="B2184" s="3">
        <v>45979</v>
      </c>
      <c r="C2184">
        <v>1062</v>
      </c>
      <c r="D2184" t="s">
        <v>30</v>
      </c>
      <c r="E2184" t="s">
        <v>72</v>
      </c>
      <c r="F2184" t="s">
        <v>71</v>
      </c>
      <c r="G2184" t="s">
        <v>46</v>
      </c>
      <c r="H2184" t="s">
        <v>34</v>
      </c>
      <c r="I2184" t="s">
        <v>42</v>
      </c>
      <c r="J2184" s="4">
        <v>40.590000000000003</v>
      </c>
      <c r="K2184" s="4">
        <v>15.93</v>
      </c>
      <c r="L2184">
        <v>20</v>
      </c>
      <c r="M2184" s="4">
        <v>129.32</v>
      </c>
      <c r="N2184" s="4">
        <v>517.28</v>
      </c>
      <c r="O2184" s="4">
        <v>264.18</v>
      </c>
      <c r="P2184" s="4">
        <v>9.5399999999999991</v>
      </c>
      <c r="Q2184" s="4">
        <v>9.6999999999999993</v>
      </c>
      <c r="R2184" s="4">
        <v>8.3800000000000008</v>
      </c>
      <c r="S2184" s="4">
        <v>0</v>
      </c>
      <c r="T2184" s="4">
        <v>0</v>
      </c>
      <c r="U2184" s="4">
        <v>291.8</v>
      </c>
      <c r="V2184" s="4">
        <v>225.48</v>
      </c>
      <c r="W2184" t="s">
        <v>21</v>
      </c>
      <c r="X2184" t="s">
        <v>36</v>
      </c>
      <c r="Y2184" s="4">
        <v>12</v>
      </c>
      <c r="Z2184" s="4">
        <v>2</v>
      </c>
      <c r="AA2184" t="s">
        <v>37</v>
      </c>
      <c r="AB2184" t="s">
        <v>38</v>
      </c>
      <c r="AC2184" s="7">
        <v>0</v>
      </c>
      <c r="AD2184" t="s">
        <v>39</v>
      </c>
      <c r="AE2184">
        <f t="shared" si="34"/>
        <v>0</v>
      </c>
    </row>
    <row r="2185" spans="1:31" x14ac:dyDescent="0.35">
      <c r="A2185">
        <v>102184</v>
      </c>
      <c r="B2185" s="3">
        <v>45949</v>
      </c>
      <c r="C2185">
        <v>1134</v>
      </c>
      <c r="D2185" t="s">
        <v>30</v>
      </c>
      <c r="E2185" t="s">
        <v>72</v>
      </c>
      <c r="F2185" t="s">
        <v>71</v>
      </c>
      <c r="G2185" t="s">
        <v>63</v>
      </c>
      <c r="H2185" t="s">
        <v>34</v>
      </c>
      <c r="I2185" t="s">
        <v>54</v>
      </c>
      <c r="J2185" s="4">
        <v>18.61</v>
      </c>
      <c r="K2185" s="4">
        <v>13.03</v>
      </c>
      <c r="L2185">
        <v>5</v>
      </c>
      <c r="M2185" s="4">
        <v>12.12</v>
      </c>
      <c r="N2185" s="4">
        <v>230.37</v>
      </c>
      <c r="O2185" s="4">
        <v>120.44</v>
      </c>
      <c r="P2185" s="4">
        <v>7.81</v>
      </c>
      <c r="Q2185" s="4">
        <v>2.91</v>
      </c>
      <c r="R2185" s="4">
        <v>0</v>
      </c>
      <c r="S2185" s="4">
        <v>0</v>
      </c>
      <c r="T2185" s="4">
        <v>0</v>
      </c>
      <c r="U2185" s="4">
        <v>131.16</v>
      </c>
      <c r="V2185" s="4">
        <v>99.21</v>
      </c>
      <c r="W2185" t="s">
        <v>21</v>
      </c>
      <c r="X2185" t="s">
        <v>36</v>
      </c>
      <c r="Y2185" s="4">
        <v>3</v>
      </c>
      <c r="Z2185" s="4">
        <v>14</v>
      </c>
      <c r="AA2185" t="s">
        <v>37</v>
      </c>
      <c r="AB2185" t="s">
        <v>38</v>
      </c>
      <c r="AC2185" s="7">
        <v>0</v>
      </c>
      <c r="AD2185" t="s">
        <v>39</v>
      </c>
      <c r="AE2185">
        <f t="shared" si="34"/>
        <v>0</v>
      </c>
    </row>
    <row r="2186" spans="1:31" x14ac:dyDescent="0.35">
      <c r="A2186">
        <v>102185</v>
      </c>
      <c r="B2186" s="3">
        <v>46020</v>
      </c>
      <c r="C2186">
        <v>1103</v>
      </c>
      <c r="D2186" t="s">
        <v>30</v>
      </c>
      <c r="E2186" t="s">
        <v>40</v>
      </c>
      <c r="F2186" t="s">
        <v>41</v>
      </c>
      <c r="G2186" t="s">
        <v>63</v>
      </c>
      <c r="H2186" t="s">
        <v>34</v>
      </c>
      <c r="I2186" t="s">
        <v>54</v>
      </c>
      <c r="J2186" s="4">
        <v>27.1</v>
      </c>
      <c r="K2186" s="4">
        <v>13.11</v>
      </c>
      <c r="L2186">
        <v>5</v>
      </c>
      <c r="M2186" s="4">
        <v>17.760000000000002</v>
      </c>
      <c r="N2186" s="4">
        <v>337.52</v>
      </c>
      <c r="O2186" s="4">
        <v>160.68</v>
      </c>
      <c r="P2186" s="4">
        <v>7.7</v>
      </c>
      <c r="Q2186" s="4">
        <v>4.26</v>
      </c>
      <c r="R2186" s="4">
        <v>7.42</v>
      </c>
      <c r="S2186" s="4">
        <v>0</v>
      </c>
      <c r="T2186" s="4">
        <v>0</v>
      </c>
      <c r="U2186" s="4">
        <v>180.06</v>
      </c>
      <c r="V2186" s="4">
        <v>157.46</v>
      </c>
      <c r="W2186" t="s">
        <v>21</v>
      </c>
      <c r="X2186" t="s">
        <v>36</v>
      </c>
      <c r="Y2186" s="4">
        <v>2</v>
      </c>
      <c r="Z2186" s="4">
        <v>14</v>
      </c>
      <c r="AA2186" t="s">
        <v>37</v>
      </c>
      <c r="AB2186" t="s">
        <v>38</v>
      </c>
      <c r="AC2186" s="7">
        <v>0</v>
      </c>
      <c r="AD2186" t="s">
        <v>39</v>
      </c>
      <c r="AE2186">
        <f t="shared" si="34"/>
        <v>0</v>
      </c>
    </row>
    <row r="2187" spans="1:31" x14ac:dyDescent="0.35">
      <c r="A2187">
        <v>102186</v>
      </c>
      <c r="B2187" s="3">
        <v>45997</v>
      </c>
      <c r="C2187">
        <v>1125</v>
      </c>
      <c r="D2187" t="s">
        <v>64</v>
      </c>
      <c r="E2187" t="s">
        <v>67</v>
      </c>
      <c r="F2187" t="s">
        <v>41</v>
      </c>
      <c r="G2187" t="s">
        <v>63</v>
      </c>
      <c r="H2187" t="s">
        <v>34</v>
      </c>
      <c r="I2187" t="s">
        <v>35</v>
      </c>
      <c r="J2187" s="4">
        <v>14.09</v>
      </c>
      <c r="K2187" s="4">
        <v>12.93</v>
      </c>
      <c r="L2187">
        <v>15</v>
      </c>
      <c r="M2187" s="4">
        <v>27.33</v>
      </c>
      <c r="N2187" s="4">
        <v>154.85</v>
      </c>
      <c r="O2187" s="4">
        <v>119.27</v>
      </c>
      <c r="P2187" s="4">
        <v>9.5399999999999991</v>
      </c>
      <c r="Q2187" s="4">
        <v>1.28</v>
      </c>
      <c r="R2187" s="4">
        <v>3.45</v>
      </c>
      <c r="S2187" s="4">
        <v>0</v>
      </c>
      <c r="T2187" s="4">
        <v>0</v>
      </c>
      <c r="U2187" s="4">
        <v>133.54</v>
      </c>
      <c r="V2187" s="4">
        <v>21.31</v>
      </c>
      <c r="W2187" t="s">
        <v>21</v>
      </c>
      <c r="X2187" t="s">
        <v>36</v>
      </c>
      <c r="Y2187" s="4">
        <v>5</v>
      </c>
      <c r="Z2187" s="4">
        <v>7</v>
      </c>
      <c r="AA2187" t="s">
        <v>37</v>
      </c>
      <c r="AB2187" t="s">
        <v>38</v>
      </c>
      <c r="AC2187" s="7">
        <v>0</v>
      </c>
      <c r="AD2187" t="s">
        <v>39</v>
      </c>
      <c r="AE2187">
        <f t="shared" si="34"/>
        <v>0</v>
      </c>
    </row>
    <row r="2188" spans="1:31" x14ac:dyDescent="0.35">
      <c r="A2188">
        <v>102187</v>
      </c>
      <c r="B2188" s="3">
        <v>45970</v>
      </c>
      <c r="C2188">
        <v>1102</v>
      </c>
      <c r="D2188" t="s">
        <v>59</v>
      </c>
      <c r="E2188" t="s">
        <v>60</v>
      </c>
      <c r="F2188" t="s">
        <v>41</v>
      </c>
      <c r="G2188" t="s">
        <v>33</v>
      </c>
      <c r="H2188" t="s">
        <v>57</v>
      </c>
      <c r="I2188" t="s">
        <v>69</v>
      </c>
      <c r="J2188" s="4">
        <v>25.92</v>
      </c>
      <c r="K2188" s="4">
        <v>19.23</v>
      </c>
      <c r="L2188">
        <v>0</v>
      </c>
      <c r="M2188" s="4">
        <v>0</v>
      </c>
      <c r="N2188" s="4">
        <v>498.44</v>
      </c>
      <c r="O2188" s="4">
        <v>192.61</v>
      </c>
      <c r="P2188" s="4">
        <v>9.1999999999999993</v>
      </c>
      <c r="Q2188" s="4">
        <v>1.99</v>
      </c>
      <c r="R2188" s="4">
        <v>5.88</v>
      </c>
      <c r="S2188" s="4">
        <v>0</v>
      </c>
      <c r="T2188" s="4">
        <v>0</v>
      </c>
      <c r="U2188" s="4">
        <v>209.68</v>
      </c>
      <c r="V2188" s="4">
        <v>288.76</v>
      </c>
      <c r="W2188" t="s">
        <v>21</v>
      </c>
      <c r="X2188" t="s">
        <v>36</v>
      </c>
      <c r="Y2188" s="4">
        <v>2</v>
      </c>
      <c r="Z2188" s="4">
        <v>6</v>
      </c>
      <c r="AA2188" t="s">
        <v>37</v>
      </c>
      <c r="AB2188" t="s">
        <v>38</v>
      </c>
      <c r="AC2188" s="7">
        <v>1</v>
      </c>
      <c r="AD2188" t="s">
        <v>39</v>
      </c>
      <c r="AE2188">
        <f t="shared" si="34"/>
        <v>0</v>
      </c>
    </row>
    <row r="2189" spans="1:31" x14ac:dyDescent="0.35">
      <c r="A2189">
        <v>102188</v>
      </c>
      <c r="B2189" s="3">
        <v>45987</v>
      </c>
      <c r="C2189">
        <v>1122</v>
      </c>
      <c r="D2189" t="s">
        <v>47</v>
      </c>
      <c r="E2189" t="s">
        <v>74</v>
      </c>
      <c r="F2189" t="s">
        <v>71</v>
      </c>
      <c r="G2189" t="s">
        <v>63</v>
      </c>
      <c r="H2189" t="s">
        <v>34</v>
      </c>
      <c r="I2189" t="s">
        <v>35</v>
      </c>
      <c r="J2189" s="4">
        <v>25.38</v>
      </c>
      <c r="K2189" s="4">
        <v>13.14</v>
      </c>
      <c r="L2189">
        <v>10</v>
      </c>
      <c r="M2189" s="4">
        <v>33.35</v>
      </c>
      <c r="N2189" s="4">
        <v>300.14</v>
      </c>
      <c r="O2189" s="4">
        <v>155.32</v>
      </c>
      <c r="P2189" s="4">
        <v>6.77</v>
      </c>
      <c r="Q2189" s="4">
        <v>2.33</v>
      </c>
      <c r="R2189" s="4">
        <v>9.85</v>
      </c>
      <c r="S2189" s="4">
        <v>0</v>
      </c>
      <c r="T2189" s="4">
        <v>0</v>
      </c>
      <c r="U2189" s="4">
        <v>174.27</v>
      </c>
      <c r="V2189" s="4">
        <v>125.87</v>
      </c>
      <c r="W2189" t="s">
        <v>21</v>
      </c>
      <c r="X2189" t="s">
        <v>36</v>
      </c>
      <c r="Y2189" s="4">
        <v>8</v>
      </c>
      <c r="Z2189" s="4">
        <v>22</v>
      </c>
      <c r="AA2189" t="s">
        <v>37</v>
      </c>
      <c r="AB2189" t="s">
        <v>44</v>
      </c>
      <c r="AC2189" s="7">
        <v>2</v>
      </c>
      <c r="AD2189" t="s">
        <v>45</v>
      </c>
      <c r="AE2189">
        <f t="shared" si="34"/>
        <v>1</v>
      </c>
    </row>
    <row r="2190" spans="1:31" x14ac:dyDescent="0.35">
      <c r="A2190">
        <v>102189</v>
      </c>
      <c r="B2190" s="3">
        <v>45967</v>
      </c>
      <c r="C2190">
        <v>1096</v>
      </c>
      <c r="D2190" t="s">
        <v>47</v>
      </c>
      <c r="E2190" t="s">
        <v>48</v>
      </c>
      <c r="F2190" t="s">
        <v>61</v>
      </c>
      <c r="G2190" t="s">
        <v>33</v>
      </c>
      <c r="H2190" t="s">
        <v>34</v>
      </c>
      <c r="I2190" t="s">
        <v>42</v>
      </c>
      <c r="J2190" s="4">
        <v>16.850000000000001</v>
      </c>
      <c r="K2190" s="4">
        <v>20.7</v>
      </c>
      <c r="L2190">
        <v>5</v>
      </c>
      <c r="M2190" s="4">
        <v>17.440000000000001</v>
      </c>
      <c r="N2190" s="4">
        <v>331.36</v>
      </c>
      <c r="O2190" s="4">
        <v>117.38</v>
      </c>
      <c r="P2190" s="4">
        <v>11.84</v>
      </c>
      <c r="Q2190" s="4">
        <v>5.23</v>
      </c>
      <c r="R2190" s="4">
        <v>2.6</v>
      </c>
      <c r="S2190" s="4">
        <v>0</v>
      </c>
      <c r="T2190" s="4">
        <v>0</v>
      </c>
      <c r="U2190" s="4">
        <v>137.05000000000001</v>
      </c>
      <c r="V2190" s="4">
        <v>194.31</v>
      </c>
      <c r="W2190" t="s">
        <v>21</v>
      </c>
      <c r="X2190" t="s">
        <v>36</v>
      </c>
      <c r="Y2190" s="4">
        <v>3</v>
      </c>
      <c r="Z2190" s="4">
        <v>8</v>
      </c>
      <c r="AA2190" t="s">
        <v>37</v>
      </c>
      <c r="AB2190" t="s">
        <v>38</v>
      </c>
      <c r="AC2190" s="7">
        <v>0</v>
      </c>
      <c r="AD2190" t="s">
        <v>39</v>
      </c>
      <c r="AE2190">
        <f t="shared" si="34"/>
        <v>0</v>
      </c>
    </row>
    <row r="2191" spans="1:31" x14ac:dyDescent="0.35">
      <c r="A2191">
        <v>102190</v>
      </c>
      <c r="B2191" s="3">
        <v>46011</v>
      </c>
      <c r="C2191">
        <v>1082</v>
      </c>
      <c r="D2191" t="s">
        <v>59</v>
      </c>
      <c r="E2191" t="s">
        <v>60</v>
      </c>
      <c r="F2191" t="s">
        <v>41</v>
      </c>
      <c r="G2191" t="s">
        <v>63</v>
      </c>
      <c r="H2191" t="s">
        <v>34</v>
      </c>
      <c r="I2191" t="s">
        <v>42</v>
      </c>
      <c r="J2191" s="4">
        <v>22.71</v>
      </c>
      <c r="K2191" s="4">
        <v>12.62</v>
      </c>
      <c r="L2191">
        <v>0</v>
      </c>
      <c r="M2191" s="4">
        <v>0</v>
      </c>
      <c r="N2191" s="4">
        <v>286.60000000000002</v>
      </c>
      <c r="O2191" s="4">
        <v>156.31</v>
      </c>
      <c r="P2191" s="4">
        <v>9.17</v>
      </c>
      <c r="Q2191" s="4">
        <v>4.3</v>
      </c>
      <c r="R2191" s="4">
        <v>0</v>
      </c>
      <c r="S2191" s="4">
        <v>0</v>
      </c>
      <c r="T2191" s="4">
        <v>0</v>
      </c>
      <c r="U2191" s="4">
        <v>169.78</v>
      </c>
      <c r="V2191" s="4">
        <v>116.82</v>
      </c>
      <c r="W2191" t="s">
        <v>21</v>
      </c>
      <c r="X2191" t="s">
        <v>36</v>
      </c>
      <c r="Y2191" s="4">
        <v>1</v>
      </c>
      <c r="Z2191" s="4">
        <v>2</v>
      </c>
      <c r="AA2191" t="s">
        <v>37</v>
      </c>
      <c r="AB2191" t="s">
        <v>38</v>
      </c>
      <c r="AC2191" s="7">
        <v>0</v>
      </c>
      <c r="AD2191" t="s">
        <v>39</v>
      </c>
      <c r="AE2191">
        <f t="shared" si="34"/>
        <v>0</v>
      </c>
    </row>
    <row r="2192" spans="1:31" x14ac:dyDescent="0.35">
      <c r="A2192">
        <v>102191</v>
      </c>
      <c r="B2192" s="3">
        <v>45971</v>
      </c>
      <c r="C2192">
        <v>1013</v>
      </c>
      <c r="D2192" t="s">
        <v>64</v>
      </c>
      <c r="E2192" t="s">
        <v>76</v>
      </c>
      <c r="F2192" t="s">
        <v>61</v>
      </c>
      <c r="G2192" t="s">
        <v>46</v>
      </c>
      <c r="H2192" t="s">
        <v>34</v>
      </c>
      <c r="I2192" t="s">
        <v>54</v>
      </c>
      <c r="J2192" s="4">
        <v>29.78</v>
      </c>
      <c r="K2192" s="4">
        <v>15.88</v>
      </c>
      <c r="L2192">
        <v>5</v>
      </c>
      <c r="M2192" s="4">
        <v>23.65</v>
      </c>
      <c r="N2192" s="4">
        <v>449.26</v>
      </c>
      <c r="O2192" s="4">
        <v>219.83</v>
      </c>
      <c r="P2192" s="4">
        <v>7.76</v>
      </c>
      <c r="Q2192" s="4">
        <v>5.67</v>
      </c>
      <c r="R2192" s="4">
        <v>9.68</v>
      </c>
      <c r="S2192" s="4">
        <v>0</v>
      </c>
      <c r="T2192" s="4">
        <v>0</v>
      </c>
      <c r="U2192" s="4">
        <v>242.94</v>
      </c>
      <c r="V2192" s="4">
        <v>206.32</v>
      </c>
      <c r="W2192" t="s">
        <v>21</v>
      </c>
      <c r="X2192" t="s">
        <v>36</v>
      </c>
      <c r="Y2192" s="4">
        <v>11</v>
      </c>
      <c r="Z2192" s="4">
        <v>18</v>
      </c>
      <c r="AA2192" t="s">
        <v>37</v>
      </c>
      <c r="AB2192" t="s">
        <v>44</v>
      </c>
      <c r="AC2192" s="7">
        <v>2</v>
      </c>
      <c r="AD2192" t="s">
        <v>45</v>
      </c>
      <c r="AE2192">
        <f t="shared" si="34"/>
        <v>1</v>
      </c>
    </row>
    <row r="2193" spans="1:31" x14ac:dyDescent="0.35">
      <c r="A2193">
        <v>102192</v>
      </c>
      <c r="B2193" s="3">
        <v>45946</v>
      </c>
      <c r="C2193">
        <v>1073</v>
      </c>
      <c r="D2193" t="s">
        <v>59</v>
      </c>
      <c r="E2193" t="s">
        <v>68</v>
      </c>
      <c r="F2193" t="s">
        <v>71</v>
      </c>
      <c r="G2193" t="s">
        <v>63</v>
      </c>
      <c r="H2193" t="s">
        <v>34</v>
      </c>
      <c r="I2193" t="s">
        <v>42</v>
      </c>
      <c r="J2193" s="4">
        <v>26.53</v>
      </c>
      <c r="K2193" s="4">
        <v>13.06</v>
      </c>
      <c r="L2193">
        <v>10</v>
      </c>
      <c r="M2193" s="4">
        <v>34.65</v>
      </c>
      <c r="N2193" s="4">
        <v>311.83</v>
      </c>
      <c r="O2193" s="4">
        <v>194.4</v>
      </c>
      <c r="P2193" s="4">
        <v>6.77</v>
      </c>
      <c r="Q2193" s="4">
        <v>5.2</v>
      </c>
      <c r="R2193" s="4">
        <v>9.2200000000000006</v>
      </c>
      <c r="S2193" s="4">
        <v>0</v>
      </c>
      <c r="T2193" s="4">
        <v>0</v>
      </c>
      <c r="U2193" s="4">
        <v>215.59</v>
      </c>
      <c r="V2193" s="4">
        <v>96.24</v>
      </c>
      <c r="W2193" t="s">
        <v>21</v>
      </c>
      <c r="X2193" t="s">
        <v>36</v>
      </c>
      <c r="Y2193" s="4">
        <v>1</v>
      </c>
      <c r="Z2193" s="4">
        <v>21</v>
      </c>
      <c r="AA2193" t="s">
        <v>37</v>
      </c>
      <c r="AB2193" t="s">
        <v>44</v>
      </c>
      <c r="AC2193" s="7">
        <v>4</v>
      </c>
      <c r="AD2193" t="s">
        <v>45</v>
      </c>
      <c r="AE2193">
        <f t="shared" si="34"/>
        <v>1</v>
      </c>
    </row>
    <row r="2194" spans="1:31" x14ac:dyDescent="0.35">
      <c r="A2194">
        <v>102193</v>
      </c>
      <c r="B2194" s="3">
        <v>45987</v>
      </c>
      <c r="C2194">
        <v>1108</v>
      </c>
      <c r="D2194" t="s">
        <v>59</v>
      </c>
      <c r="E2194" t="s">
        <v>60</v>
      </c>
      <c r="F2194" t="s">
        <v>41</v>
      </c>
      <c r="G2194" t="s">
        <v>46</v>
      </c>
      <c r="H2194" t="s">
        <v>34</v>
      </c>
      <c r="I2194" t="s">
        <v>35</v>
      </c>
      <c r="J2194" s="4">
        <v>21.52</v>
      </c>
      <c r="K2194" s="4">
        <v>17.14</v>
      </c>
      <c r="L2194">
        <v>0</v>
      </c>
      <c r="M2194" s="4">
        <v>0</v>
      </c>
      <c r="N2194" s="4">
        <v>368.85</v>
      </c>
      <c r="O2194" s="4">
        <v>162.55000000000001</v>
      </c>
      <c r="P2194" s="4">
        <v>6.82</v>
      </c>
      <c r="Q2194" s="4">
        <v>2.58</v>
      </c>
      <c r="R2194" s="4">
        <v>11.07</v>
      </c>
      <c r="S2194" s="4">
        <v>0</v>
      </c>
      <c r="T2194" s="4">
        <v>0</v>
      </c>
      <c r="U2194" s="4">
        <v>183.02</v>
      </c>
      <c r="V2194" s="4">
        <v>185.83</v>
      </c>
      <c r="W2194" t="s">
        <v>21</v>
      </c>
      <c r="X2194" t="s">
        <v>36</v>
      </c>
      <c r="Y2194" s="4">
        <v>28</v>
      </c>
      <c r="Z2194" s="4">
        <v>0</v>
      </c>
      <c r="AA2194" t="s">
        <v>52</v>
      </c>
      <c r="AB2194" t="s">
        <v>44</v>
      </c>
      <c r="AC2194" s="7">
        <v>2</v>
      </c>
      <c r="AD2194" t="s">
        <v>45</v>
      </c>
      <c r="AE2194">
        <f t="shared" si="34"/>
        <v>1</v>
      </c>
    </row>
    <row r="2195" spans="1:31" x14ac:dyDescent="0.35">
      <c r="A2195">
        <v>102194</v>
      </c>
      <c r="B2195" s="3">
        <v>45960</v>
      </c>
      <c r="C2195">
        <v>1011</v>
      </c>
      <c r="D2195" t="s">
        <v>47</v>
      </c>
      <c r="E2195" t="s">
        <v>53</v>
      </c>
      <c r="F2195" t="s">
        <v>32</v>
      </c>
      <c r="G2195" t="s">
        <v>63</v>
      </c>
      <c r="H2195" t="s">
        <v>57</v>
      </c>
      <c r="I2195" t="s">
        <v>35</v>
      </c>
      <c r="J2195" s="4">
        <v>16.329999999999998</v>
      </c>
      <c r="K2195" s="4">
        <v>12.94</v>
      </c>
      <c r="L2195">
        <v>0</v>
      </c>
      <c r="M2195" s="4">
        <v>0</v>
      </c>
      <c r="N2195" s="4">
        <v>211.31</v>
      </c>
      <c r="O2195" s="4">
        <v>118.37</v>
      </c>
      <c r="P2195" s="4">
        <v>9.59</v>
      </c>
      <c r="Q2195" s="4">
        <v>1.48</v>
      </c>
      <c r="R2195" s="4">
        <v>6.99</v>
      </c>
      <c r="S2195" s="4">
        <v>140.79</v>
      </c>
      <c r="T2195" s="4">
        <v>15.13</v>
      </c>
      <c r="U2195" s="4">
        <v>292.35000000000002</v>
      </c>
      <c r="V2195" s="4">
        <v>-81.040000000000006</v>
      </c>
      <c r="W2195" t="s">
        <v>58</v>
      </c>
      <c r="X2195" t="s">
        <v>66</v>
      </c>
      <c r="Y2195" s="4">
        <v>8</v>
      </c>
      <c r="Z2195" s="4">
        <v>9</v>
      </c>
      <c r="AA2195" t="s">
        <v>37</v>
      </c>
      <c r="AB2195" t="s">
        <v>38</v>
      </c>
      <c r="AC2195" s="7">
        <v>1</v>
      </c>
      <c r="AD2195" t="s">
        <v>45</v>
      </c>
      <c r="AE2195">
        <f t="shared" si="34"/>
        <v>0</v>
      </c>
    </row>
    <row r="2196" spans="1:31" x14ac:dyDescent="0.35">
      <c r="A2196">
        <v>102195</v>
      </c>
      <c r="B2196" s="3">
        <v>45949</v>
      </c>
      <c r="C2196">
        <v>1059</v>
      </c>
      <c r="D2196" t="s">
        <v>47</v>
      </c>
      <c r="E2196" t="s">
        <v>53</v>
      </c>
      <c r="F2196" t="s">
        <v>32</v>
      </c>
      <c r="G2196" t="s">
        <v>46</v>
      </c>
      <c r="H2196" t="s">
        <v>34</v>
      </c>
      <c r="I2196" t="s">
        <v>69</v>
      </c>
      <c r="J2196" s="4">
        <v>29.61</v>
      </c>
      <c r="K2196" s="4">
        <v>15.88</v>
      </c>
      <c r="L2196">
        <v>0</v>
      </c>
      <c r="M2196" s="4">
        <v>0</v>
      </c>
      <c r="N2196" s="4">
        <v>470.21</v>
      </c>
      <c r="O2196" s="4">
        <v>164.44</v>
      </c>
      <c r="P2196" s="4">
        <v>8.3000000000000007</v>
      </c>
      <c r="Q2196" s="4">
        <v>1.88</v>
      </c>
      <c r="R2196" s="4">
        <v>0</v>
      </c>
      <c r="S2196" s="4">
        <v>0</v>
      </c>
      <c r="T2196" s="4">
        <v>0</v>
      </c>
      <c r="U2196" s="4">
        <v>174.62</v>
      </c>
      <c r="V2196" s="4">
        <v>295.58999999999997</v>
      </c>
      <c r="W2196" t="s">
        <v>21</v>
      </c>
      <c r="X2196" t="s">
        <v>36</v>
      </c>
      <c r="Y2196" s="4">
        <v>0</v>
      </c>
      <c r="Z2196" s="4">
        <v>6</v>
      </c>
      <c r="AA2196" t="s">
        <v>37</v>
      </c>
      <c r="AB2196" t="s">
        <v>38</v>
      </c>
      <c r="AC2196" s="7">
        <v>0</v>
      </c>
      <c r="AD2196" t="s">
        <v>39</v>
      </c>
      <c r="AE2196">
        <f t="shared" si="34"/>
        <v>0</v>
      </c>
    </row>
    <row r="2197" spans="1:31" x14ac:dyDescent="0.35">
      <c r="A2197">
        <v>102196</v>
      </c>
      <c r="B2197" s="3">
        <v>45977</v>
      </c>
      <c r="C2197">
        <v>1095</v>
      </c>
      <c r="D2197" t="s">
        <v>47</v>
      </c>
      <c r="E2197" t="s">
        <v>74</v>
      </c>
      <c r="F2197" t="s">
        <v>71</v>
      </c>
      <c r="G2197" t="s">
        <v>50</v>
      </c>
      <c r="H2197" t="s">
        <v>34</v>
      </c>
      <c r="I2197" t="s">
        <v>42</v>
      </c>
      <c r="J2197" s="4">
        <v>38.880000000000003</v>
      </c>
      <c r="K2197" s="4">
        <v>19.37</v>
      </c>
      <c r="L2197">
        <v>5</v>
      </c>
      <c r="M2197" s="4">
        <v>37.659999999999997</v>
      </c>
      <c r="N2197" s="4">
        <v>715.45</v>
      </c>
      <c r="O2197" s="4">
        <v>259.99</v>
      </c>
      <c r="P2197" s="4">
        <v>10.59</v>
      </c>
      <c r="Q2197" s="4">
        <v>11.3</v>
      </c>
      <c r="R2197" s="4">
        <v>3.12</v>
      </c>
      <c r="S2197" s="4">
        <v>0</v>
      </c>
      <c r="T2197" s="4">
        <v>0</v>
      </c>
      <c r="U2197" s="4">
        <v>285</v>
      </c>
      <c r="V2197" s="4">
        <v>430.45</v>
      </c>
      <c r="W2197" t="s">
        <v>21</v>
      </c>
      <c r="X2197" t="s">
        <v>36</v>
      </c>
      <c r="Y2197" s="4">
        <v>34</v>
      </c>
      <c r="Z2197" s="4">
        <v>23</v>
      </c>
      <c r="AA2197" t="s">
        <v>43</v>
      </c>
      <c r="AB2197" t="s">
        <v>44</v>
      </c>
      <c r="AC2197" s="7">
        <v>3</v>
      </c>
      <c r="AD2197" t="s">
        <v>45</v>
      </c>
      <c r="AE2197">
        <f t="shared" si="34"/>
        <v>1</v>
      </c>
    </row>
    <row r="2198" spans="1:31" x14ac:dyDescent="0.35">
      <c r="A2198">
        <v>102197</v>
      </c>
      <c r="B2198" s="3">
        <v>45940</v>
      </c>
      <c r="C2198">
        <v>1067</v>
      </c>
      <c r="D2198" t="s">
        <v>59</v>
      </c>
      <c r="E2198" t="s">
        <v>68</v>
      </c>
      <c r="F2198" t="s">
        <v>49</v>
      </c>
      <c r="G2198" t="s">
        <v>63</v>
      </c>
      <c r="H2198" t="s">
        <v>34</v>
      </c>
      <c r="I2198" t="s">
        <v>35</v>
      </c>
      <c r="J2198" s="4">
        <v>17.8</v>
      </c>
      <c r="K2198" s="4">
        <v>13.28</v>
      </c>
      <c r="L2198">
        <v>0</v>
      </c>
      <c r="M2198" s="4">
        <v>0</v>
      </c>
      <c r="N2198" s="4">
        <v>236.38</v>
      </c>
      <c r="O2198" s="4">
        <v>127.5</v>
      </c>
      <c r="P2198" s="4">
        <v>9.3800000000000008</v>
      </c>
      <c r="Q2198" s="4">
        <v>1.65</v>
      </c>
      <c r="R2198" s="4">
        <v>4.5999999999999996</v>
      </c>
      <c r="S2198" s="4">
        <v>156.84</v>
      </c>
      <c r="T2198" s="4">
        <v>0</v>
      </c>
      <c r="U2198" s="4">
        <v>299.97000000000003</v>
      </c>
      <c r="V2198" s="4">
        <v>-63.59</v>
      </c>
      <c r="W2198" t="s">
        <v>58</v>
      </c>
      <c r="X2198" t="s">
        <v>66</v>
      </c>
      <c r="Y2198" s="4">
        <v>5</v>
      </c>
      <c r="Z2198" s="4">
        <v>2</v>
      </c>
      <c r="AA2198" t="s">
        <v>37</v>
      </c>
      <c r="AB2198" t="s">
        <v>38</v>
      </c>
      <c r="AC2198" s="7">
        <v>2</v>
      </c>
      <c r="AD2198" t="s">
        <v>45</v>
      </c>
      <c r="AE2198">
        <f t="shared" si="34"/>
        <v>0</v>
      </c>
    </row>
    <row r="2199" spans="1:31" x14ac:dyDescent="0.35">
      <c r="A2199">
        <v>102198</v>
      </c>
      <c r="B2199" s="3">
        <v>45956</v>
      </c>
      <c r="C2199">
        <v>1037</v>
      </c>
      <c r="D2199" t="s">
        <v>30</v>
      </c>
      <c r="E2199" t="s">
        <v>31</v>
      </c>
      <c r="F2199" t="s">
        <v>41</v>
      </c>
      <c r="G2199" t="s">
        <v>46</v>
      </c>
      <c r="H2199" t="s">
        <v>34</v>
      </c>
      <c r="I2199" t="s">
        <v>42</v>
      </c>
      <c r="J2199" s="4">
        <v>28.6</v>
      </c>
      <c r="K2199" s="4">
        <v>15.41</v>
      </c>
      <c r="L2199">
        <v>0</v>
      </c>
      <c r="M2199" s="4">
        <v>0</v>
      </c>
      <c r="N2199" s="4">
        <v>440.73</v>
      </c>
      <c r="O2199" s="4">
        <v>200.5</v>
      </c>
      <c r="P2199" s="4">
        <v>11.01</v>
      </c>
      <c r="Q2199" s="4">
        <v>6.61</v>
      </c>
      <c r="R2199" s="4">
        <v>8.1</v>
      </c>
      <c r="S2199" s="4">
        <v>259.85000000000002</v>
      </c>
      <c r="T2199" s="4">
        <v>0</v>
      </c>
      <c r="U2199" s="4">
        <v>486.07</v>
      </c>
      <c r="V2199" s="4">
        <v>-45.34</v>
      </c>
      <c r="W2199" t="s">
        <v>58</v>
      </c>
      <c r="X2199" t="s">
        <v>55</v>
      </c>
      <c r="Y2199" s="4">
        <v>2</v>
      </c>
      <c r="Z2199" s="4">
        <v>3</v>
      </c>
      <c r="AA2199" t="s">
        <v>37</v>
      </c>
      <c r="AB2199" t="s">
        <v>44</v>
      </c>
      <c r="AC2199" s="7">
        <v>1</v>
      </c>
      <c r="AD2199" t="s">
        <v>45</v>
      </c>
      <c r="AE2199">
        <f t="shared" si="34"/>
        <v>1</v>
      </c>
    </row>
    <row r="2200" spans="1:31" x14ac:dyDescent="0.35">
      <c r="A2200">
        <v>102199</v>
      </c>
      <c r="B2200" s="3">
        <v>46008</v>
      </c>
      <c r="C2200">
        <v>1032</v>
      </c>
      <c r="D2200" t="s">
        <v>64</v>
      </c>
      <c r="E2200" t="s">
        <v>65</v>
      </c>
      <c r="F2200" t="s">
        <v>32</v>
      </c>
      <c r="G2200" t="s">
        <v>46</v>
      </c>
      <c r="H2200" t="s">
        <v>34</v>
      </c>
      <c r="I2200" t="s">
        <v>35</v>
      </c>
      <c r="J2200" s="4">
        <v>28.94</v>
      </c>
      <c r="K2200" s="4">
        <v>15.18</v>
      </c>
      <c r="L2200">
        <v>5</v>
      </c>
      <c r="M2200" s="4">
        <v>21.97</v>
      </c>
      <c r="N2200" s="4">
        <v>417.34</v>
      </c>
      <c r="O2200" s="4">
        <v>230.09</v>
      </c>
      <c r="P2200" s="4">
        <v>4.72</v>
      </c>
      <c r="Q2200" s="4">
        <v>3.08</v>
      </c>
      <c r="R2200" s="4">
        <v>8.32</v>
      </c>
      <c r="S2200" s="4">
        <v>0</v>
      </c>
      <c r="T2200" s="4">
        <v>0</v>
      </c>
      <c r="U2200" s="4">
        <v>246.21</v>
      </c>
      <c r="V2200" s="4">
        <v>171.13</v>
      </c>
      <c r="W2200" t="s">
        <v>21</v>
      </c>
      <c r="X2200" t="s">
        <v>36</v>
      </c>
      <c r="Y2200" s="4">
        <v>22</v>
      </c>
      <c r="Z2200" s="4">
        <v>17</v>
      </c>
      <c r="AA2200" t="s">
        <v>52</v>
      </c>
      <c r="AB2200" t="s">
        <v>44</v>
      </c>
      <c r="AC2200" s="7">
        <v>1</v>
      </c>
      <c r="AD2200" t="s">
        <v>45</v>
      </c>
      <c r="AE2200">
        <f t="shared" si="34"/>
        <v>1</v>
      </c>
    </row>
    <row r="2201" spans="1:31" x14ac:dyDescent="0.35">
      <c r="A2201">
        <v>102200</v>
      </c>
      <c r="B2201" s="3">
        <v>45963</v>
      </c>
      <c r="C2201">
        <v>1086</v>
      </c>
      <c r="D2201" t="s">
        <v>64</v>
      </c>
      <c r="E2201" t="s">
        <v>75</v>
      </c>
      <c r="F2201" t="s">
        <v>41</v>
      </c>
      <c r="G2201" t="s">
        <v>63</v>
      </c>
      <c r="H2201" t="s">
        <v>34</v>
      </c>
      <c r="I2201" t="s">
        <v>35</v>
      </c>
      <c r="J2201" s="4">
        <v>18.66</v>
      </c>
      <c r="K2201" s="4">
        <v>12.49</v>
      </c>
      <c r="L2201">
        <v>0</v>
      </c>
      <c r="M2201" s="4">
        <v>0</v>
      </c>
      <c r="N2201" s="4">
        <v>233.06</v>
      </c>
      <c r="O2201" s="4">
        <v>131.44</v>
      </c>
      <c r="P2201" s="4">
        <v>10.1</v>
      </c>
      <c r="Q2201" s="4">
        <v>1.63</v>
      </c>
      <c r="R2201" s="4">
        <v>4.5999999999999996</v>
      </c>
      <c r="S2201" s="4">
        <v>0</v>
      </c>
      <c r="T2201" s="4">
        <v>0</v>
      </c>
      <c r="U2201" s="4">
        <v>147.77000000000001</v>
      </c>
      <c r="V2201" s="4">
        <v>85.29</v>
      </c>
      <c r="W2201" t="s">
        <v>21</v>
      </c>
      <c r="X2201" t="s">
        <v>36</v>
      </c>
      <c r="Y2201" s="4">
        <v>20</v>
      </c>
      <c r="Z2201" s="4">
        <v>21</v>
      </c>
      <c r="AA2201" t="s">
        <v>52</v>
      </c>
      <c r="AB2201" t="s">
        <v>44</v>
      </c>
      <c r="AC2201" s="7">
        <v>3</v>
      </c>
      <c r="AD2201" t="s">
        <v>45</v>
      </c>
      <c r="AE2201">
        <f t="shared" si="34"/>
        <v>1</v>
      </c>
    </row>
    <row r="2202" spans="1:31" x14ac:dyDescent="0.35">
      <c r="A2202">
        <v>102201</v>
      </c>
      <c r="B2202" s="3">
        <v>45973</v>
      </c>
      <c r="C2202">
        <v>1077</v>
      </c>
      <c r="D2202" t="s">
        <v>47</v>
      </c>
      <c r="E2202" t="s">
        <v>74</v>
      </c>
      <c r="F2202" t="s">
        <v>41</v>
      </c>
      <c r="G2202" t="s">
        <v>50</v>
      </c>
      <c r="H2202" t="s">
        <v>34</v>
      </c>
      <c r="I2202" t="s">
        <v>35</v>
      </c>
      <c r="J2202" s="4">
        <v>24.41</v>
      </c>
      <c r="K2202" s="4">
        <v>17.149999999999999</v>
      </c>
      <c r="L2202">
        <v>10</v>
      </c>
      <c r="M2202" s="4">
        <v>41.86</v>
      </c>
      <c r="N2202" s="4">
        <v>376.77</v>
      </c>
      <c r="O2202" s="4">
        <v>174.39</v>
      </c>
      <c r="P2202" s="4">
        <v>9.89</v>
      </c>
      <c r="Q2202" s="4">
        <v>2.93</v>
      </c>
      <c r="R2202" s="4">
        <v>5.39</v>
      </c>
      <c r="S2202" s="4">
        <v>0</v>
      </c>
      <c r="T2202" s="4">
        <v>0</v>
      </c>
      <c r="U2202" s="4">
        <v>192.6</v>
      </c>
      <c r="V2202" s="4">
        <v>184.17</v>
      </c>
      <c r="W2202" t="s">
        <v>21</v>
      </c>
      <c r="X2202" t="s">
        <v>36</v>
      </c>
      <c r="Y2202" s="4">
        <v>45</v>
      </c>
      <c r="Z2202" s="4">
        <v>13</v>
      </c>
      <c r="AA2202" t="s">
        <v>43</v>
      </c>
      <c r="AB2202" t="s">
        <v>44</v>
      </c>
      <c r="AC2202" s="7">
        <v>2</v>
      </c>
      <c r="AD2202" t="s">
        <v>45</v>
      </c>
      <c r="AE2202">
        <f t="shared" si="34"/>
        <v>1</v>
      </c>
    </row>
    <row r="2203" spans="1:31" x14ac:dyDescent="0.35">
      <c r="A2203">
        <v>102202</v>
      </c>
      <c r="B2203" s="3">
        <v>45995</v>
      </c>
      <c r="C2203">
        <v>1022</v>
      </c>
      <c r="D2203" t="s">
        <v>30</v>
      </c>
      <c r="E2203" t="s">
        <v>72</v>
      </c>
      <c r="F2203" t="s">
        <v>61</v>
      </c>
      <c r="G2203" t="s">
        <v>63</v>
      </c>
      <c r="H2203" t="s">
        <v>34</v>
      </c>
      <c r="I2203" t="s">
        <v>69</v>
      </c>
      <c r="J2203" s="4">
        <v>4.4400000000000004</v>
      </c>
      <c r="K2203" s="4">
        <v>13.51</v>
      </c>
      <c r="L2203">
        <v>5</v>
      </c>
      <c r="M2203" s="4">
        <v>3</v>
      </c>
      <c r="N2203" s="4">
        <v>56.98</v>
      </c>
      <c r="O2203" s="4">
        <v>26.01</v>
      </c>
      <c r="P2203" s="4">
        <v>2.2200000000000002</v>
      </c>
      <c r="Q2203" s="4">
        <v>0.24</v>
      </c>
      <c r="R2203" s="4">
        <v>6.73</v>
      </c>
      <c r="S2203" s="4">
        <v>0</v>
      </c>
      <c r="T2203" s="4">
        <v>0</v>
      </c>
      <c r="U2203" s="4">
        <v>35.200000000000003</v>
      </c>
      <c r="V2203" s="4">
        <v>21.78</v>
      </c>
      <c r="W2203" t="s">
        <v>21</v>
      </c>
      <c r="X2203" t="s">
        <v>36</v>
      </c>
      <c r="Y2203" s="4">
        <v>2</v>
      </c>
      <c r="Z2203" s="4">
        <v>6</v>
      </c>
      <c r="AA2203" t="s">
        <v>37</v>
      </c>
      <c r="AB2203" t="s">
        <v>38</v>
      </c>
      <c r="AC2203" s="7">
        <v>0</v>
      </c>
      <c r="AD2203" t="s">
        <v>39</v>
      </c>
      <c r="AE2203">
        <f t="shared" si="34"/>
        <v>0</v>
      </c>
    </row>
    <row r="2204" spans="1:31" x14ac:dyDescent="0.35">
      <c r="A2204">
        <v>102203</v>
      </c>
      <c r="B2204" s="3">
        <v>45959</v>
      </c>
      <c r="C2204">
        <v>1061</v>
      </c>
      <c r="D2204" t="s">
        <v>64</v>
      </c>
      <c r="E2204" t="s">
        <v>76</v>
      </c>
      <c r="F2204" t="s">
        <v>49</v>
      </c>
      <c r="G2204" t="s">
        <v>46</v>
      </c>
      <c r="H2204" t="s">
        <v>34</v>
      </c>
      <c r="I2204" t="s">
        <v>54</v>
      </c>
      <c r="J2204" s="4">
        <v>19.98</v>
      </c>
      <c r="K2204" s="4">
        <v>16.170000000000002</v>
      </c>
      <c r="L2204">
        <v>10</v>
      </c>
      <c r="M2204" s="4">
        <v>32.31</v>
      </c>
      <c r="N2204" s="4">
        <v>290.77</v>
      </c>
      <c r="O2204" s="4">
        <v>109.08</v>
      </c>
      <c r="P2204" s="4">
        <v>1.52</v>
      </c>
      <c r="Q2204" s="4">
        <v>3.88</v>
      </c>
      <c r="R2204" s="4">
        <v>5.22</v>
      </c>
      <c r="S2204" s="4">
        <v>0</v>
      </c>
      <c r="T2204" s="4">
        <v>0</v>
      </c>
      <c r="U2204" s="4">
        <v>119.7</v>
      </c>
      <c r="V2204" s="4">
        <v>171.07</v>
      </c>
      <c r="W2204" t="s">
        <v>21</v>
      </c>
      <c r="X2204" t="s">
        <v>36</v>
      </c>
      <c r="Y2204" s="4">
        <v>2</v>
      </c>
      <c r="Z2204" s="4">
        <v>29</v>
      </c>
      <c r="AA2204" t="s">
        <v>37</v>
      </c>
      <c r="AB2204" t="s">
        <v>44</v>
      </c>
      <c r="AC2204" s="7">
        <v>1</v>
      </c>
      <c r="AD2204" t="s">
        <v>45</v>
      </c>
      <c r="AE2204">
        <f t="shared" si="34"/>
        <v>1</v>
      </c>
    </row>
    <row r="2205" spans="1:31" x14ac:dyDescent="0.35">
      <c r="A2205">
        <v>102204</v>
      </c>
      <c r="B2205" s="3">
        <v>45941</v>
      </c>
      <c r="C2205">
        <v>1092</v>
      </c>
      <c r="D2205" t="s">
        <v>64</v>
      </c>
      <c r="E2205" t="s">
        <v>67</v>
      </c>
      <c r="F2205" t="s">
        <v>41</v>
      </c>
      <c r="G2205" t="s">
        <v>33</v>
      </c>
      <c r="H2205" t="s">
        <v>34</v>
      </c>
      <c r="I2205" t="s">
        <v>35</v>
      </c>
      <c r="J2205" s="4">
        <v>49.56</v>
      </c>
      <c r="K2205" s="4">
        <v>18.43</v>
      </c>
      <c r="L2205">
        <v>10</v>
      </c>
      <c r="M2205" s="4">
        <v>91.34</v>
      </c>
      <c r="N2205" s="4">
        <v>822.05</v>
      </c>
      <c r="O2205" s="4">
        <v>325.67</v>
      </c>
      <c r="P2205" s="4">
        <v>9.26</v>
      </c>
      <c r="Q2205" s="4">
        <v>6.39</v>
      </c>
      <c r="R2205" s="4">
        <v>8.49</v>
      </c>
      <c r="S2205" s="4">
        <v>0</v>
      </c>
      <c r="T2205" s="4">
        <v>0</v>
      </c>
      <c r="U2205" s="4">
        <v>349.81</v>
      </c>
      <c r="V2205" s="4">
        <v>472.24</v>
      </c>
      <c r="W2205" t="s">
        <v>21</v>
      </c>
      <c r="X2205" t="s">
        <v>36</v>
      </c>
      <c r="Y2205" s="4">
        <v>44</v>
      </c>
      <c r="Z2205" s="4">
        <v>2</v>
      </c>
      <c r="AA2205" t="s">
        <v>43</v>
      </c>
      <c r="AB2205" t="s">
        <v>44</v>
      </c>
      <c r="AC2205" s="7">
        <v>2</v>
      </c>
      <c r="AD2205" t="s">
        <v>45</v>
      </c>
      <c r="AE2205">
        <f t="shared" si="34"/>
        <v>1</v>
      </c>
    </row>
    <row r="2206" spans="1:31" x14ac:dyDescent="0.35">
      <c r="A2206">
        <v>102205</v>
      </c>
      <c r="B2206" s="3">
        <v>45934</v>
      </c>
      <c r="C2206">
        <v>1047</v>
      </c>
      <c r="D2206" t="s">
        <v>59</v>
      </c>
      <c r="E2206" t="s">
        <v>68</v>
      </c>
      <c r="F2206" t="s">
        <v>32</v>
      </c>
      <c r="G2206" t="s">
        <v>63</v>
      </c>
      <c r="H2206" t="s">
        <v>57</v>
      </c>
      <c r="I2206" t="s">
        <v>35</v>
      </c>
      <c r="J2206" s="4">
        <v>4.0999999999999996</v>
      </c>
      <c r="K2206" s="4">
        <v>13.32</v>
      </c>
      <c r="L2206">
        <v>5</v>
      </c>
      <c r="M2206" s="4">
        <v>2.73</v>
      </c>
      <c r="N2206" s="4">
        <v>51.88</v>
      </c>
      <c r="O2206" s="4">
        <v>32.119999999999997</v>
      </c>
      <c r="P2206" s="4">
        <v>13.55</v>
      </c>
      <c r="Q2206" s="4">
        <v>0.38</v>
      </c>
      <c r="R2206" s="4">
        <v>8.94</v>
      </c>
      <c r="S2206" s="4">
        <v>0</v>
      </c>
      <c r="T2206" s="4">
        <v>0</v>
      </c>
      <c r="U2206" s="4">
        <v>54.99</v>
      </c>
      <c r="V2206" s="4">
        <v>-3.11</v>
      </c>
      <c r="W2206" t="s">
        <v>58</v>
      </c>
      <c r="X2206" t="s">
        <v>36</v>
      </c>
      <c r="Y2206" s="4">
        <v>85</v>
      </c>
      <c r="Z2206" s="4">
        <v>27</v>
      </c>
      <c r="AA2206" t="s">
        <v>43</v>
      </c>
      <c r="AB2206" t="s">
        <v>44</v>
      </c>
      <c r="AC2206" s="7">
        <v>2</v>
      </c>
      <c r="AD2206" t="s">
        <v>45</v>
      </c>
      <c r="AE2206">
        <f t="shared" si="34"/>
        <v>1</v>
      </c>
    </row>
    <row r="2207" spans="1:31" x14ac:dyDescent="0.35">
      <c r="A2207">
        <v>102206</v>
      </c>
      <c r="B2207" s="3">
        <v>45981</v>
      </c>
      <c r="C2207">
        <v>1070</v>
      </c>
      <c r="D2207" t="s">
        <v>47</v>
      </c>
      <c r="E2207" t="s">
        <v>53</v>
      </c>
      <c r="F2207" t="s">
        <v>32</v>
      </c>
      <c r="G2207" t="s">
        <v>63</v>
      </c>
      <c r="H2207" t="s">
        <v>34</v>
      </c>
      <c r="I2207" t="s">
        <v>35</v>
      </c>
      <c r="J2207" s="4">
        <v>27.9</v>
      </c>
      <c r="K2207" s="4">
        <v>11.5</v>
      </c>
      <c r="L2207">
        <v>0</v>
      </c>
      <c r="M2207" s="4">
        <v>0</v>
      </c>
      <c r="N2207" s="4">
        <v>320.85000000000002</v>
      </c>
      <c r="O2207" s="4">
        <v>184.54</v>
      </c>
      <c r="P2207" s="4">
        <v>8.8000000000000007</v>
      </c>
      <c r="Q2207" s="4">
        <v>2.25</v>
      </c>
      <c r="R2207" s="4">
        <v>3.47</v>
      </c>
      <c r="S2207" s="4">
        <v>288.10000000000002</v>
      </c>
      <c r="T2207" s="4">
        <v>0</v>
      </c>
      <c r="U2207" s="4">
        <v>487.16</v>
      </c>
      <c r="V2207" s="4">
        <v>-166.31</v>
      </c>
      <c r="W2207" t="s">
        <v>58</v>
      </c>
      <c r="X2207" t="s">
        <v>66</v>
      </c>
      <c r="Y2207" s="4">
        <v>2</v>
      </c>
      <c r="Z2207" s="4">
        <v>12</v>
      </c>
      <c r="AA2207" t="s">
        <v>37</v>
      </c>
      <c r="AB2207" t="s">
        <v>38</v>
      </c>
      <c r="AC2207" s="7">
        <v>1</v>
      </c>
      <c r="AD2207" t="s">
        <v>45</v>
      </c>
      <c r="AE2207">
        <f t="shared" si="34"/>
        <v>0</v>
      </c>
    </row>
    <row r="2208" spans="1:31" x14ac:dyDescent="0.35">
      <c r="A2208">
        <v>102207</v>
      </c>
      <c r="B2208" s="3">
        <v>45975</v>
      </c>
      <c r="C2208">
        <v>1046</v>
      </c>
      <c r="D2208" t="s">
        <v>47</v>
      </c>
      <c r="E2208" t="s">
        <v>56</v>
      </c>
      <c r="F2208" t="s">
        <v>49</v>
      </c>
      <c r="G2208" t="s">
        <v>46</v>
      </c>
      <c r="H2208" t="s">
        <v>34</v>
      </c>
      <c r="I2208" t="s">
        <v>69</v>
      </c>
      <c r="J2208" s="4">
        <v>32.79</v>
      </c>
      <c r="K2208" s="4">
        <v>14.87</v>
      </c>
      <c r="L2208">
        <v>10</v>
      </c>
      <c r="M2208" s="4">
        <v>48.76</v>
      </c>
      <c r="N2208" s="4">
        <v>438.83</v>
      </c>
      <c r="O2208" s="4">
        <v>211.92</v>
      </c>
      <c r="P2208" s="4">
        <v>5.94</v>
      </c>
      <c r="Q2208" s="4">
        <v>1.95</v>
      </c>
      <c r="R2208" s="4">
        <v>12.27</v>
      </c>
      <c r="S2208" s="4">
        <v>0</v>
      </c>
      <c r="T2208" s="4">
        <v>0</v>
      </c>
      <c r="U2208" s="4">
        <v>232.08</v>
      </c>
      <c r="V2208" s="4">
        <v>206.75</v>
      </c>
      <c r="W2208" t="s">
        <v>21</v>
      </c>
      <c r="X2208" t="s">
        <v>36</v>
      </c>
      <c r="Y2208" s="4">
        <v>12</v>
      </c>
      <c r="Z2208" s="4">
        <v>1</v>
      </c>
      <c r="AA2208" t="s">
        <v>37</v>
      </c>
      <c r="AB2208" t="s">
        <v>38</v>
      </c>
      <c r="AC2208" s="7">
        <v>0</v>
      </c>
      <c r="AD2208" t="s">
        <v>39</v>
      </c>
      <c r="AE2208">
        <f t="shared" si="34"/>
        <v>0</v>
      </c>
    </row>
    <row r="2209" spans="1:31" x14ac:dyDescent="0.35">
      <c r="A2209">
        <v>102208</v>
      </c>
      <c r="B2209" s="3">
        <v>45933</v>
      </c>
      <c r="C2209">
        <v>1011</v>
      </c>
      <c r="D2209" t="s">
        <v>59</v>
      </c>
      <c r="E2209" t="s">
        <v>73</v>
      </c>
      <c r="F2209" t="s">
        <v>71</v>
      </c>
      <c r="G2209" t="s">
        <v>50</v>
      </c>
      <c r="H2209" t="s">
        <v>34</v>
      </c>
      <c r="I2209" t="s">
        <v>35</v>
      </c>
      <c r="J2209" s="4">
        <v>28.91</v>
      </c>
      <c r="K2209" s="4">
        <v>17.21</v>
      </c>
      <c r="L2209">
        <v>0</v>
      </c>
      <c r="M2209" s="4">
        <v>0</v>
      </c>
      <c r="N2209" s="4">
        <v>497.54</v>
      </c>
      <c r="O2209" s="4">
        <v>218.04</v>
      </c>
      <c r="P2209" s="4">
        <v>9.23</v>
      </c>
      <c r="Q2209" s="4">
        <v>3.48</v>
      </c>
      <c r="R2209" s="4">
        <v>7.4</v>
      </c>
      <c r="S2209" s="4">
        <v>0</v>
      </c>
      <c r="T2209" s="4">
        <v>0</v>
      </c>
      <c r="U2209" s="4">
        <v>238.15</v>
      </c>
      <c r="V2209" s="4">
        <v>259.39</v>
      </c>
      <c r="W2209" t="s">
        <v>21</v>
      </c>
      <c r="X2209" t="s">
        <v>36</v>
      </c>
      <c r="Y2209" s="4">
        <v>2</v>
      </c>
      <c r="Z2209" s="4">
        <v>4</v>
      </c>
      <c r="AA2209" t="s">
        <v>37</v>
      </c>
      <c r="AB2209" t="s">
        <v>38</v>
      </c>
      <c r="AC2209" s="7">
        <v>0</v>
      </c>
      <c r="AD2209" t="s">
        <v>39</v>
      </c>
      <c r="AE2209">
        <f t="shared" si="34"/>
        <v>0</v>
      </c>
    </row>
    <row r="2210" spans="1:31" x14ac:dyDescent="0.35">
      <c r="A2210">
        <v>102209</v>
      </c>
      <c r="B2210" s="3">
        <v>45936</v>
      </c>
      <c r="C2210">
        <v>1107</v>
      </c>
      <c r="D2210" t="s">
        <v>47</v>
      </c>
      <c r="E2210" t="s">
        <v>74</v>
      </c>
      <c r="F2210" t="s">
        <v>41</v>
      </c>
      <c r="G2210" t="s">
        <v>63</v>
      </c>
      <c r="H2210" t="s">
        <v>34</v>
      </c>
      <c r="I2210" t="s">
        <v>54</v>
      </c>
      <c r="J2210" s="4">
        <v>16.329999999999998</v>
      </c>
      <c r="K2210" s="4">
        <v>13.22</v>
      </c>
      <c r="L2210">
        <v>0</v>
      </c>
      <c r="M2210" s="4">
        <v>0</v>
      </c>
      <c r="N2210" s="4">
        <v>215.88</v>
      </c>
      <c r="O2210" s="4">
        <v>140.71</v>
      </c>
      <c r="P2210" s="4">
        <v>8.1</v>
      </c>
      <c r="Q2210" s="4">
        <v>2.59</v>
      </c>
      <c r="R2210" s="4">
        <v>0</v>
      </c>
      <c r="S2210" s="4">
        <v>173.61</v>
      </c>
      <c r="T2210" s="4">
        <v>0</v>
      </c>
      <c r="U2210" s="4">
        <v>325.01</v>
      </c>
      <c r="V2210" s="4">
        <v>-109.13</v>
      </c>
      <c r="W2210" t="s">
        <v>58</v>
      </c>
      <c r="X2210" t="s">
        <v>66</v>
      </c>
      <c r="Y2210" s="4">
        <v>7</v>
      </c>
      <c r="Z2210" s="4">
        <v>2</v>
      </c>
      <c r="AA2210" t="s">
        <v>37</v>
      </c>
      <c r="AB2210" t="s">
        <v>38</v>
      </c>
      <c r="AC2210" s="7">
        <v>2</v>
      </c>
      <c r="AD2210" t="s">
        <v>45</v>
      </c>
      <c r="AE2210">
        <f t="shared" si="34"/>
        <v>0</v>
      </c>
    </row>
    <row r="2211" spans="1:31" x14ac:dyDescent="0.35">
      <c r="A2211">
        <v>102210</v>
      </c>
      <c r="B2211" s="3">
        <v>45982</v>
      </c>
      <c r="C2211">
        <v>1083</v>
      </c>
      <c r="D2211" t="s">
        <v>30</v>
      </c>
      <c r="E2211" t="s">
        <v>40</v>
      </c>
      <c r="F2211" t="s">
        <v>61</v>
      </c>
      <c r="G2211" t="s">
        <v>50</v>
      </c>
      <c r="H2211" t="s">
        <v>57</v>
      </c>
      <c r="I2211" t="s">
        <v>69</v>
      </c>
      <c r="J2211" s="4">
        <v>39.64</v>
      </c>
      <c r="K2211" s="4">
        <v>17.39</v>
      </c>
      <c r="L2211">
        <v>15</v>
      </c>
      <c r="M2211" s="4">
        <v>103.4</v>
      </c>
      <c r="N2211" s="4">
        <v>585.94000000000005</v>
      </c>
      <c r="O2211" s="4">
        <v>285.69</v>
      </c>
      <c r="P2211" s="4">
        <v>8.57</v>
      </c>
      <c r="Q2211" s="4">
        <v>2.76</v>
      </c>
      <c r="R2211" s="4">
        <v>1.3</v>
      </c>
      <c r="S2211" s="4">
        <v>0</v>
      </c>
      <c r="T2211" s="4">
        <v>0</v>
      </c>
      <c r="U2211" s="4">
        <v>298.32</v>
      </c>
      <c r="V2211" s="4">
        <v>287.62</v>
      </c>
      <c r="W2211" t="s">
        <v>21</v>
      </c>
      <c r="X2211" t="s">
        <v>36</v>
      </c>
      <c r="Y2211" s="4">
        <v>7</v>
      </c>
      <c r="Z2211" s="4">
        <v>8</v>
      </c>
      <c r="AA2211" t="s">
        <v>37</v>
      </c>
      <c r="AB2211" t="s">
        <v>38</v>
      </c>
      <c r="AC2211" s="7">
        <v>0</v>
      </c>
      <c r="AD2211" t="s">
        <v>39</v>
      </c>
      <c r="AE2211">
        <f t="shared" si="34"/>
        <v>0</v>
      </c>
    </row>
    <row r="2212" spans="1:31" x14ac:dyDescent="0.35">
      <c r="A2212">
        <v>102211</v>
      </c>
      <c r="B2212" s="3">
        <v>45973</v>
      </c>
      <c r="C2212">
        <v>1149</v>
      </c>
      <c r="D2212" t="s">
        <v>59</v>
      </c>
      <c r="E2212" t="s">
        <v>70</v>
      </c>
      <c r="F2212" t="s">
        <v>61</v>
      </c>
      <c r="G2212" t="s">
        <v>46</v>
      </c>
      <c r="H2212" t="s">
        <v>57</v>
      </c>
      <c r="I2212" t="s">
        <v>35</v>
      </c>
      <c r="J2212" s="4">
        <v>35.630000000000003</v>
      </c>
      <c r="K2212" s="4">
        <v>15.75</v>
      </c>
      <c r="L2212">
        <v>0</v>
      </c>
      <c r="M2212" s="4">
        <v>0</v>
      </c>
      <c r="N2212" s="4">
        <v>561.16999999999996</v>
      </c>
      <c r="O2212" s="4">
        <v>269.13</v>
      </c>
      <c r="P2212" s="4">
        <v>7.71</v>
      </c>
      <c r="Q2212" s="4">
        <v>3.93</v>
      </c>
      <c r="R2212" s="4">
        <v>2.29</v>
      </c>
      <c r="S2212" s="4">
        <v>0</v>
      </c>
      <c r="T2212" s="4">
        <v>0</v>
      </c>
      <c r="U2212" s="4">
        <v>283.06</v>
      </c>
      <c r="V2212" s="4">
        <v>278.11</v>
      </c>
      <c r="W2212" t="s">
        <v>21</v>
      </c>
      <c r="X2212" t="s">
        <v>36</v>
      </c>
      <c r="Y2212" s="4">
        <v>14</v>
      </c>
      <c r="Z2212" s="4">
        <v>10</v>
      </c>
      <c r="AA2212" t="s">
        <v>37</v>
      </c>
      <c r="AB2212" t="s">
        <v>38</v>
      </c>
      <c r="AC2212" s="7">
        <v>2</v>
      </c>
      <c r="AD2212" t="s">
        <v>39</v>
      </c>
      <c r="AE2212">
        <f t="shared" si="34"/>
        <v>0</v>
      </c>
    </row>
    <row r="2213" spans="1:31" x14ac:dyDescent="0.35">
      <c r="A2213">
        <v>102212</v>
      </c>
      <c r="B2213" s="3">
        <v>45997</v>
      </c>
      <c r="C2213">
        <v>1041</v>
      </c>
      <c r="D2213" t="s">
        <v>47</v>
      </c>
      <c r="E2213" t="s">
        <v>48</v>
      </c>
      <c r="F2213" t="s">
        <v>49</v>
      </c>
      <c r="G2213" t="s">
        <v>63</v>
      </c>
      <c r="H2213" t="s">
        <v>34</v>
      </c>
      <c r="I2213" t="s">
        <v>69</v>
      </c>
      <c r="J2213" s="4">
        <v>28.29</v>
      </c>
      <c r="K2213" s="4">
        <v>12.97</v>
      </c>
      <c r="L2213">
        <v>10</v>
      </c>
      <c r="M2213" s="4">
        <v>36.69</v>
      </c>
      <c r="N2213" s="4">
        <v>330.23</v>
      </c>
      <c r="O2213" s="4">
        <v>202.5</v>
      </c>
      <c r="P2213" s="4">
        <v>7.28</v>
      </c>
      <c r="Q2213" s="4">
        <v>1.47</v>
      </c>
      <c r="R2213" s="4">
        <v>6.96</v>
      </c>
      <c r="S2213" s="4">
        <v>0</v>
      </c>
      <c r="T2213" s="4">
        <v>0</v>
      </c>
      <c r="U2213" s="4">
        <v>218.21</v>
      </c>
      <c r="V2213" s="4">
        <v>112.02</v>
      </c>
      <c r="W2213" t="s">
        <v>21</v>
      </c>
      <c r="X2213" t="s">
        <v>36</v>
      </c>
      <c r="Y2213" s="4">
        <v>15</v>
      </c>
      <c r="Z2213" s="4">
        <v>0</v>
      </c>
      <c r="AA2213" t="s">
        <v>37</v>
      </c>
      <c r="AB2213" t="s">
        <v>38</v>
      </c>
      <c r="AC2213" s="7">
        <v>0</v>
      </c>
      <c r="AD2213" t="s">
        <v>39</v>
      </c>
      <c r="AE2213">
        <f t="shared" si="34"/>
        <v>0</v>
      </c>
    </row>
    <row r="2214" spans="1:31" x14ac:dyDescent="0.35">
      <c r="A2214">
        <v>102213</v>
      </c>
      <c r="B2214" s="3">
        <v>45966</v>
      </c>
      <c r="C2214">
        <v>1101</v>
      </c>
      <c r="D2214" t="s">
        <v>47</v>
      </c>
      <c r="E2214" t="s">
        <v>56</v>
      </c>
      <c r="F2214" t="s">
        <v>32</v>
      </c>
      <c r="G2214" t="s">
        <v>63</v>
      </c>
      <c r="H2214" t="s">
        <v>34</v>
      </c>
      <c r="I2214" t="s">
        <v>35</v>
      </c>
      <c r="J2214" s="4">
        <v>19.75</v>
      </c>
      <c r="K2214" s="4">
        <v>13.94</v>
      </c>
      <c r="L2214">
        <v>5</v>
      </c>
      <c r="M2214" s="4">
        <v>13.77</v>
      </c>
      <c r="N2214" s="4">
        <v>261.55</v>
      </c>
      <c r="O2214" s="4">
        <v>155.30000000000001</v>
      </c>
      <c r="P2214" s="4">
        <v>6.38</v>
      </c>
      <c r="Q2214" s="4">
        <v>1.93</v>
      </c>
      <c r="R2214" s="4">
        <v>5.43</v>
      </c>
      <c r="S2214" s="4">
        <v>0</v>
      </c>
      <c r="T2214" s="4">
        <v>0</v>
      </c>
      <c r="U2214" s="4">
        <v>169.04</v>
      </c>
      <c r="V2214" s="4">
        <v>92.51</v>
      </c>
      <c r="W2214" t="s">
        <v>21</v>
      </c>
      <c r="X2214" t="s">
        <v>36</v>
      </c>
      <c r="Y2214" s="4">
        <v>0</v>
      </c>
      <c r="Z2214" s="4">
        <v>11</v>
      </c>
      <c r="AA2214" t="s">
        <v>37</v>
      </c>
      <c r="AB2214" t="s">
        <v>38</v>
      </c>
      <c r="AC2214" s="7">
        <v>0</v>
      </c>
      <c r="AD2214" t="s">
        <v>39</v>
      </c>
      <c r="AE2214">
        <f t="shared" si="34"/>
        <v>0</v>
      </c>
    </row>
    <row r="2215" spans="1:31" x14ac:dyDescent="0.35">
      <c r="A2215">
        <v>102214</v>
      </c>
      <c r="B2215" s="3">
        <v>45951</v>
      </c>
      <c r="C2215">
        <v>1102</v>
      </c>
      <c r="D2215" t="s">
        <v>47</v>
      </c>
      <c r="E2215" t="s">
        <v>56</v>
      </c>
      <c r="F2215" t="s">
        <v>61</v>
      </c>
      <c r="G2215" t="s">
        <v>33</v>
      </c>
      <c r="H2215" t="s">
        <v>51</v>
      </c>
      <c r="I2215" t="s">
        <v>35</v>
      </c>
      <c r="J2215" s="4">
        <v>17</v>
      </c>
      <c r="K2215" s="4">
        <v>19</v>
      </c>
      <c r="L2215">
        <v>15</v>
      </c>
      <c r="M2215" s="4">
        <v>48.45</v>
      </c>
      <c r="N2215" s="4">
        <v>274.55</v>
      </c>
      <c r="O2215" s="4">
        <v>125.38</v>
      </c>
      <c r="P2215" s="4">
        <v>12.25</v>
      </c>
      <c r="Q2215" s="4">
        <v>2.2599999999999998</v>
      </c>
      <c r="R2215" s="4">
        <v>8.3800000000000008</v>
      </c>
      <c r="S2215" s="4">
        <v>211.97</v>
      </c>
      <c r="T2215" s="4">
        <v>17.649999999999999</v>
      </c>
      <c r="U2215" s="4">
        <v>377.89</v>
      </c>
      <c r="V2215" s="4">
        <v>-103.34</v>
      </c>
      <c r="W2215" t="s">
        <v>58</v>
      </c>
      <c r="X2215" t="s">
        <v>55</v>
      </c>
      <c r="Y2215" s="4">
        <v>2</v>
      </c>
      <c r="Z2215" s="4">
        <v>23</v>
      </c>
      <c r="AA2215" t="s">
        <v>37</v>
      </c>
      <c r="AB2215" t="s">
        <v>44</v>
      </c>
      <c r="AC2215" s="7">
        <v>1</v>
      </c>
      <c r="AD2215" t="s">
        <v>45</v>
      </c>
      <c r="AE2215">
        <f t="shared" si="34"/>
        <v>1</v>
      </c>
    </row>
    <row r="2216" spans="1:31" x14ac:dyDescent="0.35">
      <c r="A2216">
        <v>102215</v>
      </c>
      <c r="B2216" s="3">
        <v>45940</v>
      </c>
      <c r="C2216">
        <v>1135</v>
      </c>
      <c r="D2216" t="s">
        <v>64</v>
      </c>
      <c r="E2216" t="s">
        <v>75</v>
      </c>
      <c r="F2216" t="s">
        <v>61</v>
      </c>
      <c r="G2216" t="s">
        <v>46</v>
      </c>
      <c r="H2216" t="s">
        <v>34</v>
      </c>
      <c r="I2216" t="s">
        <v>35</v>
      </c>
      <c r="J2216" s="4">
        <v>23.73</v>
      </c>
      <c r="K2216" s="4">
        <v>16.25</v>
      </c>
      <c r="L2216">
        <v>5</v>
      </c>
      <c r="M2216" s="4">
        <v>19.28</v>
      </c>
      <c r="N2216" s="4">
        <v>366.33</v>
      </c>
      <c r="O2216" s="4">
        <v>128.44</v>
      </c>
      <c r="P2216" s="4">
        <v>14.88</v>
      </c>
      <c r="Q2216" s="4">
        <v>2.7</v>
      </c>
      <c r="R2216" s="4">
        <v>8.44</v>
      </c>
      <c r="S2216" s="4">
        <v>160.18</v>
      </c>
      <c r="T2216" s="4">
        <v>0</v>
      </c>
      <c r="U2216" s="4">
        <v>314.64</v>
      </c>
      <c r="V2216" s="4">
        <v>51.69</v>
      </c>
      <c r="W2216" t="s">
        <v>21</v>
      </c>
      <c r="X2216" t="s">
        <v>55</v>
      </c>
      <c r="Y2216" s="4">
        <v>22</v>
      </c>
      <c r="Z2216" s="4">
        <v>5</v>
      </c>
      <c r="AA2216" t="s">
        <v>52</v>
      </c>
      <c r="AB2216" t="s">
        <v>44</v>
      </c>
      <c r="AC2216" s="7">
        <v>1</v>
      </c>
      <c r="AD2216" t="s">
        <v>45</v>
      </c>
      <c r="AE2216">
        <f t="shared" si="34"/>
        <v>1</v>
      </c>
    </row>
    <row r="2217" spans="1:31" x14ac:dyDescent="0.35">
      <c r="A2217">
        <v>102216</v>
      </c>
      <c r="B2217" s="3">
        <v>45995</v>
      </c>
      <c r="C2217">
        <v>1044</v>
      </c>
      <c r="D2217" t="s">
        <v>59</v>
      </c>
      <c r="E2217" t="s">
        <v>70</v>
      </c>
      <c r="F2217" t="s">
        <v>49</v>
      </c>
      <c r="G2217" t="s">
        <v>50</v>
      </c>
      <c r="H2217" t="s">
        <v>57</v>
      </c>
      <c r="I2217" t="s">
        <v>54</v>
      </c>
      <c r="J2217" s="4">
        <v>35.86</v>
      </c>
      <c r="K2217" s="4">
        <v>18.68</v>
      </c>
      <c r="L2217">
        <v>0</v>
      </c>
      <c r="M2217" s="4">
        <v>0</v>
      </c>
      <c r="N2217" s="4">
        <v>669.86</v>
      </c>
      <c r="O2217" s="4">
        <v>225.43</v>
      </c>
      <c r="P2217" s="4">
        <v>4.07</v>
      </c>
      <c r="Q2217" s="4">
        <v>8.0399999999999991</v>
      </c>
      <c r="R2217" s="4">
        <v>10.85</v>
      </c>
      <c r="S2217" s="4">
        <v>0</v>
      </c>
      <c r="T2217" s="4">
        <v>0</v>
      </c>
      <c r="U2217" s="4">
        <v>248.39</v>
      </c>
      <c r="V2217" s="4">
        <v>421.47</v>
      </c>
      <c r="W2217" t="s">
        <v>21</v>
      </c>
      <c r="X2217" t="s">
        <v>36</v>
      </c>
      <c r="Y2217" s="4">
        <v>19</v>
      </c>
      <c r="Z2217" s="4">
        <v>0</v>
      </c>
      <c r="AA2217" t="s">
        <v>52</v>
      </c>
      <c r="AB2217" t="s">
        <v>38</v>
      </c>
      <c r="AC2217" s="7">
        <v>0</v>
      </c>
      <c r="AD2217" t="s">
        <v>39</v>
      </c>
      <c r="AE2217">
        <f t="shared" si="34"/>
        <v>0</v>
      </c>
    </row>
    <row r="2218" spans="1:31" x14ac:dyDescent="0.35">
      <c r="A2218">
        <v>102217</v>
      </c>
      <c r="B2218" s="3">
        <v>45946</v>
      </c>
      <c r="C2218">
        <v>1009</v>
      </c>
      <c r="D2218" t="s">
        <v>30</v>
      </c>
      <c r="E2218" t="s">
        <v>72</v>
      </c>
      <c r="F2218" t="s">
        <v>71</v>
      </c>
      <c r="G2218" t="s">
        <v>50</v>
      </c>
      <c r="H2218" t="s">
        <v>34</v>
      </c>
      <c r="I2218" t="s">
        <v>35</v>
      </c>
      <c r="J2218" s="4">
        <v>36.44</v>
      </c>
      <c r="K2218" s="4">
        <v>17.170000000000002</v>
      </c>
      <c r="L2218">
        <v>0</v>
      </c>
      <c r="M2218" s="4">
        <v>0</v>
      </c>
      <c r="N2218" s="4">
        <v>625.66999999999996</v>
      </c>
      <c r="O2218" s="4">
        <v>270.35000000000002</v>
      </c>
      <c r="P2218" s="4">
        <v>6.57</v>
      </c>
      <c r="Q2218" s="4">
        <v>4.38</v>
      </c>
      <c r="R2218" s="4">
        <v>4</v>
      </c>
      <c r="S2218" s="4">
        <v>0</v>
      </c>
      <c r="T2218" s="4">
        <v>0</v>
      </c>
      <c r="U2218" s="4">
        <v>285.3</v>
      </c>
      <c r="V2218" s="4">
        <v>340.37</v>
      </c>
      <c r="W2218" t="s">
        <v>21</v>
      </c>
      <c r="X2218" t="s">
        <v>36</v>
      </c>
      <c r="Y2218" s="4">
        <v>28</v>
      </c>
      <c r="Z2218" s="4">
        <v>37</v>
      </c>
      <c r="AA2218" t="s">
        <v>52</v>
      </c>
      <c r="AB2218" t="s">
        <v>44</v>
      </c>
      <c r="AC2218" s="7">
        <v>2</v>
      </c>
      <c r="AD2218" t="s">
        <v>45</v>
      </c>
      <c r="AE2218">
        <f t="shared" si="34"/>
        <v>1</v>
      </c>
    </row>
    <row r="2219" spans="1:31" x14ac:dyDescent="0.35">
      <c r="A2219">
        <v>102218</v>
      </c>
      <c r="B2219" s="3">
        <v>45961</v>
      </c>
      <c r="C2219">
        <v>1015</v>
      </c>
      <c r="D2219" t="s">
        <v>59</v>
      </c>
      <c r="E2219" t="s">
        <v>68</v>
      </c>
      <c r="F2219" t="s">
        <v>32</v>
      </c>
      <c r="G2219" t="s">
        <v>46</v>
      </c>
      <c r="H2219" t="s">
        <v>34</v>
      </c>
      <c r="I2219" t="s">
        <v>35</v>
      </c>
      <c r="J2219" s="4">
        <v>23.66</v>
      </c>
      <c r="K2219" s="4">
        <v>16.43</v>
      </c>
      <c r="L2219">
        <v>10</v>
      </c>
      <c r="M2219" s="4">
        <v>38.869999999999997</v>
      </c>
      <c r="N2219" s="4">
        <v>349.86</v>
      </c>
      <c r="O2219" s="4">
        <v>163.19999999999999</v>
      </c>
      <c r="P2219" s="4">
        <v>4.09</v>
      </c>
      <c r="Q2219" s="4">
        <v>2.72</v>
      </c>
      <c r="R2219" s="4">
        <v>6.31</v>
      </c>
      <c r="S2219" s="4">
        <v>0</v>
      </c>
      <c r="T2219" s="4">
        <v>0</v>
      </c>
      <c r="U2219" s="4">
        <v>176.32</v>
      </c>
      <c r="V2219" s="4">
        <v>173.54</v>
      </c>
      <c r="W2219" t="s">
        <v>21</v>
      </c>
      <c r="X2219" t="s">
        <v>36</v>
      </c>
      <c r="Y2219" s="4">
        <v>1</v>
      </c>
      <c r="Z2219" s="4">
        <v>4</v>
      </c>
      <c r="AA2219" t="s">
        <v>37</v>
      </c>
      <c r="AB2219" t="s">
        <v>38</v>
      </c>
      <c r="AC2219" s="7">
        <v>0</v>
      </c>
      <c r="AD2219" t="s">
        <v>39</v>
      </c>
      <c r="AE2219">
        <f t="shared" si="34"/>
        <v>0</v>
      </c>
    </row>
    <row r="2220" spans="1:31" x14ac:dyDescent="0.35">
      <c r="A2220">
        <v>102219</v>
      </c>
      <c r="B2220" s="3">
        <v>45943</v>
      </c>
      <c r="C2220">
        <v>1101</v>
      </c>
      <c r="D2220" t="s">
        <v>64</v>
      </c>
      <c r="E2220" t="s">
        <v>65</v>
      </c>
      <c r="F2220" t="s">
        <v>71</v>
      </c>
      <c r="G2220" t="s">
        <v>33</v>
      </c>
      <c r="H2220" t="s">
        <v>51</v>
      </c>
      <c r="I2220" t="s">
        <v>54</v>
      </c>
      <c r="J2220" s="4">
        <v>25.2</v>
      </c>
      <c r="K2220" s="4">
        <v>19.77</v>
      </c>
      <c r="L2220">
        <v>10</v>
      </c>
      <c r="M2220" s="4">
        <v>49.82</v>
      </c>
      <c r="N2220" s="4">
        <v>448.38</v>
      </c>
      <c r="O2220" s="4">
        <v>200.11</v>
      </c>
      <c r="P2220" s="4">
        <v>11.86</v>
      </c>
      <c r="Q2220" s="4">
        <v>5.98</v>
      </c>
      <c r="R2220" s="4">
        <v>7.3</v>
      </c>
      <c r="S2220" s="4">
        <v>0</v>
      </c>
      <c r="T2220" s="4">
        <v>0</v>
      </c>
      <c r="U2220" s="4">
        <v>225.25</v>
      </c>
      <c r="V2220" s="4">
        <v>223.13</v>
      </c>
      <c r="W2220" t="s">
        <v>21</v>
      </c>
      <c r="X2220" t="s">
        <v>36</v>
      </c>
      <c r="Y2220" s="4">
        <v>17</v>
      </c>
      <c r="Z2220" s="4">
        <v>9</v>
      </c>
      <c r="AA2220" t="s">
        <v>52</v>
      </c>
      <c r="AB2220" t="s">
        <v>38</v>
      </c>
      <c r="AC2220" s="7">
        <v>0</v>
      </c>
      <c r="AD2220" t="s">
        <v>39</v>
      </c>
      <c r="AE2220">
        <f t="shared" si="34"/>
        <v>0</v>
      </c>
    </row>
    <row r="2221" spans="1:31" x14ac:dyDescent="0.35">
      <c r="A2221">
        <v>102220</v>
      </c>
      <c r="B2221" s="3">
        <v>45996</v>
      </c>
      <c r="C2221">
        <v>1069</v>
      </c>
      <c r="D2221" t="s">
        <v>59</v>
      </c>
      <c r="E2221" t="s">
        <v>73</v>
      </c>
      <c r="F2221" t="s">
        <v>71</v>
      </c>
      <c r="G2221" t="s">
        <v>46</v>
      </c>
      <c r="H2221" t="s">
        <v>57</v>
      </c>
      <c r="I2221" t="s">
        <v>35</v>
      </c>
      <c r="J2221" s="4">
        <v>30.11</v>
      </c>
      <c r="K2221" s="4">
        <v>14.6</v>
      </c>
      <c r="L2221">
        <v>15</v>
      </c>
      <c r="M2221" s="4">
        <v>65.94</v>
      </c>
      <c r="N2221" s="4">
        <v>373.67</v>
      </c>
      <c r="O2221" s="4">
        <v>228.81</v>
      </c>
      <c r="P2221" s="4">
        <v>8.6</v>
      </c>
      <c r="Q2221" s="4">
        <v>3.08</v>
      </c>
      <c r="R2221" s="4">
        <v>10.24</v>
      </c>
      <c r="S2221" s="4">
        <v>198.36</v>
      </c>
      <c r="T2221" s="4">
        <v>18.489999999999998</v>
      </c>
      <c r="U2221" s="4">
        <v>467.58</v>
      </c>
      <c r="V2221" s="4">
        <v>-93.91</v>
      </c>
      <c r="W2221" t="s">
        <v>58</v>
      </c>
      <c r="X2221" t="s">
        <v>66</v>
      </c>
      <c r="Y2221" s="4">
        <v>12</v>
      </c>
      <c r="Z2221" s="4">
        <v>43</v>
      </c>
      <c r="AA2221" t="s">
        <v>37</v>
      </c>
      <c r="AB2221" t="s">
        <v>44</v>
      </c>
      <c r="AC2221" s="7">
        <v>1</v>
      </c>
      <c r="AD2221" t="s">
        <v>45</v>
      </c>
      <c r="AE2221">
        <f t="shared" si="34"/>
        <v>1</v>
      </c>
    </row>
    <row r="2222" spans="1:31" x14ac:dyDescent="0.35">
      <c r="A2222">
        <v>102221</v>
      </c>
      <c r="B2222" s="3">
        <v>45932</v>
      </c>
      <c r="C2222">
        <v>1032</v>
      </c>
      <c r="D2222" t="s">
        <v>30</v>
      </c>
      <c r="E2222" t="s">
        <v>31</v>
      </c>
      <c r="F2222" t="s">
        <v>49</v>
      </c>
      <c r="G2222" t="s">
        <v>50</v>
      </c>
      <c r="H2222" t="s">
        <v>34</v>
      </c>
      <c r="I2222" t="s">
        <v>35</v>
      </c>
      <c r="J2222" s="4">
        <v>23.79</v>
      </c>
      <c r="K2222" s="4">
        <v>17.350000000000001</v>
      </c>
      <c r="L2222">
        <v>15</v>
      </c>
      <c r="M2222" s="4">
        <v>61.91</v>
      </c>
      <c r="N2222" s="4">
        <v>350.85</v>
      </c>
      <c r="O2222" s="4">
        <v>195.87</v>
      </c>
      <c r="P2222" s="4">
        <v>6.86</v>
      </c>
      <c r="Q2222" s="4">
        <v>2.89</v>
      </c>
      <c r="R2222" s="4">
        <v>11.12</v>
      </c>
      <c r="S2222" s="4">
        <v>0</v>
      </c>
      <c r="T2222" s="4">
        <v>0</v>
      </c>
      <c r="U2222" s="4">
        <v>216.74</v>
      </c>
      <c r="V2222" s="4">
        <v>134.11000000000001</v>
      </c>
      <c r="W2222" t="s">
        <v>21</v>
      </c>
      <c r="X2222" t="s">
        <v>36</v>
      </c>
      <c r="Y2222" s="4">
        <v>15</v>
      </c>
      <c r="Z2222" s="4">
        <v>4</v>
      </c>
      <c r="AA2222" t="s">
        <v>37</v>
      </c>
      <c r="AB2222" t="s">
        <v>38</v>
      </c>
      <c r="AC2222" s="7">
        <v>0</v>
      </c>
      <c r="AD2222" t="s">
        <v>39</v>
      </c>
      <c r="AE2222">
        <f t="shared" si="34"/>
        <v>0</v>
      </c>
    </row>
    <row r="2223" spans="1:31" x14ac:dyDescent="0.35">
      <c r="A2223">
        <v>102222</v>
      </c>
      <c r="B2223" s="3">
        <v>45953</v>
      </c>
      <c r="C2223">
        <v>1053</v>
      </c>
      <c r="D2223" t="s">
        <v>59</v>
      </c>
      <c r="E2223" t="s">
        <v>68</v>
      </c>
      <c r="F2223" t="s">
        <v>32</v>
      </c>
      <c r="G2223" t="s">
        <v>63</v>
      </c>
      <c r="H2223" t="s">
        <v>34</v>
      </c>
      <c r="I2223" t="s">
        <v>42</v>
      </c>
      <c r="J2223" s="4">
        <v>17.89</v>
      </c>
      <c r="K2223" s="4">
        <v>11.93</v>
      </c>
      <c r="L2223">
        <v>5</v>
      </c>
      <c r="M2223" s="4">
        <v>10.67</v>
      </c>
      <c r="N2223" s="4">
        <v>202.76</v>
      </c>
      <c r="O2223" s="4">
        <v>133.69999999999999</v>
      </c>
      <c r="P2223" s="4">
        <v>8.3000000000000007</v>
      </c>
      <c r="Q2223" s="4">
        <v>3.2</v>
      </c>
      <c r="R2223" s="4">
        <v>12.91</v>
      </c>
      <c r="S2223" s="4">
        <v>0</v>
      </c>
      <c r="T2223" s="4">
        <v>0</v>
      </c>
      <c r="U2223" s="4">
        <v>158.11000000000001</v>
      </c>
      <c r="V2223" s="4">
        <v>44.65</v>
      </c>
      <c r="W2223" t="s">
        <v>21</v>
      </c>
      <c r="X2223" t="s">
        <v>36</v>
      </c>
      <c r="Y2223" s="4">
        <v>16</v>
      </c>
      <c r="Z2223" s="4">
        <v>34</v>
      </c>
      <c r="AA2223" t="s">
        <v>52</v>
      </c>
      <c r="AB2223" t="s">
        <v>44</v>
      </c>
      <c r="AC2223" s="7">
        <v>3</v>
      </c>
      <c r="AD2223" t="s">
        <v>45</v>
      </c>
      <c r="AE2223">
        <f t="shared" si="34"/>
        <v>1</v>
      </c>
    </row>
    <row r="2224" spans="1:31" x14ac:dyDescent="0.35">
      <c r="A2224">
        <v>102223</v>
      </c>
      <c r="B2224" s="3">
        <v>45969</v>
      </c>
      <c r="C2224">
        <v>1071</v>
      </c>
      <c r="D2224" t="s">
        <v>64</v>
      </c>
      <c r="E2224" t="s">
        <v>76</v>
      </c>
      <c r="F2224" t="s">
        <v>49</v>
      </c>
      <c r="G2224" t="s">
        <v>50</v>
      </c>
      <c r="H2224" t="s">
        <v>34</v>
      </c>
      <c r="I2224" t="s">
        <v>54</v>
      </c>
      <c r="J2224" s="4">
        <v>27.55</v>
      </c>
      <c r="K2224" s="4">
        <v>17.940000000000001</v>
      </c>
      <c r="L2224">
        <v>15</v>
      </c>
      <c r="M2224" s="4">
        <v>74.14</v>
      </c>
      <c r="N2224" s="4">
        <v>420.11</v>
      </c>
      <c r="O2224" s="4">
        <v>208.86</v>
      </c>
      <c r="P2224" s="4">
        <v>11.34</v>
      </c>
      <c r="Q2224" s="4">
        <v>5.93</v>
      </c>
      <c r="R2224" s="4">
        <v>14.38</v>
      </c>
      <c r="S2224" s="4">
        <v>0</v>
      </c>
      <c r="T2224" s="4">
        <v>0</v>
      </c>
      <c r="U2224" s="4">
        <v>240.51</v>
      </c>
      <c r="V2224" s="4">
        <v>179.6</v>
      </c>
      <c r="W2224" t="s">
        <v>21</v>
      </c>
      <c r="X2224" t="s">
        <v>36</v>
      </c>
      <c r="Y2224" s="4">
        <v>2</v>
      </c>
      <c r="Z2224" s="4">
        <v>1</v>
      </c>
      <c r="AA2224" t="s">
        <v>37</v>
      </c>
      <c r="AB2224" t="s">
        <v>38</v>
      </c>
      <c r="AC2224" s="7">
        <v>0</v>
      </c>
      <c r="AD2224" t="s">
        <v>39</v>
      </c>
      <c r="AE2224">
        <f t="shared" si="34"/>
        <v>0</v>
      </c>
    </row>
    <row r="2225" spans="1:31" x14ac:dyDescent="0.35">
      <c r="A2225">
        <v>102224</v>
      </c>
      <c r="B2225" s="3">
        <v>45938</v>
      </c>
      <c r="C2225">
        <v>1141</v>
      </c>
      <c r="D2225" t="s">
        <v>30</v>
      </c>
      <c r="E2225" t="s">
        <v>40</v>
      </c>
      <c r="F2225" t="s">
        <v>61</v>
      </c>
      <c r="G2225" t="s">
        <v>33</v>
      </c>
      <c r="H2225" t="s">
        <v>34</v>
      </c>
      <c r="I2225" t="s">
        <v>54</v>
      </c>
      <c r="J2225" s="4">
        <v>37.99</v>
      </c>
      <c r="K2225" s="4">
        <v>19.32</v>
      </c>
      <c r="L2225">
        <v>0</v>
      </c>
      <c r="M2225" s="4">
        <v>0</v>
      </c>
      <c r="N2225" s="4">
        <v>733.97</v>
      </c>
      <c r="O2225" s="4">
        <v>257.27</v>
      </c>
      <c r="P2225" s="4">
        <v>3.54</v>
      </c>
      <c r="Q2225" s="4">
        <v>8.81</v>
      </c>
      <c r="R2225" s="4">
        <v>0.61</v>
      </c>
      <c r="S2225" s="4">
        <v>0</v>
      </c>
      <c r="T2225" s="4">
        <v>0</v>
      </c>
      <c r="U2225" s="4">
        <v>270.23</v>
      </c>
      <c r="V2225" s="4">
        <v>463.74</v>
      </c>
      <c r="W2225" t="s">
        <v>21</v>
      </c>
      <c r="X2225" t="s">
        <v>36</v>
      </c>
      <c r="Y2225" s="4">
        <v>13</v>
      </c>
      <c r="Z2225" s="4">
        <v>0</v>
      </c>
      <c r="AA2225" t="s">
        <v>37</v>
      </c>
      <c r="AB2225" t="s">
        <v>38</v>
      </c>
      <c r="AC2225" s="7">
        <v>0</v>
      </c>
      <c r="AD2225" t="s">
        <v>39</v>
      </c>
      <c r="AE2225">
        <f t="shared" si="34"/>
        <v>0</v>
      </c>
    </row>
    <row r="2226" spans="1:31" x14ac:dyDescent="0.35">
      <c r="A2226">
        <v>102225</v>
      </c>
      <c r="B2226" s="3">
        <v>46017</v>
      </c>
      <c r="C2226">
        <v>1145</v>
      </c>
      <c r="D2226" t="s">
        <v>59</v>
      </c>
      <c r="E2226" t="s">
        <v>73</v>
      </c>
      <c r="F2226" t="s">
        <v>41</v>
      </c>
      <c r="G2226" t="s">
        <v>50</v>
      </c>
      <c r="H2226" t="s">
        <v>34</v>
      </c>
      <c r="I2226" t="s">
        <v>35</v>
      </c>
      <c r="J2226" s="4">
        <v>26.9</v>
      </c>
      <c r="K2226" s="4">
        <v>17.350000000000001</v>
      </c>
      <c r="L2226">
        <v>20</v>
      </c>
      <c r="M2226" s="4">
        <v>93.34</v>
      </c>
      <c r="N2226" s="4">
        <v>373.38</v>
      </c>
      <c r="O2226" s="4">
        <v>177.62</v>
      </c>
      <c r="P2226" s="4">
        <v>5.76</v>
      </c>
      <c r="Q2226" s="4">
        <v>3.27</v>
      </c>
      <c r="R2226" s="4">
        <v>4.05</v>
      </c>
      <c r="S2226" s="4">
        <v>0</v>
      </c>
      <c r="T2226" s="4">
        <v>0</v>
      </c>
      <c r="U2226" s="4">
        <v>190.7</v>
      </c>
      <c r="V2226" s="4">
        <v>182.68</v>
      </c>
      <c r="W2226" t="s">
        <v>21</v>
      </c>
      <c r="X2226" t="s">
        <v>36</v>
      </c>
      <c r="Y2226" s="4">
        <v>42</v>
      </c>
      <c r="Z2226" s="4">
        <v>9</v>
      </c>
      <c r="AA2226" t="s">
        <v>43</v>
      </c>
      <c r="AB2226" t="s">
        <v>44</v>
      </c>
      <c r="AC2226" s="7">
        <v>3</v>
      </c>
      <c r="AD2226" t="s">
        <v>45</v>
      </c>
      <c r="AE2226">
        <f t="shared" si="34"/>
        <v>1</v>
      </c>
    </row>
    <row r="2227" spans="1:31" x14ac:dyDescent="0.35">
      <c r="A2227">
        <v>102226</v>
      </c>
      <c r="B2227" s="3">
        <v>45993</v>
      </c>
      <c r="C2227">
        <v>1061</v>
      </c>
      <c r="D2227" t="s">
        <v>64</v>
      </c>
      <c r="E2227" t="s">
        <v>76</v>
      </c>
      <c r="F2227" t="s">
        <v>49</v>
      </c>
      <c r="G2227" t="s">
        <v>46</v>
      </c>
      <c r="H2227" t="s">
        <v>57</v>
      </c>
      <c r="I2227" t="s">
        <v>54</v>
      </c>
      <c r="J2227" s="4">
        <v>23.85</v>
      </c>
      <c r="K2227" s="4">
        <v>15.04</v>
      </c>
      <c r="L2227">
        <v>0</v>
      </c>
      <c r="M2227" s="4">
        <v>0</v>
      </c>
      <c r="N2227" s="4">
        <v>358.7</v>
      </c>
      <c r="O2227" s="4">
        <v>171.17</v>
      </c>
      <c r="P2227" s="4">
        <v>9.75</v>
      </c>
      <c r="Q2227" s="4">
        <v>4.3</v>
      </c>
      <c r="R2227" s="4">
        <v>8.5299999999999994</v>
      </c>
      <c r="S2227" s="4">
        <v>0</v>
      </c>
      <c r="T2227" s="4">
        <v>0</v>
      </c>
      <c r="U2227" s="4">
        <v>193.75</v>
      </c>
      <c r="V2227" s="4">
        <v>164.95</v>
      </c>
      <c r="W2227" t="s">
        <v>21</v>
      </c>
      <c r="X2227" t="s">
        <v>36</v>
      </c>
      <c r="Y2227" s="4">
        <v>31</v>
      </c>
      <c r="Z2227" s="4">
        <v>15</v>
      </c>
      <c r="AA2227" t="s">
        <v>43</v>
      </c>
      <c r="AB2227" t="s">
        <v>44</v>
      </c>
      <c r="AC2227" s="7">
        <v>1</v>
      </c>
      <c r="AD2227" t="s">
        <v>45</v>
      </c>
      <c r="AE2227">
        <f t="shared" si="34"/>
        <v>1</v>
      </c>
    </row>
    <row r="2228" spans="1:31" x14ac:dyDescent="0.35">
      <c r="A2228">
        <v>102227</v>
      </c>
      <c r="B2228" s="3">
        <v>45966</v>
      </c>
      <c r="C2228">
        <v>1029</v>
      </c>
      <c r="D2228" t="s">
        <v>64</v>
      </c>
      <c r="E2228" t="s">
        <v>75</v>
      </c>
      <c r="F2228" t="s">
        <v>71</v>
      </c>
      <c r="G2228" t="s">
        <v>50</v>
      </c>
      <c r="H2228" t="s">
        <v>34</v>
      </c>
      <c r="I2228" t="s">
        <v>35</v>
      </c>
      <c r="J2228" s="4">
        <v>32.159999999999997</v>
      </c>
      <c r="K2228" s="4">
        <v>18.829999999999998</v>
      </c>
      <c r="L2228">
        <v>15</v>
      </c>
      <c r="M2228" s="4">
        <v>90.84</v>
      </c>
      <c r="N2228" s="4">
        <v>514.73</v>
      </c>
      <c r="O2228" s="4">
        <v>236.57</v>
      </c>
      <c r="P2228" s="4">
        <v>7.14</v>
      </c>
      <c r="Q2228" s="4">
        <v>4.24</v>
      </c>
      <c r="R2228" s="4">
        <v>4.67</v>
      </c>
      <c r="S2228" s="4">
        <v>0</v>
      </c>
      <c r="T2228" s="4">
        <v>0</v>
      </c>
      <c r="U2228" s="4">
        <v>252.62</v>
      </c>
      <c r="V2228" s="4">
        <v>262.11</v>
      </c>
      <c r="W2228" t="s">
        <v>21</v>
      </c>
      <c r="X2228" t="s">
        <v>36</v>
      </c>
      <c r="Y2228" s="4">
        <v>13</v>
      </c>
      <c r="Z2228" s="4">
        <v>24</v>
      </c>
      <c r="AA2228" t="s">
        <v>37</v>
      </c>
      <c r="AB2228" t="s">
        <v>44</v>
      </c>
      <c r="AC2228" s="7">
        <v>2</v>
      </c>
      <c r="AD2228" t="s">
        <v>45</v>
      </c>
      <c r="AE2228">
        <f t="shared" si="34"/>
        <v>1</v>
      </c>
    </row>
    <row r="2229" spans="1:31" x14ac:dyDescent="0.35">
      <c r="A2229">
        <v>102228</v>
      </c>
      <c r="B2229" s="3">
        <v>46017</v>
      </c>
      <c r="C2229">
        <v>1025</v>
      </c>
      <c r="D2229" t="s">
        <v>59</v>
      </c>
      <c r="E2229" t="s">
        <v>73</v>
      </c>
      <c r="F2229" t="s">
        <v>32</v>
      </c>
      <c r="G2229" t="s">
        <v>50</v>
      </c>
      <c r="H2229" t="s">
        <v>34</v>
      </c>
      <c r="I2229" t="s">
        <v>42</v>
      </c>
      <c r="J2229" s="4">
        <v>19.45</v>
      </c>
      <c r="K2229" s="4">
        <v>16.170000000000002</v>
      </c>
      <c r="L2229">
        <v>0</v>
      </c>
      <c r="M2229" s="4">
        <v>0</v>
      </c>
      <c r="N2229" s="4">
        <v>314.51</v>
      </c>
      <c r="O2229" s="4">
        <v>121.53</v>
      </c>
      <c r="P2229" s="4">
        <v>8.7200000000000006</v>
      </c>
      <c r="Q2229" s="4">
        <v>4.72</v>
      </c>
      <c r="R2229" s="4">
        <v>7.6</v>
      </c>
      <c r="S2229" s="4">
        <v>171.58</v>
      </c>
      <c r="T2229" s="4">
        <v>0</v>
      </c>
      <c r="U2229" s="4">
        <v>314.14999999999998</v>
      </c>
      <c r="V2229" s="4">
        <v>0.36</v>
      </c>
      <c r="W2229" t="s">
        <v>21</v>
      </c>
      <c r="X2229" t="s">
        <v>66</v>
      </c>
      <c r="Y2229" s="4">
        <v>2</v>
      </c>
      <c r="Z2229" s="4">
        <v>4</v>
      </c>
      <c r="AA2229" t="s">
        <v>37</v>
      </c>
      <c r="AB2229" t="s">
        <v>38</v>
      </c>
      <c r="AC2229" s="7">
        <v>2</v>
      </c>
      <c r="AD2229" t="s">
        <v>45</v>
      </c>
      <c r="AE2229">
        <f t="shared" si="34"/>
        <v>0</v>
      </c>
    </row>
    <row r="2230" spans="1:31" x14ac:dyDescent="0.35">
      <c r="A2230">
        <v>102229</v>
      </c>
      <c r="B2230" s="3">
        <v>45972</v>
      </c>
      <c r="C2230">
        <v>1067</v>
      </c>
      <c r="D2230" t="s">
        <v>47</v>
      </c>
      <c r="E2230" t="s">
        <v>53</v>
      </c>
      <c r="F2230" t="s">
        <v>32</v>
      </c>
      <c r="G2230" t="s">
        <v>46</v>
      </c>
      <c r="H2230" t="s">
        <v>34</v>
      </c>
      <c r="I2230" t="s">
        <v>54</v>
      </c>
      <c r="J2230" s="4">
        <v>21.73</v>
      </c>
      <c r="K2230" s="4">
        <v>16.59</v>
      </c>
      <c r="L2230">
        <v>10</v>
      </c>
      <c r="M2230" s="4">
        <v>36.049999999999997</v>
      </c>
      <c r="N2230" s="4">
        <v>324.45</v>
      </c>
      <c r="O2230" s="4">
        <v>215.96</v>
      </c>
      <c r="P2230" s="4">
        <v>5.12</v>
      </c>
      <c r="Q2230" s="4">
        <v>4.33</v>
      </c>
      <c r="R2230" s="4">
        <v>3.32</v>
      </c>
      <c r="S2230" s="4">
        <v>0</v>
      </c>
      <c r="T2230" s="4">
        <v>0</v>
      </c>
      <c r="U2230" s="4">
        <v>228.73</v>
      </c>
      <c r="V2230" s="4">
        <v>95.72</v>
      </c>
      <c r="W2230" t="s">
        <v>21</v>
      </c>
      <c r="X2230" t="s">
        <v>36</v>
      </c>
      <c r="Y2230" s="4">
        <v>5</v>
      </c>
      <c r="Z2230" s="4">
        <v>8</v>
      </c>
      <c r="AA2230" t="s">
        <v>37</v>
      </c>
      <c r="AB2230" t="s">
        <v>38</v>
      </c>
      <c r="AC2230" s="7">
        <v>0</v>
      </c>
      <c r="AD2230" t="s">
        <v>39</v>
      </c>
      <c r="AE2230">
        <f t="shared" si="34"/>
        <v>0</v>
      </c>
    </row>
    <row r="2231" spans="1:31" x14ac:dyDescent="0.35">
      <c r="A2231">
        <v>102230</v>
      </c>
      <c r="B2231" s="3">
        <v>45993</v>
      </c>
      <c r="C2231">
        <v>1141</v>
      </c>
      <c r="D2231" t="s">
        <v>47</v>
      </c>
      <c r="E2231" t="s">
        <v>53</v>
      </c>
      <c r="F2231" t="s">
        <v>32</v>
      </c>
      <c r="G2231" t="s">
        <v>50</v>
      </c>
      <c r="H2231" t="s">
        <v>51</v>
      </c>
      <c r="I2231" t="s">
        <v>54</v>
      </c>
      <c r="J2231" s="4">
        <v>36.82</v>
      </c>
      <c r="K2231" s="4">
        <v>17.77</v>
      </c>
      <c r="L2231">
        <v>10</v>
      </c>
      <c r="M2231" s="4">
        <v>65.430000000000007</v>
      </c>
      <c r="N2231" s="4">
        <v>588.86</v>
      </c>
      <c r="O2231" s="4">
        <v>236.81</v>
      </c>
      <c r="P2231" s="4">
        <v>6.54</v>
      </c>
      <c r="Q2231" s="4">
        <v>7.85</v>
      </c>
      <c r="R2231" s="4">
        <v>1.53</v>
      </c>
      <c r="S2231" s="4">
        <v>0</v>
      </c>
      <c r="T2231" s="4">
        <v>0</v>
      </c>
      <c r="U2231" s="4">
        <v>252.73</v>
      </c>
      <c r="V2231" s="4">
        <v>336.13</v>
      </c>
      <c r="W2231" t="s">
        <v>21</v>
      </c>
      <c r="X2231" t="s">
        <v>36</v>
      </c>
      <c r="Y2231" s="4">
        <v>22</v>
      </c>
      <c r="Z2231" s="4">
        <v>2</v>
      </c>
      <c r="AA2231" t="s">
        <v>52</v>
      </c>
      <c r="AB2231" t="s">
        <v>44</v>
      </c>
      <c r="AC2231" s="7">
        <v>2</v>
      </c>
      <c r="AD2231" t="s">
        <v>45</v>
      </c>
      <c r="AE2231">
        <f t="shared" si="34"/>
        <v>1</v>
      </c>
    </row>
    <row r="2232" spans="1:31" x14ac:dyDescent="0.35">
      <c r="A2232">
        <v>102231</v>
      </c>
      <c r="B2232" s="3">
        <v>46006</v>
      </c>
      <c r="C2232">
        <v>1068</v>
      </c>
      <c r="D2232" t="s">
        <v>64</v>
      </c>
      <c r="E2232" t="s">
        <v>67</v>
      </c>
      <c r="F2232" t="s">
        <v>61</v>
      </c>
      <c r="G2232" t="s">
        <v>46</v>
      </c>
      <c r="H2232" t="s">
        <v>57</v>
      </c>
      <c r="I2232" t="s">
        <v>35</v>
      </c>
      <c r="J2232" s="4">
        <v>27.92</v>
      </c>
      <c r="K2232" s="4">
        <v>16.72</v>
      </c>
      <c r="L2232">
        <v>5</v>
      </c>
      <c r="M2232" s="4">
        <v>23.34</v>
      </c>
      <c r="N2232" s="4">
        <v>443.48</v>
      </c>
      <c r="O2232" s="4">
        <v>199.18</v>
      </c>
      <c r="P2232" s="4">
        <v>6</v>
      </c>
      <c r="Q2232" s="4">
        <v>3.27</v>
      </c>
      <c r="R2232" s="4">
        <v>10.86</v>
      </c>
      <c r="S2232" s="4">
        <v>0</v>
      </c>
      <c r="T2232" s="4">
        <v>0</v>
      </c>
      <c r="U2232" s="4">
        <v>219.31</v>
      </c>
      <c r="V2232" s="4">
        <v>224.17</v>
      </c>
      <c r="W2232" t="s">
        <v>21</v>
      </c>
      <c r="X2232" t="s">
        <v>36</v>
      </c>
      <c r="Y2232" s="4">
        <v>13</v>
      </c>
      <c r="Z2232" s="4">
        <v>2</v>
      </c>
      <c r="AA2232" t="s">
        <v>37</v>
      </c>
      <c r="AB2232" t="s">
        <v>38</v>
      </c>
      <c r="AC2232" s="7">
        <v>0</v>
      </c>
      <c r="AD2232" t="s">
        <v>39</v>
      </c>
      <c r="AE2232">
        <f t="shared" si="34"/>
        <v>0</v>
      </c>
    </row>
    <row r="2233" spans="1:31" x14ac:dyDescent="0.35">
      <c r="A2233">
        <v>102232</v>
      </c>
      <c r="B2233" s="3">
        <v>45997</v>
      </c>
      <c r="C2233">
        <v>1077</v>
      </c>
      <c r="D2233" t="s">
        <v>30</v>
      </c>
      <c r="E2233" t="s">
        <v>72</v>
      </c>
      <c r="F2233" t="s">
        <v>71</v>
      </c>
      <c r="G2233" t="s">
        <v>63</v>
      </c>
      <c r="H2233" t="s">
        <v>34</v>
      </c>
      <c r="I2233" t="s">
        <v>54</v>
      </c>
      <c r="J2233" s="4">
        <v>20.73</v>
      </c>
      <c r="K2233" s="4">
        <v>13.8</v>
      </c>
      <c r="L2233">
        <v>5</v>
      </c>
      <c r="M2233" s="4">
        <v>14.3</v>
      </c>
      <c r="N2233" s="4">
        <v>271.77</v>
      </c>
      <c r="O2233" s="4">
        <v>133.5</v>
      </c>
      <c r="P2233" s="4">
        <v>7.57</v>
      </c>
      <c r="Q2233" s="4">
        <v>3.43</v>
      </c>
      <c r="R2233" s="4">
        <v>1.05</v>
      </c>
      <c r="S2233" s="4">
        <v>0</v>
      </c>
      <c r="T2233" s="4">
        <v>0</v>
      </c>
      <c r="U2233" s="4">
        <v>145.55000000000001</v>
      </c>
      <c r="V2233" s="4">
        <v>126.22</v>
      </c>
      <c r="W2233" t="s">
        <v>21</v>
      </c>
      <c r="X2233" t="s">
        <v>36</v>
      </c>
      <c r="Y2233" s="4">
        <v>1</v>
      </c>
      <c r="Z2233" s="4">
        <v>1</v>
      </c>
      <c r="AA2233" t="s">
        <v>37</v>
      </c>
      <c r="AB2233" t="s">
        <v>38</v>
      </c>
      <c r="AC2233" s="7">
        <v>0</v>
      </c>
      <c r="AD2233" t="s">
        <v>39</v>
      </c>
      <c r="AE2233">
        <f t="shared" si="34"/>
        <v>0</v>
      </c>
    </row>
    <row r="2234" spans="1:31" x14ac:dyDescent="0.35">
      <c r="A2234">
        <v>102233</v>
      </c>
      <c r="B2234" s="3">
        <v>45985</v>
      </c>
      <c r="C2234">
        <v>1148</v>
      </c>
      <c r="D2234" t="s">
        <v>64</v>
      </c>
      <c r="E2234" t="s">
        <v>75</v>
      </c>
      <c r="F2234" t="s">
        <v>71</v>
      </c>
      <c r="G2234" t="s">
        <v>46</v>
      </c>
      <c r="H2234" t="s">
        <v>57</v>
      </c>
      <c r="I2234" t="s">
        <v>69</v>
      </c>
      <c r="J2234" s="4">
        <v>24.65</v>
      </c>
      <c r="K2234" s="4">
        <v>14.97</v>
      </c>
      <c r="L2234">
        <v>0</v>
      </c>
      <c r="M2234" s="4">
        <v>0</v>
      </c>
      <c r="N2234" s="4">
        <v>369.01</v>
      </c>
      <c r="O2234" s="4">
        <v>200.19</v>
      </c>
      <c r="P2234" s="4">
        <v>6.52</v>
      </c>
      <c r="Q2234" s="4">
        <v>1.48</v>
      </c>
      <c r="R2234" s="4">
        <v>5.64</v>
      </c>
      <c r="S2234" s="4">
        <v>0</v>
      </c>
      <c r="T2234" s="4">
        <v>0</v>
      </c>
      <c r="U2234" s="4">
        <v>213.83</v>
      </c>
      <c r="V2234" s="4">
        <v>155.18</v>
      </c>
      <c r="W2234" t="s">
        <v>21</v>
      </c>
      <c r="X2234" t="s">
        <v>36</v>
      </c>
      <c r="Y2234" s="4">
        <v>15</v>
      </c>
      <c r="Z2234" s="4">
        <v>10</v>
      </c>
      <c r="AA2234" t="s">
        <v>37</v>
      </c>
      <c r="AB2234" t="s">
        <v>38</v>
      </c>
      <c r="AC2234" s="7">
        <v>0</v>
      </c>
      <c r="AD2234" t="s">
        <v>39</v>
      </c>
      <c r="AE2234">
        <f t="shared" si="34"/>
        <v>0</v>
      </c>
    </row>
    <row r="2235" spans="1:31" x14ac:dyDescent="0.35">
      <c r="A2235">
        <v>102234</v>
      </c>
      <c r="B2235" s="3">
        <v>46020</v>
      </c>
      <c r="C2235">
        <v>1053</v>
      </c>
      <c r="D2235" t="s">
        <v>59</v>
      </c>
      <c r="E2235" t="s">
        <v>73</v>
      </c>
      <c r="F2235" t="s">
        <v>71</v>
      </c>
      <c r="G2235" t="s">
        <v>46</v>
      </c>
      <c r="H2235" t="s">
        <v>34</v>
      </c>
      <c r="I2235" t="s">
        <v>54</v>
      </c>
      <c r="J2235" s="4">
        <v>20.49</v>
      </c>
      <c r="K2235" s="4">
        <v>16.77</v>
      </c>
      <c r="L2235">
        <v>10</v>
      </c>
      <c r="M2235" s="4">
        <v>34.36</v>
      </c>
      <c r="N2235" s="4">
        <v>309.26</v>
      </c>
      <c r="O2235" s="4">
        <v>155.66</v>
      </c>
      <c r="P2235" s="4">
        <v>2.8</v>
      </c>
      <c r="Q2235" s="4">
        <v>4.12</v>
      </c>
      <c r="R2235" s="4">
        <v>1.53</v>
      </c>
      <c r="S2235" s="4">
        <v>0</v>
      </c>
      <c r="T2235" s="4">
        <v>0</v>
      </c>
      <c r="U2235" s="4">
        <v>164.11</v>
      </c>
      <c r="V2235" s="4">
        <v>145.15</v>
      </c>
      <c r="W2235" t="s">
        <v>21</v>
      </c>
      <c r="X2235" t="s">
        <v>36</v>
      </c>
      <c r="Y2235" s="4">
        <v>39</v>
      </c>
      <c r="Z2235" s="4">
        <v>0</v>
      </c>
      <c r="AA2235" t="s">
        <v>43</v>
      </c>
      <c r="AB2235" t="s">
        <v>44</v>
      </c>
      <c r="AC2235" s="7">
        <v>1</v>
      </c>
      <c r="AD2235" t="s">
        <v>45</v>
      </c>
      <c r="AE2235">
        <f t="shared" si="34"/>
        <v>1</v>
      </c>
    </row>
    <row r="2236" spans="1:31" x14ac:dyDescent="0.35">
      <c r="A2236">
        <v>102235</v>
      </c>
      <c r="B2236" s="3">
        <v>45999</v>
      </c>
      <c r="C2236">
        <v>1015</v>
      </c>
      <c r="D2236" t="s">
        <v>59</v>
      </c>
      <c r="E2236" t="s">
        <v>68</v>
      </c>
      <c r="F2236" t="s">
        <v>32</v>
      </c>
      <c r="G2236" t="s">
        <v>33</v>
      </c>
      <c r="H2236" t="s">
        <v>51</v>
      </c>
      <c r="I2236" t="s">
        <v>35</v>
      </c>
      <c r="J2236" s="4">
        <v>13.5</v>
      </c>
      <c r="K2236" s="4">
        <v>20.13</v>
      </c>
      <c r="L2236">
        <v>20</v>
      </c>
      <c r="M2236" s="4">
        <v>54.35</v>
      </c>
      <c r="N2236" s="4">
        <v>217.41</v>
      </c>
      <c r="O2236" s="4">
        <v>118.23</v>
      </c>
      <c r="P2236" s="4">
        <v>7.91</v>
      </c>
      <c r="Q2236" s="4">
        <v>1.9</v>
      </c>
      <c r="R2236" s="4">
        <v>2.5299999999999998</v>
      </c>
      <c r="S2236" s="4">
        <v>0</v>
      </c>
      <c r="T2236" s="4">
        <v>0</v>
      </c>
      <c r="U2236" s="4">
        <v>130.57</v>
      </c>
      <c r="V2236" s="4">
        <v>86.84</v>
      </c>
      <c r="W2236" t="s">
        <v>21</v>
      </c>
      <c r="X2236" t="s">
        <v>36</v>
      </c>
      <c r="Y2236" s="4">
        <v>14</v>
      </c>
      <c r="Z2236" s="4">
        <v>2</v>
      </c>
      <c r="AA2236" t="s">
        <v>37</v>
      </c>
      <c r="AB2236" t="s">
        <v>38</v>
      </c>
      <c r="AC2236" s="7">
        <v>0</v>
      </c>
      <c r="AD2236" t="s">
        <v>39</v>
      </c>
      <c r="AE2236">
        <f t="shared" si="34"/>
        <v>0</v>
      </c>
    </row>
    <row r="2237" spans="1:31" x14ac:dyDescent="0.35">
      <c r="A2237">
        <v>102236</v>
      </c>
      <c r="B2237" s="3">
        <v>46000</v>
      </c>
      <c r="C2237">
        <v>1026</v>
      </c>
      <c r="D2237" t="s">
        <v>47</v>
      </c>
      <c r="E2237" t="s">
        <v>48</v>
      </c>
      <c r="F2237" t="s">
        <v>49</v>
      </c>
      <c r="G2237" t="s">
        <v>50</v>
      </c>
      <c r="H2237" t="s">
        <v>34</v>
      </c>
      <c r="I2237" t="s">
        <v>42</v>
      </c>
      <c r="J2237" s="4">
        <v>37.04</v>
      </c>
      <c r="K2237" s="4">
        <v>16.88</v>
      </c>
      <c r="L2237">
        <v>5</v>
      </c>
      <c r="M2237" s="4">
        <v>31.26</v>
      </c>
      <c r="N2237" s="4">
        <v>593.98</v>
      </c>
      <c r="O2237" s="4">
        <v>268.25</v>
      </c>
      <c r="P2237" s="4">
        <v>6.8</v>
      </c>
      <c r="Q2237" s="4">
        <v>9.3800000000000008</v>
      </c>
      <c r="R2237" s="4">
        <v>7.95</v>
      </c>
      <c r="S2237" s="4">
        <v>0</v>
      </c>
      <c r="T2237" s="4">
        <v>0</v>
      </c>
      <c r="U2237" s="4">
        <v>292.38</v>
      </c>
      <c r="V2237" s="4">
        <v>301.60000000000002</v>
      </c>
      <c r="W2237" t="s">
        <v>21</v>
      </c>
      <c r="X2237" t="s">
        <v>36</v>
      </c>
      <c r="Y2237" s="4">
        <v>18</v>
      </c>
      <c r="Z2237" s="4">
        <v>0</v>
      </c>
      <c r="AA2237" t="s">
        <v>52</v>
      </c>
      <c r="AB2237" t="s">
        <v>38</v>
      </c>
      <c r="AC2237" s="7">
        <v>0</v>
      </c>
      <c r="AD2237" t="s">
        <v>39</v>
      </c>
      <c r="AE2237">
        <f t="shared" si="34"/>
        <v>0</v>
      </c>
    </row>
    <row r="2238" spans="1:31" x14ac:dyDescent="0.35">
      <c r="A2238">
        <v>102237</v>
      </c>
      <c r="B2238" s="3">
        <v>45997</v>
      </c>
      <c r="C2238">
        <v>1098</v>
      </c>
      <c r="D2238" t="s">
        <v>30</v>
      </c>
      <c r="E2238" t="s">
        <v>72</v>
      </c>
      <c r="F2238" t="s">
        <v>61</v>
      </c>
      <c r="G2238" t="s">
        <v>33</v>
      </c>
      <c r="H2238" t="s">
        <v>34</v>
      </c>
      <c r="I2238" t="s">
        <v>69</v>
      </c>
      <c r="J2238" s="4">
        <v>24.16</v>
      </c>
      <c r="K2238" s="4">
        <v>18.91</v>
      </c>
      <c r="L2238">
        <v>15</v>
      </c>
      <c r="M2238" s="4">
        <v>68.53</v>
      </c>
      <c r="N2238" s="4">
        <v>388.34</v>
      </c>
      <c r="O2238" s="4">
        <v>183.23</v>
      </c>
      <c r="P2238" s="4">
        <v>5.88</v>
      </c>
      <c r="Q2238" s="4">
        <v>1.83</v>
      </c>
      <c r="R2238" s="4">
        <v>5.16</v>
      </c>
      <c r="S2238" s="4">
        <v>422.19</v>
      </c>
      <c r="T2238" s="4">
        <v>0</v>
      </c>
      <c r="U2238" s="4">
        <v>618.29</v>
      </c>
      <c r="V2238" s="4">
        <v>-229.95</v>
      </c>
      <c r="W2238" t="s">
        <v>58</v>
      </c>
      <c r="X2238" t="s">
        <v>55</v>
      </c>
      <c r="Y2238" s="4">
        <v>0</v>
      </c>
      <c r="Z2238" s="4">
        <v>4</v>
      </c>
      <c r="AA2238" t="s">
        <v>37</v>
      </c>
      <c r="AB2238" t="s">
        <v>44</v>
      </c>
      <c r="AC2238" s="7">
        <v>3</v>
      </c>
      <c r="AD2238" t="s">
        <v>45</v>
      </c>
      <c r="AE2238">
        <f t="shared" si="34"/>
        <v>1</v>
      </c>
    </row>
    <row r="2239" spans="1:31" x14ac:dyDescent="0.35">
      <c r="A2239">
        <v>102238</v>
      </c>
      <c r="B2239" s="3">
        <v>46018</v>
      </c>
      <c r="C2239">
        <v>1069</v>
      </c>
      <c r="D2239" t="s">
        <v>30</v>
      </c>
      <c r="E2239" t="s">
        <v>62</v>
      </c>
      <c r="F2239" t="s">
        <v>32</v>
      </c>
      <c r="G2239" t="s">
        <v>33</v>
      </c>
      <c r="H2239" t="s">
        <v>34</v>
      </c>
      <c r="I2239" t="s">
        <v>35</v>
      </c>
      <c r="J2239" s="4">
        <v>27.76</v>
      </c>
      <c r="K2239" s="4">
        <v>19.420000000000002</v>
      </c>
      <c r="L2239">
        <v>5</v>
      </c>
      <c r="M2239" s="4">
        <v>26.96</v>
      </c>
      <c r="N2239" s="4">
        <v>512.14</v>
      </c>
      <c r="O2239" s="4">
        <v>198.65</v>
      </c>
      <c r="P2239" s="4">
        <v>9.8699999999999992</v>
      </c>
      <c r="Q2239" s="4">
        <v>3.77</v>
      </c>
      <c r="R2239" s="4">
        <v>3.96</v>
      </c>
      <c r="S2239" s="4">
        <v>0</v>
      </c>
      <c r="T2239" s="4">
        <v>0</v>
      </c>
      <c r="U2239" s="4">
        <v>216.25</v>
      </c>
      <c r="V2239" s="4">
        <v>295.89</v>
      </c>
      <c r="W2239" t="s">
        <v>21</v>
      </c>
      <c r="X2239" t="s">
        <v>36</v>
      </c>
      <c r="Y2239" s="4">
        <v>9</v>
      </c>
      <c r="Z2239" s="4">
        <v>1</v>
      </c>
      <c r="AA2239" t="s">
        <v>37</v>
      </c>
      <c r="AB2239" t="s">
        <v>38</v>
      </c>
      <c r="AC2239" s="7">
        <v>1</v>
      </c>
      <c r="AD2239" t="s">
        <v>39</v>
      </c>
      <c r="AE2239">
        <f t="shared" si="34"/>
        <v>0</v>
      </c>
    </row>
    <row r="2240" spans="1:31" x14ac:dyDescent="0.35">
      <c r="A2240">
        <v>102239</v>
      </c>
      <c r="B2240" s="3">
        <v>46000</v>
      </c>
      <c r="C2240">
        <v>1077</v>
      </c>
      <c r="D2240" t="s">
        <v>47</v>
      </c>
      <c r="E2240" t="s">
        <v>74</v>
      </c>
      <c r="F2240" t="s">
        <v>49</v>
      </c>
      <c r="G2240" t="s">
        <v>50</v>
      </c>
      <c r="H2240" t="s">
        <v>34</v>
      </c>
      <c r="I2240" t="s">
        <v>35</v>
      </c>
      <c r="J2240" s="4">
        <v>19.649999999999999</v>
      </c>
      <c r="K2240" s="4">
        <v>18.98</v>
      </c>
      <c r="L2240">
        <v>0</v>
      </c>
      <c r="M2240" s="4">
        <v>0</v>
      </c>
      <c r="N2240" s="4">
        <v>372.96</v>
      </c>
      <c r="O2240" s="4">
        <v>154.41</v>
      </c>
      <c r="P2240" s="4">
        <v>7.8</v>
      </c>
      <c r="Q2240" s="4">
        <v>2.61</v>
      </c>
      <c r="R2240" s="4">
        <v>11.63</v>
      </c>
      <c r="S2240" s="4">
        <v>0</v>
      </c>
      <c r="T2240" s="4">
        <v>0</v>
      </c>
      <c r="U2240" s="4">
        <v>176.45</v>
      </c>
      <c r="V2240" s="4">
        <v>196.51</v>
      </c>
      <c r="W2240" t="s">
        <v>21</v>
      </c>
      <c r="X2240" t="s">
        <v>36</v>
      </c>
      <c r="Y2240" s="4">
        <v>9</v>
      </c>
      <c r="Z2240" s="4">
        <v>9</v>
      </c>
      <c r="AA2240" t="s">
        <v>37</v>
      </c>
      <c r="AB2240" t="s">
        <v>38</v>
      </c>
      <c r="AC2240" s="7">
        <v>0</v>
      </c>
      <c r="AD2240" t="s">
        <v>39</v>
      </c>
      <c r="AE2240">
        <f t="shared" si="34"/>
        <v>0</v>
      </c>
    </row>
    <row r="2241" spans="1:31" x14ac:dyDescent="0.35">
      <c r="A2241">
        <v>102240</v>
      </c>
      <c r="B2241" s="3">
        <v>45955</v>
      </c>
      <c r="C2241">
        <v>1145</v>
      </c>
      <c r="D2241" t="s">
        <v>30</v>
      </c>
      <c r="E2241" t="s">
        <v>62</v>
      </c>
      <c r="F2241" t="s">
        <v>61</v>
      </c>
      <c r="G2241" t="s">
        <v>33</v>
      </c>
      <c r="H2241" t="s">
        <v>34</v>
      </c>
      <c r="I2241" t="s">
        <v>69</v>
      </c>
      <c r="J2241" s="4">
        <v>19.23</v>
      </c>
      <c r="K2241" s="4">
        <v>18.760000000000002</v>
      </c>
      <c r="L2241">
        <v>15</v>
      </c>
      <c r="M2241" s="4">
        <v>54.11</v>
      </c>
      <c r="N2241" s="4">
        <v>306.64</v>
      </c>
      <c r="O2241" s="4">
        <v>132.05000000000001</v>
      </c>
      <c r="P2241" s="4">
        <v>6.35</v>
      </c>
      <c r="Q2241" s="4">
        <v>1.44</v>
      </c>
      <c r="R2241" s="4">
        <v>2.37</v>
      </c>
      <c r="S2241" s="4">
        <v>0</v>
      </c>
      <c r="T2241" s="4">
        <v>0</v>
      </c>
      <c r="U2241" s="4">
        <v>142.21</v>
      </c>
      <c r="V2241" s="4">
        <v>164.43</v>
      </c>
      <c r="W2241" t="s">
        <v>21</v>
      </c>
      <c r="X2241" t="s">
        <v>36</v>
      </c>
      <c r="Y2241" s="4">
        <v>25</v>
      </c>
      <c r="Z2241" s="4">
        <v>9</v>
      </c>
      <c r="AA2241" t="s">
        <v>52</v>
      </c>
      <c r="AB2241" t="s">
        <v>44</v>
      </c>
      <c r="AC2241" s="7">
        <v>3</v>
      </c>
      <c r="AD2241" t="s">
        <v>45</v>
      </c>
      <c r="AE2241">
        <f t="shared" si="34"/>
        <v>1</v>
      </c>
    </row>
    <row r="2242" spans="1:31" x14ac:dyDescent="0.35">
      <c r="A2242">
        <v>102241</v>
      </c>
      <c r="B2242" s="3">
        <v>46019</v>
      </c>
      <c r="C2242">
        <v>1054</v>
      </c>
      <c r="D2242" t="s">
        <v>47</v>
      </c>
      <c r="E2242" t="s">
        <v>53</v>
      </c>
      <c r="F2242" t="s">
        <v>71</v>
      </c>
      <c r="G2242" t="s">
        <v>63</v>
      </c>
      <c r="H2242" t="s">
        <v>34</v>
      </c>
      <c r="I2242" t="s">
        <v>42</v>
      </c>
      <c r="J2242" s="4">
        <v>15.61</v>
      </c>
      <c r="K2242" s="4">
        <v>12.21</v>
      </c>
      <c r="L2242">
        <v>10</v>
      </c>
      <c r="M2242" s="4">
        <v>19.059999999999999</v>
      </c>
      <c r="N2242" s="4">
        <v>171.54</v>
      </c>
      <c r="O2242" s="4">
        <v>102.72</v>
      </c>
      <c r="P2242" s="4">
        <v>8.1199999999999992</v>
      </c>
      <c r="Q2242" s="4">
        <v>2.86</v>
      </c>
      <c r="R2242" s="4">
        <v>0</v>
      </c>
      <c r="S2242" s="4">
        <v>0</v>
      </c>
      <c r="T2242" s="4">
        <v>0</v>
      </c>
      <c r="U2242" s="4">
        <v>113.7</v>
      </c>
      <c r="V2242" s="4">
        <v>57.84</v>
      </c>
      <c r="W2242" t="s">
        <v>21</v>
      </c>
      <c r="X2242" t="s">
        <v>36</v>
      </c>
      <c r="Y2242" s="4">
        <v>41</v>
      </c>
      <c r="Z2242" s="4">
        <v>32</v>
      </c>
      <c r="AA2242" t="s">
        <v>43</v>
      </c>
      <c r="AB2242" t="s">
        <v>44</v>
      </c>
      <c r="AC2242" s="7">
        <v>2</v>
      </c>
      <c r="AD2242" t="s">
        <v>45</v>
      </c>
      <c r="AE2242">
        <f t="shared" si="34"/>
        <v>1</v>
      </c>
    </row>
    <row r="2243" spans="1:31" x14ac:dyDescent="0.35">
      <c r="A2243">
        <v>102242</v>
      </c>
      <c r="B2243" s="3">
        <v>45962</v>
      </c>
      <c r="C2243">
        <v>1098</v>
      </c>
      <c r="D2243" t="s">
        <v>47</v>
      </c>
      <c r="E2243" t="s">
        <v>74</v>
      </c>
      <c r="F2243" t="s">
        <v>49</v>
      </c>
      <c r="G2243" t="s">
        <v>63</v>
      </c>
      <c r="H2243" t="s">
        <v>51</v>
      </c>
      <c r="I2243" t="s">
        <v>35</v>
      </c>
      <c r="J2243" s="4">
        <v>17.510000000000002</v>
      </c>
      <c r="K2243" s="4">
        <v>12.2</v>
      </c>
      <c r="L2243">
        <v>5</v>
      </c>
      <c r="M2243" s="4">
        <v>10.68</v>
      </c>
      <c r="N2243" s="4">
        <v>202.94</v>
      </c>
      <c r="O2243" s="4">
        <v>118.14</v>
      </c>
      <c r="P2243" s="4">
        <v>12.26</v>
      </c>
      <c r="Q2243" s="4">
        <v>1.5</v>
      </c>
      <c r="R2243" s="4">
        <v>10.24</v>
      </c>
      <c r="S2243" s="4">
        <v>0</v>
      </c>
      <c r="T2243" s="4">
        <v>0</v>
      </c>
      <c r="U2243" s="4">
        <v>142.13999999999999</v>
      </c>
      <c r="V2243" s="4">
        <v>60.8</v>
      </c>
      <c r="W2243" t="s">
        <v>21</v>
      </c>
      <c r="X2243" t="s">
        <v>36</v>
      </c>
      <c r="Y2243" s="4">
        <v>22</v>
      </c>
      <c r="Z2243" s="4">
        <v>5</v>
      </c>
      <c r="AA2243" t="s">
        <v>52</v>
      </c>
      <c r="AB2243" t="s">
        <v>44</v>
      </c>
      <c r="AC2243" s="7">
        <v>3</v>
      </c>
      <c r="AD2243" t="s">
        <v>45</v>
      </c>
      <c r="AE2243">
        <f t="shared" ref="AE2243:AE2306" si="35">IF(AB2243="Yes",1,0)</f>
        <v>1</v>
      </c>
    </row>
    <row r="2244" spans="1:31" x14ac:dyDescent="0.35">
      <c r="A2244">
        <v>102243</v>
      </c>
      <c r="B2244" s="3">
        <v>45975</v>
      </c>
      <c r="C2244">
        <v>1054</v>
      </c>
      <c r="D2244" t="s">
        <v>30</v>
      </c>
      <c r="E2244" t="s">
        <v>72</v>
      </c>
      <c r="F2244" t="s">
        <v>61</v>
      </c>
      <c r="G2244" t="s">
        <v>63</v>
      </c>
      <c r="H2244" t="s">
        <v>51</v>
      </c>
      <c r="I2244" t="s">
        <v>35</v>
      </c>
      <c r="J2244" s="4">
        <v>30.01</v>
      </c>
      <c r="K2244" s="4">
        <v>12.13</v>
      </c>
      <c r="L2244">
        <v>0</v>
      </c>
      <c r="M2244" s="4">
        <v>0</v>
      </c>
      <c r="N2244" s="4">
        <v>364.02</v>
      </c>
      <c r="O2244" s="4">
        <v>208.95</v>
      </c>
      <c r="P2244" s="4">
        <v>12.31</v>
      </c>
      <c r="Q2244" s="4">
        <v>2.5499999999999998</v>
      </c>
      <c r="R2244" s="4">
        <v>12.7</v>
      </c>
      <c r="S2244" s="4">
        <v>0</v>
      </c>
      <c r="T2244" s="4">
        <v>0</v>
      </c>
      <c r="U2244" s="4">
        <v>236.51</v>
      </c>
      <c r="V2244" s="4">
        <v>127.51</v>
      </c>
      <c r="W2244" t="s">
        <v>21</v>
      </c>
      <c r="X2244" t="s">
        <v>36</v>
      </c>
      <c r="Y2244" s="4">
        <v>0</v>
      </c>
      <c r="Z2244" s="4">
        <v>0</v>
      </c>
      <c r="AA2244" t="s">
        <v>37</v>
      </c>
      <c r="AB2244" t="s">
        <v>38</v>
      </c>
      <c r="AC2244" s="7">
        <v>0</v>
      </c>
      <c r="AD2244" t="s">
        <v>39</v>
      </c>
      <c r="AE2244">
        <f t="shared" si="35"/>
        <v>0</v>
      </c>
    </row>
    <row r="2245" spans="1:31" x14ac:dyDescent="0.35">
      <c r="A2245">
        <v>102244</v>
      </c>
      <c r="B2245" s="3">
        <v>46005</v>
      </c>
      <c r="C2245">
        <v>1006</v>
      </c>
      <c r="D2245" t="s">
        <v>59</v>
      </c>
      <c r="E2245" t="s">
        <v>73</v>
      </c>
      <c r="F2245" t="s">
        <v>41</v>
      </c>
      <c r="G2245" t="s">
        <v>63</v>
      </c>
      <c r="H2245" t="s">
        <v>34</v>
      </c>
      <c r="I2245" t="s">
        <v>35</v>
      </c>
      <c r="J2245" s="4">
        <v>11.78</v>
      </c>
      <c r="K2245" s="4">
        <v>11.8</v>
      </c>
      <c r="L2245">
        <v>10</v>
      </c>
      <c r="M2245" s="4">
        <v>13.9</v>
      </c>
      <c r="N2245" s="4">
        <v>125.1</v>
      </c>
      <c r="O2245" s="4">
        <v>99.46</v>
      </c>
      <c r="P2245" s="4">
        <v>5.17</v>
      </c>
      <c r="Q2245" s="4">
        <v>0.97</v>
      </c>
      <c r="R2245" s="4">
        <v>0</v>
      </c>
      <c r="S2245" s="4">
        <v>0</v>
      </c>
      <c r="T2245" s="4">
        <v>0</v>
      </c>
      <c r="U2245" s="4">
        <v>105.6</v>
      </c>
      <c r="V2245" s="4">
        <v>19.5</v>
      </c>
      <c r="W2245" t="s">
        <v>21</v>
      </c>
      <c r="X2245" t="s">
        <v>36</v>
      </c>
      <c r="Y2245" s="4">
        <v>8</v>
      </c>
      <c r="Z2245" s="4">
        <v>2</v>
      </c>
      <c r="AA2245" t="s">
        <v>37</v>
      </c>
      <c r="AB2245" t="s">
        <v>38</v>
      </c>
      <c r="AC2245" s="7">
        <v>0</v>
      </c>
      <c r="AD2245" t="s">
        <v>39</v>
      </c>
      <c r="AE2245">
        <f t="shared" si="35"/>
        <v>0</v>
      </c>
    </row>
    <row r="2246" spans="1:31" x14ac:dyDescent="0.35">
      <c r="A2246">
        <v>102245</v>
      </c>
      <c r="B2246" s="3">
        <v>45932</v>
      </c>
      <c r="C2246">
        <v>1096</v>
      </c>
      <c r="D2246" t="s">
        <v>47</v>
      </c>
      <c r="E2246" t="s">
        <v>53</v>
      </c>
      <c r="F2246" t="s">
        <v>61</v>
      </c>
      <c r="G2246" t="s">
        <v>46</v>
      </c>
      <c r="H2246" t="s">
        <v>34</v>
      </c>
      <c r="I2246" t="s">
        <v>35</v>
      </c>
      <c r="J2246" s="4">
        <v>23.96</v>
      </c>
      <c r="K2246" s="4">
        <v>16.48</v>
      </c>
      <c r="L2246">
        <v>20</v>
      </c>
      <c r="M2246" s="4">
        <v>78.97</v>
      </c>
      <c r="N2246" s="4">
        <v>315.89</v>
      </c>
      <c r="O2246" s="4">
        <v>200.79</v>
      </c>
      <c r="P2246" s="4">
        <v>14.75</v>
      </c>
      <c r="Q2246" s="4">
        <v>2.76</v>
      </c>
      <c r="R2246" s="4">
        <v>4.4400000000000004</v>
      </c>
      <c r="S2246" s="4">
        <v>0</v>
      </c>
      <c r="T2246" s="4">
        <v>0</v>
      </c>
      <c r="U2246" s="4">
        <v>222.74</v>
      </c>
      <c r="V2246" s="4">
        <v>93.15</v>
      </c>
      <c r="W2246" t="s">
        <v>21</v>
      </c>
      <c r="X2246" t="s">
        <v>36</v>
      </c>
      <c r="Y2246" s="4">
        <v>0</v>
      </c>
      <c r="Z2246" s="4">
        <v>3</v>
      </c>
      <c r="AA2246" t="s">
        <v>37</v>
      </c>
      <c r="AB2246" t="s">
        <v>38</v>
      </c>
      <c r="AC2246" s="7">
        <v>0</v>
      </c>
      <c r="AD2246" t="s">
        <v>39</v>
      </c>
      <c r="AE2246">
        <f t="shared" si="35"/>
        <v>0</v>
      </c>
    </row>
    <row r="2247" spans="1:31" x14ac:dyDescent="0.35">
      <c r="A2247">
        <v>102246</v>
      </c>
      <c r="B2247" s="3">
        <v>45950</v>
      </c>
      <c r="C2247">
        <v>1107</v>
      </c>
      <c r="D2247" t="s">
        <v>47</v>
      </c>
      <c r="E2247" t="s">
        <v>74</v>
      </c>
      <c r="F2247" t="s">
        <v>61</v>
      </c>
      <c r="G2247" t="s">
        <v>33</v>
      </c>
      <c r="H2247" t="s">
        <v>34</v>
      </c>
      <c r="I2247" t="s">
        <v>54</v>
      </c>
      <c r="J2247" s="4">
        <v>25.99</v>
      </c>
      <c r="K2247" s="4">
        <v>21.01</v>
      </c>
      <c r="L2247">
        <v>0</v>
      </c>
      <c r="M2247" s="4">
        <v>0</v>
      </c>
      <c r="N2247" s="4">
        <v>546.04999999999995</v>
      </c>
      <c r="O2247" s="4">
        <v>161.96</v>
      </c>
      <c r="P2247" s="4">
        <v>1.65</v>
      </c>
      <c r="Q2247" s="4">
        <v>6.55</v>
      </c>
      <c r="R2247" s="4">
        <v>6.26</v>
      </c>
      <c r="S2247" s="4">
        <v>0</v>
      </c>
      <c r="T2247" s="4">
        <v>0</v>
      </c>
      <c r="U2247" s="4">
        <v>176.42</v>
      </c>
      <c r="V2247" s="4">
        <v>369.63</v>
      </c>
      <c r="W2247" t="s">
        <v>21</v>
      </c>
      <c r="X2247" t="s">
        <v>36</v>
      </c>
      <c r="Y2247" s="4">
        <v>14</v>
      </c>
      <c r="Z2247" s="4">
        <v>0</v>
      </c>
      <c r="AA2247" t="s">
        <v>37</v>
      </c>
      <c r="AB2247" t="s">
        <v>38</v>
      </c>
      <c r="AC2247" s="7">
        <v>0</v>
      </c>
      <c r="AD2247" t="s">
        <v>39</v>
      </c>
      <c r="AE2247">
        <f t="shared" si="35"/>
        <v>0</v>
      </c>
    </row>
    <row r="2248" spans="1:31" x14ac:dyDescent="0.35">
      <c r="A2248">
        <v>102247</v>
      </c>
      <c r="B2248" s="3">
        <v>45937</v>
      </c>
      <c r="C2248">
        <v>1047</v>
      </c>
      <c r="D2248" t="s">
        <v>64</v>
      </c>
      <c r="E2248" t="s">
        <v>67</v>
      </c>
      <c r="F2248" t="s">
        <v>71</v>
      </c>
      <c r="G2248" t="s">
        <v>63</v>
      </c>
      <c r="H2248" t="s">
        <v>51</v>
      </c>
      <c r="I2248" t="s">
        <v>54</v>
      </c>
      <c r="J2248" s="4">
        <v>27.68</v>
      </c>
      <c r="K2248" s="4">
        <v>12.26</v>
      </c>
      <c r="L2248">
        <v>0</v>
      </c>
      <c r="M2248" s="4">
        <v>0</v>
      </c>
      <c r="N2248" s="4">
        <v>339.36</v>
      </c>
      <c r="O2248" s="4">
        <v>148.44</v>
      </c>
      <c r="P2248" s="4">
        <v>7.24</v>
      </c>
      <c r="Q2248" s="4">
        <v>4.07</v>
      </c>
      <c r="R2248" s="4">
        <v>11.72</v>
      </c>
      <c r="S2248" s="4">
        <v>0</v>
      </c>
      <c r="T2248" s="4">
        <v>0</v>
      </c>
      <c r="U2248" s="4">
        <v>171.47</v>
      </c>
      <c r="V2248" s="4">
        <v>167.89</v>
      </c>
      <c r="W2248" t="s">
        <v>21</v>
      </c>
      <c r="X2248" t="s">
        <v>36</v>
      </c>
      <c r="Y2248" s="4">
        <v>6</v>
      </c>
      <c r="Z2248" s="4">
        <v>1</v>
      </c>
      <c r="AA2248" t="s">
        <v>37</v>
      </c>
      <c r="AB2248" t="s">
        <v>38</v>
      </c>
      <c r="AC2248" s="7">
        <v>0</v>
      </c>
      <c r="AD2248" t="s">
        <v>39</v>
      </c>
      <c r="AE2248">
        <f t="shared" si="35"/>
        <v>0</v>
      </c>
    </row>
    <row r="2249" spans="1:31" x14ac:dyDescent="0.35">
      <c r="A2249">
        <v>102248</v>
      </c>
      <c r="B2249" s="3">
        <v>46016</v>
      </c>
      <c r="C2249">
        <v>1004</v>
      </c>
      <c r="D2249" t="s">
        <v>64</v>
      </c>
      <c r="E2249" t="s">
        <v>65</v>
      </c>
      <c r="F2249" t="s">
        <v>49</v>
      </c>
      <c r="G2249" t="s">
        <v>46</v>
      </c>
      <c r="H2249" t="s">
        <v>34</v>
      </c>
      <c r="I2249" t="s">
        <v>35</v>
      </c>
      <c r="J2249" s="4">
        <v>32.090000000000003</v>
      </c>
      <c r="K2249" s="4">
        <v>16.98</v>
      </c>
      <c r="L2249">
        <v>0</v>
      </c>
      <c r="M2249" s="4">
        <v>0</v>
      </c>
      <c r="N2249" s="4">
        <v>544.89</v>
      </c>
      <c r="O2249" s="4">
        <v>247.76</v>
      </c>
      <c r="P2249" s="4">
        <v>3.03</v>
      </c>
      <c r="Q2249" s="4">
        <v>3.81</v>
      </c>
      <c r="R2249" s="4">
        <v>4.66</v>
      </c>
      <c r="S2249" s="4">
        <v>0</v>
      </c>
      <c r="T2249" s="4">
        <v>0</v>
      </c>
      <c r="U2249" s="4">
        <v>259.26</v>
      </c>
      <c r="V2249" s="4">
        <v>285.63</v>
      </c>
      <c r="W2249" t="s">
        <v>21</v>
      </c>
      <c r="X2249" t="s">
        <v>36</v>
      </c>
      <c r="Y2249" s="4">
        <v>46</v>
      </c>
      <c r="Z2249" s="4">
        <v>1</v>
      </c>
      <c r="AA2249" t="s">
        <v>43</v>
      </c>
      <c r="AB2249" t="s">
        <v>44</v>
      </c>
      <c r="AC2249" s="7">
        <v>3</v>
      </c>
      <c r="AD2249" t="s">
        <v>45</v>
      </c>
      <c r="AE2249">
        <f t="shared" si="35"/>
        <v>1</v>
      </c>
    </row>
    <row r="2250" spans="1:31" x14ac:dyDescent="0.35">
      <c r="A2250">
        <v>102249</v>
      </c>
      <c r="B2250" s="3">
        <v>45940</v>
      </c>
      <c r="C2250">
        <v>1036</v>
      </c>
      <c r="D2250" t="s">
        <v>64</v>
      </c>
      <c r="E2250" t="s">
        <v>76</v>
      </c>
      <c r="F2250" t="s">
        <v>49</v>
      </c>
      <c r="G2250" t="s">
        <v>46</v>
      </c>
      <c r="H2250" t="s">
        <v>34</v>
      </c>
      <c r="I2250" t="s">
        <v>35</v>
      </c>
      <c r="J2250" s="4">
        <v>34.6</v>
      </c>
      <c r="K2250" s="4">
        <v>16.45</v>
      </c>
      <c r="L2250">
        <v>10</v>
      </c>
      <c r="M2250" s="4">
        <v>56.92</v>
      </c>
      <c r="N2250" s="4">
        <v>512.25</v>
      </c>
      <c r="O2250" s="4">
        <v>182.1</v>
      </c>
      <c r="P2250" s="4">
        <v>5.28</v>
      </c>
      <c r="Q2250" s="4">
        <v>3.98</v>
      </c>
      <c r="R2250" s="4">
        <v>5.57</v>
      </c>
      <c r="S2250" s="4">
        <v>366.15</v>
      </c>
      <c r="T2250" s="4">
        <v>0</v>
      </c>
      <c r="U2250" s="4">
        <v>563.08000000000004</v>
      </c>
      <c r="V2250" s="4">
        <v>-50.83</v>
      </c>
      <c r="W2250" t="s">
        <v>58</v>
      </c>
      <c r="X2250" t="s">
        <v>55</v>
      </c>
      <c r="Y2250" s="4">
        <v>10</v>
      </c>
      <c r="Z2250" s="4">
        <v>4</v>
      </c>
      <c r="AA2250" t="s">
        <v>37</v>
      </c>
      <c r="AB2250" t="s">
        <v>44</v>
      </c>
      <c r="AC2250" s="7">
        <v>2</v>
      </c>
      <c r="AD2250" t="s">
        <v>45</v>
      </c>
      <c r="AE2250">
        <f t="shared" si="35"/>
        <v>1</v>
      </c>
    </row>
    <row r="2251" spans="1:31" x14ac:dyDescent="0.35">
      <c r="A2251">
        <v>102250</v>
      </c>
      <c r="B2251" s="3">
        <v>45944</v>
      </c>
      <c r="C2251">
        <v>1132</v>
      </c>
      <c r="D2251" t="s">
        <v>30</v>
      </c>
      <c r="E2251" t="s">
        <v>72</v>
      </c>
      <c r="F2251" t="s">
        <v>32</v>
      </c>
      <c r="G2251" t="s">
        <v>63</v>
      </c>
      <c r="H2251" t="s">
        <v>34</v>
      </c>
      <c r="I2251" t="s">
        <v>42</v>
      </c>
      <c r="J2251" s="4">
        <v>39.869999999999997</v>
      </c>
      <c r="K2251" s="4">
        <v>12.81</v>
      </c>
      <c r="L2251">
        <v>10</v>
      </c>
      <c r="M2251" s="4">
        <v>51.07</v>
      </c>
      <c r="N2251" s="4">
        <v>459.66</v>
      </c>
      <c r="O2251" s="4">
        <v>263.58999999999997</v>
      </c>
      <c r="P2251" s="4">
        <v>10.49</v>
      </c>
      <c r="Q2251" s="4">
        <v>7.66</v>
      </c>
      <c r="R2251" s="4">
        <v>7.89</v>
      </c>
      <c r="S2251" s="4">
        <v>0</v>
      </c>
      <c r="T2251" s="4">
        <v>0</v>
      </c>
      <c r="U2251" s="4">
        <v>289.63</v>
      </c>
      <c r="V2251" s="4">
        <v>170.03</v>
      </c>
      <c r="W2251" t="s">
        <v>21</v>
      </c>
      <c r="X2251" t="s">
        <v>36</v>
      </c>
      <c r="Y2251" s="4">
        <v>1</v>
      </c>
      <c r="Z2251" s="4">
        <v>5</v>
      </c>
      <c r="AA2251" t="s">
        <v>37</v>
      </c>
      <c r="AB2251" t="s">
        <v>38</v>
      </c>
      <c r="AC2251" s="7">
        <v>0</v>
      </c>
      <c r="AD2251" t="s">
        <v>39</v>
      </c>
      <c r="AE2251">
        <f t="shared" si="35"/>
        <v>0</v>
      </c>
    </row>
    <row r="2252" spans="1:31" x14ac:dyDescent="0.35">
      <c r="A2252">
        <v>102251</v>
      </c>
      <c r="B2252" s="3">
        <v>45957</v>
      </c>
      <c r="C2252">
        <v>1091</v>
      </c>
      <c r="D2252" t="s">
        <v>64</v>
      </c>
      <c r="E2252" t="s">
        <v>67</v>
      </c>
      <c r="F2252" t="s">
        <v>41</v>
      </c>
      <c r="G2252" t="s">
        <v>63</v>
      </c>
      <c r="H2252" t="s">
        <v>34</v>
      </c>
      <c r="I2252" t="s">
        <v>35</v>
      </c>
      <c r="J2252" s="4">
        <v>14.93</v>
      </c>
      <c r="K2252" s="4">
        <v>14.03</v>
      </c>
      <c r="L2252">
        <v>5</v>
      </c>
      <c r="M2252" s="4">
        <v>10.47</v>
      </c>
      <c r="N2252" s="4">
        <v>199</v>
      </c>
      <c r="O2252" s="4">
        <v>84.77</v>
      </c>
      <c r="P2252" s="4">
        <v>6.17</v>
      </c>
      <c r="Q2252" s="4">
        <v>1.47</v>
      </c>
      <c r="R2252" s="4">
        <v>7.18</v>
      </c>
      <c r="S2252" s="4">
        <v>0</v>
      </c>
      <c r="T2252" s="4">
        <v>0</v>
      </c>
      <c r="U2252" s="4">
        <v>99.59</v>
      </c>
      <c r="V2252" s="4">
        <v>99.41</v>
      </c>
      <c r="W2252" t="s">
        <v>21</v>
      </c>
      <c r="X2252" t="s">
        <v>36</v>
      </c>
      <c r="Y2252" s="4">
        <v>3</v>
      </c>
      <c r="Z2252" s="4">
        <v>19</v>
      </c>
      <c r="AA2252" t="s">
        <v>37</v>
      </c>
      <c r="AB2252" t="s">
        <v>44</v>
      </c>
      <c r="AC2252" s="7">
        <v>1</v>
      </c>
      <c r="AD2252" t="s">
        <v>45</v>
      </c>
      <c r="AE2252">
        <f t="shared" si="35"/>
        <v>1</v>
      </c>
    </row>
    <row r="2253" spans="1:31" x14ac:dyDescent="0.35">
      <c r="A2253">
        <v>102252</v>
      </c>
      <c r="B2253" s="3">
        <v>46019</v>
      </c>
      <c r="C2253">
        <v>1110</v>
      </c>
      <c r="D2253" t="s">
        <v>47</v>
      </c>
      <c r="E2253" t="s">
        <v>74</v>
      </c>
      <c r="F2253" t="s">
        <v>71</v>
      </c>
      <c r="G2253" t="s">
        <v>50</v>
      </c>
      <c r="H2253" t="s">
        <v>34</v>
      </c>
      <c r="I2253" t="s">
        <v>42</v>
      </c>
      <c r="J2253" s="4">
        <v>19.77</v>
      </c>
      <c r="K2253" s="4">
        <v>16.43</v>
      </c>
      <c r="L2253">
        <v>5</v>
      </c>
      <c r="M2253" s="4">
        <v>16.239999999999998</v>
      </c>
      <c r="N2253" s="4">
        <v>308.58</v>
      </c>
      <c r="O2253" s="4">
        <v>127.09</v>
      </c>
      <c r="P2253" s="4">
        <v>10.32</v>
      </c>
      <c r="Q2253" s="4">
        <v>4.87</v>
      </c>
      <c r="R2253" s="4">
        <v>5.71</v>
      </c>
      <c r="S2253" s="4">
        <v>0</v>
      </c>
      <c r="T2253" s="4">
        <v>0</v>
      </c>
      <c r="U2253" s="4">
        <v>147.99</v>
      </c>
      <c r="V2253" s="4">
        <v>160.59</v>
      </c>
      <c r="W2253" t="s">
        <v>21</v>
      </c>
      <c r="X2253" t="s">
        <v>36</v>
      </c>
      <c r="Y2253" s="4">
        <v>44</v>
      </c>
      <c r="Z2253" s="4">
        <v>25</v>
      </c>
      <c r="AA2253" t="s">
        <v>43</v>
      </c>
      <c r="AB2253" t="s">
        <v>44</v>
      </c>
      <c r="AC2253" s="7">
        <v>4</v>
      </c>
      <c r="AD2253" t="s">
        <v>45</v>
      </c>
      <c r="AE2253">
        <f t="shared" si="35"/>
        <v>1</v>
      </c>
    </row>
    <row r="2254" spans="1:31" x14ac:dyDescent="0.35">
      <c r="A2254">
        <v>102253</v>
      </c>
      <c r="B2254" s="3">
        <v>45963</v>
      </c>
      <c r="C2254">
        <v>1090</v>
      </c>
      <c r="D2254" t="s">
        <v>64</v>
      </c>
      <c r="E2254" t="s">
        <v>65</v>
      </c>
      <c r="F2254" t="s">
        <v>61</v>
      </c>
      <c r="G2254" t="s">
        <v>63</v>
      </c>
      <c r="H2254" t="s">
        <v>34</v>
      </c>
      <c r="I2254" t="s">
        <v>54</v>
      </c>
      <c r="J2254" s="4">
        <v>14.42</v>
      </c>
      <c r="K2254" s="4">
        <v>13.06</v>
      </c>
      <c r="L2254">
        <v>10</v>
      </c>
      <c r="M2254" s="4">
        <v>18.829999999999998</v>
      </c>
      <c r="N2254" s="4">
        <v>169.5</v>
      </c>
      <c r="O2254" s="4">
        <v>94.86</v>
      </c>
      <c r="P2254" s="4">
        <v>4.07</v>
      </c>
      <c r="Q2254" s="4">
        <v>2.2599999999999998</v>
      </c>
      <c r="R2254" s="4">
        <v>11.15</v>
      </c>
      <c r="S2254" s="4">
        <v>0</v>
      </c>
      <c r="T2254" s="4">
        <v>0</v>
      </c>
      <c r="U2254" s="4">
        <v>112.34</v>
      </c>
      <c r="V2254" s="4">
        <v>57.16</v>
      </c>
      <c r="W2254" t="s">
        <v>21</v>
      </c>
      <c r="X2254" t="s">
        <v>36</v>
      </c>
      <c r="Y2254" s="4">
        <v>11</v>
      </c>
      <c r="Z2254" s="4">
        <v>1</v>
      </c>
      <c r="AA2254" t="s">
        <v>37</v>
      </c>
      <c r="AB2254" t="s">
        <v>38</v>
      </c>
      <c r="AC2254" s="7">
        <v>0</v>
      </c>
      <c r="AD2254" t="s">
        <v>39</v>
      </c>
      <c r="AE2254">
        <f t="shared" si="35"/>
        <v>0</v>
      </c>
    </row>
    <row r="2255" spans="1:31" x14ac:dyDescent="0.35">
      <c r="A2255">
        <v>102254</v>
      </c>
      <c r="B2255" s="3">
        <v>45960</v>
      </c>
      <c r="C2255">
        <v>1032</v>
      </c>
      <c r="D2255" t="s">
        <v>64</v>
      </c>
      <c r="E2255" t="s">
        <v>75</v>
      </c>
      <c r="F2255" t="s">
        <v>49</v>
      </c>
      <c r="G2255" t="s">
        <v>63</v>
      </c>
      <c r="H2255" t="s">
        <v>57</v>
      </c>
      <c r="I2255" t="s">
        <v>69</v>
      </c>
      <c r="J2255" s="4">
        <v>13.53</v>
      </c>
      <c r="K2255" s="4">
        <v>12.09</v>
      </c>
      <c r="L2255">
        <v>0</v>
      </c>
      <c r="M2255" s="4">
        <v>0</v>
      </c>
      <c r="N2255" s="4">
        <v>163.58000000000001</v>
      </c>
      <c r="O2255" s="4">
        <v>87.23</v>
      </c>
      <c r="P2255" s="4">
        <v>6.81</v>
      </c>
      <c r="Q2255" s="4">
        <v>0.65</v>
      </c>
      <c r="R2255" s="4">
        <v>7.74</v>
      </c>
      <c r="S2255" s="4">
        <v>0</v>
      </c>
      <c r="T2255" s="4">
        <v>0</v>
      </c>
      <c r="U2255" s="4">
        <v>102.43</v>
      </c>
      <c r="V2255" s="4">
        <v>61.15</v>
      </c>
      <c r="W2255" t="s">
        <v>21</v>
      </c>
      <c r="X2255" t="s">
        <v>36</v>
      </c>
      <c r="Y2255" s="4">
        <v>2</v>
      </c>
      <c r="Z2255" s="4">
        <v>8</v>
      </c>
      <c r="AA2255" t="s">
        <v>37</v>
      </c>
      <c r="AB2255" t="s">
        <v>38</v>
      </c>
      <c r="AC2255" s="7">
        <v>0</v>
      </c>
      <c r="AD2255" t="s">
        <v>39</v>
      </c>
      <c r="AE2255">
        <f t="shared" si="35"/>
        <v>0</v>
      </c>
    </row>
    <row r="2256" spans="1:31" x14ac:dyDescent="0.35">
      <c r="A2256">
        <v>102255</v>
      </c>
      <c r="B2256" s="3">
        <v>45957</v>
      </c>
      <c r="C2256">
        <v>1129</v>
      </c>
      <c r="D2256" t="s">
        <v>59</v>
      </c>
      <c r="E2256" t="s">
        <v>70</v>
      </c>
      <c r="F2256" t="s">
        <v>49</v>
      </c>
      <c r="G2256" t="s">
        <v>63</v>
      </c>
      <c r="H2256" t="s">
        <v>34</v>
      </c>
      <c r="I2256" t="s">
        <v>35</v>
      </c>
      <c r="J2256" s="4">
        <v>27.87</v>
      </c>
      <c r="K2256" s="4">
        <v>12.27</v>
      </c>
      <c r="L2256">
        <v>0</v>
      </c>
      <c r="M2256" s="4">
        <v>0</v>
      </c>
      <c r="N2256" s="4">
        <v>341.96</v>
      </c>
      <c r="O2256" s="4">
        <v>220.11</v>
      </c>
      <c r="P2256" s="4">
        <v>11.19</v>
      </c>
      <c r="Q2256" s="4">
        <v>2.39</v>
      </c>
      <c r="R2256" s="4">
        <v>4.1399999999999997</v>
      </c>
      <c r="S2256" s="4">
        <v>262.73</v>
      </c>
      <c r="T2256" s="4">
        <v>0</v>
      </c>
      <c r="U2256" s="4">
        <v>500.56</v>
      </c>
      <c r="V2256" s="4">
        <v>-158.6</v>
      </c>
      <c r="W2256" t="s">
        <v>58</v>
      </c>
      <c r="X2256" t="s">
        <v>55</v>
      </c>
      <c r="Y2256" s="4">
        <v>7</v>
      </c>
      <c r="Z2256" s="4">
        <v>2</v>
      </c>
      <c r="AA2256" t="s">
        <v>37</v>
      </c>
      <c r="AB2256" t="s">
        <v>44</v>
      </c>
      <c r="AC2256" s="7">
        <v>2</v>
      </c>
      <c r="AD2256" t="s">
        <v>45</v>
      </c>
      <c r="AE2256">
        <f t="shared" si="35"/>
        <v>1</v>
      </c>
    </row>
    <row r="2257" spans="1:31" x14ac:dyDescent="0.35">
      <c r="A2257">
        <v>102256</v>
      </c>
      <c r="B2257" s="3">
        <v>46006</v>
      </c>
      <c r="C2257">
        <v>1082</v>
      </c>
      <c r="D2257" t="s">
        <v>64</v>
      </c>
      <c r="E2257" t="s">
        <v>65</v>
      </c>
      <c r="F2257" t="s">
        <v>32</v>
      </c>
      <c r="G2257" t="s">
        <v>63</v>
      </c>
      <c r="H2257" t="s">
        <v>34</v>
      </c>
      <c r="I2257" t="s">
        <v>42</v>
      </c>
      <c r="J2257" s="4">
        <v>10.19</v>
      </c>
      <c r="K2257" s="4">
        <v>12.4</v>
      </c>
      <c r="L2257">
        <v>0</v>
      </c>
      <c r="M2257" s="4">
        <v>0</v>
      </c>
      <c r="N2257" s="4">
        <v>126.36</v>
      </c>
      <c r="O2257" s="4">
        <v>60.53</v>
      </c>
      <c r="P2257" s="4">
        <v>17.28</v>
      </c>
      <c r="Q2257" s="4">
        <v>1.9</v>
      </c>
      <c r="R2257" s="4">
        <v>4.47</v>
      </c>
      <c r="S2257" s="4">
        <v>0</v>
      </c>
      <c r="T2257" s="4">
        <v>0</v>
      </c>
      <c r="U2257" s="4">
        <v>84.18</v>
      </c>
      <c r="V2257" s="4">
        <v>42.18</v>
      </c>
      <c r="W2257" t="s">
        <v>21</v>
      </c>
      <c r="X2257" t="s">
        <v>36</v>
      </c>
      <c r="Y2257" s="4">
        <v>20</v>
      </c>
      <c r="Z2257" s="4">
        <v>6</v>
      </c>
      <c r="AA2257" t="s">
        <v>52</v>
      </c>
      <c r="AB2257" t="s">
        <v>38</v>
      </c>
      <c r="AC2257" s="7">
        <v>0</v>
      </c>
      <c r="AD2257" t="s">
        <v>39</v>
      </c>
      <c r="AE2257">
        <f t="shared" si="35"/>
        <v>0</v>
      </c>
    </row>
    <row r="2258" spans="1:31" x14ac:dyDescent="0.35">
      <c r="A2258">
        <v>102257</v>
      </c>
      <c r="B2258" s="3">
        <v>45960</v>
      </c>
      <c r="C2258">
        <v>1142</v>
      </c>
      <c r="D2258" t="s">
        <v>30</v>
      </c>
      <c r="E2258" t="s">
        <v>62</v>
      </c>
      <c r="F2258" t="s">
        <v>61</v>
      </c>
      <c r="G2258" t="s">
        <v>63</v>
      </c>
      <c r="H2258" t="s">
        <v>57</v>
      </c>
      <c r="I2258" t="s">
        <v>35</v>
      </c>
      <c r="J2258" s="4">
        <v>24.5</v>
      </c>
      <c r="K2258" s="4">
        <v>12.51</v>
      </c>
      <c r="L2258">
        <v>15</v>
      </c>
      <c r="M2258" s="4">
        <v>45.98</v>
      </c>
      <c r="N2258" s="4">
        <v>260.52</v>
      </c>
      <c r="O2258" s="4">
        <v>199.76</v>
      </c>
      <c r="P2258" s="4">
        <v>8.7899999999999991</v>
      </c>
      <c r="Q2258" s="4">
        <v>2.15</v>
      </c>
      <c r="R2258" s="4">
        <v>5.55</v>
      </c>
      <c r="S2258" s="4">
        <v>0</v>
      </c>
      <c r="T2258" s="4">
        <v>0</v>
      </c>
      <c r="U2258" s="4">
        <v>216.25</v>
      </c>
      <c r="V2258" s="4">
        <v>44.27</v>
      </c>
      <c r="W2258" t="s">
        <v>21</v>
      </c>
      <c r="X2258" t="s">
        <v>36</v>
      </c>
      <c r="Y2258" s="4">
        <v>11</v>
      </c>
      <c r="Z2258" s="4">
        <v>1</v>
      </c>
      <c r="AA2258" t="s">
        <v>37</v>
      </c>
      <c r="AB2258" t="s">
        <v>38</v>
      </c>
      <c r="AC2258" s="7">
        <v>0</v>
      </c>
      <c r="AD2258" t="s">
        <v>39</v>
      </c>
      <c r="AE2258">
        <f t="shared" si="35"/>
        <v>0</v>
      </c>
    </row>
    <row r="2259" spans="1:31" x14ac:dyDescent="0.35">
      <c r="A2259">
        <v>102258</v>
      </c>
      <c r="B2259" s="3">
        <v>46021</v>
      </c>
      <c r="C2259">
        <v>1109</v>
      </c>
      <c r="D2259" t="s">
        <v>59</v>
      </c>
      <c r="E2259" t="s">
        <v>68</v>
      </c>
      <c r="F2259" t="s">
        <v>32</v>
      </c>
      <c r="G2259" t="s">
        <v>46</v>
      </c>
      <c r="H2259" t="s">
        <v>34</v>
      </c>
      <c r="I2259" t="s">
        <v>54</v>
      </c>
      <c r="J2259" s="4">
        <v>18.670000000000002</v>
      </c>
      <c r="K2259" s="4">
        <v>15.75</v>
      </c>
      <c r="L2259">
        <v>0</v>
      </c>
      <c r="M2259" s="4">
        <v>0</v>
      </c>
      <c r="N2259" s="4">
        <v>294.05</v>
      </c>
      <c r="O2259" s="4">
        <v>137.84</v>
      </c>
      <c r="P2259" s="4">
        <v>10.31</v>
      </c>
      <c r="Q2259" s="4">
        <v>3.53</v>
      </c>
      <c r="R2259" s="4">
        <v>8.3800000000000008</v>
      </c>
      <c r="S2259" s="4">
        <v>0</v>
      </c>
      <c r="T2259" s="4">
        <v>0</v>
      </c>
      <c r="U2259" s="4">
        <v>160.06</v>
      </c>
      <c r="V2259" s="4">
        <v>133.99</v>
      </c>
      <c r="W2259" t="s">
        <v>21</v>
      </c>
      <c r="X2259" t="s">
        <v>36</v>
      </c>
      <c r="Y2259" s="4">
        <v>13</v>
      </c>
      <c r="Z2259" s="4">
        <v>13</v>
      </c>
      <c r="AA2259" t="s">
        <v>37</v>
      </c>
      <c r="AB2259" t="s">
        <v>38</v>
      </c>
      <c r="AC2259" s="7">
        <v>0</v>
      </c>
      <c r="AD2259" t="s">
        <v>39</v>
      </c>
      <c r="AE2259">
        <f t="shared" si="35"/>
        <v>0</v>
      </c>
    </row>
    <row r="2260" spans="1:31" x14ac:dyDescent="0.35">
      <c r="A2260">
        <v>102259</v>
      </c>
      <c r="B2260" s="3">
        <v>45979</v>
      </c>
      <c r="C2260">
        <v>1004</v>
      </c>
      <c r="D2260" t="s">
        <v>47</v>
      </c>
      <c r="E2260" t="s">
        <v>53</v>
      </c>
      <c r="F2260" t="s">
        <v>49</v>
      </c>
      <c r="G2260" t="s">
        <v>46</v>
      </c>
      <c r="H2260" t="s">
        <v>34</v>
      </c>
      <c r="I2260" t="s">
        <v>35</v>
      </c>
      <c r="J2260" s="4">
        <v>20.78</v>
      </c>
      <c r="K2260" s="4">
        <v>15.25</v>
      </c>
      <c r="L2260">
        <v>20</v>
      </c>
      <c r="M2260" s="4">
        <v>63.38</v>
      </c>
      <c r="N2260" s="4">
        <v>253.52</v>
      </c>
      <c r="O2260" s="4">
        <v>162.22999999999999</v>
      </c>
      <c r="P2260" s="4">
        <v>5.52</v>
      </c>
      <c r="Q2260" s="4">
        <v>2.2200000000000002</v>
      </c>
      <c r="R2260" s="4">
        <v>9.3800000000000008</v>
      </c>
      <c r="S2260" s="4">
        <v>0</v>
      </c>
      <c r="T2260" s="4">
        <v>0</v>
      </c>
      <c r="U2260" s="4">
        <v>179.35</v>
      </c>
      <c r="V2260" s="4">
        <v>74.17</v>
      </c>
      <c r="W2260" t="s">
        <v>21</v>
      </c>
      <c r="X2260" t="s">
        <v>36</v>
      </c>
      <c r="Y2260" s="4">
        <v>2</v>
      </c>
      <c r="Z2260" s="4">
        <v>0</v>
      </c>
      <c r="AA2260" t="s">
        <v>37</v>
      </c>
      <c r="AB2260" t="s">
        <v>38</v>
      </c>
      <c r="AC2260" s="7">
        <v>0</v>
      </c>
      <c r="AD2260" t="s">
        <v>39</v>
      </c>
      <c r="AE2260">
        <f t="shared" si="35"/>
        <v>0</v>
      </c>
    </row>
    <row r="2261" spans="1:31" x14ac:dyDescent="0.35">
      <c r="A2261">
        <v>102260</v>
      </c>
      <c r="B2261" s="3">
        <v>46014</v>
      </c>
      <c r="C2261">
        <v>1002</v>
      </c>
      <c r="D2261" t="s">
        <v>59</v>
      </c>
      <c r="E2261" t="s">
        <v>70</v>
      </c>
      <c r="F2261" t="s">
        <v>61</v>
      </c>
      <c r="G2261" t="s">
        <v>63</v>
      </c>
      <c r="H2261" t="s">
        <v>51</v>
      </c>
      <c r="I2261" t="s">
        <v>35</v>
      </c>
      <c r="J2261" s="4">
        <v>13.55</v>
      </c>
      <c r="K2261" s="4">
        <v>12.58</v>
      </c>
      <c r="L2261">
        <v>0</v>
      </c>
      <c r="M2261" s="4">
        <v>0</v>
      </c>
      <c r="N2261" s="4">
        <v>170.46</v>
      </c>
      <c r="O2261" s="4">
        <v>97.59</v>
      </c>
      <c r="P2261" s="4">
        <v>5.73</v>
      </c>
      <c r="Q2261" s="4">
        <v>1.19</v>
      </c>
      <c r="R2261" s="4">
        <v>8.32</v>
      </c>
      <c r="S2261" s="4">
        <v>123.83</v>
      </c>
      <c r="T2261" s="4">
        <v>0.65</v>
      </c>
      <c r="U2261" s="4">
        <v>237.31</v>
      </c>
      <c r="V2261" s="4">
        <v>-66.849999999999994</v>
      </c>
      <c r="W2261" t="s">
        <v>58</v>
      </c>
      <c r="X2261" t="s">
        <v>55</v>
      </c>
      <c r="Y2261" s="4">
        <v>10</v>
      </c>
      <c r="Z2261" s="4">
        <v>4</v>
      </c>
      <c r="AA2261" t="s">
        <v>37</v>
      </c>
      <c r="AB2261" t="s">
        <v>44</v>
      </c>
      <c r="AC2261" s="7">
        <v>1</v>
      </c>
      <c r="AD2261" t="s">
        <v>45</v>
      </c>
      <c r="AE2261">
        <f t="shared" si="35"/>
        <v>1</v>
      </c>
    </row>
    <row r="2262" spans="1:31" x14ac:dyDescent="0.35">
      <c r="A2262">
        <v>102261</v>
      </c>
      <c r="B2262" s="3">
        <v>45992</v>
      </c>
      <c r="C2262">
        <v>1006</v>
      </c>
      <c r="D2262" t="s">
        <v>64</v>
      </c>
      <c r="E2262" t="s">
        <v>67</v>
      </c>
      <c r="F2262" t="s">
        <v>71</v>
      </c>
      <c r="G2262" t="s">
        <v>50</v>
      </c>
      <c r="H2262" t="s">
        <v>34</v>
      </c>
      <c r="I2262" t="s">
        <v>35</v>
      </c>
      <c r="J2262" s="4">
        <v>29.82</v>
      </c>
      <c r="K2262" s="4">
        <v>17.14</v>
      </c>
      <c r="L2262">
        <v>0</v>
      </c>
      <c r="M2262" s="4">
        <v>0</v>
      </c>
      <c r="N2262" s="4">
        <v>511.11</v>
      </c>
      <c r="O2262" s="4">
        <v>257.04000000000002</v>
      </c>
      <c r="P2262" s="4">
        <v>7.27</v>
      </c>
      <c r="Q2262" s="4">
        <v>3.58</v>
      </c>
      <c r="R2262" s="4">
        <v>8.82</v>
      </c>
      <c r="S2262" s="4">
        <v>0</v>
      </c>
      <c r="T2262" s="4">
        <v>0</v>
      </c>
      <c r="U2262" s="4">
        <v>276.70999999999998</v>
      </c>
      <c r="V2262" s="4">
        <v>234.4</v>
      </c>
      <c r="W2262" t="s">
        <v>21</v>
      </c>
      <c r="X2262" t="s">
        <v>36</v>
      </c>
      <c r="Y2262" s="4">
        <v>12</v>
      </c>
      <c r="Z2262" s="4">
        <v>3</v>
      </c>
      <c r="AA2262" t="s">
        <v>37</v>
      </c>
      <c r="AB2262" t="s">
        <v>38</v>
      </c>
      <c r="AC2262" s="7">
        <v>0</v>
      </c>
      <c r="AD2262" t="s">
        <v>39</v>
      </c>
      <c r="AE2262">
        <f t="shared" si="35"/>
        <v>0</v>
      </c>
    </row>
    <row r="2263" spans="1:31" x14ac:dyDescent="0.35">
      <c r="A2263">
        <v>102262</v>
      </c>
      <c r="B2263" s="3">
        <v>45970</v>
      </c>
      <c r="C2263">
        <v>1057</v>
      </c>
      <c r="D2263" t="s">
        <v>59</v>
      </c>
      <c r="E2263" t="s">
        <v>68</v>
      </c>
      <c r="F2263" t="s">
        <v>49</v>
      </c>
      <c r="G2263" t="s">
        <v>33</v>
      </c>
      <c r="H2263" t="s">
        <v>34</v>
      </c>
      <c r="I2263" t="s">
        <v>54</v>
      </c>
      <c r="J2263" s="4">
        <v>27.01</v>
      </c>
      <c r="K2263" s="4">
        <v>19.5</v>
      </c>
      <c r="L2263">
        <v>0</v>
      </c>
      <c r="M2263" s="4">
        <v>0</v>
      </c>
      <c r="N2263" s="4">
        <v>526.70000000000005</v>
      </c>
      <c r="O2263" s="4">
        <v>176.23</v>
      </c>
      <c r="P2263" s="4">
        <v>6.21</v>
      </c>
      <c r="Q2263" s="4">
        <v>6.32</v>
      </c>
      <c r="R2263" s="4">
        <v>10.66</v>
      </c>
      <c r="S2263" s="4">
        <v>0</v>
      </c>
      <c r="T2263" s="4">
        <v>0</v>
      </c>
      <c r="U2263" s="4">
        <v>199.42</v>
      </c>
      <c r="V2263" s="4">
        <v>327.27999999999997</v>
      </c>
      <c r="W2263" t="s">
        <v>21</v>
      </c>
      <c r="X2263" t="s">
        <v>36</v>
      </c>
      <c r="Y2263" s="4">
        <v>10</v>
      </c>
      <c r="Z2263" s="4">
        <v>0</v>
      </c>
      <c r="AA2263" t="s">
        <v>37</v>
      </c>
      <c r="AB2263" t="s">
        <v>38</v>
      </c>
      <c r="AC2263" s="7">
        <v>0</v>
      </c>
      <c r="AD2263" t="s">
        <v>39</v>
      </c>
      <c r="AE2263">
        <f t="shared" si="35"/>
        <v>0</v>
      </c>
    </row>
    <row r="2264" spans="1:31" x14ac:dyDescent="0.35">
      <c r="A2264">
        <v>102263</v>
      </c>
      <c r="B2264" s="3">
        <v>45940</v>
      </c>
      <c r="C2264">
        <v>1070</v>
      </c>
      <c r="D2264" t="s">
        <v>64</v>
      </c>
      <c r="E2264" t="s">
        <v>75</v>
      </c>
      <c r="F2264" t="s">
        <v>61</v>
      </c>
      <c r="G2264" t="s">
        <v>33</v>
      </c>
      <c r="H2264" t="s">
        <v>34</v>
      </c>
      <c r="I2264" t="s">
        <v>69</v>
      </c>
      <c r="J2264" s="4">
        <v>26.25</v>
      </c>
      <c r="K2264" s="4">
        <v>19.420000000000002</v>
      </c>
      <c r="L2264">
        <v>20</v>
      </c>
      <c r="M2264" s="4">
        <v>101.96</v>
      </c>
      <c r="N2264" s="4">
        <v>407.82</v>
      </c>
      <c r="O2264" s="4">
        <v>209.08</v>
      </c>
      <c r="P2264" s="4">
        <v>12.35</v>
      </c>
      <c r="Q2264" s="4">
        <v>2.04</v>
      </c>
      <c r="R2264" s="4">
        <v>8.8699999999999992</v>
      </c>
      <c r="S2264" s="4">
        <v>0</v>
      </c>
      <c r="T2264" s="4">
        <v>0</v>
      </c>
      <c r="U2264" s="4">
        <v>232.34</v>
      </c>
      <c r="V2264" s="4">
        <v>175.48</v>
      </c>
      <c r="W2264" t="s">
        <v>21</v>
      </c>
      <c r="X2264" t="s">
        <v>36</v>
      </c>
      <c r="Y2264" s="4">
        <v>16</v>
      </c>
      <c r="Z2264" s="4">
        <v>1</v>
      </c>
      <c r="AA2264" t="s">
        <v>52</v>
      </c>
      <c r="AB2264" t="s">
        <v>38</v>
      </c>
      <c r="AC2264" s="7">
        <v>0</v>
      </c>
      <c r="AD2264" t="s">
        <v>39</v>
      </c>
      <c r="AE2264">
        <f t="shared" si="35"/>
        <v>0</v>
      </c>
    </row>
    <row r="2265" spans="1:31" x14ac:dyDescent="0.35">
      <c r="A2265">
        <v>102264</v>
      </c>
      <c r="B2265" s="3">
        <v>45951</v>
      </c>
      <c r="C2265">
        <v>1052</v>
      </c>
      <c r="D2265" t="s">
        <v>47</v>
      </c>
      <c r="E2265" t="s">
        <v>48</v>
      </c>
      <c r="F2265" t="s">
        <v>71</v>
      </c>
      <c r="G2265" t="s">
        <v>33</v>
      </c>
      <c r="H2265" t="s">
        <v>51</v>
      </c>
      <c r="I2265" t="s">
        <v>54</v>
      </c>
      <c r="J2265" s="4">
        <v>27.03</v>
      </c>
      <c r="K2265" s="4">
        <v>18.309999999999999</v>
      </c>
      <c r="L2265">
        <v>0</v>
      </c>
      <c r="M2265" s="4">
        <v>0</v>
      </c>
      <c r="N2265" s="4">
        <v>494.92</v>
      </c>
      <c r="O2265" s="4">
        <v>185.29</v>
      </c>
      <c r="P2265" s="4">
        <v>6.21</v>
      </c>
      <c r="Q2265" s="4">
        <v>5.94</v>
      </c>
      <c r="R2265" s="4">
        <v>3.24</v>
      </c>
      <c r="S2265" s="4">
        <v>0</v>
      </c>
      <c r="T2265" s="4">
        <v>0</v>
      </c>
      <c r="U2265" s="4">
        <v>200.68</v>
      </c>
      <c r="V2265" s="4">
        <v>294.24</v>
      </c>
      <c r="W2265" t="s">
        <v>21</v>
      </c>
      <c r="X2265" t="s">
        <v>36</v>
      </c>
      <c r="Y2265" s="4">
        <v>12</v>
      </c>
      <c r="Z2265" s="4">
        <v>22</v>
      </c>
      <c r="AA2265" t="s">
        <v>37</v>
      </c>
      <c r="AB2265" t="s">
        <v>44</v>
      </c>
      <c r="AC2265" s="7">
        <v>3</v>
      </c>
      <c r="AD2265" t="s">
        <v>45</v>
      </c>
      <c r="AE2265">
        <f t="shared" si="35"/>
        <v>1</v>
      </c>
    </row>
    <row r="2266" spans="1:31" x14ac:dyDescent="0.35">
      <c r="A2266">
        <v>102265</v>
      </c>
      <c r="B2266" s="3">
        <v>45979</v>
      </c>
      <c r="C2266">
        <v>1141</v>
      </c>
      <c r="D2266" t="s">
        <v>47</v>
      </c>
      <c r="E2266" t="s">
        <v>48</v>
      </c>
      <c r="F2266" t="s">
        <v>49</v>
      </c>
      <c r="G2266" t="s">
        <v>50</v>
      </c>
      <c r="H2266" t="s">
        <v>57</v>
      </c>
      <c r="I2266" t="s">
        <v>35</v>
      </c>
      <c r="J2266" s="4">
        <v>29.82</v>
      </c>
      <c r="K2266" s="4">
        <v>18.96</v>
      </c>
      <c r="L2266">
        <v>0</v>
      </c>
      <c r="M2266" s="4">
        <v>0</v>
      </c>
      <c r="N2266" s="4">
        <v>565.39</v>
      </c>
      <c r="O2266" s="4">
        <v>230.99</v>
      </c>
      <c r="P2266" s="4">
        <v>7.79</v>
      </c>
      <c r="Q2266" s="4">
        <v>3.96</v>
      </c>
      <c r="R2266" s="4">
        <v>5.24</v>
      </c>
      <c r="S2266" s="4">
        <v>0</v>
      </c>
      <c r="T2266" s="4">
        <v>0</v>
      </c>
      <c r="U2266" s="4">
        <v>247.98</v>
      </c>
      <c r="V2266" s="4">
        <v>317.41000000000003</v>
      </c>
      <c r="W2266" t="s">
        <v>21</v>
      </c>
      <c r="X2266" t="s">
        <v>36</v>
      </c>
      <c r="Y2266" s="4">
        <v>3</v>
      </c>
      <c r="Z2266" s="4">
        <v>6</v>
      </c>
      <c r="AA2266" t="s">
        <v>37</v>
      </c>
      <c r="AB2266" t="s">
        <v>38</v>
      </c>
      <c r="AC2266" s="7">
        <v>0</v>
      </c>
      <c r="AD2266" t="s">
        <v>39</v>
      </c>
      <c r="AE2266">
        <f t="shared" si="35"/>
        <v>0</v>
      </c>
    </row>
    <row r="2267" spans="1:31" x14ac:dyDescent="0.35">
      <c r="A2267">
        <v>102266</v>
      </c>
      <c r="B2267" s="3">
        <v>45953</v>
      </c>
      <c r="C2267">
        <v>1006</v>
      </c>
      <c r="D2267" t="s">
        <v>59</v>
      </c>
      <c r="E2267" t="s">
        <v>70</v>
      </c>
      <c r="F2267" t="s">
        <v>71</v>
      </c>
      <c r="G2267" t="s">
        <v>46</v>
      </c>
      <c r="H2267" t="s">
        <v>57</v>
      </c>
      <c r="I2267" t="s">
        <v>42</v>
      </c>
      <c r="J2267" s="4">
        <v>16.87</v>
      </c>
      <c r="K2267" s="4">
        <v>15.06</v>
      </c>
      <c r="L2267">
        <v>0</v>
      </c>
      <c r="M2267" s="4">
        <v>0</v>
      </c>
      <c r="N2267" s="4">
        <v>254.06</v>
      </c>
      <c r="O2267" s="4">
        <v>126.88</v>
      </c>
      <c r="P2267" s="4">
        <v>8.3800000000000008</v>
      </c>
      <c r="Q2267" s="4">
        <v>3.81</v>
      </c>
      <c r="R2267" s="4">
        <v>1.36</v>
      </c>
      <c r="S2267" s="4">
        <v>0</v>
      </c>
      <c r="T2267" s="4">
        <v>0</v>
      </c>
      <c r="U2267" s="4">
        <v>140.43</v>
      </c>
      <c r="V2267" s="4">
        <v>113.63</v>
      </c>
      <c r="W2267" t="s">
        <v>21</v>
      </c>
      <c r="X2267" t="s">
        <v>36</v>
      </c>
      <c r="Y2267" s="4">
        <v>25</v>
      </c>
      <c r="Z2267" s="4">
        <v>3</v>
      </c>
      <c r="AA2267" t="s">
        <v>52</v>
      </c>
      <c r="AB2267" t="s">
        <v>44</v>
      </c>
      <c r="AC2267" s="7">
        <v>1</v>
      </c>
      <c r="AD2267" t="s">
        <v>45</v>
      </c>
      <c r="AE2267">
        <f t="shared" si="35"/>
        <v>1</v>
      </c>
    </row>
    <row r="2268" spans="1:31" x14ac:dyDescent="0.35">
      <c r="A2268">
        <v>102267</v>
      </c>
      <c r="B2268" s="3">
        <v>45977</v>
      </c>
      <c r="C2268">
        <v>1075</v>
      </c>
      <c r="D2268" t="s">
        <v>59</v>
      </c>
      <c r="E2268" t="s">
        <v>68</v>
      </c>
      <c r="F2268" t="s">
        <v>49</v>
      </c>
      <c r="G2268" t="s">
        <v>50</v>
      </c>
      <c r="H2268" t="s">
        <v>34</v>
      </c>
      <c r="I2268" t="s">
        <v>69</v>
      </c>
      <c r="J2268" s="4">
        <v>33.67</v>
      </c>
      <c r="K2268" s="4">
        <v>20.170000000000002</v>
      </c>
      <c r="L2268">
        <v>5</v>
      </c>
      <c r="M2268" s="4">
        <v>33.96</v>
      </c>
      <c r="N2268" s="4">
        <v>645.16</v>
      </c>
      <c r="O2268" s="4">
        <v>211.08</v>
      </c>
      <c r="P2268" s="4">
        <v>6</v>
      </c>
      <c r="Q2268" s="4">
        <v>2.72</v>
      </c>
      <c r="R2268" s="4">
        <v>0.02</v>
      </c>
      <c r="S2268" s="4">
        <v>627.57000000000005</v>
      </c>
      <c r="T2268" s="4">
        <v>0</v>
      </c>
      <c r="U2268" s="4">
        <v>847.39</v>
      </c>
      <c r="V2268" s="4">
        <v>-202.23</v>
      </c>
      <c r="W2268" t="s">
        <v>58</v>
      </c>
      <c r="X2268" t="s">
        <v>66</v>
      </c>
      <c r="Y2268" s="4">
        <v>0</v>
      </c>
      <c r="Z2268" s="4">
        <v>21</v>
      </c>
      <c r="AA2268" t="s">
        <v>37</v>
      </c>
      <c r="AB2268" t="s">
        <v>44</v>
      </c>
      <c r="AC2268" s="7">
        <v>2</v>
      </c>
      <c r="AD2268" t="s">
        <v>45</v>
      </c>
      <c r="AE2268">
        <f t="shared" si="35"/>
        <v>1</v>
      </c>
    </row>
    <row r="2269" spans="1:31" x14ac:dyDescent="0.35">
      <c r="A2269">
        <v>102268</v>
      </c>
      <c r="B2269" s="3">
        <v>46016</v>
      </c>
      <c r="C2269">
        <v>1057</v>
      </c>
      <c r="D2269" t="s">
        <v>64</v>
      </c>
      <c r="E2269" t="s">
        <v>76</v>
      </c>
      <c r="F2269" t="s">
        <v>61</v>
      </c>
      <c r="G2269" t="s">
        <v>63</v>
      </c>
      <c r="H2269" t="s">
        <v>57</v>
      </c>
      <c r="I2269" t="s">
        <v>69</v>
      </c>
      <c r="J2269" s="4">
        <v>24.25</v>
      </c>
      <c r="K2269" s="4">
        <v>11.96</v>
      </c>
      <c r="L2269">
        <v>0</v>
      </c>
      <c r="M2269" s="4">
        <v>0</v>
      </c>
      <c r="N2269" s="4">
        <v>290.02999999999997</v>
      </c>
      <c r="O2269" s="4">
        <v>152.78</v>
      </c>
      <c r="P2269" s="4">
        <v>10.119999999999999</v>
      </c>
      <c r="Q2269" s="4">
        <v>1.1599999999999999</v>
      </c>
      <c r="R2269" s="4">
        <v>5.78</v>
      </c>
      <c r="S2269" s="4">
        <v>0</v>
      </c>
      <c r="T2269" s="4">
        <v>0</v>
      </c>
      <c r="U2269" s="4">
        <v>169.84</v>
      </c>
      <c r="V2269" s="4">
        <v>120.19</v>
      </c>
      <c r="W2269" t="s">
        <v>21</v>
      </c>
      <c r="X2269" t="s">
        <v>36</v>
      </c>
      <c r="Y2269" s="4">
        <v>0</v>
      </c>
      <c r="Z2269" s="4">
        <v>0</v>
      </c>
      <c r="AA2269" t="s">
        <v>37</v>
      </c>
      <c r="AB2269" t="s">
        <v>38</v>
      </c>
      <c r="AC2269" s="7">
        <v>1</v>
      </c>
      <c r="AD2269" t="s">
        <v>39</v>
      </c>
      <c r="AE2269">
        <f t="shared" si="35"/>
        <v>0</v>
      </c>
    </row>
    <row r="2270" spans="1:31" x14ac:dyDescent="0.35">
      <c r="A2270">
        <v>102269</v>
      </c>
      <c r="B2270" s="3">
        <v>45964</v>
      </c>
      <c r="C2270">
        <v>1116</v>
      </c>
      <c r="D2270" t="s">
        <v>47</v>
      </c>
      <c r="E2270" t="s">
        <v>48</v>
      </c>
      <c r="F2270" t="s">
        <v>71</v>
      </c>
      <c r="G2270" t="s">
        <v>50</v>
      </c>
      <c r="H2270" t="s">
        <v>34</v>
      </c>
      <c r="I2270" t="s">
        <v>42</v>
      </c>
      <c r="J2270" s="4">
        <v>36.549999999999997</v>
      </c>
      <c r="K2270" s="4">
        <v>17.489999999999998</v>
      </c>
      <c r="L2270">
        <v>0</v>
      </c>
      <c r="M2270" s="4">
        <v>0</v>
      </c>
      <c r="N2270" s="4">
        <v>639.26</v>
      </c>
      <c r="O2270" s="4">
        <v>271.52</v>
      </c>
      <c r="P2270" s="4">
        <v>6.29</v>
      </c>
      <c r="Q2270" s="4">
        <v>9.59</v>
      </c>
      <c r="R2270" s="4">
        <v>10</v>
      </c>
      <c r="S2270" s="4">
        <v>0</v>
      </c>
      <c r="T2270" s="4">
        <v>0</v>
      </c>
      <c r="U2270" s="4">
        <v>297.39999999999998</v>
      </c>
      <c r="V2270" s="4">
        <v>341.86</v>
      </c>
      <c r="W2270" t="s">
        <v>21</v>
      </c>
      <c r="X2270" t="s">
        <v>36</v>
      </c>
      <c r="Y2270" s="4">
        <v>0</v>
      </c>
      <c r="Z2270" s="4">
        <v>6</v>
      </c>
      <c r="AA2270" t="s">
        <v>37</v>
      </c>
      <c r="AB2270" t="s">
        <v>38</v>
      </c>
      <c r="AC2270" s="7">
        <v>0</v>
      </c>
      <c r="AD2270" t="s">
        <v>39</v>
      </c>
      <c r="AE2270">
        <f t="shared" si="35"/>
        <v>0</v>
      </c>
    </row>
    <row r="2271" spans="1:31" x14ac:dyDescent="0.35">
      <c r="A2271">
        <v>102270</v>
      </c>
      <c r="B2271" s="3">
        <v>45947</v>
      </c>
      <c r="C2271">
        <v>1141</v>
      </c>
      <c r="D2271" t="s">
        <v>59</v>
      </c>
      <c r="E2271" t="s">
        <v>70</v>
      </c>
      <c r="F2271" t="s">
        <v>49</v>
      </c>
      <c r="G2271" t="s">
        <v>46</v>
      </c>
      <c r="H2271" t="s">
        <v>34</v>
      </c>
      <c r="I2271" t="s">
        <v>69</v>
      </c>
      <c r="J2271" s="4">
        <v>22.77</v>
      </c>
      <c r="K2271" s="4">
        <v>15.6</v>
      </c>
      <c r="L2271">
        <v>0</v>
      </c>
      <c r="M2271" s="4">
        <v>0</v>
      </c>
      <c r="N2271" s="4">
        <v>355.21</v>
      </c>
      <c r="O2271" s="4">
        <v>154.77000000000001</v>
      </c>
      <c r="P2271" s="4">
        <v>7.1</v>
      </c>
      <c r="Q2271" s="4">
        <v>1.42</v>
      </c>
      <c r="R2271" s="4">
        <v>4.67</v>
      </c>
      <c r="S2271" s="4">
        <v>0</v>
      </c>
      <c r="T2271" s="4">
        <v>0</v>
      </c>
      <c r="U2271" s="4">
        <v>167.96</v>
      </c>
      <c r="V2271" s="4">
        <v>187.25</v>
      </c>
      <c r="W2271" t="s">
        <v>21</v>
      </c>
      <c r="X2271" t="s">
        <v>36</v>
      </c>
      <c r="Y2271" s="4">
        <v>15</v>
      </c>
      <c r="Z2271" s="4">
        <v>11</v>
      </c>
      <c r="AA2271" t="s">
        <v>37</v>
      </c>
      <c r="AB2271" t="s">
        <v>38</v>
      </c>
      <c r="AC2271" s="7">
        <v>0</v>
      </c>
      <c r="AD2271" t="s">
        <v>39</v>
      </c>
      <c r="AE2271">
        <f t="shared" si="35"/>
        <v>0</v>
      </c>
    </row>
    <row r="2272" spans="1:31" x14ac:dyDescent="0.35">
      <c r="A2272">
        <v>102271</v>
      </c>
      <c r="B2272" s="3">
        <v>45960</v>
      </c>
      <c r="C2272">
        <v>1072</v>
      </c>
      <c r="D2272" t="s">
        <v>64</v>
      </c>
      <c r="E2272" t="s">
        <v>75</v>
      </c>
      <c r="F2272" t="s">
        <v>61</v>
      </c>
      <c r="G2272" t="s">
        <v>50</v>
      </c>
      <c r="H2272" t="s">
        <v>34</v>
      </c>
      <c r="I2272" t="s">
        <v>35</v>
      </c>
      <c r="J2272" s="4">
        <v>33.83</v>
      </c>
      <c r="K2272" s="4">
        <v>16.29</v>
      </c>
      <c r="L2272">
        <v>5</v>
      </c>
      <c r="M2272" s="4">
        <v>27.55</v>
      </c>
      <c r="N2272" s="4">
        <v>523.54</v>
      </c>
      <c r="O2272" s="4">
        <v>248</v>
      </c>
      <c r="P2272" s="4">
        <v>9.33</v>
      </c>
      <c r="Q2272" s="4">
        <v>3.86</v>
      </c>
      <c r="R2272" s="4">
        <v>0.33</v>
      </c>
      <c r="S2272" s="4">
        <v>0</v>
      </c>
      <c r="T2272" s="4">
        <v>0</v>
      </c>
      <c r="U2272" s="4">
        <v>261.52</v>
      </c>
      <c r="V2272" s="4">
        <v>262.02</v>
      </c>
      <c r="W2272" t="s">
        <v>21</v>
      </c>
      <c r="X2272" t="s">
        <v>36</v>
      </c>
      <c r="Y2272" s="4">
        <v>2</v>
      </c>
      <c r="Z2272" s="4">
        <v>4</v>
      </c>
      <c r="AA2272" t="s">
        <v>37</v>
      </c>
      <c r="AB2272" t="s">
        <v>38</v>
      </c>
      <c r="AC2272" s="7">
        <v>0</v>
      </c>
      <c r="AD2272" t="s">
        <v>39</v>
      </c>
      <c r="AE2272">
        <f t="shared" si="35"/>
        <v>0</v>
      </c>
    </row>
    <row r="2273" spans="1:31" x14ac:dyDescent="0.35">
      <c r="A2273">
        <v>102272</v>
      </c>
      <c r="B2273" s="3">
        <v>45992</v>
      </c>
      <c r="C2273">
        <v>1007</v>
      </c>
      <c r="D2273" t="s">
        <v>47</v>
      </c>
      <c r="E2273" t="s">
        <v>56</v>
      </c>
      <c r="F2273" t="s">
        <v>71</v>
      </c>
      <c r="G2273" t="s">
        <v>63</v>
      </c>
      <c r="H2273" t="s">
        <v>51</v>
      </c>
      <c r="I2273" t="s">
        <v>42</v>
      </c>
      <c r="J2273" s="4">
        <v>29.74</v>
      </c>
      <c r="K2273" s="4">
        <v>13.28</v>
      </c>
      <c r="L2273">
        <v>0</v>
      </c>
      <c r="M2273" s="4">
        <v>0</v>
      </c>
      <c r="N2273" s="4">
        <v>394.95</v>
      </c>
      <c r="O2273" s="4">
        <v>186.78</v>
      </c>
      <c r="P2273" s="4">
        <v>11.88</v>
      </c>
      <c r="Q2273" s="4">
        <v>5.92</v>
      </c>
      <c r="R2273" s="4">
        <v>1.92</v>
      </c>
      <c r="S2273" s="4">
        <v>0</v>
      </c>
      <c r="T2273" s="4">
        <v>0</v>
      </c>
      <c r="U2273" s="4">
        <v>206.5</v>
      </c>
      <c r="V2273" s="4">
        <v>188.45</v>
      </c>
      <c r="W2273" t="s">
        <v>21</v>
      </c>
      <c r="X2273" t="s">
        <v>36</v>
      </c>
      <c r="Y2273" s="4">
        <v>0</v>
      </c>
      <c r="Z2273" s="4">
        <v>7</v>
      </c>
      <c r="AA2273" t="s">
        <v>37</v>
      </c>
      <c r="AB2273" t="s">
        <v>38</v>
      </c>
      <c r="AC2273" s="7">
        <v>0</v>
      </c>
      <c r="AD2273" t="s">
        <v>39</v>
      </c>
      <c r="AE2273">
        <f t="shared" si="35"/>
        <v>0</v>
      </c>
    </row>
    <row r="2274" spans="1:31" x14ac:dyDescent="0.35">
      <c r="A2274">
        <v>102273</v>
      </c>
      <c r="B2274" s="3">
        <v>45991</v>
      </c>
      <c r="C2274">
        <v>1010</v>
      </c>
      <c r="D2274" t="s">
        <v>47</v>
      </c>
      <c r="E2274" t="s">
        <v>56</v>
      </c>
      <c r="F2274" t="s">
        <v>32</v>
      </c>
      <c r="G2274" t="s">
        <v>46</v>
      </c>
      <c r="H2274" t="s">
        <v>51</v>
      </c>
      <c r="I2274" t="s">
        <v>42</v>
      </c>
      <c r="J2274" s="4">
        <v>24</v>
      </c>
      <c r="K2274" s="4">
        <v>15.38</v>
      </c>
      <c r="L2274">
        <v>0</v>
      </c>
      <c r="M2274" s="4">
        <v>0</v>
      </c>
      <c r="N2274" s="4">
        <v>369.12</v>
      </c>
      <c r="O2274" s="4">
        <v>187.42</v>
      </c>
      <c r="P2274" s="4">
        <v>6.89</v>
      </c>
      <c r="Q2274" s="4">
        <v>5.54</v>
      </c>
      <c r="R2274" s="4">
        <v>5.37</v>
      </c>
      <c r="S2274" s="4">
        <v>0</v>
      </c>
      <c r="T2274" s="4">
        <v>0</v>
      </c>
      <c r="U2274" s="4">
        <v>205.22</v>
      </c>
      <c r="V2274" s="4">
        <v>163.9</v>
      </c>
      <c r="W2274" t="s">
        <v>21</v>
      </c>
      <c r="X2274" t="s">
        <v>36</v>
      </c>
      <c r="Y2274" s="4">
        <v>19</v>
      </c>
      <c r="Z2274" s="4">
        <v>1</v>
      </c>
      <c r="AA2274" t="s">
        <v>52</v>
      </c>
      <c r="AB2274" t="s">
        <v>38</v>
      </c>
      <c r="AC2274" s="7">
        <v>0</v>
      </c>
      <c r="AD2274" t="s">
        <v>39</v>
      </c>
      <c r="AE2274">
        <f t="shared" si="35"/>
        <v>0</v>
      </c>
    </row>
    <row r="2275" spans="1:31" x14ac:dyDescent="0.35">
      <c r="A2275">
        <v>102274</v>
      </c>
      <c r="B2275" s="3">
        <v>46000</v>
      </c>
      <c r="C2275">
        <v>1136</v>
      </c>
      <c r="D2275" t="s">
        <v>64</v>
      </c>
      <c r="E2275" t="s">
        <v>75</v>
      </c>
      <c r="F2275" t="s">
        <v>41</v>
      </c>
      <c r="G2275" t="s">
        <v>50</v>
      </c>
      <c r="H2275" t="s">
        <v>34</v>
      </c>
      <c r="I2275" t="s">
        <v>35</v>
      </c>
      <c r="J2275" s="4">
        <v>42.11</v>
      </c>
      <c r="K2275" s="4">
        <v>17.95</v>
      </c>
      <c r="L2275">
        <v>0</v>
      </c>
      <c r="M2275" s="4">
        <v>0</v>
      </c>
      <c r="N2275" s="4">
        <v>755.87</v>
      </c>
      <c r="O2275" s="4">
        <v>307.63</v>
      </c>
      <c r="P2275" s="4">
        <v>7.26</v>
      </c>
      <c r="Q2275" s="4">
        <v>5.29</v>
      </c>
      <c r="R2275" s="4">
        <v>9.25</v>
      </c>
      <c r="S2275" s="4">
        <v>0</v>
      </c>
      <c r="T2275" s="4">
        <v>0</v>
      </c>
      <c r="U2275" s="4">
        <v>329.43</v>
      </c>
      <c r="V2275" s="4">
        <v>426.44</v>
      </c>
      <c r="W2275" t="s">
        <v>21</v>
      </c>
      <c r="X2275" t="s">
        <v>36</v>
      </c>
      <c r="Y2275" s="4">
        <v>4</v>
      </c>
      <c r="Z2275" s="4">
        <v>2</v>
      </c>
      <c r="AA2275" t="s">
        <v>37</v>
      </c>
      <c r="AB2275" t="s">
        <v>38</v>
      </c>
      <c r="AC2275" s="7">
        <v>0</v>
      </c>
      <c r="AD2275" t="s">
        <v>39</v>
      </c>
      <c r="AE2275">
        <f t="shared" si="35"/>
        <v>0</v>
      </c>
    </row>
    <row r="2276" spans="1:31" x14ac:dyDescent="0.35">
      <c r="A2276">
        <v>102275</v>
      </c>
      <c r="B2276" s="3">
        <v>46006</v>
      </c>
      <c r="C2276">
        <v>1132</v>
      </c>
      <c r="D2276" t="s">
        <v>59</v>
      </c>
      <c r="E2276" t="s">
        <v>60</v>
      </c>
      <c r="F2276" t="s">
        <v>41</v>
      </c>
      <c r="G2276" t="s">
        <v>33</v>
      </c>
      <c r="H2276" t="s">
        <v>34</v>
      </c>
      <c r="I2276" t="s">
        <v>35</v>
      </c>
      <c r="J2276" s="4">
        <v>26.21</v>
      </c>
      <c r="K2276" s="4">
        <v>20.100000000000001</v>
      </c>
      <c r="L2276">
        <v>0</v>
      </c>
      <c r="M2276" s="4">
        <v>0</v>
      </c>
      <c r="N2276" s="4">
        <v>526.82000000000005</v>
      </c>
      <c r="O2276" s="4">
        <v>204.19</v>
      </c>
      <c r="P2276" s="4">
        <v>14.16</v>
      </c>
      <c r="Q2276" s="4">
        <v>3.69</v>
      </c>
      <c r="R2276" s="4">
        <v>3.59</v>
      </c>
      <c r="S2276" s="4">
        <v>0</v>
      </c>
      <c r="T2276" s="4">
        <v>0</v>
      </c>
      <c r="U2276" s="4">
        <v>225.63</v>
      </c>
      <c r="V2276" s="4">
        <v>301.19</v>
      </c>
      <c r="W2276" t="s">
        <v>21</v>
      </c>
      <c r="X2276" t="s">
        <v>36</v>
      </c>
      <c r="Y2276" s="4">
        <v>5</v>
      </c>
      <c r="Z2276" s="4">
        <v>10</v>
      </c>
      <c r="AA2276" t="s">
        <v>37</v>
      </c>
      <c r="AB2276" t="s">
        <v>38</v>
      </c>
      <c r="AC2276" s="7">
        <v>2</v>
      </c>
      <c r="AD2276" t="s">
        <v>39</v>
      </c>
      <c r="AE2276">
        <f t="shared" si="35"/>
        <v>0</v>
      </c>
    </row>
    <row r="2277" spans="1:31" x14ac:dyDescent="0.35">
      <c r="A2277">
        <v>102276</v>
      </c>
      <c r="B2277" s="3">
        <v>45975</v>
      </c>
      <c r="C2277">
        <v>1036</v>
      </c>
      <c r="D2277" t="s">
        <v>64</v>
      </c>
      <c r="E2277" t="s">
        <v>65</v>
      </c>
      <c r="F2277" t="s">
        <v>32</v>
      </c>
      <c r="G2277" t="s">
        <v>33</v>
      </c>
      <c r="H2277" t="s">
        <v>34</v>
      </c>
      <c r="I2277" t="s">
        <v>69</v>
      </c>
      <c r="J2277" s="4">
        <v>10.77</v>
      </c>
      <c r="K2277" s="4">
        <v>18.87</v>
      </c>
      <c r="L2277">
        <v>10</v>
      </c>
      <c r="M2277" s="4">
        <v>20.32</v>
      </c>
      <c r="N2277" s="4">
        <v>182.91</v>
      </c>
      <c r="O2277" s="4">
        <v>93.59</v>
      </c>
      <c r="P2277" s="4">
        <v>7.49</v>
      </c>
      <c r="Q2277" s="4">
        <v>0.81</v>
      </c>
      <c r="R2277" s="4">
        <v>4.6100000000000003</v>
      </c>
      <c r="S2277" s="4">
        <v>0</v>
      </c>
      <c r="T2277" s="4">
        <v>0</v>
      </c>
      <c r="U2277" s="4">
        <v>106.5</v>
      </c>
      <c r="V2277" s="4">
        <v>76.41</v>
      </c>
      <c r="W2277" t="s">
        <v>21</v>
      </c>
      <c r="X2277" t="s">
        <v>36</v>
      </c>
      <c r="Y2277" s="4">
        <v>30</v>
      </c>
      <c r="Z2277" s="4">
        <v>0</v>
      </c>
      <c r="AA2277" t="s">
        <v>52</v>
      </c>
      <c r="AB2277" t="s">
        <v>44</v>
      </c>
      <c r="AC2277" s="7">
        <v>2</v>
      </c>
      <c r="AD2277" t="s">
        <v>45</v>
      </c>
      <c r="AE2277">
        <f t="shared" si="35"/>
        <v>1</v>
      </c>
    </row>
    <row r="2278" spans="1:31" x14ac:dyDescent="0.35">
      <c r="A2278">
        <v>102277</v>
      </c>
      <c r="B2278" s="3">
        <v>46005</v>
      </c>
      <c r="C2278">
        <v>1101</v>
      </c>
      <c r="D2278" t="s">
        <v>59</v>
      </c>
      <c r="E2278" t="s">
        <v>73</v>
      </c>
      <c r="F2278" t="s">
        <v>32</v>
      </c>
      <c r="G2278" t="s">
        <v>46</v>
      </c>
      <c r="H2278" t="s">
        <v>34</v>
      </c>
      <c r="I2278" t="s">
        <v>42</v>
      </c>
      <c r="J2278" s="4">
        <v>27.02</v>
      </c>
      <c r="K2278" s="4">
        <v>16.739999999999998</v>
      </c>
      <c r="L2278">
        <v>5</v>
      </c>
      <c r="M2278" s="4">
        <v>22.62</v>
      </c>
      <c r="N2278" s="4">
        <v>429.69</v>
      </c>
      <c r="O2278" s="4">
        <v>201.97</v>
      </c>
      <c r="P2278" s="4">
        <v>6.01</v>
      </c>
      <c r="Q2278" s="4">
        <v>6.78</v>
      </c>
      <c r="R2278" s="4">
        <v>3.47</v>
      </c>
      <c r="S2278" s="4">
        <v>0</v>
      </c>
      <c r="T2278" s="4">
        <v>0</v>
      </c>
      <c r="U2278" s="4">
        <v>218.23</v>
      </c>
      <c r="V2278" s="4">
        <v>211.46</v>
      </c>
      <c r="W2278" t="s">
        <v>21</v>
      </c>
      <c r="X2278" t="s">
        <v>36</v>
      </c>
      <c r="Y2278" s="4">
        <v>5</v>
      </c>
      <c r="Z2278" s="4">
        <v>19</v>
      </c>
      <c r="AA2278" t="s">
        <v>37</v>
      </c>
      <c r="AB2278" t="s">
        <v>44</v>
      </c>
      <c r="AC2278" s="7">
        <v>1</v>
      </c>
      <c r="AD2278" t="s">
        <v>45</v>
      </c>
      <c r="AE2278">
        <f t="shared" si="35"/>
        <v>1</v>
      </c>
    </row>
    <row r="2279" spans="1:31" x14ac:dyDescent="0.35">
      <c r="A2279">
        <v>102278</v>
      </c>
      <c r="B2279" s="3">
        <v>45991</v>
      </c>
      <c r="C2279">
        <v>1011</v>
      </c>
      <c r="D2279" t="s">
        <v>47</v>
      </c>
      <c r="E2279" t="s">
        <v>53</v>
      </c>
      <c r="F2279" t="s">
        <v>71</v>
      </c>
      <c r="G2279" t="s">
        <v>63</v>
      </c>
      <c r="H2279" t="s">
        <v>51</v>
      </c>
      <c r="I2279" t="s">
        <v>54</v>
      </c>
      <c r="J2279" s="4">
        <v>11.53</v>
      </c>
      <c r="K2279" s="4">
        <v>11.79</v>
      </c>
      <c r="L2279">
        <v>10</v>
      </c>
      <c r="M2279" s="4">
        <v>13.59</v>
      </c>
      <c r="N2279" s="4">
        <v>122.35</v>
      </c>
      <c r="O2279" s="4">
        <v>94.83</v>
      </c>
      <c r="P2279" s="4">
        <v>7.12</v>
      </c>
      <c r="Q2279" s="4">
        <v>1.63</v>
      </c>
      <c r="R2279" s="4">
        <v>9.51</v>
      </c>
      <c r="S2279" s="4">
        <v>93.87</v>
      </c>
      <c r="T2279" s="4">
        <v>9.09</v>
      </c>
      <c r="U2279" s="4">
        <v>216.05</v>
      </c>
      <c r="V2279" s="4">
        <v>-93.7</v>
      </c>
      <c r="W2279" t="s">
        <v>58</v>
      </c>
      <c r="X2279" t="s">
        <v>66</v>
      </c>
      <c r="Y2279" s="4">
        <v>5</v>
      </c>
      <c r="Z2279" s="4">
        <v>0</v>
      </c>
      <c r="AA2279" t="s">
        <v>37</v>
      </c>
      <c r="AB2279" t="s">
        <v>38</v>
      </c>
      <c r="AC2279" s="7">
        <v>2</v>
      </c>
      <c r="AD2279" t="s">
        <v>45</v>
      </c>
      <c r="AE2279">
        <f t="shared" si="35"/>
        <v>0</v>
      </c>
    </row>
    <row r="2280" spans="1:31" x14ac:dyDescent="0.35">
      <c r="A2280">
        <v>102279</v>
      </c>
      <c r="B2280" s="3">
        <v>45970</v>
      </c>
      <c r="C2280">
        <v>1022</v>
      </c>
      <c r="D2280" t="s">
        <v>64</v>
      </c>
      <c r="E2280" t="s">
        <v>76</v>
      </c>
      <c r="F2280" t="s">
        <v>61</v>
      </c>
      <c r="G2280" t="s">
        <v>50</v>
      </c>
      <c r="H2280" t="s">
        <v>57</v>
      </c>
      <c r="I2280" t="s">
        <v>69</v>
      </c>
      <c r="J2280" s="4">
        <v>32.840000000000003</v>
      </c>
      <c r="K2280" s="4">
        <v>18.88</v>
      </c>
      <c r="L2280">
        <v>0</v>
      </c>
      <c r="M2280" s="4">
        <v>0</v>
      </c>
      <c r="N2280" s="4">
        <v>620.02</v>
      </c>
      <c r="O2280" s="4">
        <v>207.71</v>
      </c>
      <c r="P2280" s="4">
        <v>12.1</v>
      </c>
      <c r="Q2280" s="4">
        <v>2.48</v>
      </c>
      <c r="R2280" s="4">
        <v>3.13</v>
      </c>
      <c r="S2280" s="4">
        <v>0</v>
      </c>
      <c r="T2280" s="4">
        <v>0</v>
      </c>
      <c r="U2280" s="4">
        <v>225.42</v>
      </c>
      <c r="V2280" s="4">
        <v>394.6</v>
      </c>
      <c r="W2280" t="s">
        <v>21</v>
      </c>
      <c r="X2280" t="s">
        <v>36</v>
      </c>
      <c r="Y2280" s="4">
        <v>4</v>
      </c>
      <c r="Z2280" s="4">
        <v>23</v>
      </c>
      <c r="AA2280" t="s">
        <v>37</v>
      </c>
      <c r="AB2280" t="s">
        <v>44</v>
      </c>
      <c r="AC2280" s="7">
        <v>2</v>
      </c>
      <c r="AD2280" t="s">
        <v>45</v>
      </c>
      <c r="AE2280">
        <f t="shared" si="35"/>
        <v>1</v>
      </c>
    </row>
    <row r="2281" spans="1:31" x14ac:dyDescent="0.35">
      <c r="A2281">
        <v>102280</v>
      </c>
      <c r="B2281" s="3">
        <v>45956</v>
      </c>
      <c r="C2281">
        <v>1147</v>
      </c>
      <c r="D2281" t="s">
        <v>30</v>
      </c>
      <c r="E2281" t="s">
        <v>72</v>
      </c>
      <c r="F2281" t="s">
        <v>41</v>
      </c>
      <c r="G2281" t="s">
        <v>46</v>
      </c>
      <c r="H2281" t="s">
        <v>34</v>
      </c>
      <c r="I2281" t="s">
        <v>35</v>
      </c>
      <c r="J2281" s="4">
        <v>30.66</v>
      </c>
      <c r="K2281" s="4">
        <v>15.82</v>
      </c>
      <c r="L2281">
        <v>0</v>
      </c>
      <c r="M2281" s="4">
        <v>0</v>
      </c>
      <c r="N2281" s="4">
        <v>485.04</v>
      </c>
      <c r="O2281" s="4">
        <v>242.06</v>
      </c>
      <c r="P2281" s="4">
        <v>4.5</v>
      </c>
      <c r="Q2281" s="4">
        <v>3.4</v>
      </c>
      <c r="R2281" s="4">
        <v>6.16</v>
      </c>
      <c r="S2281" s="4">
        <v>0</v>
      </c>
      <c r="T2281" s="4">
        <v>0</v>
      </c>
      <c r="U2281" s="4">
        <v>256.12</v>
      </c>
      <c r="V2281" s="4">
        <v>228.92</v>
      </c>
      <c r="W2281" t="s">
        <v>21</v>
      </c>
      <c r="X2281" t="s">
        <v>36</v>
      </c>
      <c r="Y2281" s="4">
        <v>0</v>
      </c>
      <c r="Z2281" s="4">
        <v>25</v>
      </c>
      <c r="AA2281" t="s">
        <v>37</v>
      </c>
      <c r="AB2281" t="s">
        <v>44</v>
      </c>
      <c r="AC2281" s="7">
        <v>2</v>
      </c>
      <c r="AD2281" t="s">
        <v>45</v>
      </c>
      <c r="AE2281">
        <f t="shared" si="35"/>
        <v>1</v>
      </c>
    </row>
    <row r="2282" spans="1:31" x14ac:dyDescent="0.35">
      <c r="A2282">
        <v>102281</v>
      </c>
      <c r="B2282" s="3">
        <v>45983</v>
      </c>
      <c r="C2282">
        <v>1003</v>
      </c>
      <c r="D2282" t="s">
        <v>47</v>
      </c>
      <c r="E2282" t="s">
        <v>74</v>
      </c>
      <c r="F2282" t="s">
        <v>61</v>
      </c>
      <c r="G2282" t="s">
        <v>63</v>
      </c>
      <c r="H2282" t="s">
        <v>34</v>
      </c>
      <c r="I2282" t="s">
        <v>42</v>
      </c>
      <c r="J2282" s="4">
        <v>34.6</v>
      </c>
      <c r="K2282" s="4">
        <v>12.64</v>
      </c>
      <c r="L2282">
        <v>15</v>
      </c>
      <c r="M2282" s="4">
        <v>65.599999999999994</v>
      </c>
      <c r="N2282" s="4">
        <v>371.74</v>
      </c>
      <c r="O2282" s="4">
        <v>202.44</v>
      </c>
      <c r="P2282" s="4">
        <v>12.03</v>
      </c>
      <c r="Q2282" s="4">
        <v>6.56</v>
      </c>
      <c r="R2282" s="4">
        <v>0.97</v>
      </c>
      <c r="S2282" s="4">
        <v>0</v>
      </c>
      <c r="T2282" s="4">
        <v>0</v>
      </c>
      <c r="U2282" s="4">
        <v>222</v>
      </c>
      <c r="V2282" s="4">
        <v>149.74</v>
      </c>
      <c r="W2282" t="s">
        <v>21</v>
      </c>
      <c r="X2282" t="s">
        <v>36</v>
      </c>
      <c r="Y2282" s="4">
        <v>2</v>
      </c>
      <c r="Z2282" s="4">
        <v>10</v>
      </c>
      <c r="AA2282" t="s">
        <v>37</v>
      </c>
      <c r="AB2282" t="s">
        <v>38</v>
      </c>
      <c r="AC2282" s="7">
        <v>0</v>
      </c>
      <c r="AD2282" t="s">
        <v>39</v>
      </c>
      <c r="AE2282">
        <f t="shared" si="35"/>
        <v>0</v>
      </c>
    </row>
    <row r="2283" spans="1:31" x14ac:dyDescent="0.35">
      <c r="A2283">
        <v>102282</v>
      </c>
      <c r="B2283" s="3">
        <v>45941</v>
      </c>
      <c r="C2283">
        <v>1081</v>
      </c>
      <c r="D2283" t="s">
        <v>59</v>
      </c>
      <c r="E2283" t="s">
        <v>68</v>
      </c>
      <c r="F2283" t="s">
        <v>61</v>
      </c>
      <c r="G2283" t="s">
        <v>63</v>
      </c>
      <c r="H2283" t="s">
        <v>34</v>
      </c>
      <c r="I2283" t="s">
        <v>42</v>
      </c>
      <c r="J2283" s="4">
        <v>31.67</v>
      </c>
      <c r="K2283" s="4">
        <v>14.09</v>
      </c>
      <c r="L2283">
        <v>0</v>
      </c>
      <c r="M2283" s="4">
        <v>0</v>
      </c>
      <c r="N2283" s="4">
        <v>446.23</v>
      </c>
      <c r="O2283" s="4">
        <v>204.44</v>
      </c>
      <c r="P2283" s="4">
        <v>3.75</v>
      </c>
      <c r="Q2283" s="4">
        <v>6.69</v>
      </c>
      <c r="R2283" s="4">
        <v>12.31</v>
      </c>
      <c r="S2283" s="4">
        <v>0</v>
      </c>
      <c r="T2283" s="4">
        <v>0</v>
      </c>
      <c r="U2283" s="4">
        <v>227.19</v>
      </c>
      <c r="V2283" s="4">
        <v>219.04</v>
      </c>
      <c r="W2283" t="s">
        <v>21</v>
      </c>
      <c r="X2283" t="s">
        <v>36</v>
      </c>
      <c r="Y2283" s="4">
        <v>9</v>
      </c>
      <c r="Z2283" s="4">
        <v>10</v>
      </c>
      <c r="AA2283" t="s">
        <v>37</v>
      </c>
      <c r="AB2283" t="s">
        <v>38</v>
      </c>
      <c r="AC2283" s="7">
        <v>0</v>
      </c>
      <c r="AD2283" t="s">
        <v>39</v>
      </c>
      <c r="AE2283">
        <f t="shared" si="35"/>
        <v>0</v>
      </c>
    </row>
    <row r="2284" spans="1:31" x14ac:dyDescent="0.35">
      <c r="A2284">
        <v>102283</v>
      </c>
      <c r="B2284" s="3">
        <v>46013</v>
      </c>
      <c r="C2284">
        <v>1108</v>
      </c>
      <c r="D2284" t="s">
        <v>59</v>
      </c>
      <c r="E2284" t="s">
        <v>73</v>
      </c>
      <c r="F2284" t="s">
        <v>49</v>
      </c>
      <c r="G2284" t="s">
        <v>50</v>
      </c>
      <c r="H2284" t="s">
        <v>34</v>
      </c>
      <c r="I2284" t="s">
        <v>42</v>
      </c>
      <c r="J2284" s="4">
        <v>26.14</v>
      </c>
      <c r="K2284" s="4">
        <v>19.86</v>
      </c>
      <c r="L2284">
        <v>0</v>
      </c>
      <c r="M2284" s="4">
        <v>0</v>
      </c>
      <c r="N2284" s="4">
        <v>519.14</v>
      </c>
      <c r="O2284" s="4">
        <v>152.07</v>
      </c>
      <c r="P2284" s="4">
        <v>10.82</v>
      </c>
      <c r="Q2284" s="4">
        <v>7.79</v>
      </c>
      <c r="R2284" s="4">
        <v>10.07</v>
      </c>
      <c r="S2284" s="4">
        <v>0</v>
      </c>
      <c r="T2284" s="4">
        <v>0</v>
      </c>
      <c r="U2284" s="4">
        <v>180.75</v>
      </c>
      <c r="V2284" s="4">
        <v>338.39</v>
      </c>
      <c r="W2284" t="s">
        <v>21</v>
      </c>
      <c r="X2284" t="s">
        <v>36</v>
      </c>
      <c r="Y2284" s="4">
        <v>3</v>
      </c>
      <c r="Z2284" s="4">
        <v>8</v>
      </c>
      <c r="AA2284" t="s">
        <v>37</v>
      </c>
      <c r="AB2284" t="s">
        <v>38</v>
      </c>
      <c r="AC2284" s="7">
        <v>0</v>
      </c>
      <c r="AD2284" t="s">
        <v>39</v>
      </c>
      <c r="AE2284">
        <f t="shared" si="35"/>
        <v>0</v>
      </c>
    </row>
    <row r="2285" spans="1:31" x14ac:dyDescent="0.35">
      <c r="A2285">
        <v>102284</v>
      </c>
      <c r="B2285" s="3">
        <v>45957</v>
      </c>
      <c r="C2285">
        <v>1123</v>
      </c>
      <c r="D2285" t="s">
        <v>59</v>
      </c>
      <c r="E2285" t="s">
        <v>73</v>
      </c>
      <c r="F2285" t="s">
        <v>49</v>
      </c>
      <c r="G2285" t="s">
        <v>63</v>
      </c>
      <c r="H2285" t="s">
        <v>34</v>
      </c>
      <c r="I2285" t="s">
        <v>54</v>
      </c>
      <c r="J2285" s="4">
        <v>29.69</v>
      </c>
      <c r="K2285" s="4">
        <v>13.73</v>
      </c>
      <c r="L2285">
        <v>5</v>
      </c>
      <c r="M2285" s="4">
        <v>20.38</v>
      </c>
      <c r="N2285" s="4">
        <v>387.26</v>
      </c>
      <c r="O2285" s="4">
        <v>225.51</v>
      </c>
      <c r="P2285" s="4">
        <v>8.91</v>
      </c>
      <c r="Q2285" s="4">
        <v>4.8899999999999997</v>
      </c>
      <c r="R2285" s="4">
        <v>5.44</v>
      </c>
      <c r="S2285" s="4">
        <v>0</v>
      </c>
      <c r="T2285" s="4">
        <v>0</v>
      </c>
      <c r="U2285" s="4">
        <v>244.75</v>
      </c>
      <c r="V2285" s="4">
        <v>142.51</v>
      </c>
      <c r="W2285" t="s">
        <v>21</v>
      </c>
      <c r="X2285" t="s">
        <v>36</v>
      </c>
      <c r="Y2285" s="4">
        <v>16</v>
      </c>
      <c r="Z2285" s="4">
        <v>3</v>
      </c>
      <c r="AA2285" t="s">
        <v>52</v>
      </c>
      <c r="AB2285" t="s">
        <v>38</v>
      </c>
      <c r="AC2285" s="7">
        <v>0</v>
      </c>
      <c r="AD2285" t="s">
        <v>39</v>
      </c>
      <c r="AE2285">
        <f t="shared" si="35"/>
        <v>0</v>
      </c>
    </row>
    <row r="2286" spans="1:31" x14ac:dyDescent="0.35">
      <c r="A2286">
        <v>102285</v>
      </c>
      <c r="B2286" s="3">
        <v>45984</v>
      </c>
      <c r="C2286">
        <v>1092</v>
      </c>
      <c r="D2286" t="s">
        <v>47</v>
      </c>
      <c r="E2286" t="s">
        <v>74</v>
      </c>
      <c r="F2286" t="s">
        <v>41</v>
      </c>
      <c r="G2286" t="s">
        <v>63</v>
      </c>
      <c r="H2286" t="s">
        <v>34</v>
      </c>
      <c r="I2286" t="s">
        <v>35</v>
      </c>
      <c r="J2286" s="4">
        <v>3</v>
      </c>
      <c r="K2286" s="4">
        <v>12.39</v>
      </c>
      <c r="L2286">
        <v>10</v>
      </c>
      <c r="M2286" s="4">
        <v>3.72</v>
      </c>
      <c r="N2286" s="4">
        <v>33.450000000000003</v>
      </c>
      <c r="O2286" s="4">
        <v>23.23</v>
      </c>
      <c r="P2286" s="4">
        <v>8.85</v>
      </c>
      <c r="Q2286" s="4">
        <v>0.26</v>
      </c>
      <c r="R2286" s="4">
        <v>2.25</v>
      </c>
      <c r="S2286" s="4">
        <v>0</v>
      </c>
      <c r="T2286" s="4">
        <v>0</v>
      </c>
      <c r="U2286" s="4">
        <v>34.590000000000003</v>
      </c>
      <c r="V2286" s="4">
        <v>-1.1399999999999999</v>
      </c>
      <c r="W2286" t="s">
        <v>58</v>
      </c>
      <c r="X2286" t="s">
        <v>36</v>
      </c>
      <c r="Y2286" s="4">
        <v>10</v>
      </c>
      <c r="Z2286" s="4">
        <v>5</v>
      </c>
      <c r="AA2286" t="s">
        <v>37</v>
      </c>
      <c r="AB2286" t="s">
        <v>38</v>
      </c>
      <c r="AC2286" s="7">
        <v>0</v>
      </c>
      <c r="AD2286" t="s">
        <v>39</v>
      </c>
      <c r="AE2286">
        <f t="shared" si="35"/>
        <v>0</v>
      </c>
    </row>
    <row r="2287" spans="1:31" x14ac:dyDescent="0.35">
      <c r="A2287">
        <v>102286</v>
      </c>
      <c r="B2287" s="3">
        <v>45949</v>
      </c>
      <c r="C2287">
        <v>1148</v>
      </c>
      <c r="D2287" t="s">
        <v>47</v>
      </c>
      <c r="E2287" t="s">
        <v>74</v>
      </c>
      <c r="F2287" t="s">
        <v>71</v>
      </c>
      <c r="G2287" t="s">
        <v>63</v>
      </c>
      <c r="H2287" t="s">
        <v>34</v>
      </c>
      <c r="I2287" t="s">
        <v>42</v>
      </c>
      <c r="J2287" s="4">
        <v>16.100000000000001</v>
      </c>
      <c r="K2287" s="4">
        <v>14.79</v>
      </c>
      <c r="L2287">
        <v>0</v>
      </c>
      <c r="M2287" s="4">
        <v>0</v>
      </c>
      <c r="N2287" s="4">
        <v>238.12</v>
      </c>
      <c r="O2287" s="4">
        <v>104.88</v>
      </c>
      <c r="P2287" s="4">
        <v>8.49</v>
      </c>
      <c r="Q2287" s="4">
        <v>3.57</v>
      </c>
      <c r="R2287" s="4">
        <v>0</v>
      </c>
      <c r="S2287" s="4">
        <v>0</v>
      </c>
      <c r="T2287" s="4">
        <v>0</v>
      </c>
      <c r="U2287" s="4">
        <v>116.94</v>
      </c>
      <c r="V2287" s="4">
        <v>121.18</v>
      </c>
      <c r="W2287" t="s">
        <v>21</v>
      </c>
      <c r="X2287" t="s">
        <v>36</v>
      </c>
      <c r="Y2287" s="4">
        <v>17</v>
      </c>
      <c r="Z2287" s="4">
        <v>7</v>
      </c>
      <c r="AA2287" t="s">
        <v>52</v>
      </c>
      <c r="AB2287" t="s">
        <v>38</v>
      </c>
      <c r="AC2287" s="7">
        <v>0</v>
      </c>
      <c r="AD2287" t="s">
        <v>39</v>
      </c>
      <c r="AE2287">
        <f t="shared" si="35"/>
        <v>0</v>
      </c>
    </row>
    <row r="2288" spans="1:31" x14ac:dyDescent="0.35">
      <c r="A2288">
        <v>102287</v>
      </c>
      <c r="B2288" s="3">
        <v>45976</v>
      </c>
      <c r="C2288">
        <v>1053</v>
      </c>
      <c r="D2288" t="s">
        <v>47</v>
      </c>
      <c r="E2288" t="s">
        <v>74</v>
      </c>
      <c r="F2288" t="s">
        <v>49</v>
      </c>
      <c r="G2288" t="s">
        <v>33</v>
      </c>
      <c r="H2288" t="s">
        <v>57</v>
      </c>
      <c r="I2288" t="s">
        <v>42</v>
      </c>
      <c r="J2288" s="4">
        <v>24.46</v>
      </c>
      <c r="K2288" s="4">
        <v>18.309999999999999</v>
      </c>
      <c r="L2288">
        <v>0</v>
      </c>
      <c r="M2288" s="4">
        <v>0</v>
      </c>
      <c r="N2288" s="4">
        <v>447.86</v>
      </c>
      <c r="O2288" s="4">
        <v>202.82</v>
      </c>
      <c r="P2288" s="4">
        <v>9.27</v>
      </c>
      <c r="Q2288" s="4">
        <v>6.72</v>
      </c>
      <c r="R2288" s="4">
        <v>3.31</v>
      </c>
      <c r="S2288" s="4">
        <v>0</v>
      </c>
      <c r="T2288" s="4">
        <v>0</v>
      </c>
      <c r="U2288" s="4">
        <v>222.12</v>
      </c>
      <c r="V2288" s="4">
        <v>225.74</v>
      </c>
      <c r="W2288" t="s">
        <v>21</v>
      </c>
      <c r="X2288" t="s">
        <v>36</v>
      </c>
      <c r="Y2288" s="4">
        <v>21</v>
      </c>
      <c r="Z2288" s="4">
        <v>15</v>
      </c>
      <c r="AA2288" t="s">
        <v>52</v>
      </c>
      <c r="AB2288" t="s">
        <v>44</v>
      </c>
      <c r="AC2288" s="7">
        <v>1</v>
      </c>
      <c r="AD2288" t="s">
        <v>45</v>
      </c>
      <c r="AE2288">
        <f t="shared" si="35"/>
        <v>1</v>
      </c>
    </row>
    <row r="2289" spans="1:31" x14ac:dyDescent="0.35">
      <c r="A2289">
        <v>102288</v>
      </c>
      <c r="B2289" s="3">
        <v>45981</v>
      </c>
      <c r="C2289">
        <v>1014</v>
      </c>
      <c r="D2289" t="s">
        <v>47</v>
      </c>
      <c r="E2289" t="s">
        <v>74</v>
      </c>
      <c r="F2289" t="s">
        <v>32</v>
      </c>
      <c r="G2289" t="s">
        <v>63</v>
      </c>
      <c r="H2289" t="s">
        <v>34</v>
      </c>
      <c r="I2289" t="s">
        <v>42</v>
      </c>
      <c r="J2289" s="4">
        <v>13.44</v>
      </c>
      <c r="K2289" s="4">
        <v>13.1</v>
      </c>
      <c r="L2289">
        <v>10</v>
      </c>
      <c r="M2289" s="4">
        <v>17.61</v>
      </c>
      <c r="N2289" s="4">
        <v>158.44999999999999</v>
      </c>
      <c r="O2289" s="4">
        <v>83.72</v>
      </c>
      <c r="P2289" s="4">
        <v>10.07</v>
      </c>
      <c r="Q2289" s="4">
        <v>2.64</v>
      </c>
      <c r="R2289" s="4">
        <v>4.37</v>
      </c>
      <c r="S2289" s="4">
        <v>0</v>
      </c>
      <c r="T2289" s="4">
        <v>0</v>
      </c>
      <c r="U2289" s="4">
        <v>100.8</v>
      </c>
      <c r="V2289" s="4">
        <v>57.65</v>
      </c>
      <c r="W2289" t="s">
        <v>21</v>
      </c>
      <c r="X2289" t="s">
        <v>36</v>
      </c>
      <c r="Y2289" s="4">
        <v>25</v>
      </c>
      <c r="Z2289" s="4">
        <v>7</v>
      </c>
      <c r="AA2289" t="s">
        <v>52</v>
      </c>
      <c r="AB2289" t="s">
        <v>44</v>
      </c>
      <c r="AC2289" s="7">
        <v>2</v>
      </c>
      <c r="AD2289" t="s">
        <v>45</v>
      </c>
      <c r="AE2289">
        <f t="shared" si="35"/>
        <v>1</v>
      </c>
    </row>
    <row r="2290" spans="1:31" x14ac:dyDescent="0.35">
      <c r="A2290">
        <v>102289</v>
      </c>
      <c r="B2290" s="3">
        <v>45940</v>
      </c>
      <c r="C2290">
        <v>1054</v>
      </c>
      <c r="D2290" t="s">
        <v>47</v>
      </c>
      <c r="E2290" t="s">
        <v>56</v>
      </c>
      <c r="F2290" t="s">
        <v>61</v>
      </c>
      <c r="G2290" t="s">
        <v>50</v>
      </c>
      <c r="H2290" t="s">
        <v>34</v>
      </c>
      <c r="I2290" t="s">
        <v>42</v>
      </c>
      <c r="J2290" s="4">
        <v>28.36</v>
      </c>
      <c r="K2290" s="4">
        <v>17.25</v>
      </c>
      <c r="L2290">
        <v>5</v>
      </c>
      <c r="M2290" s="4">
        <v>24.46</v>
      </c>
      <c r="N2290" s="4">
        <v>464.75</v>
      </c>
      <c r="O2290" s="4">
        <v>181.64</v>
      </c>
      <c r="P2290" s="4">
        <v>10.27</v>
      </c>
      <c r="Q2290" s="4">
        <v>7.34</v>
      </c>
      <c r="R2290" s="4">
        <v>5.61</v>
      </c>
      <c r="S2290" s="4">
        <v>0</v>
      </c>
      <c r="T2290" s="4">
        <v>0</v>
      </c>
      <c r="U2290" s="4">
        <v>204.86</v>
      </c>
      <c r="V2290" s="4">
        <v>259.89</v>
      </c>
      <c r="W2290" t="s">
        <v>21</v>
      </c>
      <c r="X2290" t="s">
        <v>36</v>
      </c>
      <c r="Y2290" s="4">
        <v>0</v>
      </c>
      <c r="Z2290" s="4">
        <v>0</v>
      </c>
      <c r="AA2290" t="s">
        <v>37</v>
      </c>
      <c r="AB2290" t="s">
        <v>38</v>
      </c>
      <c r="AC2290" s="7">
        <v>0</v>
      </c>
      <c r="AD2290" t="s">
        <v>39</v>
      </c>
      <c r="AE2290">
        <f t="shared" si="35"/>
        <v>0</v>
      </c>
    </row>
    <row r="2291" spans="1:31" x14ac:dyDescent="0.35">
      <c r="A2291">
        <v>102290</v>
      </c>
      <c r="B2291" s="3">
        <v>45966</v>
      </c>
      <c r="C2291">
        <v>1129</v>
      </c>
      <c r="D2291" t="s">
        <v>30</v>
      </c>
      <c r="E2291" t="s">
        <v>72</v>
      </c>
      <c r="F2291" t="s">
        <v>32</v>
      </c>
      <c r="G2291" t="s">
        <v>46</v>
      </c>
      <c r="H2291" t="s">
        <v>57</v>
      </c>
      <c r="I2291" t="s">
        <v>35</v>
      </c>
      <c r="J2291" s="4">
        <v>15.04</v>
      </c>
      <c r="K2291" s="4">
        <v>15.21</v>
      </c>
      <c r="L2291">
        <v>0</v>
      </c>
      <c r="M2291" s="4">
        <v>0</v>
      </c>
      <c r="N2291" s="4">
        <v>228.76</v>
      </c>
      <c r="O2291" s="4">
        <v>77.64</v>
      </c>
      <c r="P2291" s="4">
        <v>9.11</v>
      </c>
      <c r="Q2291" s="4">
        <v>1.6</v>
      </c>
      <c r="R2291" s="4">
        <v>2.63</v>
      </c>
      <c r="S2291" s="4">
        <v>0</v>
      </c>
      <c r="T2291" s="4">
        <v>0</v>
      </c>
      <c r="U2291" s="4">
        <v>90.98</v>
      </c>
      <c r="V2291" s="4">
        <v>137.78</v>
      </c>
      <c r="W2291" t="s">
        <v>21</v>
      </c>
      <c r="X2291" t="s">
        <v>36</v>
      </c>
      <c r="Y2291" s="4">
        <v>9</v>
      </c>
      <c r="Z2291" s="4">
        <v>11</v>
      </c>
      <c r="AA2291" t="s">
        <v>37</v>
      </c>
      <c r="AB2291" t="s">
        <v>38</v>
      </c>
      <c r="AC2291" s="7">
        <v>0</v>
      </c>
      <c r="AD2291" t="s">
        <v>39</v>
      </c>
      <c r="AE2291">
        <f t="shared" si="35"/>
        <v>0</v>
      </c>
    </row>
    <row r="2292" spans="1:31" x14ac:dyDescent="0.35">
      <c r="A2292">
        <v>102291</v>
      </c>
      <c r="B2292" s="3">
        <v>45972</v>
      </c>
      <c r="C2292">
        <v>1140</v>
      </c>
      <c r="D2292" t="s">
        <v>47</v>
      </c>
      <c r="E2292" t="s">
        <v>48</v>
      </c>
      <c r="F2292" t="s">
        <v>41</v>
      </c>
      <c r="G2292" t="s">
        <v>63</v>
      </c>
      <c r="H2292" t="s">
        <v>51</v>
      </c>
      <c r="I2292" t="s">
        <v>35</v>
      </c>
      <c r="J2292" s="4">
        <v>11.78</v>
      </c>
      <c r="K2292" s="4">
        <v>12.06</v>
      </c>
      <c r="L2292">
        <v>0</v>
      </c>
      <c r="M2292" s="4">
        <v>0</v>
      </c>
      <c r="N2292" s="4">
        <v>142.07</v>
      </c>
      <c r="O2292" s="4">
        <v>79.8</v>
      </c>
      <c r="P2292" s="4">
        <v>12.35</v>
      </c>
      <c r="Q2292" s="4">
        <v>0.99</v>
      </c>
      <c r="R2292" s="4">
        <v>9.3000000000000007</v>
      </c>
      <c r="S2292" s="4">
        <v>57.17</v>
      </c>
      <c r="T2292" s="4">
        <v>18.850000000000001</v>
      </c>
      <c r="U2292" s="4">
        <v>178.46</v>
      </c>
      <c r="V2292" s="4">
        <v>-36.39</v>
      </c>
      <c r="W2292" t="s">
        <v>58</v>
      </c>
      <c r="X2292" t="s">
        <v>66</v>
      </c>
      <c r="Y2292" s="4">
        <v>12</v>
      </c>
      <c r="Z2292" s="4">
        <v>4</v>
      </c>
      <c r="AA2292" t="s">
        <v>37</v>
      </c>
      <c r="AB2292" t="s">
        <v>38</v>
      </c>
      <c r="AC2292" s="7">
        <v>1</v>
      </c>
      <c r="AD2292" t="s">
        <v>45</v>
      </c>
      <c r="AE2292">
        <f t="shared" si="35"/>
        <v>0</v>
      </c>
    </row>
    <row r="2293" spans="1:31" x14ac:dyDescent="0.35">
      <c r="A2293">
        <v>102292</v>
      </c>
      <c r="B2293" s="3">
        <v>45949</v>
      </c>
      <c r="C2293">
        <v>1142</v>
      </c>
      <c r="D2293" t="s">
        <v>59</v>
      </c>
      <c r="E2293" t="s">
        <v>70</v>
      </c>
      <c r="F2293" t="s">
        <v>49</v>
      </c>
      <c r="G2293" t="s">
        <v>63</v>
      </c>
      <c r="H2293" t="s">
        <v>34</v>
      </c>
      <c r="I2293" t="s">
        <v>35</v>
      </c>
      <c r="J2293" s="4">
        <v>21.74</v>
      </c>
      <c r="K2293" s="4">
        <v>12.73</v>
      </c>
      <c r="L2293">
        <v>0</v>
      </c>
      <c r="M2293" s="4">
        <v>0</v>
      </c>
      <c r="N2293" s="4">
        <v>276.75</v>
      </c>
      <c r="O2293" s="4">
        <v>133.94</v>
      </c>
      <c r="P2293" s="4">
        <v>7.24</v>
      </c>
      <c r="Q2293" s="4">
        <v>1.94</v>
      </c>
      <c r="R2293" s="4">
        <v>3.67</v>
      </c>
      <c r="S2293" s="4">
        <v>0</v>
      </c>
      <c r="T2293" s="4">
        <v>0</v>
      </c>
      <c r="U2293" s="4">
        <v>146.79</v>
      </c>
      <c r="V2293" s="4">
        <v>129.96</v>
      </c>
      <c r="W2293" t="s">
        <v>21</v>
      </c>
      <c r="X2293" t="s">
        <v>36</v>
      </c>
      <c r="Y2293" s="4">
        <v>23</v>
      </c>
      <c r="Z2293" s="4">
        <v>0</v>
      </c>
      <c r="AA2293" t="s">
        <v>52</v>
      </c>
      <c r="AB2293" t="s">
        <v>44</v>
      </c>
      <c r="AC2293" s="7">
        <v>2</v>
      </c>
      <c r="AD2293" t="s">
        <v>45</v>
      </c>
      <c r="AE2293">
        <f t="shared" si="35"/>
        <v>1</v>
      </c>
    </row>
    <row r="2294" spans="1:31" x14ac:dyDescent="0.35">
      <c r="A2294">
        <v>102293</v>
      </c>
      <c r="B2294" s="3">
        <v>45978</v>
      </c>
      <c r="C2294">
        <v>1066</v>
      </c>
      <c r="D2294" t="s">
        <v>47</v>
      </c>
      <c r="E2294" t="s">
        <v>56</v>
      </c>
      <c r="F2294" t="s">
        <v>61</v>
      </c>
      <c r="G2294" t="s">
        <v>46</v>
      </c>
      <c r="H2294" t="s">
        <v>34</v>
      </c>
      <c r="I2294" t="s">
        <v>35</v>
      </c>
      <c r="J2294" s="4">
        <v>28.58</v>
      </c>
      <c r="K2294" s="4">
        <v>16.260000000000002</v>
      </c>
      <c r="L2294">
        <v>0</v>
      </c>
      <c r="M2294" s="4">
        <v>0</v>
      </c>
      <c r="N2294" s="4">
        <v>464.71</v>
      </c>
      <c r="O2294" s="4">
        <v>204.82</v>
      </c>
      <c r="P2294" s="4">
        <v>4.75</v>
      </c>
      <c r="Q2294" s="4">
        <v>3.25</v>
      </c>
      <c r="R2294" s="4">
        <v>2.95</v>
      </c>
      <c r="S2294" s="4">
        <v>0</v>
      </c>
      <c r="T2294" s="4">
        <v>0</v>
      </c>
      <c r="U2294" s="4">
        <v>215.77</v>
      </c>
      <c r="V2294" s="4">
        <v>248.94</v>
      </c>
      <c r="W2294" t="s">
        <v>21</v>
      </c>
      <c r="X2294" t="s">
        <v>36</v>
      </c>
      <c r="Y2294" s="4">
        <v>25</v>
      </c>
      <c r="Z2294" s="4">
        <v>20</v>
      </c>
      <c r="AA2294" t="s">
        <v>52</v>
      </c>
      <c r="AB2294" t="s">
        <v>44</v>
      </c>
      <c r="AC2294" s="7">
        <v>2</v>
      </c>
      <c r="AD2294" t="s">
        <v>45</v>
      </c>
      <c r="AE2294">
        <f t="shared" si="35"/>
        <v>1</v>
      </c>
    </row>
    <row r="2295" spans="1:31" x14ac:dyDescent="0.35">
      <c r="A2295">
        <v>102294</v>
      </c>
      <c r="B2295" s="3">
        <v>46006</v>
      </c>
      <c r="C2295">
        <v>1113</v>
      </c>
      <c r="D2295" t="s">
        <v>59</v>
      </c>
      <c r="E2295" t="s">
        <v>73</v>
      </c>
      <c r="F2295" t="s">
        <v>61</v>
      </c>
      <c r="G2295" t="s">
        <v>63</v>
      </c>
      <c r="H2295" t="s">
        <v>57</v>
      </c>
      <c r="I2295" t="s">
        <v>35</v>
      </c>
      <c r="J2295" s="4">
        <v>12.05</v>
      </c>
      <c r="K2295" s="4">
        <v>11.89</v>
      </c>
      <c r="L2295">
        <v>20</v>
      </c>
      <c r="M2295" s="4">
        <v>28.65</v>
      </c>
      <c r="N2295" s="4">
        <v>114.62</v>
      </c>
      <c r="O2295" s="4">
        <v>88.69</v>
      </c>
      <c r="P2295" s="4">
        <v>7.67</v>
      </c>
      <c r="Q2295" s="4">
        <v>1</v>
      </c>
      <c r="R2295" s="4">
        <v>3.21</v>
      </c>
      <c r="S2295" s="4">
        <v>0</v>
      </c>
      <c r="T2295" s="4">
        <v>0</v>
      </c>
      <c r="U2295" s="4">
        <v>100.57</v>
      </c>
      <c r="V2295" s="4">
        <v>14.05</v>
      </c>
      <c r="W2295" t="s">
        <v>21</v>
      </c>
      <c r="X2295" t="s">
        <v>36</v>
      </c>
      <c r="Y2295" s="4">
        <v>2</v>
      </c>
      <c r="Z2295" s="4">
        <v>16</v>
      </c>
      <c r="AA2295" t="s">
        <v>37</v>
      </c>
      <c r="AB2295" t="s">
        <v>44</v>
      </c>
      <c r="AC2295" s="7">
        <v>3</v>
      </c>
      <c r="AD2295" t="s">
        <v>45</v>
      </c>
      <c r="AE2295">
        <f t="shared" si="35"/>
        <v>1</v>
      </c>
    </row>
    <row r="2296" spans="1:31" x14ac:dyDescent="0.35">
      <c r="A2296">
        <v>102295</v>
      </c>
      <c r="B2296" s="3">
        <v>45947</v>
      </c>
      <c r="C2296">
        <v>1011</v>
      </c>
      <c r="D2296" t="s">
        <v>64</v>
      </c>
      <c r="E2296" t="s">
        <v>76</v>
      </c>
      <c r="F2296" t="s">
        <v>71</v>
      </c>
      <c r="G2296" t="s">
        <v>33</v>
      </c>
      <c r="H2296" t="s">
        <v>57</v>
      </c>
      <c r="I2296" t="s">
        <v>69</v>
      </c>
      <c r="J2296" s="4">
        <v>27.64</v>
      </c>
      <c r="K2296" s="4">
        <v>17.75</v>
      </c>
      <c r="L2296">
        <v>0</v>
      </c>
      <c r="M2296" s="4">
        <v>0</v>
      </c>
      <c r="N2296" s="4">
        <v>490.61</v>
      </c>
      <c r="O2296" s="4">
        <v>181.59</v>
      </c>
      <c r="P2296" s="4">
        <v>9.27</v>
      </c>
      <c r="Q2296" s="4">
        <v>1.96</v>
      </c>
      <c r="R2296" s="4">
        <v>9.0399999999999991</v>
      </c>
      <c r="S2296" s="4">
        <v>0</v>
      </c>
      <c r="T2296" s="4">
        <v>0</v>
      </c>
      <c r="U2296" s="4">
        <v>201.86</v>
      </c>
      <c r="V2296" s="4">
        <v>288.75</v>
      </c>
      <c r="W2296" t="s">
        <v>21</v>
      </c>
      <c r="X2296" t="s">
        <v>36</v>
      </c>
      <c r="Y2296" s="4">
        <v>8</v>
      </c>
      <c r="Z2296" s="4">
        <v>23</v>
      </c>
      <c r="AA2296" t="s">
        <v>37</v>
      </c>
      <c r="AB2296" t="s">
        <v>44</v>
      </c>
      <c r="AC2296" s="7">
        <v>3</v>
      </c>
      <c r="AD2296" t="s">
        <v>45</v>
      </c>
      <c r="AE2296">
        <f t="shared" si="35"/>
        <v>1</v>
      </c>
    </row>
    <row r="2297" spans="1:31" x14ac:dyDescent="0.35">
      <c r="A2297">
        <v>102296</v>
      </c>
      <c r="B2297" s="3">
        <v>45938</v>
      </c>
      <c r="C2297">
        <v>1068</v>
      </c>
      <c r="D2297" t="s">
        <v>47</v>
      </c>
      <c r="E2297" t="s">
        <v>74</v>
      </c>
      <c r="F2297" t="s">
        <v>49</v>
      </c>
      <c r="G2297" t="s">
        <v>33</v>
      </c>
      <c r="H2297" t="s">
        <v>34</v>
      </c>
      <c r="I2297" t="s">
        <v>54</v>
      </c>
      <c r="J2297" s="4">
        <v>38.18</v>
      </c>
      <c r="K2297" s="4">
        <v>18.440000000000001</v>
      </c>
      <c r="L2297">
        <v>10</v>
      </c>
      <c r="M2297" s="4">
        <v>70.400000000000006</v>
      </c>
      <c r="N2297" s="4">
        <v>633.64</v>
      </c>
      <c r="O2297" s="4">
        <v>261.56</v>
      </c>
      <c r="P2297" s="4">
        <v>6.26</v>
      </c>
      <c r="Q2297" s="4">
        <v>8.4499999999999993</v>
      </c>
      <c r="R2297" s="4">
        <v>11.64</v>
      </c>
      <c r="S2297" s="4">
        <v>0</v>
      </c>
      <c r="T2297" s="4">
        <v>0</v>
      </c>
      <c r="U2297" s="4">
        <v>287.91000000000003</v>
      </c>
      <c r="V2297" s="4">
        <v>345.73</v>
      </c>
      <c r="W2297" t="s">
        <v>21</v>
      </c>
      <c r="X2297" t="s">
        <v>36</v>
      </c>
      <c r="Y2297" s="4">
        <v>13</v>
      </c>
      <c r="Z2297" s="4">
        <v>1</v>
      </c>
      <c r="AA2297" t="s">
        <v>37</v>
      </c>
      <c r="AB2297" t="s">
        <v>38</v>
      </c>
      <c r="AC2297" s="7">
        <v>0</v>
      </c>
      <c r="AD2297" t="s">
        <v>39</v>
      </c>
      <c r="AE2297">
        <f t="shared" si="35"/>
        <v>0</v>
      </c>
    </row>
    <row r="2298" spans="1:31" x14ac:dyDescent="0.35">
      <c r="A2298">
        <v>102297</v>
      </c>
      <c r="B2298" s="3">
        <v>45936</v>
      </c>
      <c r="C2298">
        <v>1003</v>
      </c>
      <c r="D2298" t="s">
        <v>47</v>
      </c>
      <c r="E2298" t="s">
        <v>48</v>
      </c>
      <c r="F2298" t="s">
        <v>61</v>
      </c>
      <c r="G2298" t="s">
        <v>50</v>
      </c>
      <c r="H2298" t="s">
        <v>57</v>
      </c>
      <c r="I2298" t="s">
        <v>35</v>
      </c>
      <c r="J2298" s="4">
        <v>25.55</v>
      </c>
      <c r="K2298" s="4">
        <v>18.489999999999998</v>
      </c>
      <c r="L2298">
        <v>5</v>
      </c>
      <c r="M2298" s="4">
        <v>23.62</v>
      </c>
      <c r="N2298" s="4">
        <v>448.8</v>
      </c>
      <c r="O2298" s="4">
        <v>183.38</v>
      </c>
      <c r="P2298" s="4">
        <v>2.82</v>
      </c>
      <c r="Q2298" s="4">
        <v>3.31</v>
      </c>
      <c r="R2298" s="4">
        <v>12.58</v>
      </c>
      <c r="S2298" s="4">
        <v>0</v>
      </c>
      <c r="T2298" s="4">
        <v>0</v>
      </c>
      <c r="U2298" s="4">
        <v>202.09</v>
      </c>
      <c r="V2298" s="4">
        <v>246.71</v>
      </c>
      <c r="W2298" t="s">
        <v>21</v>
      </c>
      <c r="X2298" t="s">
        <v>36</v>
      </c>
      <c r="Y2298" s="4">
        <v>39</v>
      </c>
      <c r="Z2298" s="4">
        <v>1</v>
      </c>
      <c r="AA2298" t="s">
        <v>43</v>
      </c>
      <c r="AB2298" t="s">
        <v>44</v>
      </c>
      <c r="AC2298" s="7">
        <v>3</v>
      </c>
      <c r="AD2298" t="s">
        <v>45</v>
      </c>
      <c r="AE2298">
        <f t="shared" si="35"/>
        <v>1</v>
      </c>
    </row>
    <row r="2299" spans="1:31" x14ac:dyDescent="0.35">
      <c r="A2299">
        <v>102298</v>
      </c>
      <c r="B2299" s="3">
        <v>45998</v>
      </c>
      <c r="C2299">
        <v>1009</v>
      </c>
      <c r="D2299" t="s">
        <v>47</v>
      </c>
      <c r="E2299" t="s">
        <v>74</v>
      </c>
      <c r="F2299" t="s">
        <v>49</v>
      </c>
      <c r="G2299" t="s">
        <v>33</v>
      </c>
      <c r="H2299" t="s">
        <v>34</v>
      </c>
      <c r="I2299" t="s">
        <v>54</v>
      </c>
      <c r="J2299" s="4">
        <v>33.67</v>
      </c>
      <c r="K2299" s="4">
        <v>18.989999999999998</v>
      </c>
      <c r="L2299">
        <v>10</v>
      </c>
      <c r="M2299" s="4">
        <v>63.94</v>
      </c>
      <c r="N2299" s="4">
        <v>575.45000000000005</v>
      </c>
      <c r="O2299" s="4">
        <v>270.2</v>
      </c>
      <c r="P2299" s="4">
        <v>10.84</v>
      </c>
      <c r="Q2299" s="4">
        <v>7.67</v>
      </c>
      <c r="R2299" s="4">
        <v>6.25</v>
      </c>
      <c r="S2299" s="4">
        <v>0</v>
      </c>
      <c r="T2299" s="4">
        <v>0</v>
      </c>
      <c r="U2299" s="4">
        <v>294.95999999999998</v>
      </c>
      <c r="V2299" s="4">
        <v>280.49</v>
      </c>
      <c r="W2299" t="s">
        <v>21</v>
      </c>
      <c r="X2299" t="s">
        <v>36</v>
      </c>
      <c r="Y2299" s="4">
        <v>3</v>
      </c>
      <c r="Z2299" s="4">
        <v>15</v>
      </c>
      <c r="AA2299" t="s">
        <v>37</v>
      </c>
      <c r="AB2299" t="s">
        <v>38</v>
      </c>
      <c r="AC2299" s="7">
        <v>0</v>
      </c>
      <c r="AD2299" t="s">
        <v>39</v>
      </c>
      <c r="AE2299">
        <f t="shared" si="35"/>
        <v>0</v>
      </c>
    </row>
    <row r="2300" spans="1:31" x14ac:dyDescent="0.35">
      <c r="A2300">
        <v>102299</v>
      </c>
      <c r="B2300" s="3">
        <v>45938</v>
      </c>
      <c r="C2300">
        <v>1106</v>
      </c>
      <c r="D2300" t="s">
        <v>30</v>
      </c>
      <c r="E2300" t="s">
        <v>31</v>
      </c>
      <c r="F2300" t="s">
        <v>41</v>
      </c>
      <c r="G2300" t="s">
        <v>50</v>
      </c>
      <c r="H2300" t="s">
        <v>34</v>
      </c>
      <c r="I2300" t="s">
        <v>69</v>
      </c>
      <c r="J2300" s="4">
        <v>35.75</v>
      </c>
      <c r="K2300" s="4">
        <v>18.25</v>
      </c>
      <c r="L2300">
        <v>10</v>
      </c>
      <c r="M2300" s="4">
        <v>65.239999999999995</v>
      </c>
      <c r="N2300" s="4">
        <v>587.20000000000005</v>
      </c>
      <c r="O2300" s="4">
        <v>294.97000000000003</v>
      </c>
      <c r="P2300" s="4">
        <v>6.45</v>
      </c>
      <c r="Q2300" s="4">
        <v>2.61</v>
      </c>
      <c r="R2300" s="4">
        <v>0.8</v>
      </c>
      <c r="S2300" s="4">
        <v>0</v>
      </c>
      <c r="T2300" s="4">
        <v>0</v>
      </c>
      <c r="U2300" s="4">
        <v>304.83</v>
      </c>
      <c r="V2300" s="4">
        <v>282.37</v>
      </c>
      <c r="W2300" t="s">
        <v>21</v>
      </c>
      <c r="X2300" t="s">
        <v>36</v>
      </c>
      <c r="Y2300" s="4">
        <v>9</v>
      </c>
      <c r="Z2300" s="4">
        <v>0</v>
      </c>
      <c r="AA2300" t="s">
        <v>37</v>
      </c>
      <c r="AB2300" t="s">
        <v>38</v>
      </c>
      <c r="AC2300" s="7">
        <v>0</v>
      </c>
      <c r="AD2300" t="s">
        <v>39</v>
      </c>
      <c r="AE2300">
        <f t="shared" si="35"/>
        <v>0</v>
      </c>
    </row>
    <row r="2301" spans="1:31" x14ac:dyDescent="0.35">
      <c r="A2301">
        <v>102300</v>
      </c>
      <c r="B2301" s="3">
        <v>45945</v>
      </c>
      <c r="C2301">
        <v>1144</v>
      </c>
      <c r="D2301" t="s">
        <v>59</v>
      </c>
      <c r="E2301" t="s">
        <v>70</v>
      </c>
      <c r="F2301" t="s">
        <v>49</v>
      </c>
      <c r="G2301" t="s">
        <v>33</v>
      </c>
      <c r="H2301" t="s">
        <v>34</v>
      </c>
      <c r="I2301" t="s">
        <v>42</v>
      </c>
      <c r="J2301" s="4">
        <v>37.74</v>
      </c>
      <c r="K2301" s="4">
        <v>18.29</v>
      </c>
      <c r="L2301">
        <v>5</v>
      </c>
      <c r="M2301" s="4">
        <v>34.51</v>
      </c>
      <c r="N2301" s="4">
        <v>655.75</v>
      </c>
      <c r="O2301" s="4">
        <v>310.42</v>
      </c>
      <c r="P2301" s="4">
        <v>9.93</v>
      </c>
      <c r="Q2301" s="4">
        <v>10.35</v>
      </c>
      <c r="R2301" s="4">
        <v>4.1900000000000004</v>
      </c>
      <c r="S2301" s="4">
        <v>0</v>
      </c>
      <c r="T2301" s="4">
        <v>0</v>
      </c>
      <c r="U2301" s="4">
        <v>334.89</v>
      </c>
      <c r="V2301" s="4">
        <v>320.86</v>
      </c>
      <c r="W2301" t="s">
        <v>21</v>
      </c>
      <c r="X2301" t="s">
        <v>36</v>
      </c>
      <c r="Y2301" s="4">
        <v>1</v>
      </c>
      <c r="Z2301" s="4">
        <v>25</v>
      </c>
      <c r="AA2301" t="s">
        <v>37</v>
      </c>
      <c r="AB2301" t="s">
        <v>44</v>
      </c>
      <c r="AC2301" s="7">
        <v>1</v>
      </c>
      <c r="AD2301" t="s">
        <v>45</v>
      </c>
      <c r="AE2301">
        <f t="shared" si="35"/>
        <v>1</v>
      </c>
    </row>
    <row r="2302" spans="1:31" x14ac:dyDescent="0.35">
      <c r="A2302">
        <v>102301</v>
      </c>
      <c r="B2302" s="3">
        <v>45946</v>
      </c>
      <c r="C2302">
        <v>1100</v>
      </c>
      <c r="D2302" t="s">
        <v>59</v>
      </c>
      <c r="E2302" t="s">
        <v>68</v>
      </c>
      <c r="F2302" t="s">
        <v>49</v>
      </c>
      <c r="G2302" t="s">
        <v>63</v>
      </c>
      <c r="H2302" t="s">
        <v>57</v>
      </c>
      <c r="I2302" t="s">
        <v>35</v>
      </c>
      <c r="J2302" s="4">
        <v>24.3</v>
      </c>
      <c r="K2302" s="4">
        <v>12.92</v>
      </c>
      <c r="L2302">
        <v>5</v>
      </c>
      <c r="M2302" s="4">
        <v>15.7</v>
      </c>
      <c r="N2302" s="4">
        <v>298.26</v>
      </c>
      <c r="O2302" s="4">
        <v>190.63</v>
      </c>
      <c r="P2302" s="4">
        <v>5.65</v>
      </c>
      <c r="Q2302" s="4">
        <v>2.2000000000000002</v>
      </c>
      <c r="R2302" s="4">
        <v>3.64</v>
      </c>
      <c r="S2302" s="4">
        <v>0</v>
      </c>
      <c r="T2302" s="4">
        <v>0</v>
      </c>
      <c r="U2302" s="4">
        <v>202.12</v>
      </c>
      <c r="V2302" s="4">
        <v>96.14</v>
      </c>
      <c r="W2302" t="s">
        <v>21</v>
      </c>
      <c r="X2302" t="s">
        <v>36</v>
      </c>
      <c r="Y2302" s="4">
        <v>13</v>
      </c>
      <c r="Z2302" s="4">
        <v>3</v>
      </c>
      <c r="AA2302" t="s">
        <v>37</v>
      </c>
      <c r="AB2302" t="s">
        <v>38</v>
      </c>
      <c r="AC2302" s="7">
        <v>1</v>
      </c>
      <c r="AD2302" t="s">
        <v>39</v>
      </c>
      <c r="AE2302">
        <f t="shared" si="35"/>
        <v>0</v>
      </c>
    </row>
    <row r="2303" spans="1:31" x14ac:dyDescent="0.35">
      <c r="A2303">
        <v>102302</v>
      </c>
      <c r="B2303" s="3">
        <v>45931</v>
      </c>
      <c r="C2303">
        <v>1002</v>
      </c>
      <c r="D2303" t="s">
        <v>47</v>
      </c>
      <c r="E2303" t="s">
        <v>48</v>
      </c>
      <c r="F2303" t="s">
        <v>61</v>
      </c>
      <c r="G2303" t="s">
        <v>63</v>
      </c>
      <c r="H2303" t="s">
        <v>51</v>
      </c>
      <c r="I2303" t="s">
        <v>54</v>
      </c>
      <c r="J2303" s="4">
        <v>30.86</v>
      </c>
      <c r="K2303" s="4">
        <v>12.55</v>
      </c>
      <c r="L2303">
        <v>5</v>
      </c>
      <c r="M2303" s="4">
        <v>19.36</v>
      </c>
      <c r="N2303" s="4">
        <v>367.93</v>
      </c>
      <c r="O2303" s="4">
        <v>211.81</v>
      </c>
      <c r="P2303" s="4">
        <v>1</v>
      </c>
      <c r="Q2303" s="4">
        <v>4.6500000000000004</v>
      </c>
      <c r="R2303" s="4">
        <v>7.1</v>
      </c>
      <c r="S2303" s="4">
        <v>0</v>
      </c>
      <c r="T2303" s="4">
        <v>0</v>
      </c>
      <c r="U2303" s="4">
        <v>224.56</v>
      </c>
      <c r="V2303" s="4">
        <v>143.37</v>
      </c>
      <c r="W2303" t="s">
        <v>21</v>
      </c>
      <c r="X2303" t="s">
        <v>36</v>
      </c>
      <c r="Y2303" s="4">
        <v>1</v>
      </c>
      <c r="Z2303" s="4">
        <v>12</v>
      </c>
      <c r="AA2303" t="s">
        <v>37</v>
      </c>
      <c r="AB2303" t="s">
        <v>38</v>
      </c>
      <c r="AC2303" s="7">
        <v>0</v>
      </c>
      <c r="AD2303" t="s">
        <v>39</v>
      </c>
      <c r="AE2303">
        <f t="shared" si="35"/>
        <v>0</v>
      </c>
    </row>
    <row r="2304" spans="1:31" x14ac:dyDescent="0.35">
      <c r="A2304">
        <v>102303</v>
      </c>
      <c r="B2304" s="3">
        <v>45936</v>
      </c>
      <c r="C2304">
        <v>1003</v>
      </c>
      <c r="D2304" t="s">
        <v>47</v>
      </c>
      <c r="E2304" t="s">
        <v>53</v>
      </c>
      <c r="F2304" t="s">
        <v>32</v>
      </c>
      <c r="G2304" t="s">
        <v>33</v>
      </c>
      <c r="H2304" t="s">
        <v>34</v>
      </c>
      <c r="I2304" t="s">
        <v>35</v>
      </c>
      <c r="J2304" s="4">
        <v>27.92</v>
      </c>
      <c r="K2304" s="4">
        <v>18.829999999999998</v>
      </c>
      <c r="L2304">
        <v>15</v>
      </c>
      <c r="M2304" s="4">
        <v>78.86</v>
      </c>
      <c r="N2304" s="4">
        <v>446.87</v>
      </c>
      <c r="O2304" s="4">
        <v>200.91</v>
      </c>
      <c r="P2304" s="4">
        <v>10.78</v>
      </c>
      <c r="Q2304" s="4">
        <v>3.68</v>
      </c>
      <c r="R2304" s="4">
        <v>12.47</v>
      </c>
      <c r="S2304" s="4">
        <v>445.22</v>
      </c>
      <c r="T2304" s="4">
        <v>0</v>
      </c>
      <c r="U2304" s="4">
        <v>673.06</v>
      </c>
      <c r="V2304" s="4">
        <v>-226.19</v>
      </c>
      <c r="W2304" t="s">
        <v>58</v>
      </c>
      <c r="X2304" t="s">
        <v>66</v>
      </c>
      <c r="Y2304" s="4">
        <v>1</v>
      </c>
      <c r="Z2304" s="4">
        <v>22</v>
      </c>
      <c r="AA2304" t="s">
        <v>37</v>
      </c>
      <c r="AB2304" t="s">
        <v>44</v>
      </c>
      <c r="AC2304" s="7">
        <v>3</v>
      </c>
      <c r="AD2304" t="s">
        <v>45</v>
      </c>
      <c r="AE2304">
        <f t="shared" si="35"/>
        <v>1</v>
      </c>
    </row>
    <row r="2305" spans="1:31" x14ac:dyDescent="0.35">
      <c r="A2305">
        <v>102304</v>
      </c>
      <c r="B2305" s="3">
        <v>45939</v>
      </c>
      <c r="C2305">
        <v>1089</v>
      </c>
      <c r="D2305" t="s">
        <v>47</v>
      </c>
      <c r="E2305" t="s">
        <v>74</v>
      </c>
      <c r="F2305" t="s">
        <v>49</v>
      </c>
      <c r="G2305" t="s">
        <v>50</v>
      </c>
      <c r="H2305" t="s">
        <v>51</v>
      </c>
      <c r="I2305" t="s">
        <v>35</v>
      </c>
      <c r="J2305" s="4">
        <v>24.57</v>
      </c>
      <c r="K2305" s="4">
        <v>17.28</v>
      </c>
      <c r="L2305">
        <v>0</v>
      </c>
      <c r="M2305" s="4">
        <v>0</v>
      </c>
      <c r="N2305" s="4">
        <v>424.57</v>
      </c>
      <c r="O2305" s="4">
        <v>208.94</v>
      </c>
      <c r="P2305" s="4">
        <v>8.19</v>
      </c>
      <c r="Q2305" s="4">
        <v>2.97</v>
      </c>
      <c r="R2305" s="4">
        <v>2.2799999999999998</v>
      </c>
      <c r="S2305" s="4">
        <v>0</v>
      </c>
      <c r="T2305" s="4">
        <v>0</v>
      </c>
      <c r="U2305" s="4">
        <v>222.38</v>
      </c>
      <c r="V2305" s="4">
        <v>202.19</v>
      </c>
      <c r="W2305" t="s">
        <v>21</v>
      </c>
      <c r="X2305" t="s">
        <v>36</v>
      </c>
      <c r="Y2305" s="4">
        <v>5</v>
      </c>
      <c r="Z2305" s="4">
        <v>25</v>
      </c>
      <c r="AA2305" t="s">
        <v>37</v>
      </c>
      <c r="AB2305" t="s">
        <v>44</v>
      </c>
      <c r="AC2305" s="7">
        <v>1</v>
      </c>
      <c r="AD2305" t="s">
        <v>45</v>
      </c>
      <c r="AE2305">
        <f t="shared" si="35"/>
        <v>1</v>
      </c>
    </row>
    <row r="2306" spans="1:31" x14ac:dyDescent="0.35">
      <c r="A2306">
        <v>102305</v>
      </c>
      <c r="B2306" s="3">
        <v>46003</v>
      </c>
      <c r="C2306">
        <v>1137</v>
      </c>
      <c r="D2306" t="s">
        <v>59</v>
      </c>
      <c r="E2306" t="s">
        <v>70</v>
      </c>
      <c r="F2306" t="s">
        <v>41</v>
      </c>
      <c r="G2306" t="s">
        <v>63</v>
      </c>
      <c r="H2306" t="s">
        <v>57</v>
      </c>
      <c r="I2306" t="s">
        <v>35</v>
      </c>
      <c r="J2306" s="4">
        <v>17.62</v>
      </c>
      <c r="K2306" s="4">
        <v>12.68</v>
      </c>
      <c r="L2306">
        <v>10</v>
      </c>
      <c r="M2306" s="4">
        <v>22.34</v>
      </c>
      <c r="N2306" s="4">
        <v>201.08</v>
      </c>
      <c r="O2306" s="4">
        <v>144.1</v>
      </c>
      <c r="P2306" s="4">
        <v>11.67</v>
      </c>
      <c r="Q2306" s="4">
        <v>1.56</v>
      </c>
      <c r="R2306" s="4">
        <v>4.99</v>
      </c>
      <c r="S2306" s="4">
        <v>0</v>
      </c>
      <c r="T2306" s="4">
        <v>0</v>
      </c>
      <c r="U2306" s="4">
        <v>162.32</v>
      </c>
      <c r="V2306" s="4">
        <v>38.76</v>
      </c>
      <c r="W2306" t="s">
        <v>21</v>
      </c>
      <c r="X2306" t="s">
        <v>36</v>
      </c>
      <c r="Y2306" s="4">
        <v>6</v>
      </c>
      <c r="Z2306" s="4">
        <v>1</v>
      </c>
      <c r="AA2306" t="s">
        <v>37</v>
      </c>
      <c r="AB2306" t="s">
        <v>38</v>
      </c>
      <c r="AC2306" s="7">
        <v>0</v>
      </c>
      <c r="AD2306" t="s">
        <v>39</v>
      </c>
      <c r="AE2306">
        <f t="shared" si="35"/>
        <v>0</v>
      </c>
    </row>
    <row r="2307" spans="1:31" x14ac:dyDescent="0.35">
      <c r="A2307">
        <v>102306</v>
      </c>
      <c r="B2307" s="3">
        <v>45989</v>
      </c>
      <c r="C2307">
        <v>1148</v>
      </c>
      <c r="D2307" t="s">
        <v>64</v>
      </c>
      <c r="E2307" t="s">
        <v>76</v>
      </c>
      <c r="F2307" t="s">
        <v>61</v>
      </c>
      <c r="G2307" t="s">
        <v>46</v>
      </c>
      <c r="H2307" t="s">
        <v>51</v>
      </c>
      <c r="I2307" t="s">
        <v>35</v>
      </c>
      <c r="J2307" s="4">
        <v>37.770000000000003</v>
      </c>
      <c r="K2307" s="4">
        <v>15.5</v>
      </c>
      <c r="L2307">
        <v>10</v>
      </c>
      <c r="M2307" s="4">
        <v>58.54</v>
      </c>
      <c r="N2307" s="4">
        <v>526.9</v>
      </c>
      <c r="O2307" s="4">
        <v>286.63</v>
      </c>
      <c r="P2307" s="4">
        <v>7.57</v>
      </c>
      <c r="Q2307" s="4">
        <v>4.0999999999999996</v>
      </c>
      <c r="R2307" s="4">
        <v>5.88</v>
      </c>
      <c r="S2307" s="4">
        <v>0</v>
      </c>
      <c r="T2307" s="4">
        <v>0</v>
      </c>
      <c r="U2307" s="4">
        <v>304.18</v>
      </c>
      <c r="V2307" s="4">
        <v>222.72</v>
      </c>
      <c r="W2307" t="s">
        <v>21</v>
      </c>
      <c r="X2307" t="s">
        <v>36</v>
      </c>
      <c r="Y2307" s="4">
        <v>22</v>
      </c>
      <c r="Z2307" s="4">
        <v>1</v>
      </c>
      <c r="AA2307" t="s">
        <v>52</v>
      </c>
      <c r="AB2307" t="s">
        <v>44</v>
      </c>
      <c r="AC2307" s="7">
        <v>2</v>
      </c>
      <c r="AD2307" t="s">
        <v>45</v>
      </c>
      <c r="AE2307">
        <f t="shared" ref="AE2307:AE2370" si="36">IF(AB2307="Yes",1,0)</f>
        <v>1</v>
      </c>
    </row>
    <row r="2308" spans="1:31" x14ac:dyDescent="0.35">
      <c r="A2308">
        <v>102307</v>
      </c>
      <c r="B2308" s="3">
        <v>45931</v>
      </c>
      <c r="C2308">
        <v>1021</v>
      </c>
      <c r="D2308" t="s">
        <v>64</v>
      </c>
      <c r="E2308" t="s">
        <v>65</v>
      </c>
      <c r="F2308" t="s">
        <v>41</v>
      </c>
      <c r="G2308" t="s">
        <v>63</v>
      </c>
      <c r="H2308" t="s">
        <v>34</v>
      </c>
      <c r="I2308" t="s">
        <v>35</v>
      </c>
      <c r="J2308" s="4">
        <v>7.99</v>
      </c>
      <c r="K2308" s="4">
        <v>13.38</v>
      </c>
      <c r="L2308">
        <v>15</v>
      </c>
      <c r="M2308" s="4">
        <v>16.04</v>
      </c>
      <c r="N2308" s="4">
        <v>90.87</v>
      </c>
      <c r="O2308" s="4">
        <v>52.63</v>
      </c>
      <c r="P2308" s="4">
        <v>10.33</v>
      </c>
      <c r="Q2308" s="4">
        <v>0.75</v>
      </c>
      <c r="R2308" s="4">
        <v>8.6300000000000008</v>
      </c>
      <c r="S2308" s="4">
        <v>0</v>
      </c>
      <c r="T2308" s="4">
        <v>0</v>
      </c>
      <c r="U2308" s="4">
        <v>72.34</v>
      </c>
      <c r="V2308" s="4">
        <v>18.53</v>
      </c>
      <c r="W2308" t="s">
        <v>21</v>
      </c>
      <c r="X2308" t="s">
        <v>36</v>
      </c>
      <c r="Y2308" s="4">
        <v>5</v>
      </c>
      <c r="Z2308" s="4">
        <v>2</v>
      </c>
      <c r="AA2308" t="s">
        <v>37</v>
      </c>
      <c r="AB2308" t="s">
        <v>38</v>
      </c>
      <c r="AC2308" s="7">
        <v>1</v>
      </c>
      <c r="AD2308" t="s">
        <v>39</v>
      </c>
      <c r="AE2308">
        <f t="shared" si="36"/>
        <v>0</v>
      </c>
    </row>
    <row r="2309" spans="1:31" x14ac:dyDescent="0.35">
      <c r="A2309">
        <v>102308</v>
      </c>
      <c r="B2309" s="3">
        <v>45942</v>
      </c>
      <c r="C2309">
        <v>1117</v>
      </c>
      <c r="D2309" t="s">
        <v>59</v>
      </c>
      <c r="E2309" t="s">
        <v>73</v>
      </c>
      <c r="F2309" t="s">
        <v>61</v>
      </c>
      <c r="G2309" t="s">
        <v>33</v>
      </c>
      <c r="H2309" t="s">
        <v>51</v>
      </c>
      <c r="I2309" t="s">
        <v>35</v>
      </c>
      <c r="J2309" s="4">
        <v>37.01</v>
      </c>
      <c r="K2309" s="4">
        <v>19.04</v>
      </c>
      <c r="L2309">
        <v>5</v>
      </c>
      <c r="M2309" s="4">
        <v>35.229999999999997</v>
      </c>
      <c r="N2309" s="4">
        <v>669.44</v>
      </c>
      <c r="O2309" s="4">
        <v>317</v>
      </c>
      <c r="P2309" s="4">
        <v>10.24</v>
      </c>
      <c r="Q2309" s="4">
        <v>4.93</v>
      </c>
      <c r="R2309" s="4">
        <v>6.97</v>
      </c>
      <c r="S2309" s="4">
        <v>0</v>
      </c>
      <c r="T2309" s="4">
        <v>0</v>
      </c>
      <c r="U2309" s="4">
        <v>339.14</v>
      </c>
      <c r="V2309" s="4">
        <v>330.3</v>
      </c>
      <c r="W2309" t="s">
        <v>21</v>
      </c>
      <c r="X2309" t="s">
        <v>36</v>
      </c>
      <c r="Y2309" s="4">
        <v>5</v>
      </c>
      <c r="Z2309" s="4">
        <v>5</v>
      </c>
      <c r="AA2309" t="s">
        <v>37</v>
      </c>
      <c r="AB2309" t="s">
        <v>38</v>
      </c>
      <c r="AC2309" s="7">
        <v>1</v>
      </c>
      <c r="AD2309" t="s">
        <v>39</v>
      </c>
      <c r="AE2309">
        <f t="shared" si="36"/>
        <v>0</v>
      </c>
    </row>
    <row r="2310" spans="1:31" x14ac:dyDescent="0.35">
      <c r="A2310">
        <v>102309</v>
      </c>
      <c r="B2310" s="3">
        <v>45997</v>
      </c>
      <c r="C2310">
        <v>1084</v>
      </c>
      <c r="D2310" t="s">
        <v>30</v>
      </c>
      <c r="E2310" t="s">
        <v>62</v>
      </c>
      <c r="F2310" t="s">
        <v>49</v>
      </c>
      <c r="G2310" t="s">
        <v>63</v>
      </c>
      <c r="H2310" t="s">
        <v>34</v>
      </c>
      <c r="I2310" t="s">
        <v>35</v>
      </c>
      <c r="J2310" s="4">
        <v>20.49</v>
      </c>
      <c r="K2310" s="4">
        <v>13.17</v>
      </c>
      <c r="L2310">
        <v>20</v>
      </c>
      <c r="M2310" s="4">
        <v>53.97</v>
      </c>
      <c r="N2310" s="4">
        <v>215.88</v>
      </c>
      <c r="O2310" s="4">
        <v>158.12</v>
      </c>
      <c r="P2310" s="4">
        <v>8.36</v>
      </c>
      <c r="Q2310" s="4">
        <v>1.89</v>
      </c>
      <c r="R2310" s="4">
        <v>1.07</v>
      </c>
      <c r="S2310" s="4">
        <v>0</v>
      </c>
      <c r="T2310" s="4">
        <v>0</v>
      </c>
      <c r="U2310" s="4">
        <v>169.44</v>
      </c>
      <c r="V2310" s="4">
        <v>46.44</v>
      </c>
      <c r="W2310" t="s">
        <v>21</v>
      </c>
      <c r="X2310" t="s">
        <v>36</v>
      </c>
      <c r="Y2310" s="4">
        <v>0</v>
      </c>
      <c r="Z2310" s="4">
        <v>18</v>
      </c>
      <c r="AA2310" t="s">
        <v>37</v>
      </c>
      <c r="AB2310" t="s">
        <v>44</v>
      </c>
      <c r="AC2310" s="7">
        <v>3</v>
      </c>
      <c r="AD2310" t="s">
        <v>45</v>
      </c>
      <c r="AE2310">
        <f t="shared" si="36"/>
        <v>1</v>
      </c>
    </row>
    <row r="2311" spans="1:31" x14ac:dyDescent="0.35">
      <c r="A2311">
        <v>102310</v>
      </c>
      <c r="B2311" s="3">
        <v>46008</v>
      </c>
      <c r="C2311">
        <v>1144</v>
      </c>
      <c r="D2311" t="s">
        <v>30</v>
      </c>
      <c r="E2311" t="s">
        <v>62</v>
      </c>
      <c r="F2311" t="s">
        <v>61</v>
      </c>
      <c r="G2311" t="s">
        <v>50</v>
      </c>
      <c r="H2311" t="s">
        <v>34</v>
      </c>
      <c r="I2311" t="s">
        <v>54</v>
      </c>
      <c r="J2311" s="4">
        <v>18.78</v>
      </c>
      <c r="K2311" s="4">
        <v>16.84</v>
      </c>
      <c r="L2311">
        <v>15</v>
      </c>
      <c r="M2311" s="4">
        <v>47.44</v>
      </c>
      <c r="N2311" s="4">
        <v>268.82</v>
      </c>
      <c r="O2311" s="4">
        <v>165.05</v>
      </c>
      <c r="P2311" s="4">
        <v>8.44</v>
      </c>
      <c r="Q2311" s="4">
        <v>3.8</v>
      </c>
      <c r="R2311" s="4">
        <v>1.45</v>
      </c>
      <c r="S2311" s="4">
        <v>224.95</v>
      </c>
      <c r="T2311" s="4">
        <v>0</v>
      </c>
      <c r="U2311" s="4">
        <v>403.69</v>
      </c>
      <c r="V2311" s="4">
        <v>-134.87</v>
      </c>
      <c r="W2311" t="s">
        <v>58</v>
      </c>
      <c r="X2311" t="s">
        <v>55</v>
      </c>
      <c r="Y2311" s="4">
        <v>3</v>
      </c>
      <c r="Z2311" s="4">
        <v>20</v>
      </c>
      <c r="AA2311" t="s">
        <v>37</v>
      </c>
      <c r="AB2311" t="s">
        <v>44</v>
      </c>
      <c r="AC2311" s="7">
        <v>1</v>
      </c>
      <c r="AD2311" t="s">
        <v>45</v>
      </c>
      <c r="AE2311">
        <f t="shared" si="36"/>
        <v>1</v>
      </c>
    </row>
    <row r="2312" spans="1:31" x14ac:dyDescent="0.35">
      <c r="A2312">
        <v>102311</v>
      </c>
      <c r="B2312" s="3">
        <v>46017</v>
      </c>
      <c r="C2312">
        <v>1089</v>
      </c>
      <c r="D2312" t="s">
        <v>64</v>
      </c>
      <c r="E2312" t="s">
        <v>75</v>
      </c>
      <c r="F2312" t="s">
        <v>71</v>
      </c>
      <c r="G2312" t="s">
        <v>46</v>
      </c>
      <c r="H2312" t="s">
        <v>57</v>
      </c>
      <c r="I2312" t="s">
        <v>42</v>
      </c>
      <c r="J2312" s="4">
        <v>21.79</v>
      </c>
      <c r="K2312" s="4">
        <v>17.22</v>
      </c>
      <c r="L2312">
        <v>10</v>
      </c>
      <c r="M2312" s="4">
        <v>37.520000000000003</v>
      </c>
      <c r="N2312" s="4">
        <v>337.7</v>
      </c>
      <c r="O2312" s="4">
        <v>152.32</v>
      </c>
      <c r="P2312" s="4">
        <v>14.7</v>
      </c>
      <c r="Q2312" s="4">
        <v>5.63</v>
      </c>
      <c r="R2312" s="4">
        <v>1.57</v>
      </c>
      <c r="S2312" s="4">
        <v>369.2</v>
      </c>
      <c r="T2312" s="4">
        <v>21.09</v>
      </c>
      <c r="U2312" s="4">
        <v>564.51</v>
      </c>
      <c r="V2312" s="4">
        <v>-226.81</v>
      </c>
      <c r="W2312" t="s">
        <v>58</v>
      </c>
      <c r="X2312" t="s">
        <v>55</v>
      </c>
      <c r="Y2312" s="4">
        <v>0</v>
      </c>
      <c r="Z2312" s="4">
        <v>13</v>
      </c>
      <c r="AA2312" t="s">
        <v>37</v>
      </c>
      <c r="AB2312" t="s">
        <v>44</v>
      </c>
      <c r="AC2312" s="7">
        <v>1</v>
      </c>
      <c r="AD2312" t="s">
        <v>45</v>
      </c>
      <c r="AE2312">
        <f t="shared" si="36"/>
        <v>1</v>
      </c>
    </row>
    <row r="2313" spans="1:31" x14ac:dyDescent="0.35">
      <c r="A2313">
        <v>102312</v>
      </c>
      <c r="B2313" s="3">
        <v>45973</v>
      </c>
      <c r="C2313">
        <v>1138</v>
      </c>
      <c r="D2313" t="s">
        <v>47</v>
      </c>
      <c r="E2313" t="s">
        <v>53</v>
      </c>
      <c r="F2313" t="s">
        <v>49</v>
      </c>
      <c r="G2313" t="s">
        <v>63</v>
      </c>
      <c r="H2313" t="s">
        <v>34</v>
      </c>
      <c r="I2313" t="s">
        <v>42</v>
      </c>
      <c r="J2313" s="4">
        <v>24.63</v>
      </c>
      <c r="K2313" s="4">
        <v>13.04</v>
      </c>
      <c r="L2313">
        <v>15</v>
      </c>
      <c r="M2313" s="4">
        <v>48.18</v>
      </c>
      <c r="N2313" s="4">
        <v>273</v>
      </c>
      <c r="O2313" s="4">
        <v>203.51</v>
      </c>
      <c r="P2313" s="4">
        <v>10.55</v>
      </c>
      <c r="Q2313" s="4">
        <v>4.82</v>
      </c>
      <c r="R2313" s="4">
        <v>8.48</v>
      </c>
      <c r="S2313" s="4">
        <v>0</v>
      </c>
      <c r="T2313" s="4">
        <v>0</v>
      </c>
      <c r="U2313" s="4">
        <v>227.36</v>
      </c>
      <c r="V2313" s="4">
        <v>45.64</v>
      </c>
      <c r="W2313" t="s">
        <v>21</v>
      </c>
      <c r="X2313" t="s">
        <v>36</v>
      </c>
      <c r="Y2313" s="4">
        <v>3</v>
      </c>
      <c r="Z2313" s="4">
        <v>21</v>
      </c>
      <c r="AA2313" t="s">
        <v>37</v>
      </c>
      <c r="AB2313" t="s">
        <v>44</v>
      </c>
      <c r="AC2313" s="7">
        <v>4</v>
      </c>
      <c r="AD2313" t="s">
        <v>45</v>
      </c>
      <c r="AE2313">
        <f t="shared" si="36"/>
        <v>1</v>
      </c>
    </row>
    <row r="2314" spans="1:31" x14ac:dyDescent="0.35">
      <c r="A2314">
        <v>102313</v>
      </c>
      <c r="B2314" s="3">
        <v>45980</v>
      </c>
      <c r="C2314">
        <v>1022</v>
      </c>
      <c r="D2314" t="s">
        <v>59</v>
      </c>
      <c r="E2314" t="s">
        <v>60</v>
      </c>
      <c r="F2314" t="s">
        <v>41</v>
      </c>
      <c r="G2314" t="s">
        <v>46</v>
      </c>
      <c r="H2314" t="s">
        <v>57</v>
      </c>
      <c r="I2314" t="s">
        <v>35</v>
      </c>
      <c r="J2314" s="4">
        <v>33.880000000000003</v>
      </c>
      <c r="K2314" s="4">
        <v>15.4</v>
      </c>
      <c r="L2314">
        <v>5</v>
      </c>
      <c r="M2314" s="4">
        <v>26.09</v>
      </c>
      <c r="N2314" s="4">
        <v>495.66</v>
      </c>
      <c r="O2314" s="4">
        <v>265.72000000000003</v>
      </c>
      <c r="P2314" s="4">
        <v>5.19</v>
      </c>
      <c r="Q2314" s="4">
        <v>3.65</v>
      </c>
      <c r="R2314" s="4">
        <v>4.4000000000000004</v>
      </c>
      <c r="S2314" s="4">
        <v>0</v>
      </c>
      <c r="T2314" s="4">
        <v>0</v>
      </c>
      <c r="U2314" s="4">
        <v>278.95999999999998</v>
      </c>
      <c r="V2314" s="4">
        <v>216.7</v>
      </c>
      <c r="W2314" t="s">
        <v>21</v>
      </c>
      <c r="X2314" t="s">
        <v>36</v>
      </c>
      <c r="Y2314" s="4">
        <v>7</v>
      </c>
      <c r="Z2314" s="4">
        <v>8</v>
      </c>
      <c r="AA2314" t="s">
        <v>37</v>
      </c>
      <c r="AB2314" t="s">
        <v>38</v>
      </c>
      <c r="AC2314" s="7">
        <v>0</v>
      </c>
      <c r="AD2314" t="s">
        <v>39</v>
      </c>
      <c r="AE2314">
        <f t="shared" si="36"/>
        <v>0</v>
      </c>
    </row>
    <row r="2315" spans="1:31" x14ac:dyDescent="0.35">
      <c r="A2315">
        <v>102314</v>
      </c>
      <c r="B2315" s="3">
        <v>46017</v>
      </c>
      <c r="C2315">
        <v>1049</v>
      </c>
      <c r="D2315" t="s">
        <v>47</v>
      </c>
      <c r="E2315" t="s">
        <v>53</v>
      </c>
      <c r="F2315" t="s">
        <v>49</v>
      </c>
      <c r="G2315" t="s">
        <v>46</v>
      </c>
      <c r="H2315" t="s">
        <v>57</v>
      </c>
      <c r="I2315" t="s">
        <v>35</v>
      </c>
      <c r="J2315" s="4">
        <v>31.89</v>
      </c>
      <c r="K2315" s="4">
        <v>15.26</v>
      </c>
      <c r="L2315">
        <v>5</v>
      </c>
      <c r="M2315" s="4">
        <v>24.33</v>
      </c>
      <c r="N2315" s="4">
        <v>462.31</v>
      </c>
      <c r="O2315" s="4">
        <v>207.71</v>
      </c>
      <c r="P2315" s="4">
        <v>6.19</v>
      </c>
      <c r="Q2315" s="4">
        <v>3.41</v>
      </c>
      <c r="R2315" s="4">
        <v>2.85</v>
      </c>
      <c r="S2315" s="4">
        <v>0</v>
      </c>
      <c r="T2315" s="4">
        <v>0</v>
      </c>
      <c r="U2315" s="4">
        <v>220.16</v>
      </c>
      <c r="V2315" s="4">
        <v>242.15</v>
      </c>
      <c r="W2315" t="s">
        <v>21</v>
      </c>
      <c r="X2315" t="s">
        <v>36</v>
      </c>
      <c r="Y2315" s="4">
        <v>1</v>
      </c>
      <c r="Z2315" s="4">
        <v>6</v>
      </c>
      <c r="AA2315" t="s">
        <v>37</v>
      </c>
      <c r="AB2315" t="s">
        <v>38</v>
      </c>
      <c r="AC2315" s="7">
        <v>0</v>
      </c>
      <c r="AD2315" t="s">
        <v>39</v>
      </c>
      <c r="AE2315">
        <f t="shared" si="36"/>
        <v>0</v>
      </c>
    </row>
    <row r="2316" spans="1:31" x14ac:dyDescent="0.35">
      <c r="A2316">
        <v>102315</v>
      </c>
      <c r="B2316" s="3">
        <v>45952</v>
      </c>
      <c r="C2316">
        <v>1069</v>
      </c>
      <c r="D2316" t="s">
        <v>47</v>
      </c>
      <c r="E2316" t="s">
        <v>56</v>
      </c>
      <c r="F2316" t="s">
        <v>61</v>
      </c>
      <c r="G2316" t="s">
        <v>63</v>
      </c>
      <c r="H2316" t="s">
        <v>57</v>
      </c>
      <c r="I2316" t="s">
        <v>42</v>
      </c>
      <c r="J2316" s="4">
        <v>26.5</v>
      </c>
      <c r="K2316" s="4">
        <v>11.97</v>
      </c>
      <c r="L2316">
        <v>15</v>
      </c>
      <c r="M2316" s="4">
        <v>47.58</v>
      </c>
      <c r="N2316" s="4">
        <v>269.63</v>
      </c>
      <c r="O2316" s="4">
        <v>228.23</v>
      </c>
      <c r="P2316" s="4">
        <v>7.99</v>
      </c>
      <c r="Q2316" s="4">
        <v>4.76</v>
      </c>
      <c r="R2316" s="4">
        <v>3.74</v>
      </c>
      <c r="S2316" s="4">
        <v>0</v>
      </c>
      <c r="T2316" s="4">
        <v>0</v>
      </c>
      <c r="U2316" s="4">
        <v>244.72</v>
      </c>
      <c r="V2316" s="4">
        <v>24.91</v>
      </c>
      <c r="W2316" t="s">
        <v>21</v>
      </c>
      <c r="X2316" t="s">
        <v>36</v>
      </c>
      <c r="Y2316" s="4">
        <v>33</v>
      </c>
      <c r="Z2316" s="4">
        <v>17</v>
      </c>
      <c r="AA2316" t="s">
        <v>43</v>
      </c>
      <c r="AB2316" t="s">
        <v>44</v>
      </c>
      <c r="AC2316" s="7">
        <v>3</v>
      </c>
      <c r="AD2316" t="s">
        <v>45</v>
      </c>
      <c r="AE2316">
        <f t="shared" si="36"/>
        <v>1</v>
      </c>
    </row>
    <row r="2317" spans="1:31" x14ac:dyDescent="0.35">
      <c r="A2317">
        <v>102316</v>
      </c>
      <c r="B2317" s="3">
        <v>45952</v>
      </c>
      <c r="C2317">
        <v>1073</v>
      </c>
      <c r="D2317" t="s">
        <v>47</v>
      </c>
      <c r="E2317" t="s">
        <v>53</v>
      </c>
      <c r="F2317" t="s">
        <v>71</v>
      </c>
      <c r="G2317" t="s">
        <v>46</v>
      </c>
      <c r="H2317" t="s">
        <v>57</v>
      </c>
      <c r="I2317" t="s">
        <v>42</v>
      </c>
      <c r="J2317" s="4">
        <v>29.95</v>
      </c>
      <c r="K2317" s="4">
        <v>15.4</v>
      </c>
      <c r="L2317">
        <v>0</v>
      </c>
      <c r="M2317" s="4">
        <v>0</v>
      </c>
      <c r="N2317" s="4">
        <v>461.23</v>
      </c>
      <c r="O2317" s="4">
        <v>273.18</v>
      </c>
      <c r="P2317" s="4">
        <v>5.24</v>
      </c>
      <c r="Q2317" s="4">
        <v>6.92</v>
      </c>
      <c r="R2317" s="4">
        <v>4.4000000000000004</v>
      </c>
      <c r="S2317" s="4">
        <v>0</v>
      </c>
      <c r="T2317" s="4">
        <v>0</v>
      </c>
      <c r="U2317" s="4">
        <v>289.74</v>
      </c>
      <c r="V2317" s="4">
        <v>171.49</v>
      </c>
      <c r="W2317" t="s">
        <v>21</v>
      </c>
      <c r="X2317" t="s">
        <v>36</v>
      </c>
      <c r="Y2317" s="4">
        <v>5</v>
      </c>
      <c r="Z2317" s="4">
        <v>13</v>
      </c>
      <c r="AA2317" t="s">
        <v>37</v>
      </c>
      <c r="AB2317" t="s">
        <v>38</v>
      </c>
      <c r="AC2317" s="7">
        <v>2</v>
      </c>
      <c r="AD2317" t="s">
        <v>39</v>
      </c>
      <c r="AE2317">
        <f t="shared" si="36"/>
        <v>0</v>
      </c>
    </row>
    <row r="2318" spans="1:31" x14ac:dyDescent="0.35">
      <c r="A2318">
        <v>102317</v>
      </c>
      <c r="B2318" s="3">
        <v>45933</v>
      </c>
      <c r="C2318">
        <v>1124</v>
      </c>
      <c r="D2318" t="s">
        <v>64</v>
      </c>
      <c r="E2318" t="s">
        <v>67</v>
      </c>
      <c r="F2318" t="s">
        <v>41</v>
      </c>
      <c r="G2318" t="s">
        <v>50</v>
      </c>
      <c r="H2318" t="s">
        <v>34</v>
      </c>
      <c r="I2318" t="s">
        <v>35</v>
      </c>
      <c r="J2318" s="4">
        <v>28.15</v>
      </c>
      <c r="K2318" s="4">
        <v>17.670000000000002</v>
      </c>
      <c r="L2318">
        <v>20</v>
      </c>
      <c r="M2318" s="4">
        <v>99.48</v>
      </c>
      <c r="N2318" s="4">
        <v>397.93</v>
      </c>
      <c r="O2318" s="4">
        <v>197.4</v>
      </c>
      <c r="P2318" s="4">
        <v>7.18</v>
      </c>
      <c r="Q2318" s="4">
        <v>3.48</v>
      </c>
      <c r="R2318" s="4">
        <v>4.5</v>
      </c>
      <c r="S2318" s="4">
        <v>0</v>
      </c>
      <c r="T2318" s="4">
        <v>0</v>
      </c>
      <c r="U2318" s="4">
        <v>212.56</v>
      </c>
      <c r="V2318" s="4">
        <v>185.37</v>
      </c>
      <c r="W2318" t="s">
        <v>21</v>
      </c>
      <c r="X2318" t="s">
        <v>36</v>
      </c>
      <c r="Y2318" s="4">
        <v>4</v>
      </c>
      <c r="Z2318" s="4">
        <v>37</v>
      </c>
      <c r="AA2318" t="s">
        <v>37</v>
      </c>
      <c r="AB2318" t="s">
        <v>44</v>
      </c>
      <c r="AC2318" s="7">
        <v>2</v>
      </c>
      <c r="AD2318" t="s">
        <v>45</v>
      </c>
      <c r="AE2318">
        <f t="shared" si="36"/>
        <v>1</v>
      </c>
    </row>
    <row r="2319" spans="1:31" x14ac:dyDescent="0.35">
      <c r="A2319">
        <v>102318</v>
      </c>
      <c r="B2319" s="3">
        <v>45979</v>
      </c>
      <c r="C2319">
        <v>1083</v>
      </c>
      <c r="D2319" t="s">
        <v>47</v>
      </c>
      <c r="E2319" t="s">
        <v>74</v>
      </c>
      <c r="F2319" t="s">
        <v>41</v>
      </c>
      <c r="G2319" t="s">
        <v>63</v>
      </c>
      <c r="H2319" t="s">
        <v>57</v>
      </c>
      <c r="I2319" t="s">
        <v>35</v>
      </c>
      <c r="J2319" s="4">
        <v>15.35</v>
      </c>
      <c r="K2319" s="4">
        <v>11.66</v>
      </c>
      <c r="L2319">
        <v>10</v>
      </c>
      <c r="M2319" s="4">
        <v>17.899999999999999</v>
      </c>
      <c r="N2319" s="4">
        <v>161.08000000000001</v>
      </c>
      <c r="O2319" s="4">
        <v>137.38</v>
      </c>
      <c r="P2319" s="4">
        <v>6.49</v>
      </c>
      <c r="Q2319" s="4">
        <v>1.25</v>
      </c>
      <c r="R2319" s="4">
        <v>6.15</v>
      </c>
      <c r="S2319" s="4">
        <v>0</v>
      </c>
      <c r="T2319" s="4">
        <v>0</v>
      </c>
      <c r="U2319" s="4">
        <v>151.27000000000001</v>
      </c>
      <c r="V2319" s="4">
        <v>9.81</v>
      </c>
      <c r="W2319" t="s">
        <v>21</v>
      </c>
      <c r="X2319" t="s">
        <v>36</v>
      </c>
      <c r="Y2319" s="4">
        <v>3</v>
      </c>
      <c r="Z2319" s="4">
        <v>6</v>
      </c>
      <c r="AA2319" t="s">
        <v>37</v>
      </c>
      <c r="AB2319" t="s">
        <v>38</v>
      </c>
      <c r="AC2319" s="7">
        <v>0</v>
      </c>
      <c r="AD2319" t="s">
        <v>39</v>
      </c>
      <c r="AE2319">
        <f t="shared" si="36"/>
        <v>0</v>
      </c>
    </row>
    <row r="2320" spans="1:31" x14ac:dyDescent="0.35">
      <c r="A2320">
        <v>102319</v>
      </c>
      <c r="B2320" s="3">
        <v>46013</v>
      </c>
      <c r="C2320">
        <v>1096</v>
      </c>
      <c r="D2320" t="s">
        <v>59</v>
      </c>
      <c r="E2320" t="s">
        <v>68</v>
      </c>
      <c r="F2320" t="s">
        <v>32</v>
      </c>
      <c r="G2320" t="s">
        <v>46</v>
      </c>
      <c r="H2320" t="s">
        <v>34</v>
      </c>
      <c r="I2320" t="s">
        <v>35</v>
      </c>
      <c r="J2320" s="4">
        <v>32.79</v>
      </c>
      <c r="K2320" s="4">
        <v>14.82</v>
      </c>
      <c r="L2320">
        <v>0</v>
      </c>
      <c r="M2320" s="4">
        <v>0</v>
      </c>
      <c r="N2320" s="4">
        <v>485.95</v>
      </c>
      <c r="O2320" s="4">
        <v>225.94</v>
      </c>
      <c r="P2320" s="4">
        <v>7.27</v>
      </c>
      <c r="Q2320" s="4">
        <v>3.4</v>
      </c>
      <c r="R2320" s="4">
        <v>7.05</v>
      </c>
      <c r="S2320" s="4">
        <v>0</v>
      </c>
      <c r="T2320" s="4">
        <v>0</v>
      </c>
      <c r="U2320" s="4">
        <v>243.66</v>
      </c>
      <c r="V2320" s="4">
        <v>242.29</v>
      </c>
      <c r="W2320" t="s">
        <v>21</v>
      </c>
      <c r="X2320" t="s">
        <v>36</v>
      </c>
      <c r="Y2320" s="4">
        <v>6</v>
      </c>
      <c r="Z2320" s="4">
        <v>2</v>
      </c>
      <c r="AA2320" t="s">
        <v>37</v>
      </c>
      <c r="AB2320" t="s">
        <v>38</v>
      </c>
      <c r="AC2320" s="7">
        <v>0</v>
      </c>
      <c r="AD2320" t="s">
        <v>39</v>
      </c>
      <c r="AE2320">
        <f t="shared" si="36"/>
        <v>0</v>
      </c>
    </row>
    <row r="2321" spans="1:31" x14ac:dyDescent="0.35">
      <c r="A2321">
        <v>102320</v>
      </c>
      <c r="B2321" s="3">
        <v>45972</v>
      </c>
      <c r="C2321">
        <v>1015</v>
      </c>
      <c r="D2321" t="s">
        <v>30</v>
      </c>
      <c r="E2321" t="s">
        <v>72</v>
      </c>
      <c r="F2321" t="s">
        <v>49</v>
      </c>
      <c r="G2321" t="s">
        <v>46</v>
      </c>
      <c r="H2321" t="s">
        <v>34</v>
      </c>
      <c r="I2321" t="s">
        <v>35</v>
      </c>
      <c r="J2321" s="4">
        <v>26.58</v>
      </c>
      <c r="K2321" s="4">
        <v>15.54</v>
      </c>
      <c r="L2321">
        <v>0</v>
      </c>
      <c r="M2321" s="4">
        <v>0</v>
      </c>
      <c r="N2321" s="4">
        <v>413.05</v>
      </c>
      <c r="O2321" s="4">
        <v>250.83</v>
      </c>
      <c r="P2321" s="4">
        <v>13.03</v>
      </c>
      <c r="Q2321" s="4">
        <v>2.89</v>
      </c>
      <c r="R2321" s="4">
        <v>2.57</v>
      </c>
      <c r="S2321" s="4">
        <v>0</v>
      </c>
      <c r="T2321" s="4">
        <v>0</v>
      </c>
      <c r="U2321" s="4">
        <v>269.32</v>
      </c>
      <c r="V2321" s="4">
        <v>143.72999999999999</v>
      </c>
      <c r="W2321" t="s">
        <v>21</v>
      </c>
      <c r="X2321" t="s">
        <v>36</v>
      </c>
      <c r="Y2321" s="4">
        <v>3</v>
      </c>
      <c r="Z2321" s="4">
        <v>11</v>
      </c>
      <c r="AA2321" t="s">
        <v>37</v>
      </c>
      <c r="AB2321" t="s">
        <v>38</v>
      </c>
      <c r="AC2321" s="7">
        <v>0</v>
      </c>
      <c r="AD2321" t="s">
        <v>39</v>
      </c>
      <c r="AE2321">
        <f t="shared" si="36"/>
        <v>0</v>
      </c>
    </row>
    <row r="2322" spans="1:31" x14ac:dyDescent="0.35">
      <c r="A2322">
        <v>102321</v>
      </c>
      <c r="B2322" s="3">
        <v>45933</v>
      </c>
      <c r="C2322">
        <v>1078</v>
      </c>
      <c r="D2322" t="s">
        <v>64</v>
      </c>
      <c r="E2322" t="s">
        <v>67</v>
      </c>
      <c r="F2322" t="s">
        <v>32</v>
      </c>
      <c r="G2322" t="s">
        <v>50</v>
      </c>
      <c r="H2322" t="s">
        <v>51</v>
      </c>
      <c r="I2322" t="s">
        <v>35</v>
      </c>
      <c r="J2322" s="4">
        <v>18.61</v>
      </c>
      <c r="K2322" s="4">
        <v>16.45</v>
      </c>
      <c r="L2322">
        <v>10</v>
      </c>
      <c r="M2322" s="4">
        <v>30.61</v>
      </c>
      <c r="N2322" s="4">
        <v>275.52</v>
      </c>
      <c r="O2322" s="4">
        <v>132.4</v>
      </c>
      <c r="P2322" s="4">
        <v>13.8</v>
      </c>
      <c r="Q2322" s="4">
        <v>2.14</v>
      </c>
      <c r="R2322" s="4">
        <v>3.76</v>
      </c>
      <c r="S2322" s="4">
        <v>0</v>
      </c>
      <c r="T2322" s="4">
        <v>0</v>
      </c>
      <c r="U2322" s="4">
        <v>152.1</v>
      </c>
      <c r="V2322" s="4">
        <v>123.42</v>
      </c>
      <c r="W2322" t="s">
        <v>21</v>
      </c>
      <c r="X2322" t="s">
        <v>36</v>
      </c>
      <c r="Y2322" s="4">
        <v>7</v>
      </c>
      <c r="Z2322" s="4">
        <v>31</v>
      </c>
      <c r="AA2322" t="s">
        <v>37</v>
      </c>
      <c r="AB2322" t="s">
        <v>44</v>
      </c>
      <c r="AC2322" s="7">
        <v>1</v>
      </c>
      <c r="AD2322" t="s">
        <v>45</v>
      </c>
      <c r="AE2322">
        <f t="shared" si="36"/>
        <v>1</v>
      </c>
    </row>
    <row r="2323" spans="1:31" x14ac:dyDescent="0.35">
      <c r="A2323">
        <v>102322</v>
      </c>
      <c r="B2323" s="3">
        <v>45942</v>
      </c>
      <c r="C2323">
        <v>1025</v>
      </c>
      <c r="D2323" t="s">
        <v>59</v>
      </c>
      <c r="E2323" t="s">
        <v>73</v>
      </c>
      <c r="F2323" t="s">
        <v>32</v>
      </c>
      <c r="G2323" t="s">
        <v>46</v>
      </c>
      <c r="H2323" t="s">
        <v>34</v>
      </c>
      <c r="I2323" t="s">
        <v>35</v>
      </c>
      <c r="J2323" s="4">
        <v>34.590000000000003</v>
      </c>
      <c r="K2323" s="4">
        <v>15.29</v>
      </c>
      <c r="L2323">
        <v>0</v>
      </c>
      <c r="M2323" s="4">
        <v>0</v>
      </c>
      <c r="N2323" s="4">
        <v>528.88</v>
      </c>
      <c r="O2323" s="4">
        <v>201.85</v>
      </c>
      <c r="P2323" s="4">
        <v>7.91</v>
      </c>
      <c r="Q2323" s="4">
        <v>3.7</v>
      </c>
      <c r="R2323" s="4">
        <v>7.34</v>
      </c>
      <c r="S2323" s="4">
        <v>0</v>
      </c>
      <c r="T2323" s="4">
        <v>0</v>
      </c>
      <c r="U2323" s="4">
        <v>220.8</v>
      </c>
      <c r="V2323" s="4">
        <v>308.08</v>
      </c>
      <c r="W2323" t="s">
        <v>21</v>
      </c>
      <c r="X2323" t="s">
        <v>36</v>
      </c>
      <c r="Y2323" s="4">
        <v>6</v>
      </c>
      <c r="Z2323" s="4">
        <v>7</v>
      </c>
      <c r="AA2323" t="s">
        <v>37</v>
      </c>
      <c r="AB2323" t="s">
        <v>38</v>
      </c>
      <c r="AC2323" s="7">
        <v>2</v>
      </c>
      <c r="AD2323" t="s">
        <v>39</v>
      </c>
      <c r="AE2323">
        <f t="shared" si="36"/>
        <v>0</v>
      </c>
    </row>
    <row r="2324" spans="1:31" x14ac:dyDescent="0.35">
      <c r="A2324">
        <v>102323</v>
      </c>
      <c r="B2324" s="3">
        <v>45979</v>
      </c>
      <c r="C2324">
        <v>1150</v>
      </c>
      <c r="D2324" t="s">
        <v>59</v>
      </c>
      <c r="E2324" t="s">
        <v>73</v>
      </c>
      <c r="F2324" t="s">
        <v>41</v>
      </c>
      <c r="G2324" t="s">
        <v>63</v>
      </c>
      <c r="H2324" t="s">
        <v>51</v>
      </c>
      <c r="I2324" t="s">
        <v>54</v>
      </c>
      <c r="J2324" s="4">
        <v>9.15</v>
      </c>
      <c r="K2324" s="4">
        <v>12.83</v>
      </c>
      <c r="L2324">
        <v>5</v>
      </c>
      <c r="M2324" s="4">
        <v>5.87</v>
      </c>
      <c r="N2324" s="4">
        <v>111.52</v>
      </c>
      <c r="O2324" s="4">
        <v>67.37</v>
      </c>
      <c r="P2324" s="4">
        <v>8.02</v>
      </c>
      <c r="Q2324" s="4">
        <v>1.41</v>
      </c>
      <c r="R2324" s="4">
        <v>0.53</v>
      </c>
      <c r="S2324" s="4">
        <v>0</v>
      </c>
      <c r="T2324" s="4">
        <v>0</v>
      </c>
      <c r="U2324" s="4">
        <v>77.33</v>
      </c>
      <c r="V2324" s="4">
        <v>34.19</v>
      </c>
      <c r="W2324" t="s">
        <v>21</v>
      </c>
      <c r="X2324" t="s">
        <v>36</v>
      </c>
      <c r="Y2324" s="4">
        <v>2</v>
      </c>
      <c r="Z2324" s="4">
        <v>8</v>
      </c>
      <c r="AA2324" t="s">
        <v>37</v>
      </c>
      <c r="AB2324" t="s">
        <v>38</v>
      </c>
      <c r="AC2324" s="7">
        <v>0</v>
      </c>
      <c r="AD2324" t="s">
        <v>39</v>
      </c>
      <c r="AE2324">
        <f t="shared" si="36"/>
        <v>0</v>
      </c>
    </row>
    <row r="2325" spans="1:31" x14ac:dyDescent="0.35">
      <c r="A2325">
        <v>102324</v>
      </c>
      <c r="B2325" s="3">
        <v>46014</v>
      </c>
      <c r="C2325">
        <v>1071</v>
      </c>
      <c r="D2325" t="s">
        <v>47</v>
      </c>
      <c r="E2325" t="s">
        <v>56</v>
      </c>
      <c r="F2325" t="s">
        <v>49</v>
      </c>
      <c r="G2325" t="s">
        <v>63</v>
      </c>
      <c r="H2325" t="s">
        <v>34</v>
      </c>
      <c r="I2325" t="s">
        <v>69</v>
      </c>
      <c r="J2325" s="4">
        <v>3</v>
      </c>
      <c r="K2325" s="4">
        <v>11.84</v>
      </c>
      <c r="L2325">
        <v>20</v>
      </c>
      <c r="M2325" s="4">
        <v>7.1</v>
      </c>
      <c r="N2325" s="4">
        <v>28.42</v>
      </c>
      <c r="O2325" s="4">
        <v>21.39</v>
      </c>
      <c r="P2325" s="4">
        <v>6.87</v>
      </c>
      <c r="Q2325" s="4">
        <v>0.14000000000000001</v>
      </c>
      <c r="R2325" s="4">
        <v>2.1</v>
      </c>
      <c r="S2325" s="4">
        <v>0</v>
      </c>
      <c r="T2325" s="4">
        <v>0</v>
      </c>
      <c r="U2325" s="4">
        <v>30.5</v>
      </c>
      <c r="V2325" s="4">
        <v>-2.08</v>
      </c>
      <c r="W2325" t="s">
        <v>58</v>
      </c>
      <c r="X2325" t="s">
        <v>36</v>
      </c>
      <c r="Y2325" s="4">
        <v>4</v>
      </c>
      <c r="Z2325" s="4">
        <v>3</v>
      </c>
      <c r="AA2325" t="s">
        <v>37</v>
      </c>
      <c r="AB2325" t="s">
        <v>38</v>
      </c>
      <c r="AC2325" s="7">
        <v>0</v>
      </c>
      <c r="AD2325" t="s">
        <v>39</v>
      </c>
      <c r="AE2325">
        <f t="shared" si="36"/>
        <v>0</v>
      </c>
    </row>
    <row r="2326" spans="1:31" x14ac:dyDescent="0.35">
      <c r="A2326">
        <v>102325</v>
      </c>
      <c r="B2326" s="3">
        <v>45933</v>
      </c>
      <c r="C2326">
        <v>1011</v>
      </c>
      <c r="D2326" t="s">
        <v>30</v>
      </c>
      <c r="E2326" t="s">
        <v>40</v>
      </c>
      <c r="F2326" t="s">
        <v>32</v>
      </c>
      <c r="G2326" t="s">
        <v>63</v>
      </c>
      <c r="H2326" t="s">
        <v>34</v>
      </c>
      <c r="I2326" t="s">
        <v>35</v>
      </c>
      <c r="J2326" s="4">
        <v>21.54</v>
      </c>
      <c r="K2326" s="4">
        <v>12.32</v>
      </c>
      <c r="L2326">
        <v>0</v>
      </c>
      <c r="M2326" s="4">
        <v>0</v>
      </c>
      <c r="N2326" s="4">
        <v>265.37</v>
      </c>
      <c r="O2326" s="4">
        <v>146.66</v>
      </c>
      <c r="P2326" s="4">
        <v>6.25</v>
      </c>
      <c r="Q2326" s="4">
        <v>1.86</v>
      </c>
      <c r="R2326" s="4">
        <v>10.66</v>
      </c>
      <c r="S2326" s="4">
        <v>0</v>
      </c>
      <c r="T2326" s="4">
        <v>0</v>
      </c>
      <c r="U2326" s="4">
        <v>165.43</v>
      </c>
      <c r="V2326" s="4">
        <v>99.94</v>
      </c>
      <c r="W2326" t="s">
        <v>21</v>
      </c>
      <c r="X2326" t="s">
        <v>36</v>
      </c>
      <c r="Y2326" s="4">
        <v>4</v>
      </c>
      <c r="Z2326" s="4">
        <v>5</v>
      </c>
      <c r="AA2326" t="s">
        <v>37</v>
      </c>
      <c r="AB2326" t="s">
        <v>38</v>
      </c>
      <c r="AC2326" s="7">
        <v>0</v>
      </c>
      <c r="AD2326" t="s">
        <v>39</v>
      </c>
      <c r="AE2326">
        <f t="shared" si="36"/>
        <v>0</v>
      </c>
    </row>
    <row r="2327" spans="1:31" x14ac:dyDescent="0.35">
      <c r="A2327">
        <v>102326</v>
      </c>
      <c r="B2327" s="3">
        <v>45988</v>
      </c>
      <c r="C2327">
        <v>1113</v>
      </c>
      <c r="D2327" t="s">
        <v>59</v>
      </c>
      <c r="E2327" t="s">
        <v>70</v>
      </c>
      <c r="F2327" t="s">
        <v>71</v>
      </c>
      <c r="G2327" t="s">
        <v>63</v>
      </c>
      <c r="H2327" t="s">
        <v>34</v>
      </c>
      <c r="I2327" t="s">
        <v>54</v>
      </c>
      <c r="J2327" s="4">
        <v>8.18</v>
      </c>
      <c r="K2327" s="4">
        <v>13.75</v>
      </c>
      <c r="L2327">
        <v>0</v>
      </c>
      <c r="M2327" s="4">
        <v>0</v>
      </c>
      <c r="N2327" s="4">
        <v>112.48</v>
      </c>
      <c r="O2327" s="4">
        <v>58.29</v>
      </c>
      <c r="P2327" s="4">
        <v>7.05</v>
      </c>
      <c r="Q2327" s="4">
        <v>1.35</v>
      </c>
      <c r="R2327" s="4">
        <v>7.93</v>
      </c>
      <c r="S2327" s="4">
        <v>0</v>
      </c>
      <c r="T2327" s="4">
        <v>0</v>
      </c>
      <c r="U2327" s="4">
        <v>74.62</v>
      </c>
      <c r="V2327" s="4">
        <v>37.86</v>
      </c>
      <c r="W2327" t="s">
        <v>21</v>
      </c>
      <c r="X2327" t="s">
        <v>36</v>
      </c>
      <c r="Y2327" s="4">
        <v>21</v>
      </c>
      <c r="Z2327" s="4">
        <v>3</v>
      </c>
      <c r="AA2327" t="s">
        <v>52</v>
      </c>
      <c r="AB2327" t="s">
        <v>44</v>
      </c>
      <c r="AC2327" s="7">
        <v>1</v>
      </c>
      <c r="AD2327" t="s">
        <v>45</v>
      </c>
      <c r="AE2327">
        <f t="shared" si="36"/>
        <v>1</v>
      </c>
    </row>
    <row r="2328" spans="1:31" x14ac:dyDescent="0.35">
      <c r="A2328">
        <v>102327</v>
      </c>
      <c r="B2328" s="3">
        <v>45987</v>
      </c>
      <c r="C2328">
        <v>1105</v>
      </c>
      <c r="D2328" t="s">
        <v>47</v>
      </c>
      <c r="E2328" t="s">
        <v>74</v>
      </c>
      <c r="F2328" t="s">
        <v>61</v>
      </c>
      <c r="G2328" t="s">
        <v>63</v>
      </c>
      <c r="H2328" t="s">
        <v>57</v>
      </c>
      <c r="I2328" t="s">
        <v>35</v>
      </c>
      <c r="J2328" s="4">
        <v>19.22</v>
      </c>
      <c r="K2328" s="4">
        <v>12.01</v>
      </c>
      <c r="L2328">
        <v>5</v>
      </c>
      <c r="M2328" s="4">
        <v>11.54</v>
      </c>
      <c r="N2328" s="4">
        <v>219.29</v>
      </c>
      <c r="O2328" s="4">
        <v>165.85</v>
      </c>
      <c r="P2328" s="4">
        <v>13.54</v>
      </c>
      <c r="Q2328" s="4">
        <v>1.62</v>
      </c>
      <c r="R2328" s="4">
        <v>2.12</v>
      </c>
      <c r="S2328" s="4">
        <v>127.12</v>
      </c>
      <c r="T2328" s="4">
        <v>5.58</v>
      </c>
      <c r="U2328" s="4">
        <v>315.83</v>
      </c>
      <c r="V2328" s="4">
        <v>-96.54</v>
      </c>
      <c r="W2328" t="s">
        <v>58</v>
      </c>
      <c r="X2328" t="s">
        <v>66</v>
      </c>
      <c r="Y2328" s="4">
        <v>15</v>
      </c>
      <c r="Z2328" s="4">
        <v>7</v>
      </c>
      <c r="AA2328" t="s">
        <v>37</v>
      </c>
      <c r="AB2328" t="s">
        <v>38</v>
      </c>
      <c r="AC2328" s="7">
        <v>1</v>
      </c>
      <c r="AD2328" t="s">
        <v>45</v>
      </c>
      <c r="AE2328">
        <f t="shared" si="36"/>
        <v>0</v>
      </c>
    </row>
    <row r="2329" spans="1:31" x14ac:dyDescent="0.35">
      <c r="A2329">
        <v>102328</v>
      </c>
      <c r="B2329" s="3">
        <v>45963</v>
      </c>
      <c r="C2329">
        <v>1127</v>
      </c>
      <c r="D2329" t="s">
        <v>59</v>
      </c>
      <c r="E2329" t="s">
        <v>70</v>
      </c>
      <c r="F2329" t="s">
        <v>71</v>
      </c>
      <c r="G2329" t="s">
        <v>63</v>
      </c>
      <c r="H2329" t="s">
        <v>57</v>
      </c>
      <c r="I2329" t="s">
        <v>35</v>
      </c>
      <c r="J2329" s="4">
        <v>5.77</v>
      </c>
      <c r="K2329" s="4">
        <v>11.62</v>
      </c>
      <c r="L2329">
        <v>0</v>
      </c>
      <c r="M2329" s="4">
        <v>0</v>
      </c>
      <c r="N2329" s="4">
        <v>67.05</v>
      </c>
      <c r="O2329" s="4">
        <v>42.8</v>
      </c>
      <c r="P2329" s="4">
        <v>10.77</v>
      </c>
      <c r="Q2329" s="4">
        <v>0.47</v>
      </c>
      <c r="R2329" s="4">
        <v>8.92</v>
      </c>
      <c r="S2329" s="4">
        <v>0</v>
      </c>
      <c r="T2329" s="4">
        <v>0</v>
      </c>
      <c r="U2329" s="4">
        <v>62.96</v>
      </c>
      <c r="V2329" s="4">
        <v>4.09</v>
      </c>
      <c r="W2329" t="s">
        <v>21</v>
      </c>
      <c r="X2329" t="s">
        <v>36</v>
      </c>
      <c r="Y2329" s="4">
        <v>1</v>
      </c>
      <c r="Z2329" s="4">
        <v>1</v>
      </c>
      <c r="AA2329" t="s">
        <v>37</v>
      </c>
      <c r="AB2329" t="s">
        <v>38</v>
      </c>
      <c r="AC2329" s="7">
        <v>0</v>
      </c>
      <c r="AD2329" t="s">
        <v>39</v>
      </c>
      <c r="AE2329">
        <f t="shared" si="36"/>
        <v>0</v>
      </c>
    </row>
    <row r="2330" spans="1:31" x14ac:dyDescent="0.35">
      <c r="A2330">
        <v>102329</v>
      </c>
      <c r="B2330" s="3">
        <v>45946</v>
      </c>
      <c r="C2330">
        <v>1012</v>
      </c>
      <c r="D2330" t="s">
        <v>30</v>
      </c>
      <c r="E2330" t="s">
        <v>72</v>
      </c>
      <c r="F2330" t="s">
        <v>41</v>
      </c>
      <c r="G2330" t="s">
        <v>33</v>
      </c>
      <c r="H2330" t="s">
        <v>34</v>
      </c>
      <c r="I2330" t="s">
        <v>54</v>
      </c>
      <c r="J2330" s="4">
        <v>29.18</v>
      </c>
      <c r="K2330" s="4">
        <v>19.41</v>
      </c>
      <c r="L2330">
        <v>10</v>
      </c>
      <c r="M2330" s="4">
        <v>56.64</v>
      </c>
      <c r="N2330" s="4">
        <v>509.74</v>
      </c>
      <c r="O2330" s="4">
        <v>235.99</v>
      </c>
      <c r="P2330" s="4">
        <v>4.1500000000000004</v>
      </c>
      <c r="Q2330" s="4">
        <v>6.8</v>
      </c>
      <c r="R2330" s="4">
        <v>5.5</v>
      </c>
      <c r="S2330" s="4">
        <v>0</v>
      </c>
      <c r="T2330" s="4">
        <v>0</v>
      </c>
      <c r="U2330" s="4">
        <v>252.44</v>
      </c>
      <c r="V2330" s="4">
        <v>257.3</v>
      </c>
      <c r="W2330" t="s">
        <v>21</v>
      </c>
      <c r="X2330" t="s">
        <v>36</v>
      </c>
      <c r="Y2330" s="4">
        <v>32</v>
      </c>
      <c r="Z2330" s="4">
        <v>0</v>
      </c>
      <c r="AA2330" t="s">
        <v>43</v>
      </c>
      <c r="AB2330" t="s">
        <v>44</v>
      </c>
      <c r="AC2330" s="7">
        <v>1</v>
      </c>
      <c r="AD2330" t="s">
        <v>45</v>
      </c>
      <c r="AE2330">
        <f t="shared" si="36"/>
        <v>1</v>
      </c>
    </row>
    <row r="2331" spans="1:31" x14ac:dyDescent="0.35">
      <c r="A2331">
        <v>102330</v>
      </c>
      <c r="B2331" s="3">
        <v>46006</v>
      </c>
      <c r="C2331">
        <v>1114</v>
      </c>
      <c r="D2331" t="s">
        <v>64</v>
      </c>
      <c r="E2331" t="s">
        <v>67</v>
      </c>
      <c r="F2331" t="s">
        <v>71</v>
      </c>
      <c r="G2331" t="s">
        <v>63</v>
      </c>
      <c r="H2331" t="s">
        <v>34</v>
      </c>
      <c r="I2331" t="s">
        <v>35</v>
      </c>
      <c r="J2331" s="4">
        <v>11.6</v>
      </c>
      <c r="K2331" s="4">
        <v>11.52</v>
      </c>
      <c r="L2331">
        <v>0</v>
      </c>
      <c r="M2331" s="4">
        <v>0</v>
      </c>
      <c r="N2331" s="4">
        <v>133.63</v>
      </c>
      <c r="O2331" s="4">
        <v>79.709999999999994</v>
      </c>
      <c r="P2331" s="4">
        <v>9.7100000000000009</v>
      </c>
      <c r="Q2331" s="4">
        <v>0.94</v>
      </c>
      <c r="R2331" s="4">
        <v>11.91</v>
      </c>
      <c r="S2331" s="4">
        <v>0</v>
      </c>
      <c r="T2331" s="4">
        <v>0</v>
      </c>
      <c r="U2331" s="4">
        <v>102.27</v>
      </c>
      <c r="V2331" s="4">
        <v>31.36</v>
      </c>
      <c r="W2331" t="s">
        <v>21</v>
      </c>
      <c r="X2331" t="s">
        <v>36</v>
      </c>
      <c r="Y2331" s="4">
        <v>22</v>
      </c>
      <c r="Z2331" s="4">
        <v>17</v>
      </c>
      <c r="AA2331" t="s">
        <v>52</v>
      </c>
      <c r="AB2331" t="s">
        <v>44</v>
      </c>
      <c r="AC2331" s="7">
        <v>1</v>
      </c>
      <c r="AD2331" t="s">
        <v>45</v>
      </c>
      <c r="AE2331">
        <f t="shared" si="36"/>
        <v>1</v>
      </c>
    </row>
    <row r="2332" spans="1:31" x14ac:dyDescent="0.35">
      <c r="A2332">
        <v>102331</v>
      </c>
      <c r="B2332" s="3">
        <v>45952</v>
      </c>
      <c r="C2332">
        <v>1119</v>
      </c>
      <c r="D2332" t="s">
        <v>30</v>
      </c>
      <c r="E2332" t="s">
        <v>31</v>
      </c>
      <c r="F2332" t="s">
        <v>61</v>
      </c>
      <c r="G2332" t="s">
        <v>46</v>
      </c>
      <c r="H2332" t="s">
        <v>34</v>
      </c>
      <c r="I2332" t="s">
        <v>69</v>
      </c>
      <c r="J2332" s="4">
        <v>19.61</v>
      </c>
      <c r="K2332" s="4">
        <v>15.6</v>
      </c>
      <c r="L2332">
        <v>0</v>
      </c>
      <c r="M2332" s="4">
        <v>0</v>
      </c>
      <c r="N2332" s="4">
        <v>305.92</v>
      </c>
      <c r="O2332" s="4">
        <v>146.91</v>
      </c>
      <c r="P2332" s="4">
        <v>13.49</v>
      </c>
      <c r="Q2332" s="4">
        <v>1.22</v>
      </c>
      <c r="R2332" s="4">
        <v>2.08</v>
      </c>
      <c r="S2332" s="4">
        <v>0</v>
      </c>
      <c r="T2332" s="4">
        <v>0</v>
      </c>
      <c r="U2332" s="4">
        <v>163.69999999999999</v>
      </c>
      <c r="V2332" s="4">
        <v>142.22</v>
      </c>
      <c r="W2332" t="s">
        <v>21</v>
      </c>
      <c r="X2332" t="s">
        <v>36</v>
      </c>
      <c r="Y2332" s="4">
        <v>3</v>
      </c>
      <c r="Z2332" s="4">
        <v>4</v>
      </c>
      <c r="AA2332" t="s">
        <v>37</v>
      </c>
      <c r="AB2332" t="s">
        <v>38</v>
      </c>
      <c r="AC2332" s="7">
        <v>0</v>
      </c>
      <c r="AD2332" t="s">
        <v>39</v>
      </c>
      <c r="AE2332">
        <f t="shared" si="36"/>
        <v>0</v>
      </c>
    </row>
    <row r="2333" spans="1:31" x14ac:dyDescent="0.35">
      <c r="A2333">
        <v>102332</v>
      </c>
      <c r="B2333" s="3">
        <v>46012</v>
      </c>
      <c r="C2333">
        <v>1144</v>
      </c>
      <c r="D2333" t="s">
        <v>30</v>
      </c>
      <c r="E2333" t="s">
        <v>72</v>
      </c>
      <c r="F2333" t="s">
        <v>61</v>
      </c>
      <c r="G2333" t="s">
        <v>63</v>
      </c>
      <c r="H2333" t="s">
        <v>34</v>
      </c>
      <c r="I2333" t="s">
        <v>54</v>
      </c>
      <c r="J2333" s="4">
        <v>18.850000000000001</v>
      </c>
      <c r="K2333" s="4">
        <v>12.31</v>
      </c>
      <c r="L2333">
        <v>15</v>
      </c>
      <c r="M2333" s="4">
        <v>34.81</v>
      </c>
      <c r="N2333" s="4">
        <v>197.23</v>
      </c>
      <c r="O2333" s="4">
        <v>138.36000000000001</v>
      </c>
      <c r="P2333" s="4">
        <v>8.0299999999999994</v>
      </c>
      <c r="Q2333" s="4">
        <v>2.78</v>
      </c>
      <c r="R2333" s="4">
        <v>5.74</v>
      </c>
      <c r="S2333" s="4">
        <v>0</v>
      </c>
      <c r="T2333" s="4">
        <v>0</v>
      </c>
      <c r="U2333" s="4">
        <v>154.91</v>
      </c>
      <c r="V2333" s="4">
        <v>42.32</v>
      </c>
      <c r="W2333" t="s">
        <v>21</v>
      </c>
      <c r="X2333" t="s">
        <v>36</v>
      </c>
      <c r="Y2333" s="4">
        <v>18</v>
      </c>
      <c r="Z2333" s="4">
        <v>19</v>
      </c>
      <c r="AA2333" t="s">
        <v>52</v>
      </c>
      <c r="AB2333" t="s">
        <v>44</v>
      </c>
      <c r="AC2333" s="7">
        <v>2</v>
      </c>
      <c r="AD2333" t="s">
        <v>45</v>
      </c>
      <c r="AE2333">
        <f t="shared" si="36"/>
        <v>1</v>
      </c>
    </row>
    <row r="2334" spans="1:31" x14ac:dyDescent="0.35">
      <c r="A2334">
        <v>102333</v>
      </c>
      <c r="B2334" s="3">
        <v>45955</v>
      </c>
      <c r="C2334">
        <v>1095</v>
      </c>
      <c r="D2334" t="s">
        <v>59</v>
      </c>
      <c r="E2334" t="s">
        <v>68</v>
      </c>
      <c r="F2334" t="s">
        <v>32</v>
      </c>
      <c r="G2334" t="s">
        <v>50</v>
      </c>
      <c r="H2334" t="s">
        <v>51</v>
      </c>
      <c r="I2334" t="s">
        <v>35</v>
      </c>
      <c r="J2334" s="4">
        <v>36.74</v>
      </c>
      <c r="K2334" s="4">
        <v>17.149999999999999</v>
      </c>
      <c r="L2334">
        <v>20</v>
      </c>
      <c r="M2334" s="4">
        <v>126.02</v>
      </c>
      <c r="N2334" s="4">
        <v>504.07</v>
      </c>
      <c r="O2334" s="4">
        <v>287.23</v>
      </c>
      <c r="P2334" s="4">
        <v>8.1199999999999992</v>
      </c>
      <c r="Q2334" s="4">
        <v>4.41</v>
      </c>
      <c r="R2334" s="4">
        <v>12.58</v>
      </c>
      <c r="S2334" s="4">
        <v>0</v>
      </c>
      <c r="T2334" s="4">
        <v>0</v>
      </c>
      <c r="U2334" s="4">
        <v>312.33999999999997</v>
      </c>
      <c r="V2334" s="4">
        <v>191.73</v>
      </c>
      <c r="W2334" t="s">
        <v>21</v>
      </c>
      <c r="X2334" t="s">
        <v>36</v>
      </c>
      <c r="Y2334" s="4">
        <v>27</v>
      </c>
      <c r="Z2334" s="4">
        <v>9</v>
      </c>
      <c r="AA2334" t="s">
        <v>52</v>
      </c>
      <c r="AB2334" t="s">
        <v>44</v>
      </c>
      <c r="AC2334" s="7">
        <v>1</v>
      </c>
      <c r="AD2334" t="s">
        <v>45</v>
      </c>
      <c r="AE2334">
        <f t="shared" si="36"/>
        <v>1</v>
      </c>
    </row>
    <row r="2335" spans="1:31" x14ac:dyDescent="0.35">
      <c r="A2335">
        <v>102334</v>
      </c>
      <c r="B2335" s="3">
        <v>45981</v>
      </c>
      <c r="C2335">
        <v>1079</v>
      </c>
      <c r="D2335" t="s">
        <v>64</v>
      </c>
      <c r="E2335" t="s">
        <v>65</v>
      </c>
      <c r="F2335" t="s">
        <v>41</v>
      </c>
      <c r="G2335" t="s">
        <v>33</v>
      </c>
      <c r="H2335" t="s">
        <v>34</v>
      </c>
      <c r="I2335" t="s">
        <v>35</v>
      </c>
      <c r="J2335" s="4">
        <v>22.7</v>
      </c>
      <c r="K2335" s="4">
        <v>18.53</v>
      </c>
      <c r="L2335">
        <v>10</v>
      </c>
      <c r="M2335" s="4">
        <v>42.06</v>
      </c>
      <c r="N2335" s="4">
        <v>378.57</v>
      </c>
      <c r="O2335" s="4">
        <v>213.45</v>
      </c>
      <c r="P2335" s="4">
        <v>6.46</v>
      </c>
      <c r="Q2335" s="4">
        <v>2.94</v>
      </c>
      <c r="R2335" s="4">
        <v>1.57</v>
      </c>
      <c r="S2335" s="4">
        <v>0</v>
      </c>
      <c r="T2335" s="4">
        <v>0</v>
      </c>
      <c r="U2335" s="4">
        <v>224.42</v>
      </c>
      <c r="V2335" s="4">
        <v>154.15</v>
      </c>
      <c r="W2335" t="s">
        <v>21</v>
      </c>
      <c r="X2335" t="s">
        <v>36</v>
      </c>
      <c r="Y2335" s="4">
        <v>9</v>
      </c>
      <c r="Z2335" s="4">
        <v>6</v>
      </c>
      <c r="AA2335" t="s">
        <v>37</v>
      </c>
      <c r="AB2335" t="s">
        <v>38</v>
      </c>
      <c r="AC2335" s="7">
        <v>0</v>
      </c>
      <c r="AD2335" t="s">
        <v>39</v>
      </c>
      <c r="AE2335">
        <f t="shared" si="36"/>
        <v>0</v>
      </c>
    </row>
    <row r="2336" spans="1:31" x14ac:dyDescent="0.35">
      <c r="A2336">
        <v>102335</v>
      </c>
      <c r="B2336" s="3">
        <v>45980</v>
      </c>
      <c r="C2336">
        <v>1116</v>
      </c>
      <c r="D2336" t="s">
        <v>59</v>
      </c>
      <c r="E2336" t="s">
        <v>68</v>
      </c>
      <c r="F2336" t="s">
        <v>49</v>
      </c>
      <c r="G2336" t="s">
        <v>63</v>
      </c>
      <c r="H2336" t="s">
        <v>34</v>
      </c>
      <c r="I2336" t="s">
        <v>35</v>
      </c>
      <c r="J2336" s="4">
        <v>22.95</v>
      </c>
      <c r="K2336" s="4">
        <v>11.95</v>
      </c>
      <c r="L2336">
        <v>10</v>
      </c>
      <c r="M2336" s="4">
        <v>27.42</v>
      </c>
      <c r="N2336" s="4">
        <v>246.83</v>
      </c>
      <c r="O2336" s="4">
        <v>149.88</v>
      </c>
      <c r="P2336" s="4">
        <v>10.35</v>
      </c>
      <c r="Q2336" s="4">
        <v>1.92</v>
      </c>
      <c r="R2336" s="4">
        <v>9.3800000000000008</v>
      </c>
      <c r="S2336" s="4">
        <v>0</v>
      </c>
      <c r="T2336" s="4">
        <v>0</v>
      </c>
      <c r="U2336" s="4">
        <v>171.53</v>
      </c>
      <c r="V2336" s="4">
        <v>75.3</v>
      </c>
      <c r="W2336" t="s">
        <v>21</v>
      </c>
      <c r="X2336" t="s">
        <v>36</v>
      </c>
      <c r="Y2336" s="4">
        <v>2</v>
      </c>
      <c r="Z2336" s="4">
        <v>51</v>
      </c>
      <c r="AA2336" t="s">
        <v>37</v>
      </c>
      <c r="AB2336" t="s">
        <v>44</v>
      </c>
      <c r="AC2336" s="7">
        <v>1</v>
      </c>
      <c r="AD2336" t="s">
        <v>45</v>
      </c>
      <c r="AE2336">
        <f t="shared" si="36"/>
        <v>1</v>
      </c>
    </row>
    <row r="2337" spans="1:31" x14ac:dyDescent="0.35">
      <c r="A2337">
        <v>102336</v>
      </c>
      <c r="B2337" s="3">
        <v>45938</v>
      </c>
      <c r="C2337">
        <v>1019</v>
      </c>
      <c r="D2337" t="s">
        <v>30</v>
      </c>
      <c r="E2337" t="s">
        <v>62</v>
      </c>
      <c r="F2337" t="s">
        <v>71</v>
      </c>
      <c r="G2337" t="s">
        <v>46</v>
      </c>
      <c r="H2337" t="s">
        <v>34</v>
      </c>
      <c r="I2337" t="s">
        <v>42</v>
      </c>
      <c r="J2337" s="4">
        <v>36.51</v>
      </c>
      <c r="K2337" s="4">
        <v>15.39</v>
      </c>
      <c r="L2337">
        <v>5</v>
      </c>
      <c r="M2337" s="4">
        <v>28.09</v>
      </c>
      <c r="N2337" s="4">
        <v>533.79999999999995</v>
      </c>
      <c r="O2337" s="4">
        <v>214.16</v>
      </c>
      <c r="P2337" s="4">
        <v>6.26</v>
      </c>
      <c r="Q2337" s="4">
        <v>8.43</v>
      </c>
      <c r="R2337" s="4">
        <v>7.05</v>
      </c>
      <c r="S2337" s="4">
        <v>453.34</v>
      </c>
      <c r="T2337" s="4">
        <v>0</v>
      </c>
      <c r="U2337" s="4">
        <v>689.24</v>
      </c>
      <c r="V2337" s="4">
        <v>-155.44</v>
      </c>
      <c r="W2337" t="s">
        <v>58</v>
      </c>
      <c r="X2337" t="s">
        <v>66</v>
      </c>
      <c r="Y2337" s="4">
        <v>4</v>
      </c>
      <c r="Z2337" s="4">
        <v>2</v>
      </c>
      <c r="AA2337" t="s">
        <v>37</v>
      </c>
      <c r="AB2337" t="s">
        <v>38</v>
      </c>
      <c r="AC2337" s="7">
        <v>3</v>
      </c>
      <c r="AD2337" t="s">
        <v>45</v>
      </c>
      <c r="AE2337">
        <f t="shared" si="36"/>
        <v>0</v>
      </c>
    </row>
    <row r="2338" spans="1:31" x14ac:dyDescent="0.35">
      <c r="A2338">
        <v>102337</v>
      </c>
      <c r="B2338" s="3">
        <v>45999</v>
      </c>
      <c r="C2338">
        <v>1065</v>
      </c>
      <c r="D2338" t="s">
        <v>30</v>
      </c>
      <c r="E2338" t="s">
        <v>62</v>
      </c>
      <c r="F2338" t="s">
        <v>71</v>
      </c>
      <c r="G2338" t="s">
        <v>33</v>
      </c>
      <c r="H2338" t="s">
        <v>51</v>
      </c>
      <c r="I2338" t="s">
        <v>35</v>
      </c>
      <c r="J2338" s="4">
        <v>35.61</v>
      </c>
      <c r="K2338" s="4">
        <v>21.54</v>
      </c>
      <c r="L2338">
        <v>0</v>
      </c>
      <c r="M2338" s="4">
        <v>0</v>
      </c>
      <c r="N2338" s="4">
        <v>767.04</v>
      </c>
      <c r="O2338" s="4">
        <v>214.54</v>
      </c>
      <c r="P2338" s="4">
        <v>8.73</v>
      </c>
      <c r="Q2338" s="4">
        <v>5.37</v>
      </c>
      <c r="R2338" s="4">
        <v>10.86</v>
      </c>
      <c r="S2338" s="4">
        <v>0</v>
      </c>
      <c r="T2338" s="4">
        <v>0</v>
      </c>
      <c r="U2338" s="4">
        <v>239.5</v>
      </c>
      <c r="V2338" s="4">
        <v>527.54</v>
      </c>
      <c r="W2338" t="s">
        <v>21</v>
      </c>
      <c r="X2338" t="s">
        <v>36</v>
      </c>
      <c r="Y2338" s="4">
        <v>1</v>
      </c>
      <c r="Z2338" s="4">
        <v>9</v>
      </c>
      <c r="AA2338" t="s">
        <v>37</v>
      </c>
      <c r="AB2338" t="s">
        <v>38</v>
      </c>
      <c r="AC2338" s="7">
        <v>0</v>
      </c>
      <c r="AD2338" t="s">
        <v>39</v>
      </c>
      <c r="AE2338">
        <f t="shared" si="36"/>
        <v>0</v>
      </c>
    </row>
    <row r="2339" spans="1:31" x14ac:dyDescent="0.35">
      <c r="A2339">
        <v>102338</v>
      </c>
      <c r="B2339" s="3">
        <v>45976</v>
      </c>
      <c r="C2339">
        <v>1014</v>
      </c>
      <c r="D2339" t="s">
        <v>64</v>
      </c>
      <c r="E2339" t="s">
        <v>76</v>
      </c>
      <c r="F2339" t="s">
        <v>71</v>
      </c>
      <c r="G2339" t="s">
        <v>50</v>
      </c>
      <c r="H2339" t="s">
        <v>57</v>
      </c>
      <c r="I2339" t="s">
        <v>54</v>
      </c>
      <c r="J2339" s="4">
        <v>36.590000000000003</v>
      </c>
      <c r="K2339" s="4">
        <v>18</v>
      </c>
      <c r="L2339">
        <v>10</v>
      </c>
      <c r="M2339" s="4">
        <v>65.86</v>
      </c>
      <c r="N2339" s="4">
        <v>592.76</v>
      </c>
      <c r="O2339" s="4">
        <v>249.9</v>
      </c>
      <c r="P2339" s="4">
        <v>11.48</v>
      </c>
      <c r="Q2339" s="4">
        <v>7.9</v>
      </c>
      <c r="R2339" s="4">
        <v>7.67</v>
      </c>
      <c r="S2339" s="4">
        <v>0</v>
      </c>
      <c r="T2339" s="4">
        <v>0</v>
      </c>
      <c r="U2339" s="4">
        <v>276.95</v>
      </c>
      <c r="V2339" s="4">
        <v>315.81</v>
      </c>
      <c r="W2339" t="s">
        <v>21</v>
      </c>
      <c r="X2339" t="s">
        <v>36</v>
      </c>
      <c r="Y2339" s="4">
        <v>0</v>
      </c>
      <c r="Z2339" s="4">
        <v>20</v>
      </c>
      <c r="AA2339" t="s">
        <v>37</v>
      </c>
      <c r="AB2339" t="s">
        <v>44</v>
      </c>
      <c r="AC2339" s="7">
        <v>2</v>
      </c>
      <c r="AD2339" t="s">
        <v>45</v>
      </c>
      <c r="AE2339">
        <f t="shared" si="36"/>
        <v>1</v>
      </c>
    </row>
    <row r="2340" spans="1:31" x14ac:dyDescent="0.35">
      <c r="A2340">
        <v>102339</v>
      </c>
      <c r="B2340" s="3">
        <v>45989</v>
      </c>
      <c r="C2340">
        <v>1094</v>
      </c>
      <c r="D2340" t="s">
        <v>64</v>
      </c>
      <c r="E2340" t="s">
        <v>65</v>
      </c>
      <c r="F2340" t="s">
        <v>32</v>
      </c>
      <c r="G2340" t="s">
        <v>63</v>
      </c>
      <c r="H2340" t="s">
        <v>34</v>
      </c>
      <c r="I2340" t="s">
        <v>54</v>
      </c>
      <c r="J2340" s="4">
        <v>15.84</v>
      </c>
      <c r="K2340" s="4">
        <v>12.54</v>
      </c>
      <c r="L2340">
        <v>0</v>
      </c>
      <c r="M2340" s="4">
        <v>0</v>
      </c>
      <c r="N2340" s="4">
        <v>198.63</v>
      </c>
      <c r="O2340" s="4">
        <v>103.56</v>
      </c>
      <c r="P2340" s="4">
        <v>2.2799999999999998</v>
      </c>
      <c r="Q2340" s="4">
        <v>2.38</v>
      </c>
      <c r="R2340" s="4">
        <v>0.61</v>
      </c>
      <c r="S2340" s="4">
        <v>0</v>
      </c>
      <c r="T2340" s="4">
        <v>0</v>
      </c>
      <c r="U2340" s="4">
        <v>108.83</v>
      </c>
      <c r="V2340" s="4">
        <v>89.8</v>
      </c>
      <c r="W2340" t="s">
        <v>21</v>
      </c>
      <c r="X2340" t="s">
        <v>36</v>
      </c>
      <c r="Y2340" s="4">
        <v>5</v>
      </c>
      <c r="Z2340" s="4">
        <v>17</v>
      </c>
      <c r="AA2340" t="s">
        <v>37</v>
      </c>
      <c r="AB2340" t="s">
        <v>44</v>
      </c>
      <c r="AC2340" s="7">
        <v>1</v>
      </c>
      <c r="AD2340" t="s">
        <v>45</v>
      </c>
      <c r="AE2340">
        <f t="shared" si="36"/>
        <v>1</v>
      </c>
    </row>
    <row r="2341" spans="1:31" x14ac:dyDescent="0.35">
      <c r="A2341">
        <v>102340</v>
      </c>
      <c r="B2341" s="3">
        <v>45950</v>
      </c>
      <c r="C2341">
        <v>1146</v>
      </c>
      <c r="D2341" t="s">
        <v>59</v>
      </c>
      <c r="E2341" t="s">
        <v>70</v>
      </c>
      <c r="F2341" t="s">
        <v>71</v>
      </c>
      <c r="G2341" t="s">
        <v>63</v>
      </c>
      <c r="H2341" t="s">
        <v>34</v>
      </c>
      <c r="I2341" t="s">
        <v>54</v>
      </c>
      <c r="J2341" s="4">
        <v>20.11</v>
      </c>
      <c r="K2341" s="4">
        <v>13.09</v>
      </c>
      <c r="L2341">
        <v>10</v>
      </c>
      <c r="M2341" s="4">
        <v>26.32</v>
      </c>
      <c r="N2341" s="4">
        <v>236.92</v>
      </c>
      <c r="O2341" s="4">
        <v>145.94</v>
      </c>
      <c r="P2341" s="4">
        <v>9.5299999999999994</v>
      </c>
      <c r="Q2341" s="4">
        <v>3.16</v>
      </c>
      <c r="R2341" s="4">
        <v>8.0500000000000007</v>
      </c>
      <c r="S2341" s="4">
        <v>0</v>
      </c>
      <c r="T2341" s="4">
        <v>0</v>
      </c>
      <c r="U2341" s="4">
        <v>166.68</v>
      </c>
      <c r="V2341" s="4">
        <v>70.239999999999995</v>
      </c>
      <c r="W2341" t="s">
        <v>21</v>
      </c>
      <c r="X2341" t="s">
        <v>36</v>
      </c>
      <c r="Y2341" s="4">
        <v>4</v>
      </c>
      <c r="Z2341" s="4">
        <v>7</v>
      </c>
      <c r="AA2341" t="s">
        <v>37</v>
      </c>
      <c r="AB2341" t="s">
        <v>38</v>
      </c>
      <c r="AC2341" s="7">
        <v>1</v>
      </c>
      <c r="AD2341" t="s">
        <v>39</v>
      </c>
      <c r="AE2341">
        <f t="shared" si="36"/>
        <v>0</v>
      </c>
    </row>
    <row r="2342" spans="1:31" x14ac:dyDescent="0.35">
      <c r="A2342">
        <v>102341</v>
      </c>
      <c r="B2342" s="3">
        <v>45966</v>
      </c>
      <c r="C2342">
        <v>1049</v>
      </c>
      <c r="D2342" t="s">
        <v>30</v>
      </c>
      <c r="E2342" t="s">
        <v>40</v>
      </c>
      <c r="F2342" t="s">
        <v>41</v>
      </c>
      <c r="G2342" t="s">
        <v>63</v>
      </c>
      <c r="H2342" t="s">
        <v>57</v>
      </c>
      <c r="I2342" t="s">
        <v>35</v>
      </c>
      <c r="J2342" s="4">
        <v>10.85</v>
      </c>
      <c r="K2342" s="4">
        <v>12.81</v>
      </c>
      <c r="L2342">
        <v>10</v>
      </c>
      <c r="M2342" s="4">
        <v>13.9</v>
      </c>
      <c r="N2342" s="4">
        <v>125.09</v>
      </c>
      <c r="O2342" s="4">
        <v>77.739999999999995</v>
      </c>
      <c r="P2342" s="4">
        <v>9.73</v>
      </c>
      <c r="Q2342" s="4">
        <v>0.97</v>
      </c>
      <c r="R2342" s="4">
        <v>2.0699999999999998</v>
      </c>
      <c r="S2342" s="4">
        <v>0</v>
      </c>
      <c r="T2342" s="4">
        <v>0</v>
      </c>
      <c r="U2342" s="4">
        <v>90.51</v>
      </c>
      <c r="V2342" s="4">
        <v>34.58</v>
      </c>
      <c r="W2342" t="s">
        <v>21</v>
      </c>
      <c r="X2342" t="s">
        <v>36</v>
      </c>
      <c r="Y2342" s="4">
        <v>10</v>
      </c>
      <c r="Z2342" s="4">
        <v>6</v>
      </c>
      <c r="AA2342" t="s">
        <v>37</v>
      </c>
      <c r="AB2342" t="s">
        <v>38</v>
      </c>
      <c r="AC2342" s="7">
        <v>0</v>
      </c>
      <c r="AD2342" t="s">
        <v>39</v>
      </c>
      <c r="AE2342">
        <f t="shared" si="36"/>
        <v>0</v>
      </c>
    </row>
    <row r="2343" spans="1:31" x14ac:dyDescent="0.35">
      <c r="A2343">
        <v>102342</v>
      </c>
      <c r="B2343" s="3">
        <v>45980</v>
      </c>
      <c r="C2343">
        <v>1079</v>
      </c>
      <c r="D2343" t="s">
        <v>30</v>
      </c>
      <c r="E2343" t="s">
        <v>40</v>
      </c>
      <c r="F2343" t="s">
        <v>32</v>
      </c>
      <c r="G2343" t="s">
        <v>63</v>
      </c>
      <c r="H2343" t="s">
        <v>51</v>
      </c>
      <c r="I2343" t="s">
        <v>69</v>
      </c>
      <c r="J2343" s="4">
        <v>7.16</v>
      </c>
      <c r="K2343" s="4">
        <v>12.55</v>
      </c>
      <c r="L2343">
        <v>5</v>
      </c>
      <c r="M2343" s="4">
        <v>4.49</v>
      </c>
      <c r="N2343" s="4">
        <v>85.37</v>
      </c>
      <c r="O2343" s="4">
        <v>51.16</v>
      </c>
      <c r="P2343" s="4">
        <v>7.3</v>
      </c>
      <c r="Q2343" s="4">
        <v>0.36</v>
      </c>
      <c r="R2343" s="4">
        <v>0</v>
      </c>
      <c r="S2343" s="4">
        <v>0</v>
      </c>
      <c r="T2343" s="4">
        <v>0</v>
      </c>
      <c r="U2343" s="4">
        <v>58.82</v>
      </c>
      <c r="V2343" s="4">
        <v>26.55</v>
      </c>
      <c r="W2343" t="s">
        <v>21</v>
      </c>
      <c r="X2343" t="s">
        <v>36</v>
      </c>
      <c r="Y2343" s="4">
        <v>10</v>
      </c>
      <c r="Z2343" s="4">
        <v>3</v>
      </c>
      <c r="AA2343" t="s">
        <v>37</v>
      </c>
      <c r="AB2343" t="s">
        <v>38</v>
      </c>
      <c r="AC2343" s="7">
        <v>0</v>
      </c>
      <c r="AD2343" t="s">
        <v>39</v>
      </c>
      <c r="AE2343">
        <f t="shared" si="36"/>
        <v>0</v>
      </c>
    </row>
    <row r="2344" spans="1:31" x14ac:dyDescent="0.35">
      <c r="A2344">
        <v>102343</v>
      </c>
      <c r="B2344" s="3">
        <v>46007</v>
      </c>
      <c r="C2344">
        <v>1054</v>
      </c>
      <c r="D2344" t="s">
        <v>59</v>
      </c>
      <c r="E2344" t="s">
        <v>73</v>
      </c>
      <c r="F2344" t="s">
        <v>32</v>
      </c>
      <c r="G2344" t="s">
        <v>33</v>
      </c>
      <c r="H2344" t="s">
        <v>34</v>
      </c>
      <c r="I2344" t="s">
        <v>35</v>
      </c>
      <c r="J2344" s="4">
        <v>21.37</v>
      </c>
      <c r="K2344" s="4">
        <v>19.66</v>
      </c>
      <c r="L2344">
        <v>10</v>
      </c>
      <c r="M2344" s="4">
        <v>42.01</v>
      </c>
      <c r="N2344" s="4">
        <v>378.12</v>
      </c>
      <c r="O2344" s="4">
        <v>146.52000000000001</v>
      </c>
      <c r="P2344" s="4">
        <v>13.3</v>
      </c>
      <c r="Q2344" s="4">
        <v>2.94</v>
      </c>
      <c r="R2344" s="4">
        <v>9.1300000000000008</v>
      </c>
      <c r="S2344" s="4">
        <v>0</v>
      </c>
      <c r="T2344" s="4">
        <v>0</v>
      </c>
      <c r="U2344" s="4">
        <v>171.89</v>
      </c>
      <c r="V2344" s="4">
        <v>206.23</v>
      </c>
      <c r="W2344" t="s">
        <v>21</v>
      </c>
      <c r="X2344" t="s">
        <v>36</v>
      </c>
      <c r="Y2344" s="4">
        <v>22</v>
      </c>
      <c r="Z2344" s="4">
        <v>9</v>
      </c>
      <c r="AA2344" t="s">
        <v>52</v>
      </c>
      <c r="AB2344" t="s">
        <v>44</v>
      </c>
      <c r="AC2344" s="7">
        <v>1</v>
      </c>
      <c r="AD2344" t="s">
        <v>45</v>
      </c>
      <c r="AE2344">
        <f t="shared" si="36"/>
        <v>1</v>
      </c>
    </row>
    <row r="2345" spans="1:31" x14ac:dyDescent="0.35">
      <c r="A2345">
        <v>102344</v>
      </c>
      <c r="B2345" s="3">
        <v>45971</v>
      </c>
      <c r="C2345">
        <v>1139</v>
      </c>
      <c r="D2345" t="s">
        <v>64</v>
      </c>
      <c r="E2345" t="s">
        <v>75</v>
      </c>
      <c r="F2345" t="s">
        <v>32</v>
      </c>
      <c r="G2345" t="s">
        <v>46</v>
      </c>
      <c r="H2345" t="s">
        <v>51</v>
      </c>
      <c r="I2345" t="s">
        <v>54</v>
      </c>
      <c r="J2345" s="4">
        <v>29.55</v>
      </c>
      <c r="K2345" s="4">
        <v>15.88</v>
      </c>
      <c r="L2345">
        <v>10</v>
      </c>
      <c r="M2345" s="4">
        <v>46.92</v>
      </c>
      <c r="N2345" s="4">
        <v>422.33</v>
      </c>
      <c r="O2345" s="4">
        <v>221.54</v>
      </c>
      <c r="P2345" s="4">
        <v>7.34</v>
      </c>
      <c r="Q2345" s="4">
        <v>5.63</v>
      </c>
      <c r="R2345" s="4">
        <v>6.17</v>
      </c>
      <c r="S2345" s="4">
        <v>0</v>
      </c>
      <c r="T2345" s="4">
        <v>0</v>
      </c>
      <c r="U2345" s="4">
        <v>240.68</v>
      </c>
      <c r="V2345" s="4">
        <v>181.65</v>
      </c>
      <c r="W2345" t="s">
        <v>21</v>
      </c>
      <c r="X2345" t="s">
        <v>36</v>
      </c>
      <c r="Y2345" s="4">
        <v>5</v>
      </c>
      <c r="Z2345" s="4">
        <v>2</v>
      </c>
      <c r="AA2345" t="s">
        <v>37</v>
      </c>
      <c r="AB2345" t="s">
        <v>38</v>
      </c>
      <c r="AC2345" s="7">
        <v>0</v>
      </c>
      <c r="AD2345" t="s">
        <v>39</v>
      </c>
      <c r="AE2345">
        <f t="shared" si="36"/>
        <v>0</v>
      </c>
    </row>
    <row r="2346" spans="1:31" x14ac:dyDescent="0.35">
      <c r="A2346">
        <v>102345</v>
      </c>
      <c r="B2346" s="3">
        <v>45935</v>
      </c>
      <c r="C2346">
        <v>1005</v>
      </c>
      <c r="D2346" t="s">
        <v>30</v>
      </c>
      <c r="E2346" t="s">
        <v>72</v>
      </c>
      <c r="F2346" t="s">
        <v>61</v>
      </c>
      <c r="G2346" t="s">
        <v>46</v>
      </c>
      <c r="H2346" t="s">
        <v>34</v>
      </c>
      <c r="I2346" t="s">
        <v>42</v>
      </c>
      <c r="J2346" s="4">
        <v>37.56</v>
      </c>
      <c r="K2346" s="4">
        <v>14.79</v>
      </c>
      <c r="L2346">
        <v>10</v>
      </c>
      <c r="M2346" s="4">
        <v>55.55</v>
      </c>
      <c r="N2346" s="4">
        <v>499.96</v>
      </c>
      <c r="O2346" s="4">
        <v>282.37</v>
      </c>
      <c r="P2346" s="4">
        <v>9.4600000000000009</v>
      </c>
      <c r="Q2346" s="4">
        <v>8.33</v>
      </c>
      <c r="R2346" s="4">
        <v>3.49</v>
      </c>
      <c r="S2346" s="4">
        <v>0</v>
      </c>
      <c r="T2346" s="4">
        <v>0</v>
      </c>
      <c r="U2346" s="4">
        <v>303.64999999999998</v>
      </c>
      <c r="V2346" s="4">
        <v>196.31</v>
      </c>
      <c r="W2346" t="s">
        <v>21</v>
      </c>
      <c r="X2346" t="s">
        <v>36</v>
      </c>
      <c r="Y2346" s="4">
        <v>65</v>
      </c>
      <c r="Z2346" s="4">
        <v>20</v>
      </c>
      <c r="AA2346" t="s">
        <v>43</v>
      </c>
      <c r="AB2346" t="s">
        <v>44</v>
      </c>
      <c r="AC2346" s="7">
        <v>2</v>
      </c>
      <c r="AD2346" t="s">
        <v>45</v>
      </c>
      <c r="AE2346">
        <f t="shared" si="36"/>
        <v>1</v>
      </c>
    </row>
    <row r="2347" spans="1:31" x14ac:dyDescent="0.35">
      <c r="A2347">
        <v>102346</v>
      </c>
      <c r="B2347" s="3">
        <v>45949</v>
      </c>
      <c r="C2347">
        <v>1092</v>
      </c>
      <c r="D2347" t="s">
        <v>47</v>
      </c>
      <c r="E2347" t="s">
        <v>74</v>
      </c>
      <c r="F2347" t="s">
        <v>61</v>
      </c>
      <c r="G2347" t="s">
        <v>63</v>
      </c>
      <c r="H2347" t="s">
        <v>34</v>
      </c>
      <c r="I2347" t="s">
        <v>54</v>
      </c>
      <c r="J2347" s="4">
        <v>20.22</v>
      </c>
      <c r="K2347" s="4">
        <v>12.89</v>
      </c>
      <c r="L2347">
        <v>0</v>
      </c>
      <c r="M2347" s="4">
        <v>0</v>
      </c>
      <c r="N2347" s="4">
        <v>260.64</v>
      </c>
      <c r="O2347" s="4">
        <v>115.83</v>
      </c>
      <c r="P2347" s="4">
        <v>10.6</v>
      </c>
      <c r="Q2347" s="4">
        <v>3.13</v>
      </c>
      <c r="R2347" s="4">
        <v>7.42</v>
      </c>
      <c r="S2347" s="4">
        <v>0</v>
      </c>
      <c r="T2347" s="4">
        <v>0</v>
      </c>
      <c r="U2347" s="4">
        <v>136.97999999999999</v>
      </c>
      <c r="V2347" s="4">
        <v>123.66</v>
      </c>
      <c r="W2347" t="s">
        <v>21</v>
      </c>
      <c r="X2347" t="s">
        <v>36</v>
      </c>
      <c r="Y2347" s="4">
        <v>8</v>
      </c>
      <c r="Z2347" s="4">
        <v>8</v>
      </c>
      <c r="AA2347" t="s">
        <v>37</v>
      </c>
      <c r="AB2347" t="s">
        <v>38</v>
      </c>
      <c r="AC2347" s="7">
        <v>0</v>
      </c>
      <c r="AD2347" t="s">
        <v>39</v>
      </c>
      <c r="AE2347">
        <f t="shared" si="36"/>
        <v>0</v>
      </c>
    </row>
    <row r="2348" spans="1:31" x14ac:dyDescent="0.35">
      <c r="A2348">
        <v>102347</v>
      </c>
      <c r="B2348" s="3">
        <v>45962</v>
      </c>
      <c r="C2348">
        <v>1113</v>
      </c>
      <c r="D2348" t="s">
        <v>59</v>
      </c>
      <c r="E2348" t="s">
        <v>68</v>
      </c>
      <c r="F2348" t="s">
        <v>61</v>
      </c>
      <c r="G2348" t="s">
        <v>46</v>
      </c>
      <c r="H2348" t="s">
        <v>34</v>
      </c>
      <c r="I2348" t="s">
        <v>35</v>
      </c>
      <c r="J2348" s="4">
        <v>35.049999999999997</v>
      </c>
      <c r="K2348" s="4">
        <v>15.21</v>
      </c>
      <c r="L2348">
        <v>10</v>
      </c>
      <c r="M2348" s="4">
        <v>53.31</v>
      </c>
      <c r="N2348" s="4">
        <v>479.8</v>
      </c>
      <c r="O2348" s="4">
        <v>248.46</v>
      </c>
      <c r="P2348" s="4">
        <v>6.76</v>
      </c>
      <c r="Q2348" s="4">
        <v>3.73</v>
      </c>
      <c r="R2348" s="4">
        <v>8.86</v>
      </c>
      <c r="S2348" s="4">
        <v>0</v>
      </c>
      <c r="T2348" s="4">
        <v>0</v>
      </c>
      <c r="U2348" s="4">
        <v>267.81</v>
      </c>
      <c r="V2348" s="4">
        <v>211.99</v>
      </c>
      <c r="W2348" t="s">
        <v>21</v>
      </c>
      <c r="X2348" t="s">
        <v>36</v>
      </c>
      <c r="Y2348" s="4">
        <v>4</v>
      </c>
      <c r="Z2348" s="4">
        <v>8</v>
      </c>
      <c r="AA2348" t="s">
        <v>37</v>
      </c>
      <c r="AB2348" t="s">
        <v>38</v>
      </c>
      <c r="AC2348" s="7">
        <v>0</v>
      </c>
      <c r="AD2348" t="s">
        <v>39</v>
      </c>
      <c r="AE2348">
        <f t="shared" si="36"/>
        <v>0</v>
      </c>
    </row>
    <row r="2349" spans="1:31" x14ac:dyDescent="0.35">
      <c r="A2349">
        <v>102348</v>
      </c>
      <c r="B2349" s="3">
        <v>45977</v>
      </c>
      <c r="C2349">
        <v>1094</v>
      </c>
      <c r="D2349" t="s">
        <v>47</v>
      </c>
      <c r="E2349" t="s">
        <v>56</v>
      </c>
      <c r="F2349" t="s">
        <v>49</v>
      </c>
      <c r="G2349" t="s">
        <v>46</v>
      </c>
      <c r="H2349" t="s">
        <v>51</v>
      </c>
      <c r="I2349" t="s">
        <v>54</v>
      </c>
      <c r="J2349" s="4">
        <v>34.54</v>
      </c>
      <c r="K2349" s="4">
        <v>14.96</v>
      </c>
      <c r="L2349">
        <v>0</v>
      </c>
      <c r="M2349" s="4">
        <v>0</v>
      </c>
      <c r="N2349" s="4">
        <v>516.72</v>
      </c>
      <c r="O2349" s="4">
        <v>273.41000000000003</v>
      </c>
      <c r="P2349" s="4">
        <v>12.28</v>
      </c>
      <c r="Q2349" s="4">
        <v>6.2</v>
      </c>
      <c r="R2349" s="4">
        <v>0</v>
      </c>
      <c r="S2349" s="4">
        <v>0</v>
      </c>
      <c r="T2349" s="4">
        <v>0</v>
      </c>
      <c r="U2349" s="4">
        <v>291.89</v>
      </c>
      <c r="V2349" s="4">
        <v>224.83</v>
      </c>
      <c r="W2349" t="s">
        <v>21</v>
      </c>
      <c r="X2349" t="s">
        <v>36</v>
      </c>
      <c r="Y2349" s="4">
        <v>5</v>
      </c>
      <c r="Z2349" s="4">
        <v>2</v>
      </c>
      <c r="AA2349" t="s">
        <v>37</v>
      </c>
      <c r="AB2349" t="s">
        <v>38</v>
      </c>
      <c r="AC2349" s="7">
        <v>0</v>
      </c>
      <c r="AD2349" t="s">
        <v>39</v>
      </c>
      <c r="AE2349">
        <f t="shared" si="36"/>
        <v>0</v>
      </c>
    </row>
    <row r="2350" spans="1:31" x14ac:dyDescent="0.35">
      <c r="A2350">
        <v>102349</v>
      </c>
      <c r="B2350" s="3">
        <v>46003</v>
      </c>
      <c r="C2350">
        <v>1124</v>
      </c>
      <c r="D2350" t="s">
        <v>59</v>
      </c>
      <c r="E2350" t="s">
        <v>70</v>
      </c>
      <c r="F2350" t="s">
        <v>61</v>
      </c>
      <c r="G2350" t="s">
        <v>63</v>
      </c>
      <c r="H2350" t="s">
        <v>34</v>
      </c>
      <c r="I2350" t="s">
        <v>35</v>
      </c>
      <c r="J2350" s="4">
        <v>20.37</v>
      </c>
      <c r="K2350" s="4">
        <v>14.1</v>
      </c>
      <c r="L2350">
        <v>15</v>
      </c>
      <c r="M2350" s="4">
        <v>43.08</v>
      </c>
      <c r="N2350" s="4">
        <v>244.14</v>
      </c>
      <c r="O2350" s="4">
        <v>141.65</v>
      </c>
      <c r="P2350" s="4">
        <v>6.81</v>
      </c>
      <c r="Q2350" s="4">
        <v>2.0099999999999998</v>
      </c>
      <c r="R2350" s="4">
        <v>0</v>
      </c>
      <c r="S2350" s="4">
        <v>0</v>
      </c>
      <c r="T2350" s="4">
        <v>0</v>
      </c>
      <c r="U2350" s="4">
        <v>150.47</v>
      </c>
      <c r="V2350" s="4">
        <v>93.67</v>
      </c>
      <c r="W2350" t="s">
        <v>21</v>
      </c>
      <c r="X2350" t="s">
        <v>36</v>
      </c>
      <c r="Y2350" s="4">
        <v>15</v>
      </c>
      <c r="Z2350" s="4">
        <v>5</v>
      </c>
      <c r="AA2350" t="s">
        <v>37</v>
      </c>
      <c r="AB2350" t="s">
        <v>38</v>
      </c>
      <c r="AC2350" s="7">
        <v>0</v>
      </c>
      <c r="AD2350" t="s">
        <v>39</v>
      </c>
      <c r="AE2350">
        <f t="shared" si="36"/>
        <v>0</v>
      </c>
    </row>
    <row r="2351" spans="1:31" x14ac:dyDescent="0.35">
      <c r="A2351">
        <v>102350</v>
      </c>
      <c r="B2351" s="3">
        <v>45961</v>
      </c>
      <c r="C2351">
        <v>1007</v>
      </c>
      <c r="D2351" t="s">
        <v>59</v>
      </c>
      <c r="E2351" t="s">
        <v>70</v>
      </c>
      <c r="F2351" t="s">
        <v>41</v>
      </c>
      <c r="G2351" t="s">
        <v>33</v>
      </c>
      <c r="H2351" t="s">
        <v>57</v>
      </c>
      <c r="I2351" t="s">
        <v>69</v>
      </c>
      <c r="J2351" s="4">
        <v>35.909999999999997</v>
      </c>
      <c r="K2351" s="4">
        <v>19.48</v>
      </c>
      <c r="L2351">
        <v>0</v>
      </c>
      <c r="M2351" s="4">
        <v>0</v>
      </c>
      <c r="N2351" s="4">
        <v>699.53</v>
      </c>
      <c r="O2351" s="4">
        <v>294</v>
      </c>
      <c r="P2351" s="4">
        <v>5.58</v>
      </c>
      <c r="Q2351" s="4">
        <v>2.8</v>
      </c>
      <c r="R2351" s="4">
        <v>5.9</v>
      </c>
      <c r="S2351" s="4">
        <v>596.67999999999995</v>
      </c>
      <c r="T2351" s="4">
        <v>5.03</v>
      </c>
      <c r="U2351" s="4">
        <v>909.99</v>
      </c>
      <c r="V2351" s="4">
        <v>-210.46</v>
      </c>
      <c r="W2351" t="s">
        <v>58</v>
      </c>
      <c r="X2351" t="s">
        <v>55</v>
      </c>
      <c r="Y2351" s="4">
        <v>6</v>
      </c>
      <c r="Z2351" s="4">
        <v>0</v>
      </c>
      <c r="AA2351" t="s">
        <v>37</v>
      </c>
      <c r="AB2351" t="s">
        <v>44</v>
      </c>
      <c r="AC2351" s="7">
        <v>1</v>
      </c>
      <c r="AD2351" t="s">
        <v>45</v>
      </c>
      <c r="AE2351">
        <f t="shared" si="36"/>
        <v>1</v>
      </c>
    </row>
    <row r="2352" spans="1:31" x14ac:dyDescent="0.35">
      <c r="A2352">
        <v>102351</v>
      </c>
      <c r="B2352" s="3">
        <v>45986</v>
      </c>
      <c r="C2352">
        <v>1034</v>
      </c>
      <c r="D2352" t="s">
        <v>64</v>
      </c>
      <c r="E2352" t="s">
        <v>67</v>
      </c>
      <c r="F2352" t="s">
        <v>61</v>
      </c>
      <c r="G2352" t="s">
        <v>33</v>
      </c>
      <c r="H2352" t="s">
        <v>57</v>
      </c>
      <c r="I2352" t="s">
        <v>54</v>
      </c>
      <c r="J2352" s="4">
        <v>32.72</v>
      </c>
      <c r="K2352" s="4">
        <v>19.16</v>
      </c>
      <c r="L2352">
        <v>5</v>
      </c>
      <c r="M2352" s="4">
        <v>31.35</v>
      </c>
      <c r="N2352" s="4">
        <v>595.57000000000005</v>
      </c>
      <c r="O2352" s="4">
        <v>210.65</v>
      </c>
      <c r="P2352" s="4">
        <v>12.35</v>
      </c>
      <c r="Q2352" s="4">
        <v>7.52</v>
      </c>
      <c r="R2352" s="4">
        <v>6.23</v>
      </c>
      <c r="S2352" s="4">
        <v>0</v>
      </c>
      <c r="T2352" s="4">
        <v>0</v>
      </c>
      <c r="U2352" s="4">
        <v>236.75</v>
      </c>
      <c r="V2352" s="4">
        <v>358.82</v>
      </c>
      <c r="W2352" t="s">
        <v>21</v>
      </c>
      <c r="X2352" t="s">
        <v>36</v>
      </c>
      <c r="Y2352" s="4">
        <v>0</v>
      </c>
      <c r="Z2352" s="4">
        <v>1</v>
      </c>
      <c r="AA2352" t="s">
        <v>37</v>
      </c>
      <c r="AB2352" t="s">
        <v>38</v>
      </c>
      <c r="AC2352" s="7">
        <v>0</v>
      </c>
      <c r="AD2352" t="s">
        <v>39</v>
      </c>
      <c r="AE2352">
        <f t="shared" si="36"/>
        <v>0</v>
      </c>
    </row>
    <row r="2353" spans="1:31" x14ac:dyDescent="0.35">
      <c r="A2353">
        <v>102352</v>
      </c>
      <c r="B2353" s="3">
        <v>45963</v>
      </c>
      <c r="C2353">
        <v>1037</v>
      </c>
      <c r="D2353" t="s">
        <v>30</v>
      </c>
      <c r="E2353" t="s">
        <v>72</v>
      </c>
      <c r="F2353" t="s">
        <v>41</v>
      </c>
      <c r="G2353" t="s">
        <v>46</v>
      </c>
      <c r="H2353" t="s">
        <v>57</v>
      </c>
      <c r="I2353" t="s">
        <v>42</v>
      </c>
      <c r="J2353" s="4">
        <v>22.33</v>
      </c>
      <c r="K2353" s="4">
        <v>15.07</v>
      </c>
      <c r="L2353">
        <v>10</v>
      </c>
      <c r="M2353" s="4">
        <v>33.65</v>
      </c>
      <c r="N2353" s="4">
        <v>302.86</v>
      </c>
      <c r="O2353" s="4">
        <v>138.83000000000001</v>
      </c>
      <c r="P2353" s="4">
        <v>6.45</v>
      </c>
      <c r="Q2353" s="4">
        <v>5.05</v>
      </c>
      <c r="R2353" s="4">
        <v>2.6</v>
      </c>
      <c r="S2353" s="4">
        <v>0</v>
      </c>
      <c r="T2353" s="4">
        <v>0</v>
      </c>
      <c r="U2353" s="4">
        <v>152.93</v>
      </c>
      <c r="V2353" s="4">
        <v>149.93</v>
      </c>
      <c r="W2353" t="s">
        <v>21</v>
      </c>
      <c r="X2353" t="s">
        <v>36</v>
      </c>
      <c r="Y2353" s="4">
        <v>13</v>
      </c>
      <c r="Z2353" s="4">
        <v>24</v>
      </c>
      <c r="AA2353" t="s">
        <v>37</v>
      </c>
      <c r="AB2353" t="s">
        <v>44</v>
      </c>
      <c r="AC2353" s="7">
        <v>2</v>
      </c>
      <c r="AD2353" t="s">
        <v>45</v>
      </c>
      <c r="AE2353">
        <f t="shared" si="36"/>
        <v>1</v>
      </c>
    </row>
    <row r="2354" spans="1:31" x14ac:dyDescent="0.35">
      <c r="A2354">
        <v>102353</v>
      </c>
      <c r="B2354" s="3">
        <v>46010</v>
      </c>
      <c r="C2354">
        <v>1134</v>
      </c>
      <c r="D2354" t="s">
        <v>47</v>
      </c>
      <c r="E2354" t="s">
        <v>48</v>
      </c>
      <c r="F2354" t="s">
        <v>61</v>
      </c>
      <c r="G2354" t="s">
        <v>63</v>
      </c>
      <c r="H2354" t="s">
        <v>34</v>
      </c>
      <c r="I2354" t="s">
        <v>54</v>
      </c>
      <c r="J2354" s="4">
        <v>22.64</v>
      </c>
      <c r="K2354" s="4">
        <v>12.87</v>
      </c>
      <c r="L2354">
        <v>15</v>
      </c>
      <c r="M2354" s="4">
        <v>43.71</v>
      </c>
      <c r="N2354" s="4">
        <v>247.67</v>
      </c>
      <c r="O2354" s="4">
        <v>171.17</v>
      </c>
      <c r="P2354" s="4">
        <v>5.47</v>
      </c>
      <c r="Q2354" s="4">
        <v>3.5</v>
      </c>
      <c r="R2354" s="4">
        <v>2.61</v>
      </c>
      <c r="S2354" s="4">
        <v>0</v>
      </c>
      <c r="T2354" s="4">
        <v>0</v>
      </c>
      <c r="U2354" s="4">
        <v>182.75</v>
      </c>
      <c r="V2354" s="4">
        <v>64.92</v>
      </c>
      <c r="W2354" t="s">
        <v>21</v>
      </c>
      <c r="X2354" t="s">
        <v>36</v>
      </c>
      <c r="Y2354" s="4">
        <v>5</v>
      </c>
      <c r="Z2354" s="4">
        <v>11</v>
      </c>
      <c r="AA2354" t="s">
        <v>37</v>
      </c>
      <c r="AB2354" t="s">
        <v>38</v>
      </c>
      <c r="AC2354" s="7">
        <v>0</v>
      </c>
      <c r="AD2354" t="s">
        <v>39</v>
      </c>
      <c r="AE2354">
        <f t="shared" si="36"/>
        <v>0</v>
      </c>
    </row>
    <row r="2355" spans="1:31" x14ac:dyDescent="0.35">
      <c r="A2355">
        <v>102354</v>
      </c>
      <c r="B2355" s="3">
        <v>45936</v>
      </c>
      <c r="C2355">
        <v>1143</v>
      </c>
      <c r="D2355" t="s">
        <v>47</v>
      </c>
      <c r="E2355" t="s">
        <v>56</v>
      </c>
      <c r="F2355" t="s">
        <v>49</v>
      </c>
      <c r="G2355" t="s">
        <v>63</v>
      </c>
      <c r="H2355" t="s">
        <v>34</v>
      </c>
      <c r="I2355" t="s">
        <v>42</v>
      </c>
      <c r="J2355" s="4">
        <v>15.39</v>
      </c>
      <c r="K2355" s="4">
        <v>12.64</v>
      </c>
      <c r="L2355">
        <v>5</v>
      </c>
      <c r="M2355" s="4">
        <v>9.73</v>
      </c>
      <c r="N2355" s="4">
        <v>184.8</v>
      </c>
      <c r="O2355" s="4">
        <v>104.91</v>
      </c>
      <c r="P2355" s="4">
        <v>4.63</v>
      </c>
      <c r="Q2355" s="4">
        <v>2.92</v>
      </c>
      <c r="R2355" s="4">
        <v>4.97</v>
      </c>
      <c r="S2355" s="4">
        <v>0</v>
      </c>
      <c r="T2355" s="4">
        <v>0</v>
      </c>
      <c r="U2355" s="4">
        <v>117.43</v>
      </c>
      <c r="V2355" s="4">
        <v>67.37</v>
      </c>
      <c r="W2355" t="s">
        <v>21</v>
      </c>
      <c r="X2355" t="s">
        <v>36</v>
      </c>
      <c r="Y2355" s="4">
        <v>75</v>
      </c>
      <c r="Z2355" s="4">
        <v>6</v>
      </c>
      <c r="AA2355" t="s">
        <v>43</v>
      </c>
      <c r="AB2355" t="s">
        <v>44</v>
      </c>
      <c r="AC2355" s="7">
        <v>4</v>
      </c>
      <c r="AD2355" t="s">
        <v>45</v>
      </c>
      <c r="AE2355">
        <f t="shared" si="36"/>
        <v>1</v>
      </c>
    </row>
    <row r="2356" spans="1:31" x14ac:dyDescent="0.35">
      <c r="A2356">
        <v>102355</v>
      </c>
      <c r="B2356" s="3">
        <v>45937</v>
      </c>
      <c r="C2356">
        <v>1067</v>
      </c>
      <c r="D2356" t="s">
        <v>30</v>
      </c>
      <c r="E2356" t="s">
        <v>31</v>
      </c>
      <c r="F2356" t="s">
        <v>71</v>
      </c>
      <c r="G2356" t="s">
        <v>63</v>
      </c>
      <c r="H2356" t="s">
        <v>34</v>
      </c>
      <c r="I2356" t="s">
        <v>54</v>
      </c>
      <c r="J2356" s="4">
        <v>19.190000000000001</v>
      </c>
      <c r="K2356" s="4">
        <v>11.39</v>
      </c>
      <c r="L2356">
        <v>10</v>
      </c>
      <c r="M2356" s="4">
        <v>21.86</v>
      </c>
      <c r="N2356" s="4">
        <v>196.71</v>
      </c>
      <c r="O2356" s="4">
        <v>147.53</v>
      </c>
      <c r="P2356" s="4">
        <v>9.9600000000000009</v>
      </c>
      <c r="Q2356" s="4">
        <v>2.62</v>
      </c>
      <c r="R2356" s="4">
        <v>7.69</v>
      </c>
      <c r="S2356" s="4">
        <v>177.03</v>
      </c>
      <c r="T2356" s="4">
        <v>0</v>
      </c>
      <c r="U2356" s="4">
        <v>344.83</v>
      </c>
      <c r="V2356" s="4">
        <v>-148.12</v>
      </c>
      <c r="W2356" t="s">
        <v>58</v>
      </c>
      <c r="X2356" t="s">
        <v>55</v>
      </c>
      <c r="Y2356" s="4">
        <v>21</v>
      </c>
      <c r="Z2356" s="4">
        <v>7</v>
      </c>
      <c r="AA2356" t="s">
        <v>52</v>
      </c>
      <c r="AB2356" t="s">
        <v>44</v>
      </c>
      <c r="AC2356" s="7">
        <v>1</v>
      </c>
      <c r="AD2356" t="s">
        <v>45</v>
      </c>
      <c r="AE2356">
        <f t="shared" si="36"/>
        <v>1</v>
      </c>
    </row>
    <row r="2357" spans="1:31" x14ac:dyDescent="0.35">
      <c r="A2357">
        <v>102356</v>
      </c>
      <c r="B2357" s="3">
        <v>45936</v>
      </c>
      <c r="C2357">
        <v>1007</v>
      </c>
      <c r="D2357" t="s">
        <v>30</v>
      </c>
      <c r="E2357" t="s">
        <v>40</v>
      </c>
      <c r="F2357" t="s">
        <v>49</v>
      </c>
      <c r="G2357" t="s">
        <v>46</v>
      </c>
      <c r="H2357" t="s">
        <v>34</v>
      </c>
      <c r="I2357" t="s">
        <v>35</v>
      </c>
      <c r="J2357" s="4">
        <v>42.71</v>
      </c>
      <c r="K2357" s="4">
        <v>14.91</v>
      </c>
      <c r="L2357">
        <v>5</v>
      </c>
      <c r="M2357" s="4">
        <v>31.84</v>
      </c>
      <c r="N2357" s="4">
        <v>604.97</v>
      </c>
      <c r="O2357" s="4">
        <v>314.86</v>
      </c>
      <c r="P2357" s="4">
        <v>7.95</v>
      </c>
      <c r="Q2357" s="4">
        <v>4.46</v>
      </c>
      <c r="R2357" s="4">
        <v>14.75</v>
      </c>
      <c r="S2357" s="4">
        <v>0</v>
      </c>
      <c r="T2357" s="4">
        <v>0</v>
      </c>
      <c r="U2357" s="4">
        <v>342.02</v>
      </c>
      <c r="V2357" s="4">
        <v>262.95</v>
      </c>
      <c r="W2357" t="s">
        <v>21</v>
      </c>
      <c r="X2357" t="s">
        <v>36</v>
      </c>
      <c r="Y2357" s="4">
        <v>24</v>
      </c>
      <c r="Z2357" s="4">
        <v>6</v>
      </c>
      <c r="AA2357" t="s">
        <v>52</v>
      </c>
      <c r="AB2357" t="s">
        <v>44</v>
      </c>
      <c r="AC2357" s="7">
        <v>2</v>
      </c>
      <c r="AD2357" t="s">
        <v>45</v>
      </c>
      <c r="AE2357">
        <f t="shared" si="36"/>
        <v>1</v>
      </c>
    </row>
    <row r="2358" spans="1:31" x14ac:dyDescent="0.35">
      <c r="A2358">
        <v>102357</v>
      </c>
      <c r="B2358" s="3">
        <v>45996</v>
      </c>
      <c r="C2358">
        <v>1086</v>
      </c>
      <c r="D2358" t="s">
        <v>30</v>
      </c>
      <c r="E2358" t="s">
        <v>40</v>
      </c>
      <c r="F2358" t="s">
        <v>61</v>
      </c>
      <c r="G2358" t="s">
        <v>46</v>
      </c>
      <c r="H2358" t="s">
        <v>34</v>
      </c>
      <c r="I2358" t="s">
        <v>54</v>
      </c>
      <c r="J2358" s="4">
        <v>30.58</v>
      </c>
      <c r="K2358" s="4">
        <v>16.440000000000001</v>
      </c>
      <c r="L2358">
        <v>5</v>
      </c>
      <c r="M2358" s="4">
        <v>25.14</v>
      </c>
      <c r="N2358" s="4">
        <v>477.6</v>
      </c>
      <c r="O2358" s="4">
        <v>249.97</v>
      </c>
      <c r="P2358" s="4">
        <v>11.86</v>
      </c>
      <c r="Q2358" s="4">
        <v>6.03</v>
      </c>
      <c r="R2358" s="4">
        <v>4.54</v>
      </c>
      <c r="S2358" s="4">
        <v>0</v>
      </c>
      <c r="T2358" s="4">
        <v>0</v>
      </c>
      <c r="U2358" s="4">
        <v>272.39999999999998</v>
      </c>
      <c r="V2358" s="4">
        <v>205.2</v>
      </c>
      <c r="W2358" t="s">
        <v>21</v>
      </c>
      <c r="X2358" t="s">
        <v>36</v>
      </c>
      <c r="Y2358" s="4">
        <v>7</v>
      </c>
      <c r="Z2358" s="4">
        <v>7</v>
      </c>
      <c r="AA2358" t="s">
        <v>37</v>
      </c>
      <c r="AB2358" t="s">
        <v>38</v>
      </c>
      <c r="AC2358" s="7">
        <v>0</v>
      </c>
      <c r="AD2358" t="s">
        <v>39</v>
      </c>
      <c r="AE2358">
        <f t="shared" si="36"/>
        <v>0</v>
      </c>
    </row>
    <row r="2359" spans="1:31" x14ac:dyDescent="0.35">
      <c r="A2359">
        <v>102358</v>
      </c>
      <c r="B2359" s="3">
        <v>45969</v>
      </c>
      <c r="C2359">
        <v>1015</v>
      </c>
      <c r="D2359" t="s">
        <v>30</v>
      </c>
      <c r="E2359" t="s">
        <v>72</v>
      </c>
      <c r="F2359" t="s">
        <v>49</v>
      </c>
      <c r="G2359" t="s">
        <v>63</v>
      </c>
      <c r="H2359" t="s">
        <v>34</v>
      </c>
      <c r="I2359" t="s">
        <v>69</v>
      </c>
      <c r="J2359" s="4">
        <v>4.9400000000000004</v>
      </c>
      <c r="K2359" s="4">
        <v>13</v>
      </c>
      <c r="L2359">
        <v>0</v>
      </c>
      <c r="M2359" s="4">
        <v>0</v>
      </c>
      <c r="N2359" s="4">
        <v>64.22</v>
      </c>
      <c r="O2359" s="4">
        <v>35.119999999999997</v>
      </c>
      <c r="P2359" s="4">
        <v>10.61</v>
      </c>
      <c r="Q2359" s="4">
        <v>0.26</v>
      </c>
      <c r="R2359" s="4">
        <v>5.24</v>
      </c>
      <c r="S2359" s="4">
        <v>29.93</v>
      </c>
      <c r="T2359" s="4">
        <v>0</v>
      </c>
      <c r="U2359" s="4">
        <v>81.16</v>
      </c>
      <c r="V2359" s="4">
        <v>-16.940000000000001</v>
      </c>
      <c r="W2359" t="s">
        <v>58</v>
      </c>
      <c r="X2359" t="s">
        <v>66</v>
      </c>
      <c r="Y2359" s="4">
        <v>6</v>
      </c>
      <c r="Z2359" s="4">
        <v>0</v>
      </c>
      <c r="AA2359" t="s">
        <v>37</v>
      </c>
      <c r="AB2359" t="s">
        <v>38</v>
      </c>
      <c r="AC2359" s="7">
        <v>1</v>
      </c>
      <c r="AD2359" t="s">
        <v>45</v>
      </c>
      <c r="AE2359">
        <f t="shared" si="36"/>
        <v>0</v>
      </c>
    </row>
    <row r="2360" spans="1:31" x14ac:dyDescent="0.35">
      <c r="A2360">
        <v>102359</v>
      </c>
      <c r="B2360" s="3">
        <v>45952</v>
      </c>
      <c r="C2360">
        <v>1054</v>
      </c>
      <c r="D2360" t="s">
        <v>59</v>
      </c>
      <c r="E2360" t="s">
        <v>73</v>
      </c>
      <c r="F2360" t="s">
        <v>49</v>
      </c>
      <c r="G2360" t="s">
        <v>63</v>
      </c>
      <c r="H2360" t="s">
        <v>34</v>
      </c>
      <c r="I2360" t="s">
        <v>35</v>
      </c>
      <c r="J2360" s="4">
        <v>20.38</v>
      </c>
      <c r="K2360" s="4">
        <v>11.96</v>
      </c>
      <c r="L2360">
        <v>15</v>
      </c>
      <c r="M2360" s="4">
        <v>36.56</v>
      </c>
      <c r="N2360" s="4">
        <v>207.18</v>
      </c>
      <c r="O2360" s="4">
        <v>133.86000000000001</v>
      </c>
      <c r="P2360" s="4">
        <v>8.9600000000000009</v>
      </c>
      <c r="Q2360" s="4">
        <v>1.71</v>
      </c>
      <c r="R2360" s="4">
        <v>3.44</v>
      </c>
      <c r="S2360" s="4">
        <v>145.24</v>
      </c>
      <c r="T2360" s="4">
        <v>0</v>
      </c>
      <c r="U2360" s="4">
        <v>293.20999999999998</v>
      </c>
      <c r="V2360" s="4">
        <v>-86.03</v>
      </c>
      <c r="W2360" t="s">
        <v>58</v>
      </c>
      <c r="X2360" t="s">
        <v>55</v>
      </c>
      <c r="Y2360" s="4">
        <v>13</v>
      </c>
      <c r="Z2360" s="4">
        <v>3</v>
      </c>
      <c r="AA2360" t="s">
        <v>37</v>
      </c>
      <c r="AB2360" t="s">
        <v>44</v>
      </c>
      <c r="AC2360" s="7">
        <v>3</v>
      </c>
      <c r="AD2360" t="s">
        <v>45</v>
      </c>
      <c r="AE2360">
        <f t="shared" si="36"/>
        <v>1</v>
      </c>
    </row>
    <row r="2361" spans="1:31" x14ac:dyDescent="0.35">
      <c r="A2361">
        <v>102360</v>
      </c>
      <c r="B2361" s="3">
        <v>45939</v>
      </c>
      <c r="C2361">
        <v>1032</v>
      </c>
      <c r="D2361" t="s">
        <v>30</v>
      </c>
      <c r="E2361" t="s">
        <v>40</v>
      </c>
      <c r="F2361" t="s">
        <v>71</v>
      </c>
      <c r="G2361" t="s">
        <v>63</v>
      </c>
      <c r="H2361" t="s">
        <v>51</v>
      </c>
      <c r="I2361" t="s">
        <v>69</v>
      </c>
      <c r="J2361" s="4">
        <v>11.28</v>
      </c>
      <c r="K2361" s="4">
        <v>12.63</v>
      </c>
      <c r="L2361">
        <v>0</v>
      </c>
      <c r="M2361" s="4">
        <v>0</v>
      </c>
      <c r="N2361" s="4">
        <v>142.47</v>
      </c>
      <c r="O2361" s="4">
        <v>78.45</v>
      </c>
      <c r="P2361" s="4">
        <v>9.26</v>
      </c>
      <c r="Q2361" s="4">
        <v>0.56999999999999995</v>
      </c>
      <c r="R2361" s="4">
        <v>6.71</v>
      </c>
      <c r="S2361" s="4">
        <v>0</v>
      </c>
      <c r="T2361" s="4">
        <v>0</v>
      </c>
      <c r="U2361" s="4">
        <v>94.99</v>
      </c>
      <c r="V2361" s="4">
        <v>47.48</v>
      </c>
      <c r="W2361" t="s">
        <v>21</v>
      </c>
      <c r="X2361" t="s">
        <v>36</v>
      </c>
      <c r="Y2361" s="4">
        <v>26</v>
      </c>
      <c r="Z2361" s="4">
        <v>6</v>
      </c>
      <c r="AA2361" t="s">
        <v>52</v>
      </c>
      <c r="AB2361" t="s">
        <v>44</v>
      </c>
      <c r="AC2361" s="7">
        <v>3</v>
      </c>
      <c r="AD2361" t="s">
        <v>45</v>
      </c>
      <c r="AE2361">
        <f t="shared" si="36"/>
        <v>1</v>
      </c>
    </row>
    <row r="2362" spans="1:31" x14ac:dyDescent="0.35">
      <c r="A2362">
        <v>102361</v>
      </c>
      <c r="B2362" s="3">
        <v>45976</v>
      </c>
      <c r="C2362">
        <v>1138</v>
      </c>
      <c r="D2362" t="s">
        <v>47</v>
      </c>
      <c r="E2362" t="s">
        <v>74</v>
      </c>
      <c r="F2362" t="s">
        <v>61</v>
      </c>
      <c r="G2362" t="s">
        <v>33</v>
      </c>
      <c r="H2362" t="s">
        <v>57</v>
      </c>
      <c r="I2362" t="s">
        <v>54</v>
      </c>
      <c r="J2362" s="4">
        <v>36.94</v>
      </c>
      <c r="K2362" s="4">
        <v>18.5</v>
      </c>
      <c r="L2362">
        <v>10</v>
      </c>
      <c r="M2362" s="4">
        <v>68.34</v>
      </c>
      <c r="N2362" s="4">
        <v>615.04999999999995</v>
      </c>
      <c r="O2362" s="4">
        <v>247.46</v>
      </c>
      <c r="P2362" s="4">
        <v>8.9600000000000009</v>
      </c>
      <c r="Q2362" s="4">
        <v>8.1999999999999993</v>
      </c>
      <c r="R2362" s="4">
        <v>10.97</v>
      </c>
      <c r="S2362" s="4">
        <v>0</v>
      </c>
      <c r="T2362" s="4">
        <v>0</v>
      </c>
      <c r="U2362" s="4">
        <v>275.58999999999997</v>
      </c>
      <c r="V2362" s="4">
        <v>339.46</v>
      </c>
      <c r="W2362" t="s">
        <v>21</v>
      </c>
      <c r="X2362" t="s">
        <v>36</v>
      </c>
      <c r="Y2362" s="4">
        <v>9</v>
      </c>
      <c r="Z2362" s="4">
        <v>6</v>
      </c>
      <c r="AA2362" t="s">
        <v>37</v>
      </c>
      <c r="AB2362" t="s">
        <v>38</v>
      </c>
      <c r="AC2362" s="7">
        <v>2</v>
      </c>
      <c r="AD2362" t="s">
        <v>39</v>
      </c>
      <c r="AE2362">
        <f t="shared" si="36"/>
        <v>0</v>
      </c>
    </row>
    <row r="2363" spans="1:31" x14ac:dyDescent="0.35">
      <c r="A2363">
        <v>102362</v>
      </c>
      <c r="B2363" s="3">
        <v>46021</v>
      </c>
      <c r="C2363">
        <v>1069</v>
      </c>
      <c r="D2363" t="s">
        <v>47</v>
      </c>
      <c r="E2363" t="s">
        <v>56</v>
      </c>
      <c r="F2363" t="s">
        <v>71</v>
      </c>
      <c r="G2363" t="s">
        <v>46</v>
      </c>
      <c r="H2363" t="s">
        <v>51</v>
      </c>
      <c r="I2363" t="s">
        <v>69</v>
      </c>
      <c r="J2363" s="4">
        <v>29.11</v>
      </c>
      <c r="K2363" s="4">
        <v>15.42</v>
      </c>
      <c r="L2363">
        <v>10</v>
      </c>
      <c r="M2363" s="4">
        <v>44.89</v>
      </c>
      <c r="N2363" s="4">
        <v>403.99</v>
      </c>
      <c r="O2363" s="4">
        <v>220.73</v>
      </c>
      <c r="P2363" s="4">
        <v>4.8899999999999997</v>
      </c>
      <c r="Q2363" s="4">
        <v>1.8</v>
      </c>
      <c r="R2363" s="4">
        <v>1.1499999999999999</v>
      </c>
      <c r="S2363" s="4">
        <v>0</v>
      </c>
      <c r="T2363" s="4">
        <v>0</v>
      </c>
      <c r="U2363" s="4">
        <v>228.57</v>
      </c>
      <c r="V2363" s="4">
        <v>175.42</v>
      </c>
      <c r="W2363" t="s">
        <v>21</v>
      </c>
      <c r="X2363" t="s">
        <v>36</v>
      </c>
      <c r="Y2363" s="4">
        <v>14</v>
      </c>
      <c r="Z2363" s="4">
        <v>3</v>
      </c>
      <c r="AA2363" t="s">
        <v>37</v>
      </c>
      <c r="AB2363" t="s">
        <v>38</v>
      </c>
      <c r="AC2363" s="7">
        <v>0</v>
      </c>
      <c r="AD2363" t="s">
        <v>39</v>
      </c>
      <c r="AE2363">
        <f t="shared" si="36"/>
        <v>0</v>
      </c>
    </row>
    <row r="2364" spans="1:31" x14ac:dyDescent="0.35">
      <c r="A2364">
        <v>102363</v>
      </c>
      <c r="B2364" s="3">
        <v>46005</v>
      </c>
      <c r="C2364">
        <v>1142</v>
      </c>
      <c r="D2364" t="s">
        <v>59</v>
      </c>
      <c r="E2364" t="s">
        <v>73</v>
      </c>
      <c r="F2364" t="s">
        <v>49</v>
      </c>
      <c r="G2364" t="s">
        <v>46</v>
      </c>
      <c r="H2364" t="s">
        <v>34</v>
      </c>
      <c r="I2364" t="s">
        <v>35</v>
      </c>
      <c r="J2364" s="4">
        <v>20.36</v>
      </c>
      <c r="K2364" s="4">
        <v>15.06</v>
      </c>
      <c r="L2364">
        <v>0</v>
      </c>
      <c r="M2364" s="4">
        <v>0</v>
      </c>
      <c r="N2364" s="4">
        <v>306.62</v>
      </c>
      <c r="O2364" s="4">
        <v>163.57</v>
      </c>
      <c r="P2364" s="4">
        <v>5.13</v>
      </c>
      <c r="Q2364" s="4">
        <v>2.15</v>
      </c>
      <c r="R2364" s="4">
        <v>2.94</v>
      </c>
      <c r="S2364" s="4">
        <v>0</v>
      </c>
      <c r="T2364" s="4">
        <v>0</v>
      </c>
      <c r="U2364" s="4">
        <v>173.79</v>
      </c>
      <c r="V2364" s="4">
        <v>132.83000000000001</v>
      </c>
      <c r="W2364" t="s">
        <v>21</v>
      </c>
      <c r="X2364" t="s">
        <v>36</v>
      </c>
      <c r="Y2364" s="4">
        <v>4</v>
      </c>
      <c r="Z2364" s="4">
        <v>31</v>
      </c>
      <c r="AA2364" t="s">
        <v>37</v>
      </c>
      <c r="AB2364" t="s">
        <v>44</v>
      </c>
      <c r="AC2364" s="7">
        <v>1</v>
      </c>
      <c r="AD2364" t="s">
        <v>45</v>
      </c>
      <c r="AE2364">
        <f t="shared" si="36"/>
        <v>1</v>
      </c>
    </row>
    <row r="2365" spans="1:31" x14ac:dyDescent="0.35">
      <c r="A2365">
        <v>102364</v>
      </c>
      <c r="B2365" s="3">
        <v>45932</v>
      </c>
      <c r="C2365">
        <v>1105</v>
      </c>
      <c r="D2365" t="s">
        <v>30</v>
      </c>
      <c r="E2365" t="s">
        <v>62</v>
      </c>
      <c r="F2365" t="s">
        <v>49</v>
      </c>
      <c r="G2365" t="s">
        <v>33</v>
      </c>
      <c r="H2365" t="s">
        <v>57</v>
      </c>
      <c r="I2365" t="s">
        <v>54</v>
      </c>
      <c r="J2365" s="4">
        <v>39.69</v>
      </c>
      <c r="K2365" s="4">
        <v>18.82</v>
      </c>
      <c r="L2365">
        <v>10</v>
      </c>
      <c r="M2365" s="4">
        <v>74.7</v>
      </c>
      <c r="N2365" s="4">
        <v>672.27</v>
      </c>
      <c r="O2365" s="4">
        <v>342.09</v>
      </c>
      <c r="P2365" s="4">
        <v>7.75</v>
      </c>
      <c r="Q2365" s="4">
        <v>8.9600000000000009</v>
      </c>
      <c r="R2365" s="4">
        <v>7.4</v>
      </c>
      <c r="S2365" s="4">
        <v>0</v>
      </c>
      <c r="T2365" s="4">
        <v>0</v>
      </c>
      <c r="U2365" s="4">
        <v>366.2</v>
      </c>
      <c r="V2365" s="4">
        <v>306.07</v>
      </c>
      <c r="W2365" t="s">
        <v>21</v>
      </c>
      <c r="X2365" t="s">
        <v>36</v>
      </c>
      <c r="Y2365" s="4">
        <v>19</v>
      </c>
      <c r="Z2365" s="4">
        <v>8</v>
      </c>
      <c r="AA2365" t="s">
        <v>52</v>
      </c>
      <c r="AB2365" t="s">
        <v>38</v>
      </c>
      <c r="AC2365" s="7">
        <v>0</v>
      </c>
      <c r="AD2365" t="s">
        <v>39</v>
      </c>
      <c r="AE2365">
        <f t="shared" si="36"/>
        <v>0</v>
      </c>
    </row>
    <row r="2366" spans="1:31" x14ac:dyDescent="0.35">
      <c r="A2366">
        <v>102365</v>
      </c>
      <c r="B2366" s="3">
        <v>46005</v>
      </c>
      <c r="C2366">
        <v>1012</v>
      </c>
      <c r="D2366" t="s">
        <v>47</v>
      </c>
      <c r="E2366" t="s">
        <v>56</v>
      </c>
      <c r="F2366" t="s">
        <v>32</v>
      </c>
      <c r="G2366" t="s">
        <v>46</v>
      </c>
      <c r="H2366" t="s">
        <v>34</v>
      </c>
      <c r="I2366" t="s">
        <v>35</v>
      </c>
      <c r="J2366" s="4">
        <v>33.44</v>
      </c>
      <c r="K2366" s="4">
        <v>15.37</v>
      </c>
      <c r="L2366">
        <v>0</v>
      </c>
      <c r="M2366" s="4">
        <v>0</v>
      </c>
      <c r="N2366" s="4">
        <v>513.97</v>
      </c>
      <c r="O2366" s="4">
        <v>225.54</v>
      </c>
      <c r="P2366" s="4">
        <v>8.93</v>
      </c>
      <c r="Q2366" s="4">
        <v>3.6</v>
      </c>
      <c r="R2366" s="4">
        <v>2.78</v>
      </c>
      <c r="S2366" s="4">
        <v>0</v>
      </c>
      <c r="T2366" s="4">
        <v>0</v>
      </c>
      <c r="U2366" s="4">
        <v>240.85</v>
      </c>
      <c r="V2366" s="4">
        <v>273.12</v>
      </c>
      <c r="W2366" t="s">
        <v>21</v>
      </c>
      <c r="X2366" t="s">
        <v>36</v>
      </c>
      <c r="Y2366" s="4">
        <v>6</v>
      </c>
      <c r="Z2366" s="4">
        <v>12</v>
      </c>
      <c r="AA2366" t="s">
        <v>37</v>
      </c>
      <c r="AB2366" t="s">
        <v>38</v>
      </c>
      <c r="AC2366" s="7">
        <v>0</v>
      </c>
      <c r="AD2366" t="s">
        <v>39</v>
      </c>
      <c r="AE2366">
        <f t="shared" si="36"/>
        <v>0</v>
      </c>
    </row>
    <row r="2367" spans="1:31" x14ac:dyDescent="0.35">
      <c r="A2367">
        <v>102366</v>
      </c>
      <c r="B2367" s="3">
        <v>45933</v>
      </c>
      <c r="C2367">
        <v>1117</v>
      </c>
      <c r="D2367" t="s">
        <v>47</v>
      </c>
      <c r="E2367" t="s">
        <v>74</v>
      </c>
      <c r="F2367" t="s">
        <v>61</v>
      </c>
      <c r="G2367" t="s">
        <v>63</v>
      </c>
      <c r="H2367" t="s">
        <v>34</v>
      </c>
      <c r="I2367" t="s">
        <v>35</v>
      </c>
      <c r="J2367" s="4">
        <v>19.190000000000001</v>
      </c>
      <c r="K2367" s="4">
        <v>12.43</v>
      </c>
      <c r="L2367">
        <v>5</v>
      </c>
      <c r="M2367" s="4">
        <v>11.93</v>
      </c>
      <c r="N2367" s="4">
        <v>226.6</v>
      </c>
      <c r="O2367" s="4">
        <v>143.34</v>
      </c>
      <c r="P2367" s="4">
        <v>6.07</v>
      </c>
      <c r="Q2367" s="4">
        <v>1.67</v>
      </c>
      <c r="R2367" s="4">
        <v>16.52</v>
      </c>
      <c r="S2367" s="4">
        <v>0</v>
      </c>
      <c r="T2367" s="4">
        <v>0</v>
      </c>
      <c r="U2367" s="4">
        <v>167.6</v>
      </c>
      <c r="V2367" s="4">
        <v>59</v>
      </c>
      <c r="W2367" t="s">
        <v>21</v>
      </c>
      <c r="X2367" t="s">
        <v>36</v>
      </c>
      <c r="Y2367" s="4">
        <v>10</v>
      </c>
      <c r="Z2367" s="4">
        <v>21</v>
      </c>
      <c r="AA2367" t="s">
        <v>37</v>
      </c>
      <c r="AB2367" t="s">
        <v>44</v>
      </c>
      <c r="AC2367" s="7">
        <v>2</v>
      </c>
      <c r="AD2367" t="s">
        <v>45</v>
      </c>
      <c r="AE2367">
        <f t="shared" si="36"/>
        <v>1</v>
      </c>
    </row>
    <row r="2368" spans="1:31" x14ac:dyDescent="0.35">
      <c r="A2368">
        <v>102367</v>
      </c>
      <c r="B2368" s="3">
        <v>46010</v>
      </c>
      <c r="C2368">
        <v>1143</v>
      </c>
      <c r="D2368" t="s">
        <v>59</v>
      </c>
      <c r="E2368" t="s">
        <v>73</v>
      </c>
      <c r="F2368" t="s">
        <v>71</v>
      </c>
      <c r="G2368" t="s">
        <v>33</v>
      </c>
      <c r="H2368" t="s">
        <v>34</v>
      </c>
      <c r="I2368" t="s">
        <v>35</v>
      </c>
      <c r="J2368" s="4">
        <v>22.46</v>
      </c>
      <c r="K2368" s="4">
        <v>19.71</v>
      </c>
      <c r="L2368">
        <v>0</v>
      </c>
      <c r="M2368" s="4">
        <v>0</v>
      </c>
      <c r="N2368" s="4">
        <v>442.69</v>
      </c>
      <c r="O2368" s="4">
        <v>151.32</v>
      </c>
      <c r="P2368" s="4">
        <v>12.36</v>
      </c>
      <c r="Q2368" s="4">
        <v>3.1</v>
      </c>
      <c r="R2368" s="4">
        <v>0</v>
      </c>
      <c r="S2368" s="4">
        <v>0</v>
      </c>
      <c r="T2368" s="4">
        <v>0</v>
      </c>
      <c r="U2368" s="4">
        <v>166.78</v>
      </c>
      <c r="V2368" s="4">
        <v>275.91000000000003</v>
      </c>
      <c r="W2368" t="s">
        <v>21</v>
      </c>
      <c r="X2368" t="s">
        <v>36</v>
      </c>
      <c r="Y2368" s="4">
        <v>17</v>
      </c>
      <c r="Z2368" s="4">
        <v>3</v>
      </c>
      <c r="AA2368" t="s">
        <v>52</v>
      </c>
      <c r="AB2368" t="s">
        <v>38</v>
      </c>
      <c r="AC2368" s="7">
        <v>0</v>
      </c>
      <c r="AD2368" t="s">
        <v>39</v>
      </c>
      <c r="AE2368">
        <f t="shared" si="36"/>
        <v>0</v>
      </c>
    </row>
    <row r="2369" spans="1:31" x14ac:dyDescent="0.35">
      <c r="A2369">
        <v>102368</v>
      </c>
      <c r="B2369" s="3">
        <v>45968</v>
      </c>
      <c r="C2369">
        <v>1076</v>
      </c>
      <c r="D2369" t="s">
        <v>59</v>
      </c>
      <c r="E2369" t="s">
        <v>70</v>
      </c>
      <c r="F2369" t="s">
        <v>41</v>
      </c>
      <c r="G2369" t="s">
        <v>50</v>
      </c>
      <c r="H2369" t="s">
        <v>34</v>
      </c>
      <c r="I2369" t="s">
        <v>35</v>
      </c>
      <c r="J2369" s="4">
        <v>52.2</v>
      </c>
      <c r="K2369" s="4">
        <v>20.010000000000002</v>
      </c>
      <c r="L2369">
        <v>5</v>
      </c>
      <c r="M2369" s="4">
        <v>52.23</v>
      </c>
      <c r="N2369" s="4">
        <v>992.29</v>
      </c>
      <c r="O2369" s="4">
        <v>346.07</v>
      </c>
      <c r="P2369" s="4">
        <v>11.14</v>
      </c>
      <c r="Q2369" s="4">
        <v>7.31</v>
      </c>
      <c r="R2369" s="4">
        <v>4.2699999999999996</v>
      </c>
      <c r="S2369" s="4">
        <v>0</v>
      </c>
      <c r="T2369" s="4">
        <v>0</v>
      </c>
      <c r="U2369" s="4">
        <v>368.79</v>
      </c>
      <c r="V2369" s="4">
        <v>623.5</v>
      </c>
      <c r="W2369" t="s">
        <v>21</v>
      </c>
      <c r="X2369" t="s">
        <v>36</v>
      </c>
      <c r="Y2369" s="4">
        <v>12</v>
      </c>
      <c r="Z2369" s="4">
        <v>9</v>
      </c>
      <c r="AA2369" t="s">
        <v>37</v>
      </c>
      <c r="AB2369" t="s">
        <v>38</v>
      </c>
      <c r="AC2369" s="7">
        <v>0</v>
      </c>
      <c r="AD2369" t="s">
        <v>39</v>
      </c>
      <c r="AE2369">
        <f t="shared" si="36"/>
        <v>0</v>
      </c>
    </row>
    <row r="2370" spans="1:31" x14ac:dyDescent="0.35">
      <c r="A2370">
        <v>102369</v>
      </c>
      <c r="B2370" s="3">
        <v>45968</v>
      </c>
      <c r="C2370">
        <v>1124</v>
      </c>
      <c r="D2370" t="s">
        <v>59</v>
      </c>
      <c r="E2370" t="s">
        <v>70</v>
      </c>
      <c r="F2370" t="s">
        <v>32</v>
      </c>
      <c r="G2370" t="s">
        <v>46</v>
      </c>
      <c r="H2370" t="s">
        <v>51</v>
      </c>
      <c r="I2370" t="s">
        <v>35</v>
      </c>
      <c r="J2370" s="4">
        <v>36.85</v>
      </c>
      <c r="K2370" s="4">
        <v>15.65</v>
      </c>
      <c r="L2370">
        <v>5</v>
      </c>
      <c r="M2370" s="4">
        <v>28.84</v>
      </c>
      <c r="N2370" s="4">
        <v>547.86</v>
      </c>
      <c r="O2370" s="4">
        <v>259.61</v>
      </c>
      <c r="P2370" s="4">
        <v>1</v>
      </c>
      <c r="Q2370" s="4">
        <v>4.04</v>
      </c>
      <c r="R2370" s="4">
        <v>8.69</v>
      </c>
      <c r="S2370" s="4">
        <v>0</v>
      </c>
      <c r="T2370" s="4">
        <v>0</v>
      </c>
      <c r="U2370" s="4">
        <v>273.33999999999997</v>
      </c>
      <c r="V2370" s="4">
        <v>274.52</v>
      </c>
      <c r="W2370" t="s">
        <v>21</v>
      </c>
      <c r="X2370" t="s">
        <v>36</v>
      </c>
      <c r="Y2370" s="4">
        <v>15</v>
      </c>
      <c r="Z2370" s="4">
        <v>6</v>
      </c>
      <c r="AA2370" t="s">
        <v>37</v>
      </c>
      <c r="AB2370" t="s">
        <v>38</v>
      </c>
      <c r="AC2370" s="7">
        <v>0</v>
      </c>
      <c r="AD2370" t="s">
        <v>39</v>
      </c>
      <c r="AE2370">
        <f t="shared" si="36"/>
        <v>0</v>
      </c>
    </row>
    <row r="2371" spans="1:31" x14ac:dyDescent="0.35">
      <c r="A2371">
        <v>102370</v>
      </c>
      <c r="B2371" s="3">
        <v>45964</v>
      </c>
      <c r="C2371">
        <v>1053</v>
      </c>
      <c r="D2371" t="s">
        <v>30</v>
      </c>
      <c r="E2371" t="s">
        <v>62</v>
      </c>
      <c r="F2371" t="s">
        <v>49</v>
      </c>
      <c r="G2371" t="s">
        <v>63</v>
      </c>
      <c r="H2371" t="s">
        <v>57</v>
      </c>
      <c r="I2371" t="s">
        <v>42</v>
      </c>
      <c r="J2371" s="4">
        <v>17.55</v>
      </c>
      <c r="K2371" s="4">
        <v>12.64</v>
      </c>
      <c r="L2371">
        <v>0</v>
      </c>
      <c r="M2371" s="4">
        <v>0</v>
      </c>
      <c r="N2371" s="4">
        <v>221.83</v>
      </c>
      <c r="O2371" s="4">
        <v>122.18</v>
      </c>
      <c r="P2371" s="4">
        <v>9.2100000000000009</v>
      </c>
      <c r="Q2371" s="4">
        <v>3.33</v>
      </c>
      <c r="R2371" s="4">
        <v>10.54</v>
      </c>
      <c r="S2371" s="4">
        <v>0</v>
      </c>
      <c r="T2371" s="4">
        <v>0</v>
      </c>
      <c r="U2371" s="4">
        <v>145.26</v>
      </c>
      <c r="V2371" s="4">
        <v>76.569999999999993</v>
      </c>
      <c r="W2371" t="s">
        <v>21</v>
      </c>
      <c r="X2371" t="s">
        <v>36</v>
      </c>
      <c r="Y2371" s="4">
        <v>2</v>
      </c>
      <c r="Z2371" s="4">
        <v>20</v>
      </c>
      <c r="AA2371" t="s">
        <v>37</v>
      </c>
      <c r="AB2371" t="s">
        <v>44</v>
      </c>
      <c r="AC2371" s="7">
        <v>1</v>
      </c>
      <c r="AD2371" t="s">
        <v>45</v>
      </c>
      <c r="AE2371">
        <f t="shared" ref="AE2371:AE2434" si="37">IF(AB2371="Yes",1,0)</f>
        <v>1</v>
      </c>
    </row>
    <row r="2372" spans="1:31" x14ac:dyDescent="0.35">
      <c r="A2372">
        <v>102371</v>
      </c>
      <c r="B2372" s="3">
        <v>45939</v>
      </c>
      <c r="C2372">
        <v>1095</v>
      </c>
      <c r="D2372" t="s">
        <v>64</v>
      </c>
      <c r="E2372" t="s">
        <v>75</v>
      </c>
      <c r="F2372" t="s">
        <v>71</v>
      </c>
      <c r="G2372" t="s">
        <v>33</v>
      </c>
      <c r="H2372" t="s">
        <v>57</v>
      </c>
      <c r="I2372" t="s">
        <v>35</v>
      </c>
      <c r="J2372" s="4">
        <v>31.78</v>
      </c>
      <c r="K2372" s="4">
        <v>19.190000000000001</v>
      </c>
      <c r="L2372">
        <v>0</v>
      </c>
      <c r="M2372" s="4">
        <v>0</v>
      </c>
      <c r="N2372" s="4">
        <v>609.86</v>
      </c>
      <c r="O2372" s="4">
        <v>230.91</v>
      </c>
      <c r="P2372" s="4">
        <v>7.31</v>
      </c>
      <c r="Q2372" s="4">
        <v>4.2699999999999996</v>
      </c>
      <c r="R2372" s="4">
        <v>6.56</v>
      </c>
      <c r="S2372" s="4">
        <v>0</v>
      </c>
      <c r="T2372" s="4">
        <v>0</v>
      </c>
      <c r="U2372" s="4">
        <v>249.05</v>
      </c>
      <c r="V2372" s="4">
        <v>360.81</v>
      </c>
      <c r="W2372" t="s">
        <v>21</v>
      </c>
      <c r="X2372" t="s">
        <v>36</v>
      </c>
      <c r="Y2372" s="4">
        <v>20</v>
      </c>
      <c r="Z2372" s="4">
        <v>0</v>
      </c>
      <c r="AA2372" t="s">
        <v>52</v>
      </c>
      <c r="AB2372" t="s">
        <v>38</v>
      </c>
      <c r="AC2372" s="7">
        <v>0</v>
      </c>
      <c r="AD2372" t="s">
        <v>39</v>
      </c>
      <c r="AE2372">
        <f t="shared" si="37"/>
        <v>0</v>
      </c>
    </row>
    <row r="2373" spans="1:31" x14ac:dyDescent="0.35">
      <c r="A2373">
        <v>102372</v>
      </c>
      <c r="B2373" s="3">
        <v>45992</v>
      </c>
      <c r="C2373">
        <v>1080</v>
      </c>
      <c r="D2373" t="s">
        <v>59</v>
      </c>
      <c r="E2373" t="s">
        <v>68</v>
      </c>
      <c r="F2373" t="s">
        <v>32</v>
      </c>
      <c r="G2373" t="s">
        <v>50</v>
      </c>
      <c r="H2373" t="s">
        <v>51</v>
      </c>
      <c r="I2373" t="s">
        <v>42</v>
      </c>
      <c r="J2373" s="4">
        <v>28.76</v>
      </c>
      <c r="K2373" s="4">
        <v>18.149999999999999</v>
      </c>
      <c r="L2373">
        <v>20</v>
      </c>
      <c r="M2373" s="4">
        <v>104.4</v>
      </c>
      <c r="N2373" s="4">
        <v>417.59</v>
      </c>
      <c r="O2373" s="4">
        <v>224.86</v>
      </c>
      <c r="P2373" s="4">
        <v>11.21</v>
      </c>
      <c r="Q2373" s="4">
        <v>7.83</v>
      </c>
      <c r="R2373" s="4">
        <v>11</v>
      </c>
      <c r="S2373" s="4">
        <v>0</v>
      </c>
      <c r="T2373" s="4">
        <v>0</v>
      </c>
      <c r="U2373" s="4">
        <v>254.9</v>
      </c>
      <c r="V2373" s="4">
        <v>162.69</v>
      </c>
      <c r="W2373" t="s">
        <v>21</v>
      </c>
      <c r="X2373" t="s">
        <v>36</v>
      </c>
      <c r="Y2373" s="4">
        <v>81</v>
      </c>
      <c r="Z2373" s="4">
        <v>4</v>
      </c>
      <c r="AA2373" t="s">
        <v>43</v>
      </c>
      <c r="AB2373" t="s">
        <v>44</v>
      </c>
      <c r="AC2373" s="7">
        <v>1</v>
      </c>
      <c r="AD2373" t="s">
        <v>45</v>
      </c>
      <c r="AE2373">
        <f t="shared" si="37"/>
        <v>1</v>
      </c>
    </row>
    <row r="2374" spans="1:31" x14ac:dyDescent="0.35">
      <c r="A2374">
        <v>102373</v>
      </c>
      <c r="B2374" s="3">
        <v>45981</v>
      </c>
      <c r="C2374">
        <v>1079</v>
      </c>
      <c r="D2374" t="s">
        <v>30</v>
      </c>
      <c r="E2374" t="s">
        <v>40</v>
      </c>
      <c r="F2374" t="s">
        <v>32</v>
      </c>
      <c r="G2374" t="s">
        <v>46</v>
      </c>
      <c r="H2374" t="s">
        <v>51</v>
      </c>
      <c r="I2374" t="s">
        <v>35</v>
      </c>
      <c r="J2374" s="4">
        <v>6.97</v>
      </c>
      <c r="K2374" s="4">
        <v>15.13</v>
      </c>
      <c r="L2374">
        <v>0</v>
      </c>
      <c r="M2374" s="4">
        <v>0</v>
      </c>
      <c r="N2374" s="4">
        <v>105.46</v>
      </c>
      <c r="O2374" s="4">
        <v>49.06</v>
      </c>
      <c r="P2374" s="4">
        <v>9.2799999999999994</v>
      </c>
      <c r="Q2374" s="4">
        <v>0.74</v>
      </c>
      <c r="R2374" s="4">
        <v>10.84</v>
      </c>
      <c r="S2374" s="4">
        <v>0</v>
      </c>
      <c r="T2374" s="4">
        <v>0</v>
      </c>
      <c r="U2374" s="4">
        <v>69.92</v>
      </c>
      <c r="V2374" s="4">
        <v>35.54</v>
      </c>
      <c r="W2374" t="s">
        <v>21</v>
      </c>
      <c r="X2374" t="s">
        <v>36</v>
      </c>
      <c r="Y2374" s="4">
        <v>3</v>
      </c>
      <c r="Z2374" s="4">
        <v>1</v>
      </c>
      <c r="AA2374" t="s">
        <v>37</v>
      </c>
      <c r="AB2374" t="s">
        <v>38</v>
      </c>
      <c r="AC2374" s="7">
        <v>0</v>
      </c>
      <c r="AD2374" t="s">
        <v>39</v>
      </c>
      <c r="AE2374">
        <f t="shared" si="37"/>
        <v>0</v>
      </c>
    </row>
    <row r="2375" spans="1:31" x14ac:dyDescent="0.35">
      <c r="A2375">
        <v>102374</v>
      </c>
      <c r="B2375" s="3">
        <v>45943</v>
      </c>
      <c r="C2375">
        <v>1062</v>
      </c>
      <c r="D2375" t="s">
        <v>64</v>
      </c>
      <c r="E2375" t="s">
        <v>67</v>
      </c>
      <c r="F2375" t="s">
        <v>32</v>
      </c>
      <c r="G2375" t="s">
        <v>46</v>
      </c>
      <c r="H2375" t="s">
        <v>57</v>
      </c>
      <c r="I2375" t="s">
        <v>42</v>
      </c>
      <c r="J2375" s="4">
        <v>26.59</v>
      </c>
      <c r="K2375" s="4">
        <v>17.170000000000002</v>
      </c>
      <c r="L2375">
        <v>0</v>
      </c>
      <c r="M2375" s="4">
        <v>0</v>
      </c>
      <c r="N2375" s="4">
        <v>456.55</v>
      </c>
      <c r="O2375" s="4">
        <v>211.04</v>
      </c>
      <c r="P2375" s="4">
        <v>9.49</v>
      </c>
      <c r="Q2375" s="4">
        <v>6.85</v>
      </c>
      <c r="R2375" s="4">
        <v>3.37</v>
      </c>
      <c r="S2375" s="4">
        <v>0</v>
      </c>
      <c r="T2375" s="4">
        <v>0</v>
      </c>
      <c r="U2375" s="4">
        <v>230.75</v>
      </c>
      <c r="V2375" s="4">
        <v>225.8</v>
      </c>
      <c r="W2375" t="s">
        <v>21</v>
      </c>
      <c r="X2375" t="s">
        <v>36</v>
      </c>
      <c r="Y2375" s="4">
        <v>3</v>
      </c>
      <c r="Z2375" s="4">
        <v>3</v>
      </c>
      <c r="AA2375" t="s">
        <v>37</v>
      </c>
      <c r="AB2375" t="s">
        <v>38</v>
      </c>
      <c r="AC2375" s="7">
        <v>2</v>
      </c>
      <c r="AD2375" t="s">
        <v>39</v>
      </c>
      <c r="AE2375">
        <f t="shared" si="37"/>
        <v>0</v>
      </c>
    </row>
    <row r="2376" spans="1:31" x14ac:dyDescent="0.35">
      <c r="A2376">
        <v>102375</v>
      </c>
      <c r="B2376" s="3">
        <v>45944</v>
      </c>
      <c r="C2376">
        <v>1130</v>
      </c>
      <c r="D2376" t="s">
        <v>59</v>
      </c>
      <c r="E2376" t="s">
        <v>70</v>
      </c>
      <c r="F2376" t="s">
        <v>71</v>
      </c>
      <c r="G2376" t="s">
        <v>46</v>
      </c>
      <c r="H2376" t="s">
        <v>34</v>
      </c>
      <c r="I2376" t="s">
        <v>54</v>
      </c>
      <c r="J2376" s="4">
        <v>24.1</v>
      </c>
      <c r="K2376" s="4">
        <v>15.67</v>
      </c>
      <c r="L2376">
        <v>10</v>
      </c>
      <c r="M2376" s="4">
        <v>37.76</v>
      </c>
      <c r="N2376" s="4">
        <v>339.89</v>
      </c>
      <c r="O2376" s="4">
        <v>151.29</v>
      </c>
      <c r="P2376" s="4">
        <v>8.86</v>
      </c>
      <c r="Q2376" s="4">
        <v>4.53</v>
      </c>
      <c r="R2376" s="4">
        <v>0.12</v>
      </c>
      <c r="S2376" s="4">
        <v>0</v>
      </c>
      <c r="T2376" s="4">
        <v>0</v>
      </c>
      <c r="U2376" s="4">
        <v>164.8</v>
      </c>
      <c r="V2376" s="4">
        <v>175.09</v>
      </c>
      <c r="W2376" t="s">
        <v>21</v>
      </c>
      <c r="X2376" t="s">
        <v>36</v>
      </c>
      <c r="Y2376" s="4">
        <v>8</v>
      </c>
      <c r="Z2376" s="4">
        <v>8</v>
      </c>
      <c r="AA2376" t="s">
        <v>37</v>
      </c>
      <c r="AB2376" t="s">
        <v>38</v>
      </c>
      <c r="AC2376" s="7">
        <v>0</v>
      </c>
      <c r="AD2376" t="s">
        <v>39</v>
      </c>
      <c r="AE2376">
        <f t="shared" si="37"/>
        <v>0</v>
      </c>
    </row>
    <row r="2377" spans="1:31" x14ac:dyDescent="0.35">
      <c r="A2377">
        <v>102376</v>
      </c>
      <c r="B2377" s="3">
        <v>45949</v>
      </c>
      <c r="C2377">
        <v>1087</v>
      </c>
      <c r="D2377" t="s">
        <v>59</v>
      </c>
      <c r="E2377" t="s">
        <v>70</v>
      </c>
      <c r="F2377" t="s">
        <v>41</v>
      </c>
      <c r="G2377" t="s">
        <v>46</v>
      </c>
      <c r="H2377" t="s">
        <v>34</v>
      </c>
      <c r="I2377" t="s">
        <v>35</v>
      </c>
      <c r="J2377" s="4">
        <v>25.04</v>
      </c>
      <c r="K2377" s="4">
        <v>15.19</v>
      </c>
      <c r="L2377">
        <v>10</v>
      </c>
      <c r="M2377" s="4">
        <v>38.04</v>
      </c>
      <c r="N2377" s="4">
        <v>342.32</v>
      </c>
      <c r="O2377" s="4">
        <v>165.19</v>
      </c>
      <c r="P2377" s="4">
        <v>6.01</v>
      </c>
      <c r="Q2377" s="4">
        <v>2.66</v>
      </c>
      <c r="R2377" s="4">
        <v>2.04</v>
      </c>
      <c r="S2377" s="4">
        <v>0</v>
      </c>
      <c r="T2377" s="4">
        <v>0</v>
      </c>
      <c r="U2377" s="4">
        <v>175.9</v>
      </c>
      <c r="V2377" s="4">
        <v>166.42</v>
      </c>
      <c r="W2377" t="s">
        <v>21</v>
      </c>
      <c r="X2377" t="s">
        <v>36</v>
      </c>
      <c r="Y2377" s="4">
        <v>50</v>
      </c>
      <c r="Z2377" s="4">
        <v>3</v>
      </c>
      <c r="AA2377" t="s">
        <v>43</v>
      </c>
      <c r="AB2377" t="s">
        <v>44</v>
      </c>
      <c r="AC2377" s="7">
        <v>2</v>
      </c>
      <c r="AD2377" t="s">
        <v>45</v>
      </c>
      <c r="AE2377">
        <f t="shared" si="37"/>
        <v>1</v>
      </c>
    </row>
    <row r="2378" spans="1:31" x14ac:dyDescent="0.35">
      <c r="A2378">
        <v>102377</v>
      </c>
      <c r="B2378" s="3">
        <v>45985</v>
      </c>
      <c r="C2378">
        <v>1013</v>
      </c>
      <c r="D2378" t="s">
        <v>47</v>
      </c>
      <c r="E2378" t="s">
        <v>53</v>
      </c>
      <c r="F2378" t="s">
        <v>49</v>
      </c>
      <c r="G2378" t="s">
        <v>46</v>
      </c>
      <c r="H2378" t="s">
        <v>34</v>
      </c>
      <c r="I2378" t="s">
        <v>35</v>
      </c>
      <c r="J2378" s="4">
        <v>28.81</v>
      </c>
      <c r="K2378" s="4">
        <v>15.41</v>
      </c>
      <c r="L2378">
        <v>5</v>
      </c>
      <c r="M2378" s="4">
        <v>22.2</v>
      </c>
      <c r="N2378" s="4">
        <v>421.76</v>
      </c>
      <c r="O2378" s="4">
        <v>193.77</v>
      </c>
      <c r="P2378" s="4">
        <v>14.31</v>
      </c>
      <c r="Q2378" s="4">
        <v>3.11</v>
      </c>
      <c r="R2378" s="4">
        <v>13.28</v>
      </c>
      <c r="S2378" s="4">
        <v>0</v>
      </c>
      <c r="T2378" s="4">
        <v>0</v>
      </c>
      <c r="U2378" s="4">
        <v>224.47</v>
      </c>
      <c r="V2378" s="4">
        <v>197.29</v>
      </c>
      <c r="W2378" t="s">
        <v>21</v>
      </c>
      <c r="X2378" t="s">
        <v>36</v>
      </c>
      <c r="Y2378" s="4">
        <v>29</v>
      </c>
      <c r="Z2378" s="4">
        <v>3</v>
      </c>
      <c r="AA2378" t="s">
        <v>52</v>
      </c>
      <c r="AB2378" t="s">
        <v>44</v>
      </c>
      <c r="AC2378" s="7">
        <v>1</v>
      </c>
      <c r="AD2378" t="s">
        <v>45</v>
      </c>
      <c r="AE2378">
        <f t="shared" si="37"/>
        <v>1</v>
      </c>
    </row>
    <row r="2379" spans="1:31" x14ac:dyDescent="0.35">
      <c r="A2379">
        <v>102378</v>
      </c>
      <c r="B2379" s="3">
        <v>45966</v>
      </c>
      <c r="C2379">
        <v>1041</v>
      </c>
      <c r="D2379" t="s">
        <v>59</v>
      </c>
      <c r="E2379" t="s">
        <v>60</v>
      </c>
      <c r="F2379" t="s">
        <v>41</v>
      </c>
      <c r="G2379" t="s">
        <v>46</v>
      </c>
      <c r="H2379" t="s">
        <v>51</v>
      </c>
      <c r="I2379" t="s">
        <v>35</v>
      </c>
      <c r="J2379" s="4">
        <v>33.08</v>
      </c>
      <c r="K2379" s="4">
        <v>16.12</v>
      </c>
      <c r="L2379">
        <v>15</v>
      </c>
      <c r="M2379" s="4">
        <v>79.989999999999995</v>
      </c>
      <c r="N2379" s="4">
        <v>453.26</v>
      </c>
      <c r="O2379" s="4">
        <v>257.8</v>
      </c>
      <c r="P2379" s="4">
        <v>12.98</v>
      </c>
      <c r="Q2379" s="4">
        <v>3.73</v>
      </c>
      <c r="R2379" s="4">
        <v>5.74</v>
      </c>
      <c r="S2379" s="4">
        <v>0</v>
      </c>
      <c r="T2379" s="4">
        <v>0</v>
      </c>
      <c r="U2379" s="4">
        <v>280.25</v>
      </c>
      <c r="V2379" s="4">
        <v>173.01</v>
      </c>
      <c r="W2379" t="s">
        <v>21</v>
      </c>
      <c r="X2379" t="s">
        <v>36</v>
      </c>
      <c r="Y2379" s="4">
        <v>0</v>
      </c>
      <c r="Z2379" s="4">
        <v>0</v>
      </c>
      <c r="AA2379" t="s">
        <v>37</v>
      </c>
      <c r="AB2379" t="s">
        <v>38</v>
      </c>
      <c r="AC2379" s="7">
        <v>0</v>
      </c>
      <c r="AD2379" t="s">
        <v>39</v>
      </c>
      <c r="AE2379">
        <f t="shared" si="37"/>
        <v>0</v>
      </c>
    </row>
    <row r="2380" spans="1:31" x14ac:dyDescent="0.35">
      <c r="A2380">
        <v>102379</v>
      </c>
      <c r="B2380" s="3">
        <v>46001</v>
      </c>
      <c r="C2380">
        <v>1076</v>
      </c>
      <c r="D2380" t="s">
        <v>64</v>
      </c>
      <c r="E2380" t="s">
        <v>76</v>
      </c>
      <c r="F2380" t="s">
        <v>49</v>
      </c>
      <c r="G2380" t="s">
        <v>63</v>
      </c>
      <c r="H2380" t="s">
        <v>34</v>
      </c>
      <c r="I2380" t="s">
        <v>54</v>
      </c>
      <c r="J2380" s="4">
        <v>18.78</v>
      </c>
      <c r="K2380" s="4">
        <v>12.95</v>
      </c>
      <c r="L2380">
        <v>0</v>
      </c>
      <c r="M2380" s="4">
        <v>0</v>
      </c>
      <c r="N2380" s="4">
        <v>243.2</v>
      </c>
      <c r="O2380" s="4">
        <v>122.62</v>
      </c>
      <c r="P2380" s="4">
        <v>8</v>
      </c>
      <c r="Q2380" s="4">
        <v>2.92</v>
      </c>
      <c r="R2380" s="4">
        <v>9.92</v>
      </c>
      <c r="S2380" s="4">
        <v>0</v>
      </c>
      <c r="T2380" s="4">
        <v>0</v>
      </c>
      <c r="U2380" s="4">
        <v>143.46</v>
      </c>
      <c r="V2380" s="4">
        <v>99.74</v>
      </c>
      <c r="W2380" t="s">
        <v>21</v>
      </c>
      <c r="X2380" t="s">
        <v>36</v>
      </c>
      <c r="Y2380" s="4">
        <v>26</v>
      </c>
      <c r="Z2380" s="4">
        <v>0</v>
      </c>
      <c r="AA2380" t="s">
        <v>52</v>
      </c>
      <c r="AB2380" t="s">
        <v>44</v>
      </c>
      <c r="AC2380" s="7">
        <v>2</v>
      </c>
      <c r="AD2380" t="s">
        <v>45</v>
      </c>
      <c r="AE2380">
        <f t="shared" si="37"/>
        <v>1</v>
      </c>
    </row>
    <row r="2381" spans="1:31" x14ac:dyDescent="0.35">
      <c r="A2381">
        <v>102380</v>
      </c>
      <c r="B2381" s="3">
        <v>45951</v>
      </c>
      <c r="C2381">
        <v>1148</v>
      </c>
      <c r="D2381" t="s">
        <v>30</v>
      </c>
      <c r="E2381" t="s">
        <v>62</v>
      </c>
      <c r="F2381" t="s">
        <v>61</v>
      </c>
      <c r="G2381" t="s">
        <v>63</v>
      </c>
      <c r="H2381" t="s">
        <v>51</v>
      </c>
      <c r="I2381" t="s">
        <v>54</v>
      </c>
      <c r="J2381" s="4">
        <v>25.46</v>
      </c>
      <c r="K2381" s="4">
        <v>12.55</v>
      </c>
      <c r="L2381">
        <v>15</v>
      </c>
      <c r="M2381" s="4">
        <v>47.93</v>
      </c>
      <c r="N2381" s="4">
        <v>271.58999999999997</v>
      </c>
      <c r="O2381" s="4">
        <v>183.57</v>
      </c>
      <c r="P2381" s="4">
        <v>9.93</v>
      </c>
      <c r="Q2381" s="4">
        <v>3.83</v>
      </c>
      <c r="R2381" s="4">
        <v>9.27</v>
      </c>
      <c r="S2381" s="4">
        <v>0</v>
      </c>
      <c r="T2381" s="4">
        <v>0</v>
      </c>
      <c r="U2381" s="4">
        <v>206.6</v>
      </c>
      <c r="V2381" s="4">
        <v>64.989999999999995</v>
      </c>
      <c r="W2381" t="s">
        <v>21</v>
      </c>
      <c r="X2381" t="s">
        <v>36</v>
      </c>
      <c r="Y2381" s="4">
        <v>17</v>
      </c>
      <c r="Z2381" s="4">
        <v>13</v>
      </c>
      <c r="AA2381" t="s">
        <v>52</v>
      </c>
      <c r="AB2381" t="s">
        <v>38</v>
      </c>
      <c r="AC2381" s="7">
        <v>0</v>
      </c>
      <c r="AD2381" t="s">
        <v>39</v>
      </c>
      <c r="AE2381">
        <f t="shared" si="37"/>
        <v>0</v>
      </c>
    </row>
    <row r="2382" spans="1:31" x14ac:dyDescent="0.35">
      <c r="A2382">
        <v>102381</v>
      </c>
      <c r="B2382" s="3">
        <v>45977</v>
      </c>
      <c r="C2382">
        <v>1051</v>
      </c>
      <c r="D2382" t="s">
        <v>47</v>
      </c>
      <c r="E2382" t="s">
        <v>53</v>
      </c>
      <c r="F2382" t="s">
        <v>61</v>
      </c>
      <c r="G2382" t="s">
        <v>63</v>
      </c>
      <c r="H2382" t="s">
        <v>34</v>
      </c>
      <c r="I2382" t="s">
        <v>42</v>
      </c>
      <c r="J2382" s="4">
        <v>21.1</v>
      </c>
      <c r="K2382" s="4">
        <v>13.54</v>
      </c>
      <c r="L2382">
        <v>15</v>
      </c>
      <c r="M2382" s="4">
        <v>42.85</v>
      </c>
      <c r="N2382" s="4">
        <v>242.84</v>
      </c>
      <c r="O2382" s="4">
        <v>181.24</v>
      </c>
      <c r="P2382" s="4">
        <v>7.68</v>
      </c>
      <c r="Q2382" s="4">
        <v>4.29</v>
      </c>
      <c r="R2382" s="4">
        <v>12.1</v>
      </c>
      <c r="S2382" s="4">
        <v>0</v>
      </c>
      <c r="T2382" s="4">
        <v>0</v>
      </c>
      <c r="U2382" s="4">
        <v>205.31</v>
      </c>
      <c r="V2382" s="4">
        <v>37.53</v>
      </c>
      <c r="W2382" t="s">
        <v>21</v>
      </c>
      <c r="X2382" t="s">
        <v>36</v>
      </c>
      <c r="Y2382" s="4">
        <v>12</v>
      </c>
      <c r="Z2382" s="4">
        <v>1</v>
      </c>
      <c r="AA2382" t="s">
        <v>37</v>
      </c>
      <c r="AB2382" t="s">
        <v>38</v>
      </c>
      <c r="AC2382" s="7">
        <v>0</v>
      </c>
      <c r="AD2382" t="s">
        <v>39</v>
      </c>
      <c r="AE2382">
        <f t="shared" si="37"/>
        <v>0</v>
      </c>
    </row>
    <row r="2383" spans="1:31" x14ac:dyDescent="0.35">
      <c r="A2383">
        <v>102382</v>
      </c>
      <c r="B2383" s="3">
        <v>46013</v>
      </c>
      <c r="C2383">
        <v>1047</v>
      </c>
      <c r="D2383" t="s">
        <v>30</v>
      </c>
      <c r="E2383" t="s">
        <v>62</v>
      </c>
      <c r="F2383" t="s">
        <v>49</v>
      </c>
      <c r="G2383" t="s">
        <v>46</v>
      </c>
      <c r="H2383" t="s">
        <v>34</v>
      </c>
      <c r="I2383" t="s">
        <v>35</v>
      </c>
      <c r="J2383" s="4">
        <v>37.049999999999997</v>
      </c>
      <c r="K2383" s="4">
        <v>15.37</v>
      </c>
      <c r="L2383">
        <v>5</v>
      </c>
      <c r="M2383" s="4">
        <v>28.47</v>
      </c>
      <c r="N2383" s="4">
        <v>540.99</v>
      </c>
      <c r="O2383" s="4">
        <v>213.17</v>
      </c>
      <c r="P2383" s="4">
        <v>9.23</v>
      </c>
      <c r="Q2383" s="4">
        <v>3.99</v>
      </c>
      <c r="R2383" s="4">
        <v>6.85</v>
      </c>
      <c r="S2383" s="4">
        <v>0</v>
      </c>
      <c r="T2383" s="4">
        <v>0</v>
      </c>
      <c r="U2383" s="4">
        <v>233.24</v>
      </c>
      <c r="V2383" s="4">
        <v>307.75</v>
      </c>
      <c r="W2383" t="s">
        <v>21</v>
      </c>
      <c r="X2383" t="s">
        <v>36</v>
      </c>
      <c r="Y2383" s="4">
        <v>6</v>
      </c>
      <c r="Z2383" s="4">
        <v>5</v>
      </c>
      <c r="AA2383" t="s">
        <v>37</v>
      </c>
      <c r="AB2383" t="s">
        <v>38</v>
      </c>
      <c r="AC2383" s="7">
        <v>0</v>
      </c>
      <c r="AD2383" t="s">
        <v>39</v>
      </c>
      <c r="AE2383">
        <f t="shared" si="37"/>
        <v>0</v>
      </c>
    </row>
    <row r="2384" spans="1:31" x14ac:dyDescent="0.35">
      <c r="A2384">
        <v>102383</v>
      </c>
      <c r="B2384" s="3">
        <v>45951</v>
      </c>
      <c r="C2384">
        <v>1070</v>
      </c>
      <c r="D2384" t="s">
        <v>47</v>
      </c>
      <c r="E2384" t="s">
        <v>74</v>
      </c>
      <c r="F2384" t="s">
        <v>41</v>
      </c>
      <c r="G2384" t="s">
        <v>50</v>
      </c>
      <c r="H2384" t="s">
        <v>34</v>
      </c>
      <c r="I2384" t="s">
        <v>35</v>
      </c>
      <c r="J2384" s="4">
        <v>22.63</v>
      </c>
      <c r="K2384" s="4">
        <v>18.14</v>
      </c>
      <c r="L2384">
        <v>15</v>
      </c>
      <c r="M2384" s="4">
        <v>61.58</v>
      </c>
      <c r="N2384" s="4">
        <v>348.93</v>
      </c>
      <c r="O2384" s="4">
        <v>187.27</v>
      </c>
      <c r="P2384" s="4">
        <v>11.95</v>
      </c>
      <c r="Q2384" s="4">
        <v>2.87</v>
      </c>
      <c r="R2384" s="4">
        <v>13.44</v>
      </c>
      <c r="S2384" s="4">
        <v>323.29000000000002</v>
      </c>
      <c r="T2384" s="4">
        <v>0</v>
      </c>
      <c r="U2384" s="4">
        <v>538.82000000000005</v>
      </c>
      <c r="V2384" s="4">
        <v>-189.89</v>
      </c>
      <c r="W2384" t="s">
        <v>58</v>
      </c>
      <c r="X2384" t="s">
        <v>66</v>
      </c>
      <c r="Y2384" s="4">
        <v>12</v>
      </c>
      <c r="Z2384" s="4">
        <v>2</v>
      </c>
      <c r="AA2384" t="s">
        <v>37</v>
      </c>
      <c r="AB2384" t="s">
        <v>38</v>
      </c>
      <c r="AC2384" s="7">
        <v>2</v>
      </c>
      <c r="AD2384" t="s">
        <v>45</v>
      </c>
      <c r="AE2384">
        <f t="shared" si="37"/>
        <v>0</v>
      </c>
    </row>
    <row r="2385" spans="1:31" x14ac:dyDescent="0.35">
      <c r="A2385">
        <v>102384</v>
      </c>
      <c r="B2385" s="3">
        <v>45964</v>
      </c>
      <c r="C2385">
        <v>1001</v>
      </c>
      <c r="D2385" t="s">
        <v>47</v>
      </c>
      <c r="E2385" t="s">
        <v>48</v>
      </c>
      <c r="F2385" t="s">
        <v>71</v>
      </c>
      <c r="G2385" t="s">
        <v>50</v>
      </c>
      <c r="H2385" t="s">
        <v>34</v>
      </c>
      <c r="I2385" t="s">
        <v>42</v>
      </c>
      <c r="J2385" s="4">
        <v>25.97</v>
      </c>
      <c r="K2385" s="4">
        <v>20.16</v>
      </c>
      <c r="L2385">
        <v>0</v>
      </c>
      <c r="M2385" s="4">
        <v>0</v>
      </c>
      <c r="N2385" s="4">
        <v>523.55999999999995</v>
      </c>
      <c r="O2385" s="4">
        <v>189.34</v>
      </c>
      <c r="P2385" s="4">
        <v>15.18</v>
      </c>
      <c r="Q2385" s="4">
        <v>7.85</v>
      </c>
      <c r="R2385" s="4">
        <v>11.27</v>
      </c>
      <c r="S2385" s="4">
        <v>382.01</v>
      </c>
      <c r="T2385" s="4">
        <v>0</v>
      </c>
      <c r="U2385" s="4">
        <v>605.65</v>
      </c>
      <c r="V2385" s="4">
        <v>-82.09</v>
      </c>
      <c r="W2385" t="s">
        <v>58</v>
      </c>
      <c r="X2385" t="s">
        <v>55</v>
      </c>
      <c r="Y2385" s="4">
        <v>10</v>
      </c>
      <c r="Z2385" s="4">
        <v>5</v>
      </c>
      <c r="AA2385" t="s">
        <v>37</v>
      </c>
      <c r="AB2385" t="s">
        <v>44</v>
      </c>
      <c r="AC2385" s="7">
        <v>1</v>
      </c>
      <c r="AD2385" t="s">
        <v>45</v>
      </c>
      <c r="AE2385">
        <f t="shared" si="37"/>
        <v>1</v>
      </c>
    </row>
    <row r="2386" spans="1:31" x14ac:dyDescent="0.35">
      <c r="A2386">
        <v>102385</v>
      </c>
      <c r="B2386" s="3">
        <v>46014</v>
      </c>
      <c r="C2386">
        <v>1035</v>
      </c>
      <c r="D2386" t="s">
        <v>59</v>
      </c>
      <c r="E2386" t="s">
        <v>68</v>
      </c>
      <c r="F2386" t="s">
        <v>41</v>
      </c>
      <c r="G2386" t="s">
        <v>63</v>
      </c>
      <c r="H2386" t="s">
        <v>34</v>
      </c>
      <c r="I2386" t="s">
        <v>35</v>
      </c>
      <c r="J2386" s="4">
        <v>27.17</v>
      </c>
      <c r="K2386" s="4">
        <v>12.51</v>
      </c>
      <c r="L2386">
        <v>20</v>
      </c>
      <c r="M2386" s="4">
        <v>67.98</v>
      </c>
      <c r="N2386" s="4">
        <v>271.92</v>
      </c>
      <c r="O2386" s="4">
        <v>206.97</v>
      </c>
      <c r="P2386" s="4">
        <v>5.35</v>
      </c>
      <c r="Q2386" s="4">
        <v>2.38</v>
      </c>
      <c r="R2386" s="4">
        <v>7.3</v>
      </c>
      <c r="S2386" s="4">
        <v>0</v>
      </c>
      <c r="T2386" s="4">
        <v>0</v>
      </c>
      <c r="U2386" s="4">
        <v>222</v>
      </c>
      <c r="V2386" s="4">
        <v>49.92</v>
      </c>
      <c r="W2386" t="s">
        <v>21</v>
      </c>
      <c r="X2386" t="s">
        <v>36</v>
      </c>
      <c r="Y2386" s="4">
        <v>5</v>
      </c>
      <c r="Z2386" s="4">
        <v>11</v>
      </c>
      <c r="AA2386" t="s">
        <v>37</v>
      </c>
      <c r="AB2386" t="s">
        <v>38</v>
      </c>
      <c r="AC2386" s="7">
        <v>0</v>
      </c>
      <c r="AD2386" t="s">
        <v>39</v>
      </c>
      <c r="AE2386">
        <f t="shared" si="37"/>
        <v>0</v>
      </c>
    </row>
    <row r="2387" spans="1:31" x14ac:dyDescent="0.35">
      <c r="A2387">
        <v>102386</v>
      </c>
      <c r="B2387" s="3">
        <v>45993</v>
      </c>
      <c r="C2387">
        <v>1041</v>
      </c>
      <c r="D2387" t="s">
        <v>64</v>
      </c>
      <c r="E2387" t="s">
        <v>76</v>
      </c>
      <c r="F2387" t="s">
        <v>41</v>
      </c>
      <c r="G2387" t="s">
        <v>46</v>
      </c>
      <c r="H2387" t="s">
        <v>34</v>
      </c>
      <c r="I2387" t="s">
        <v>42</v>
      </c>
      <c r="J2387" s="4">
        <v>15.72</v>
      </c>
      <c r="K2387" s="4">
        <v>15.31</v>
      </c>
      <c r="L2387">
        <v>20</v>
      </c>
      <c r="M2387" s="4">
        <v>48.13</v>
      </c>
      <c r="N2387" s="4">
        <v>192.54</v>
      </c>
      <c r="O2387" s="4">
        <v>129.29</v>
      </c>
      <c r="P2387" s="4">
        <v>10.199999999999999</v>
      </c>
      <c r="Q2387" s="4">
        <v>3.61</v>
      </c>
      <c r="R2387" s="4">
        <v>5.95</v>
      </c>
      <c r="S2387" s="4">
        <v>0</v>
      </c>
      <c r="T2387" s="4">
        <v>0</v>
      </c>
      <c r="U2387" s="4">
        <v>149.05000000000001</v>
      </c>
      <c r="V2387" s="4">
        <v>43.49</v>
      </c>
      <c r="W2387" t="s">
        <v>21</v>
      </c>
      <c r="X2387" t="s">
        <v>36</v>
      </c>
      <c r="Y2387" s="4">
        <v>34</v>
      </c>
      <c r="Z2387" s="4">
        <v>26</v>
      </c>
      <c r="AA2387" t="s">
        <v>43</v>
      </c>
      <c r="AB2387" t="s">
        <v>44</v>
      </c>
      <c r="AC2387" s="7">
        <v>2</v>
      </c>
      <c r="AD2387" t="s">
        <v>45</v>
      </c>
      <c r="AE2387">
        <f t="shared" si="37"/>
        <v>1</v>
      </c>
    </row>
    <row r="2388" spans="1:31" x14ac:dyDescent="0.35">
      <c r="A2388">
        <v>102387</v>
      </c>
      <c r="B2388" s="3">
        <v>45960</v>
      </c>
      <c r="C2388">
        <v>1108</v>
      </c>
      <c r="D2388" t="s">
        <v>47</v>
      </c>
      <c r="E2388" t="s">
        <v>53</v>
      </c>
      <c r="F2388" t="s">
        <v>41</v>
      </c>
      <c r="G2388" t="s">
        <v>33</v>
      </c>
      <c r="H2388" t="s">
        <v>34</v>
      </c>
      <c r="I2388" t="s">
        <v>35</v>
      </c>
      <c r="J2388" s="4">
        <v>30.54</v>
      </c>
      <c r="K2388" s="4">
        <v>19.23</v>
      </c>
      <c r="L2388">
        <v>5</v>
      </c>
      <c r="M2388" s="4">
        <v>29.36</v>
      </c>
      <c r="N2388" s="4">
        <v>557.91999999999996</v>
      </c>
      <c r="O2388" s="4">
        <v>211.02</v>
      </c>
      <c r="P2388" s="4">
        <v>4.38</v>
      </c>
      <c r="Q2388" s="4">
        <v>4.1100000000000003</v>
      </c>
      <c r="R2388" s="4">
        <v>7.72</v>
      </c>
      <c r="S2388" s="4">
        <v>0</v>
      </c>
      <c r="T2388" s="4">
        <v>0</v>
      </c>
      <c r="U2388" s="4">
        <v>227.23</v>
      </c>
      <c r="V2388" s="4">
        <v>330.69</v>
      </c>
      <c r="W2388" t="s">
        <v>21</v>
      </c>
      <c r="X2388" t="s">
        <v>36</v>
      </c>
      <c r="Y2388" s="4">
        <v>13</v>
      </c>
      <c r="Z2388" s="4">
        <v>0</v>
      </c>
      <c r="AA2388" t="s">
        <v>37</v>
      </c>
      <c r="AB2388" t="s">
        <v>38</v>
      </c>
      <c r="AC2388" s="7">
        <v>0</v>
      </c>
      <c r="AD2388" t="s">
        <v>39</v>
      </c>
      <c r="AE2388">
        <f t="shared" si="37"/>
        <v>0</v>
      </c>
    </row>
    <row r="2389" spans="1:31" x14ac:dyDescent="0.35">
      <c r="A2389">
        <v>102388</v>
      </c>
      <c r="B2389" s="3">
        <v>45964</v>
      </c>
      <c r="C2389">
        <v>1150</v>
      </c>
      <c r="D2389" t="s">
        <v>64</v>
      </c>
      <c r="E2389" t="s">
        <v>75</v>
      </c>
      <c r="F2389" t="s">
        <v>49</v>
      </c>
      <c r="G2389" t="s">
        <v>63</v>
      </c>
      <c r="H2389" t="s">
        <v>34</v>
      </c>
      <c r="I2389" t="s">
        <v>69</v>
      </c>
      <c r="J2389" s="4">
        <v>4.37</v>
      </c>
      <c r="K2389" s="4">
        <v>12.88</v>
      </c>
      <c r="L2389">
        <v>0</v>
      </c>
      <c r="M2389" s="4">
        <v>0</v>
      </c>
      <c r="N2389" s="4">
        <v>56.29</v>
      </c>
      <c r="O2389" s="4">
        <v>27.62</v>
      </c>
      <c r="P2389" s="4">
        <v>9.2899999999999991</v>
      </c>
      <c r="Q2389" s="4">
        <v>0.23</v>
      </c>
      <c r="R2389" s="4">
        <v>4.1900000000000004</v>
      </c>
      <c r="S2389" s="4">
        <v>0</v>
      </c>
      <c r="T2389" s="4">
        <v>0</v>
      </c>
      <c r="U2389" s="4">
        <v>41.33</v>
      </c>
      <c r="V2389" s="4">
        <v>14.96</v>
      </c>
      <c r="W2389" t="s">
        <v>21</v>
      </c>
      <c r="X2389" t="s">
        <v>36</v>
      </c>
      <c r="Y2389" s="4">
        <v>1</v>
      </c>
      <c r="Z2389" s="4">
        <v>13</v>
      </c>
      <c r="AA2389" t="s">
        <v>37</v>
      </c>
      <c r="AB2389" t="s">
        <v>38</v>
      </c>
      <c r="AC2389" s="7">
        <v>0</v>
      </c>
      <c r="AD2389" t="s">
        <v>39</v>
      </c>
      <c r="AE2389">
        <f t="shared" si="37"/>
        <v>0</v>
      </c>
    </row>
    <row r="2390" spans="1:31" x14ac:dyDescent="0.35">
      <c r="A2390">
        <v>102389</v>
      </c>
      <c r="B2390" s="3">
        <v>45994</v>
      </c>
      <c r="C2390">
        <v>1074</v>
      </c>
      <c r="D2390" t="s">
        <v>59</v>
      </c>
      <c r="E2390" t="s">
        <v>70</v>
      </c>
      <c r="F2390" t="s">
        <v>41</v>
      </c>
      <c r="G2390" t="s">
        <v>63</v>
      </c>
      <c r="H2390" t="s">
        <v>34</v>
      </c>
      <c r="I2390" t="s">
        <v>69</v>
      </c>
      <c r="J2390" s="4">
        <v>27.87</v>
      </c>
      <c r="K2390" s="4">
        <v>11.66</v>
      </c>
      <c r="L2390">
        <v>0</v>
      </c>
      <c r="M2390" s="4">
        <v>0</v>
      </c>
      <c r="N2390" s="4">
        <v>324.95999999999998</v>
      </c>
      <c r="O2390" s="4">
        <v>206.4</v>
      </c>
      <c r="P2390" s="4">
        <v>6.78</v>
      </c>
      <c r="Q2390" s="4">
        <v>1.3</v>
      </c>
      <c r="R2390" s="4">
        <v>5.08</v>
      </c>
      <c r="S2390" s="4">
        <v>155.88999999999999</v>
      </c>
      <c r="T2390" s="4">
        <v>0</v>
      </c>
      <c r="U2390" s="4">
        <v>375.45</v>
      </c>
      <c r="V2390" s="4">
        <v>-50.49</v>
      </c>
      <c r="W2390" t="s">
        <v>58</v>
      </c>
      <c r="X2390" t="s">
        <v>55</v>
      </c>
      <c r="Y2390" s="4">
        <v>0</v>
      </c>
      <c r="Z2390" s="4">
        <v>9</v>
      </c>
      <c r="AA2390" t="s">
        <v>37</v>
      </c>
      <c r="AB2390" t="s">
        <v>44</v>
      </c>
      <c r="AC2390" s="7">
        <v>4</v>
      </c>
      <c r="AD2390" t="s">
        <v>45</v>
      </c>
      <c r="AE2390">
        <f t="shared" si="37"/>
        <v>1</v>
      </c>
    </row>
    <row r="2391" spans="1:31" x14ac:dyDescent="0.35">
      <c r="A2391">
        <v>102390</v>
      </c>
      <c r="B2391" s="3">
        <v>45970</v>
      </c>
      <c r="C2391">
        <v>1132</v>
      </c>
      <c r="D2391" t="s">
        <v>47</v>
      </c>
      <c r="E2391" t="s">
        <v>48</v>
      </c>
      <c r="F2391" t="s">
        <v>49</v>
      </c>
      <c r="G2391" t="s">
        <v>63</v>
      </c>
      <c r="H2391" t="s">
        <v>57</v>
      </c>
      <c r="I2391" t="s">
        <v>35</v>
      </c>
      <c r="J2391" s="4">
        <v>12.83</v>
      </c>
      <c r="K2391" s="4">
        <v>11.4</v>
      </c>
      <c r="L2391">
        <v>5</v>
      </c>
      <c r="M2391" s="4">
        <v>7.31</v>
      </c>
      <c r="N2391" s="4">
        <v>138.94999999999999</v>
      </c>
      <c r="O2391" s="4">
        <v>99.17</v>
      </c>
      <c r="P2391" s="4">
        <v>10.01</v>
      </c>
      <c r="Q2391" s="4">
        <v>1.02</v>
      </c>
      <c r="R2391" s="4">
        <v>10.26</v>
      </c>
      <c r="S2391" s="4">
        <v>0</v>
      </c>
      <c r="T2391" s="4">
        <v>0</v>
      </c>
      <c r="U2391" s="4">
        <v>120.46</v>
      </c>
      <c r="V2391" s="4">
        <v>18.489999999999998</v>
      </c>
      <c r="W2391" t="s">
        <v>21</v>
      </c>
      <c r="X2391" t="s">
        <v>36</v>
      </c>
      <c r="Y2391" s="4">
        <v>9</v>
      </c>
      <c r="Z2391" s="4">
        <v>6</v>
      </c>
      <c r="AA2391" t="s">
        <v>37</v>
      </c>
      <c r="AB2391" t="s">
        <v>38</v>
      </c>
      <c r="AC2391" s="7">
        <v>0</v>
      </c>
      <c r="AD2391" t="s">
        <v>39</v>
      </c>
      <c r="AE2391">
        <f t="shared" si="37"/>
        <v>0</v>
      </c>
    </row>
    <row r="2392" spans="1:31" x14ac:dyDescent="0.35">
      <c r="A2392">
        <v>102391</v>
      </c>
      <c r="B2392" s="3">
        <v>45940</v>
      </c>
      <c r="C2392">
        <v>1096</v>
      </c>
      <c r="D2392" t="s">
        <v>30</v>
      </c>
      <c r="E2392" t="s">
        <v>72</v>
      </c>
      <c r="F2392" t="s">
        <v>41</v>
      </c>
      <c r="G2392" t="s">
        <v>63</v>
      </c>
      <c r="H2392" t="s">
        <v>57</v>
      </c>
      <c r="I2392" t="s">
        <v>35</v>
      </c>
      <c r="J2392" s="4">
        <v>19.68</v>
      </c>
      <c r="K2392" s="4">
        <v>12.42</v>
      </c>
      <c r="L2392">
        <v>5</v>
      </c>
      <c r="M2392" s="4">
        <v>12.22</v>
      </c>
      <c r="N2392" s="4">
        <v>232.21</v>
      </c>
      <c r="O2392" s="4">
        <v>121.04</v>
      </c>
      <c r="P2392" s="4">
        <v>9.68</v>
      </c>
      <c r="Q2392" s="4">
        <v>1.71</v>
      </c>
      <c r="R2392" s="4">
        <v>13.53</v>
      </c>
      <c r="S2392" s="4">
        <v>0</v>
      </c>
      <c r="T2392" s="4">
        <v>0</v>
      </c>
      <c r="U2392" s="4">
        <v>145.96</v>
      </c>
      <c r="V2392" s="4">
        <v>86.25</v>
      </c>
      <c r="W2392" t="s">
        <v>21</v>
      </c>
      <c r="X2392" t="s">
        <v>36</v>
      </c>
      <c r="Y2392" s="4">
        <v>5</v>
      </c>
      <c r="Z2392" s="4">
        <v>6</v>
      </c>
      <c r="AA2392" t="s">
        <v>37</v>
      </c>
      <c r="AB2392" t="s">
        <v>38</v>
      </c>
      <c r="AC2392" s="7">
        <v>0</v>
      </c>
      <c r="AD2392" t="s">
        <v>39</v>
      </c>
      <c r="AE2392">
        <f t="shared" si="37"/>
        <v>0</v>
      </c>
    </row>
    <row r="2393" spans="1:31" x14ac:dyDescent="0.35">
      <c r="A2393">
        <v>102392</v>
      </c>
      <c r="B2393" s="3">
        <v>45931</v>
      </c>
      <c r="C2393">
        <v>1068</v>
      </c>
      <c r="D2393" t="s">
        <v>59</v>
      </c>
      <c r="E2393" t="s">
        <v>60</v>
      </c>
      <c r="F2393" t="s">
        <v>71</v>
      </c>
      <c r="G2393" t="s">
        <v>50</v>
      </c>
      <c r="H2393" t="s">
        <v>34</v>
      </c>
      <c r="I2393" t="s">
        <v>42</v>
      </c>
      <c r="J2393" s="4">
        <v>34.549999999999997</v>
      </c>
      <c r="K2393" s="4">
        <v>17.829999999999998</v>
      </c>
      <c r="L2393">
        <v>0</v>
      </c>
      <c r="M2393" s="4">
        <v>0</v>
      </c>
      <c r="N2393" s="4">
        <v>616.03</v>
      </c>
      <c r="O2393" s="4">
        <v>266.45</v>
      </c>
      <c r="P2393" s="4">
        <v>6.58</v>
      </c>
      <c r="Q2393" s="4">
        <v>9.24</v>
      </c>
      <c r="R2393" s="4">
        <v>9.42</v>
      </c>
      <c r="S2393" s="4">
        <v>0</v>
      </c>
      <c r="T2393" s="4">
        <v>0</v>
      </c>
      <c r="U2393" s="4">
        <v>291.69</v>
      </c>
      <c r="V2393" s="4">
        <v>324.33999999999997</v>
      </c>
      <c r="W2393" t="s">
        <v>21</v>
      </c>
      <c r="X2393" t="s">
        <v>36</v>
      </c>
      <c r="Y2393" s="4">
        <v>10</v>
      </c>
      <c r="Z2393" s="4">
        <v>53</v>
      </c>
      <c r="AA2393" t="s">
        <v>37</v>
      </c>
      <c r="AB2393" t="s">
        <v>44</v>
      </c>
      <c r="AC2393" s="7">
        <v>1</v>
      </c>
      <c r="AD2393" t="s">
        <v>45</v>
      </c>
      <c r="AE2393">
        <f t="shared" si="37"/>
        <v>1</v>
      </c>
    </row>
    <row r="2394" spans="1:31" x14ac:dyDescent="0.35">
      <c r="A2394">
        <v>102393</v>
      </c>
      <c r="B2394" s="3">
        <v>46007</v>
      </c>
      <c r="C2394">
        <v>1024</v>
      </c>
      <c r="D2394" t="s">
        <v>59</v>
      </c>
      <c r="E2394" t="s">
        <v>73</v>
      </c>
      <c r="F2394" t="s">
        <v>61</v>
      </c>
      <c r="G2394" t="s">
        <v>33</v>
      </c>
      <c r="H2394" t="s">
        <v>34</v>
      </c>
      <c r="I2394" t="s">
        <v>42</v>
      </c>
      <c r="J2394" s="4">
        <v>42.64</v>
      </c>
      <c r="K2394" s="4">
        <v>18.399999999999999</v>
      </c>
      <c r="L2394">
        <v>0</v>
      </c>
      <c r="M2394" s="4">
        <v>0</v>
      </c>
      <c r="N2394" s="4">
        <v>784.58</v>
      </c>
      <c r="O2394" s="4">
        <v>322.35000000000002</v>
      </c>
      <c r="P2394" s="4">
        <v>9.99</v>
      </c>
      <c r="Q2394" s="4">
        <v>11.77</v>
      </c>
      <c r="R2394" s="4">
        <v>6.97</v>
      </c>
      <c r="S2394" s="4">
        <v>0</v>
      </c>
      <c r="T2394" s="4">
        <v>0</v>
      </c>
      <c r="U2394" s="4">
        <v>351.08</v>
      </c>
      <c r="V2394" s="4">
        <v>433.5</v>
      </c>
      <c r="W2394" t="s">
        <v>21</v>
      </c>
      <c r="X2394" t="s">
        <v>36</v>
      </c>
      <c r="Y2394" s="4">
        <v>11</v>
      </c>
      <c r="Z2394" s="4">
        <v>11</v>
      </c>
      <c r="AA2394" t="s">
        <v>37</v>
      </c>
      <c r="AB2394" t="s">
        <v>38</v>
      </c>
      <c r="AC2394" s="7">
        <v>0</v>
      </c>
      <c r="AD2394" t="s">
        <v>39</v>
      </c>
      <c r="AE2394">
        <f t="shared" si="37"/>
        <v>0</v>
      </c>
    </row>
    <row r="2395" spans="1:31" x14ac:dyDescent="0.35">
      <c r="A2395">
        <v>102394</v>
      </c>
      <c r="B2395" s="3">
        <v>45948</v>
      </c>
      <c r="C2395">
        <v>1077</v>
      </c>
      <c r="D2395" t="s">
        <v>64</v>
      </c>
      <c r="E2395" t="s">
        <v>76</v>
      </c>
      <c r="F2395" t="s">
        <v>32</v>
      </c>
      <c r="G2395" t="s">
        <v>46</v>
      </c>
      <c r="H2395" t="s">
        <v>57</v>
      </c>
      <c r="I2395" t="s">
        <v>69</v>
      </c>
      <c r="J2395" s="4">
        <v>37.96</v>
      </c>
      <c r="K2395" s="4">
        <v>17.72</v>
      </c>
      <c r="L2395">
        <v>0</v>
      </c>
      <c r="M2395" s="4">
        <v>0</v>
      </c>
      <c r="N2395" s="4">
        <v>672.65</v>
      </c>
      <c r="O2395" s="4">
        <v>266.06</v>
      </c>
      <c r="P2395" s="4">
        <v>5.78</v>
      </c>
      <c r="Q2395" s="4">
        <v>2.69</v>
      </c>
      <c r="R2395" s="4">
        <v>6.15</v>
      </c>
      <c r="S2395" s="4">
        <v>0</v>
      </c>
      <c r="T2395" s="4">
        <v>0</v>
      </c>
      <c r="U2395" s="4">
        <v>280.68</v>
      </c>
      <c r="V2395" s="4">
        <v>391.97</v>
      </c>
      <c r="W2395" t="s">
        <v>21</v>
      </c>
      <c r="X2395" t="s">
        <v>36</v>
      </c>
      <c r="Y2395" s="4">
        <v>7</v>
      </c>
      <c r="Z2395" s="4">
        <v>43</v>
      </c>
      <c r="AA2395" t="s">
        <v>37</v>
      </c>
      <c r="AB2395" t="s">
        <v>44</v>
      </c>
      <c r="AC2395" s="7">
        <v>3</v>
      </c>
      <c r="AD2395" t="s">
        <v>45</v>
      </c>
      <c r="AE2395">
        <f t="shared" si="37"/>
        <v>1</v>
      </c>
    </row>
    <row r="2396" spans="1:31" x14ac:dyDescent="0.35">
      <c r="A2396">
        <v>102395</v>
      </c>
      <c r="B2396" s="3">
        <v>46009</v>
      </c>
      <c r="C2396">
        <v>1146</v>
      </c>
      <c r="D2396" t="s">
        <v>30</v>
      </c>
      <c r="E2396" t="s">
        <v>62</v>
      </c>
      <c r="F2396" t="s">
        <v>61</v>
      </c>
      <c r="G2396" t="s">
        <v>50</v>
      </c>
      <c r="H2396" t="s">
        <v>57</v>
      </c>
      <c r="I2396" t="s">
        <v>35</v>
      </c>
      <c r="J2396" s="4">
        <v>22.06</v>
      </c>
      <c r="K2396" s="4">
        <v>18.2</v>
      </c>
      <c r="L2396">
        <v>5</v>
      </c>
      <c r="M2396" s="4">
        <v>20.07</v>
      </c>
      <c r="N2396" s="4">
        <v>381.42</v>
      </c>
      <c r="O2396" s="4">
        <v>166.71</v>
      </c>
      <c r="P2396" s="4">
        <v>10.66</v>
      </c>
      <c r="Q2396" s="4">
        <v>2.81</v>
      </c>
      <c r="R2396" s="4">
        <v>5.13</v>
      </c>
      <c r="S2396" s="4">
        <v>0</v>
      </c>
      <c r="T2396" s="4">
        <v>0</v>
      </c>
      <c r="U2396" s="4">
        <v>185.31</v>
      </c>
      <c r="V2396" s="4">
        <v>196.11</v>
      </c>
      <c r="W2396" t="s">
        <v>21</v>
      </c>
      <c r="X2396" t="s">
        <v>36</v>
      </c>
      <c r="Y2396" s="4">
        <v>14</v>
      </c>
      <c r="Z2396" s="4">
        <v>5</v>
      </c>
      <c r="AA2396" t="s">
        <v>37</v>
      </c>
      <c r="AB2396" t="s">
        <v>38</v>
      </c>
      <c r="AC2396" s="7">
        <v>0</v>
      </c>
      <c r="AD2396" t="s">
        <v>39</v>
      </c>
      <c r="AE2396">
        <f t="shared" si="37"/>
        <v>0</v>
      </c>
    </row>
    <row r="2397" spans="1:31" x14ac:dyDescent="0.35">
      <c r="A2397">
        <v>102396</v>
      </c>
      <c r="B2397" s="3">
        <v>45964</v>
      </c>
      <c r="C2397">
        <v>1037</v>
      </c>
      <c r="D2397" t="s">
        <v>30</v>
      </c>
      <c r="E2397" t="s">
        <v>72</v>
      </c>
      <c r="F2397" t="s">
        <v>71</v>
      </c>
      <c r="G2397" t="s">
        <v>63</v>
      </c>
      <c r="H2397" t="s">
        <v>51</v>
      </c>
      <c r="I2397" t="s">
        <v>69</v>
      </c>
      <c r="J2397" s="4">
        <v>20.38</v>
      </c>
      <c r="K2397" s="4">
        <v>12.71</v>
      </c>
      <c r="L2397">
        <v>20</v>
      </c>
      <c r="M2397" s="4">
        <v>51.81</v>
      </c>
      <c r="N2397" s="4">
        <v>207.22</v>
      </c>
      <c r="O2397" s="4">
        <v>130.91999999999999</v>
      </c>
      <c r="P2397" s="4">
        <v>6.29</v>
      </c>
      <c r="Q2397" s="4">
        <v>1.04</v>
      </c>
      <c r="R2397" s="4">
        <v>0</v>
      </c>
      <c r="S2397" s="4">
        <v>0</v>
      </c>
      <c r="T2397" s="4">
        <v>0</v>
      </c>
      <c r="U2397" s="4">
        <v>138.25</v>
      </c>
      <c r="V2397" s="4">
        <v>68.97</v>
      </c>
      <c r="W2397" t="s">
        <v>21</v>
      </c>
      <c r="X2397" t="s">
        <v>36</v>
      </c>
      <c r="Y2397" s="4">
        <v>14</v>
      </c>
      <c r="Z2397" s="4">
        <v>7</v>
      </c>
      <c r="AA2397" t="s">
        <v>37</v>
      </c>
      <c r="AB2397" t="s">
        <v>38</v>
      </c>
      <c r="AC2397" s="7">
        <v>0</v>
      </c>
      <c r="AD2397" t="s">
        <v>39</v>
      </c>
      <c r="AE2397">
        <f t="shared" si="37"/>
        <v>0</v>
      </c>
    </row>
    <row r="2398" spans="1:31" x14ac:dyDescent="0.35">
      <c r="A2398">
        <v>102397</v>
      </c>
      <c r="B2398" s="3">
        <v>45939</v>
      </c>
      <c r="C2398">
        <v>1012</v>
      </c>
      <c r="D2398" t="s">
        <v>47</v>
      </c>
      <c r="E2398" t="s">
        <v>48</v>
      </c>
      <c r="F2398" t="s">
        <v>61</v>
      </c>
      <c r="G2398" t="s">
        <v>33</v>
      </c>
      <c r="H2398" t="s">
        <v>34</v>
      </c>
      <c r="I2398" t="s">
        <v>69</v>
      </c>
      <c r="J2398" s="4">
        <v>23.38</v>
      </c>
      <c r="K2398" s="4">
        <v>19.21</v>
      </c>
      <c r="L2398">
        <v>0</v>
      </c>
      <c r="M2398" s="4">
        <v>0</v>
      </c>
      <c r="N2398" s="4">
        <v>449.13</v>
      </c>
      <c r="O2398" s="4">
        <v>158.16999999999999</v>
      </c>
      <c r="P2398" s="4">
        <v>12.57</v>
      </c>
      <c r="Q2398" s="4">
        <v>1.8</v>
      </c>
      <c r="R2398" s="4">
        <v>7.29</v>
      </c>
      <c r="S2398" s="4">
        <v>0</v>
      </c>
      <c r="T2398" s="4">
        <v>0</v>
      </c>
      <c r="U2398" s="4">
        <v>179.83</v>
      </c>
      <c r="V2398" s="4">
        <v>269.3</v>
      </c>
      <c r="W2398" t="s">
        <v>21</v>
      </c>
      <c r="X2398" t="s">
        <v>36</v>
      </c>
      <c r="Y2398" s="4">
        <v>6</v>
      </c>
      <c r="Z2398" s="4">
        <v>2</v>
      </c>
      <c r="AA2398" t="s">
        <v>37</v>
      </c>
      <c r="AB2398" t="s">
        <v>38</v>
      </c>
      <c r="AC2398" s="7">
        <v>0</v>
      </c>
      <c r="AD2398" t="s">
        <v>39</v>
      </c>
      <c r="AE2398">
        <f t="shared" si="37"/>
        <v>0</v>
      </c>
    </row>
    <row r="2399" spans="1:31" x14ac:dyDescent="0.35">
      <c r="A2399">
        <v>102398</v>
      </c>
      <c r="B2399" s="3">
        <v>46012</v>
      </c>
      <c r="C2399">
        <v>1038</v>
      </c>
      <c r="D2399" t="s">
        <v>59</v>
      </c>
      <c r="E2399" t="s">
        <v>60</v>
      </c>
      <c r="F2399" t="s">
        <v>41</v>
      </c>
      <c r="G2399" t="s">
        <v>46</v>
      </c>
      <c r="H2399" t="s">
        <v>34</v>
      </c>
      <c r="I2399" t="s">
        <v>35</v>
      </c>
      <c r="J2399" s="4">
        <v>33.43</v>
      </c>
      <c r="K2399" s="4">
        <v>16.3</v>
      </c>
      <c r="L2399">
        <v>15</v>
      </c>
      <c r="M2399" s="4">
        <v>81.739999999999995</v>
      </c>
      <c r="N2399" s="4">
        <v>463.17</v>
      </c>
      <c r="O2399" s="4">
        <v>233.95</v>
      </c>
      <c r="P2399" s="4">
        <v>11.44</v>
      </c>
      <c r="Q2399" s="4">
        <v>3.81</v>
      </c>
      <c r="R2399" s="4">
        <v>3.18</v>
      </c>
      <c r="S2399" s="4">
        <v>0</v>
      </c>
      <c r="T2399" s="4">
        <v>0</v>
      </c>
      <c r="U2399" s="4">
        <v>252.38</v>
      </c>
      <c r="V2399" s="4">
        <v>210.79</v>
      </c>
      <c r="W2399" t="s">
        <v>21</v>
      </c>
      <c r="X2399" t="s">
        <v>36</v>
      </c>
      <c r="Y2399" s="4">
        <v>6</v>
      </c>
      <c r="Z2399" s="4">
        <v>1</v>
      </c>
      <c r="AA2399" t="s">
        <v>37</v>
      </c>
      <c r="AB2399" t="s">
        <v>38</v>
      </c>
      <c r="AC2399" s="7">
        <v>0</v>
      </c>
      <c r="AD2399" t="s">
        <v>39</v>
      </c>
      <c r="AE2399">
        <f t="shared" si="37"/>
        <v>0</v>
      </c>
    </row>
    <row r="2400" spans="1:31" x14ac:dyDescent="0.35">
      <c r="A2400">
        <v>102399</v>
      </c>
      <c r="B2400" s="3">
        <v>45958</v>
      </c>
      <c r="C2400">
        <v>1048</v>
      </c>
      <c r="D2400" t="s">
        <v>64</v>
      </c>
      <c r="E2400" t="s">
        <v>65</v>
      </c>
      <c r="F2400" t="s">
        <v>71</v>
      </c>
      <c r="G2400" t="s">
        <v>46</v>
      </c>
      <c r="H2400" t="s">
        <v>34</v>
      </c>
      <c r="I2400" t="s">
        <v>54</v>
      </c>
      <c r="J2400" s="4">
        <v>31.16</v>
      </c>
      <c r="K2400" s="4">
        <v>16.29</v>
      </c>
      <c r="L2400">
        <v>15</v>
      </c>
      <c r="M2400" s="4">
        <v>76.14</v>
      </c>
      <c r="N2400" s="4">
        <v>431.46</v>
      </c>
      <c r="O2400" s="4">
        <v>274.54000000000002</v>
      </c>
      <c r="P2400" s="4">
        <v>15.45</v>
      </c>
      <c r="Q2400" s="4">
        <v>6.09</v>
      </c>
      <c r="R2400" s="4">
        <v>3.55</v>
      </c>
      <c r="S2400" s="4">
        <v>0</v>
      </c>
      <c r="T2400" s="4">
        <v>0</v>
      </c>
      <c r="U2400" s="4">
        <v>299.63</v>
      </c>
      <c r="V2400" s="4">
        <v>131.83000000000001</v>
      </c>
      <c r="W2400" t="s">
        <v>21</v>
      </c>
      <c r="X2400" t="s">
        <v>36</v>
      </c>
      <c r="Y2400" s="4">
        <v>3</v>
      </c>
      <c r="Z2400" s="4">
        <v>0</v>
      </c>
      <c r="AA2400" t="s">
        <v>37</v>
      </c>
      <c r="AB2400" t="s">
        <v>38</v>
      </c>
      <c r="AC2400" s="7">
        <v>0</v>
      </c>
      <c r="AD2400" t="s">
        <v>39</v>
      </c>
      <c r="AE2400">
        <f t="shared" si="37"/>
        <v>0</v>
      </c>
    </row>
    <row r="2401" spans="1:31" x14ac:dyDescent="0.35">
      <c r="A2401">
        <v>102400</v>
      </c>
      <c r="B2401" s="3">
        <v>45954</v>
      </c>
      <c r="C2401">
        <v>1064</v>
      </c>
      <c r="D2401" t="s">
        <v>59</v>
      </c>
      <c r="E2401" t="s">
        <v>70</v>
      </c>
      <c r="F2401" t="s">
        <v>61</v>
      </c>
      <c r="G2401" t="s">
        <v>46</v>
      </c>
      <c r="H2401" t="s">
        <v>51</v>
      </c>
      <c r="I2401" t="s">
        <v>69</v>
      </c>
      <c r="J2401" s="4">
        <v>29.56</v>
      </c>
      <c r="K2401" s="4">
        <v>16.03</v>
      </c>
      <c r="L2401">
        <v>10</v>
      </c>
      <c r="M2401" s="4">
        <v>47.39</v>
      </c>
      <c r="N2401" s="4">
        <v>426.46</v>
      </c>
      <c r="O2401" s="4">
        <v>246.1</v>
      </c>
      <c r="P2401" s="4">
        <v>7.96</v>
      </c>
      <c r="Q2401" s="4">
        <v>1.9</v>
      </c>
      <c r="R2401" s="4">
        <v>1.42</v>
      </c>
      <c r="S2401" s="4">
        <v>0</v>
      </c>
      <c r="T2401" s="4">
        <v>0</v>
      </c>
      <c r="U2401" s="4">
        <v>257.38</v>
      </c>
      <c r="V2401" s="4">
        <v>169.08</v>
      </c>
      <c r="W2401" t="s">
        <v>21</v>
      </c>
      <c r="X2401" t="s">
        <v>36</v>
      </c>
      <c r="Y2401" s="4">
        <v>0</v>
      </c>
      <c r="Z2401" s="4">
        <v>2</v>
      </c>
      <c r="AA2401" t="s">
        <v>37</v>
      </c>
      <c r="AB2401" t="s">
        <v>38</v>
      </c>
      <c r="AC2401" s="7">
        <v>0</v>
      </c>
      <c r="AD2401" t="s">
        <v>39</v>
      </c>
      <c r="AE2401">
        <f t="shared" si="37"/>
        <v>0</v>
      </c>
    </row>
    <row r="2402" spans="1:31" x14ac:dyDescent="0.35">
      <c r="A2402">
        <v>102401</v>
      </c>
      <c r="B2402" s="3">
        <v>45941</v>
      </c>
      <c r="C2402">
        <v>1025</v>
      </c>
      <c r="D2402" t="s">
        <v>59</v>
      </c>
      <c r="E2402" t="s">
        <v>73</v>
      </c>
      <c r="F2402" t="s">
        <v>61</v>
      </c>
      <c r="G2402" t="s">
        <v>46</v>
      </c>
      <c r="H2402" t="s">
        <v>34</v>
      </c>
      <c r="I2402" t="s">
        <v>35</v>
      </c>
      <c r="J2402" s="4">
        <v>42.2</v>
      </c>
      <c r="K2402" s="4">
        <v>14.59</v>
      </c>
      <c r="L2402">
        <v>10</v>
      </c>
      <c r="M2402" s="4">
        <v>61.57</v>
      </c>
      <c r="N2402" s="4">
        <v>554.13</v>
      </c>
      <c r="O2402" s="4">
        <v>327.98</v>
      </c>
      <c r="P2402" s="4">
        <v>9.14</v>
      </c>
      <c r="Q2402" s="4">
        <v>4.3099999999999996</v>
      </c>
      <c r="R2402" s="4">
        <v>9.73</v>
      </c>
      <c r="S2402" s="4">
        <v>0</v>
      </c>
      <c r="T2402" s="4">
        <v>0</v>
      </c>
      <c r="U2402" s="4">
        <v>351.16</v>
      </c>
      <c r="V2402" s="4">
        <v>202.97</v>
      </c>
      <c r="W2402" t="s">
        <v>21</v>
      </c>
      <c r="X2402" t="s">
        <v>36</v>
      </c>
      <c r="Y2402" s="4">
        <v>17</v>
      </c>
      <c r="Z2402" s="4">
        <v>8</v>
      </c>
      <c r="AA2402" t="s">
        <v>52</v>
      </c>
      <c r="AB2402" t="s">
        <v>38</v>
      </c>
      <c r="AC2402" s="7">
        <v>0</v>
      </c>
      <c r="AD2402" t="s">
        <v>39</v>
      </c>
      <c r="AE2402">
        <f t="shared" si="37"/>
        <v>0</v>
      </c>
    </row>
    <row r="2403" spans="1:31" x14ac:dyDescent="0.35">
      <c r="A2403">
        <v>102402</v>
      </c>
      <c r="B2403" s="3">
        <v>45935</v>
      </c>
      <c r="C2403">
        <v>1075</v>
      </c>
      <c r="D2403" t="s">
        <v>47</v>
      </c>
      <c r="E2403" t="s">
        <v>53</v>
      </c>
      <c r="F2403" t="s">
        <v>49</v>
      </c>
      <c r="G2403" t="s">
        <v>63</v>
      </c>
      <c r="H2403" t="s">
        <v>57</v>
      </c>
      <c r="I2403" t="s">
        <v>42</v>
      </c>
      <c r="J2403" s="4">
        <v>7.29</v>
      </c>
      <c r="K2403" s="4">
        <v>13.22</v>
      </c>
      <c r="L2403">
        <v>0</v>
      </c>
      <c r="M2403" s="4">
        <v>0</v>
      </c>
      <c r="N2403" s="4">
        <v>96.37</v>
      </c>
      <c r="O2403" s="4">
        <v>55.25</v>
      </c>
      <c r="P2403" s="4">
        <v>11.21</v>
      </c>
      <c r="Q2403" s="4">
        <v>1.45</v>
      </c>
      <c r="R2403" s="4">
        <v>12.09</v>
      </c>
      <c r="S2403" s="4">
        <v>0</v>
      </c>
      <c r="T2403" s="4">
        <v>0</v>
      </c>
      <c r="U2403" s="4">
        <v>80</v>
      </c>
      <c r="V2403" s="4">
        <v>16.37</v>
      </c>
      <c r="W2403" t="s">
        <v>21</v>
      </c>
      <c r="X2403" t="s">
        <v>36</v>
      </c>
      <c r="Y2403" s="4">
        <v>9</v>
      </c>
      <c r="Z2403" s="4">
        <v>2</v>
      </c>
      <c r="AA2403" t="s">
        <v>37</v>
      </c>
      <c r="AB2403" t="s">
        <v>38</v>
      </c>
      <c r="AC2403" s="7">
        <v>0</v>
      </c>
      <c r="AD2403" t="s">
        <v>39</v>
      </c>
      <c r="AE2403">
        <f t="shared" si="37"/>
        <v>0</v>
      </c>
    </row>
    <row r="2404" spans="1:31" x14ac:dyDescent="0.35">
      <c r="A2404">
        <v>102403</v>
      </c>
      <c r="B2404" s="3">
        <v>45979</v>
      </c>
      <c r="C2404">
        <v>1002</v>
      </c>
      <c r="D2404" t="s">
        <v>59</v>
      </c>
      <c r="E2404" t="s">
        <v>70</v>
      </c>
      <c r="F2404" t="s">
        <v>61</v>
      </c>
      <c r="G2404" t="s">
        <v>63</v>
      </c>
      <c r="H2404" t="s">
        <v>34</v>
      </c>
      <c r="I2404" t="s">
        <v>35</v>
      </c>
      <c r="J2404" s="4">
        <v>22.99</v>
      </c>
      <c r="K2404" s="4">
        <v>12.39</v>
      </c>
      <c r="L2404">
        <v>15</v>
      </c>
      <c r="M2404" s="4">
        <v>42.73</v>
      </c>
      <c r="N2404" s="4">
        <v>242.12</v>
      </c>
      <c r="O2404" s="4">
        <v>135.27000000000001</v>
      </c>
      <c r="P2404" s="4">
        <v>10.5</v>
      </c>
      <c r="Q2404" s="4">
        <v>1.99</v>
      </c>
      <c r="R2404" s="4">
        <v>1.86</v>
      </c>
      <c r="S2404" s="4">
        <v>0</v>
      </c>
      <c r="T2404" s="4">
        <v>0</v>
      </c>
      <c r="U2404" s="4">
        <v>149.62</v>
      </c>
      <c r="V2404" s="4">
        <v>92.5</v>
      </c>
      <c r="W2404" t="s">
        <v>21</v>
      </c>
      <c r="X2404" t="s">
        <v>36</v>
      </c>
      <c r="Y2404" s="4">
        <v>40</v>
      </c>
      <c r="Z2404" s="4">
        <v>3</v>
      </c>
      <c r="AA2404" t="s">
        <v>43</v>
      </c>
      <c r="AB2404" t="s">
        <v>44</v>
      </c>
      <c r="AC2404" s="7">
        <v>1</v>
      </c>
      <c r="AD2404" t="s">
        <v>45</v>
      </c>
      <c r="AE2404">
        <f t="shared" si="37"/>
        <v>1</v>
      </c>
    </row>
    <row r="2405" spans="1:31" x14ac:dyDescent="0.35">
      <c r="A2405">
        <v>102404</v>
      </c>
      <c r="B2405" s="3">
        <v>45984</v>
      </c>
      <c r="C2405">
        <v>1095</v>
      </c>
      <c r="D2405" t="s">
        <v>30</v>
      </c>
      <c r="E2405" t="s">
        <v>72</v>
      </c>
      <c r="F2405" t="s">
        <v>71</v>
      </c>
      <c r="G2405" t="s">
        <v>63</v>
      </c>
      <c r="H2405" t="s">
        <v>57</v>
      </c>
      <c r="I2405" t="s">
        <v>35</v>
      </c>
      <c r="J2405" s="4">
        <v>17.079999999999998</v>
      </c>
      <c r="K2405" s="4">
        <v>12.12</v>
      </c>
      <c r="L2405">
        <v>0</v>
      </c>
      <c r="M2405" s="4">
        <v>0</v>
      </c>
      <c r="N2405" s="4">
        <v>207.01</v>
      </c>
      <c r="O2405" s="4">
        <v>122.74</v>
      </c>
      <c r="P2405" s="4">
        <v>6.51</v>
      </c>
      <c r="Q2405" s="4">
        <v>1.45</v>
      </c>
      <c r="R2405" s="4">
        <v>7.07</v>
      </c>
      <c r="S2405" s="4">
        <v>0</v>
      </c>
      <c r="T2405" s="4">
        <v>0</v>
      </c>
      <c r="U2405" s="4">
        <v>137.77000000000001</v>
      </c>
      <c r="V2405" s="4">
        <v>69.239999999999995</v>
      </c>
      <c r="W2405" t="s">
        <v>21</v>
      </c>
      <c r="X2405" t="s">
        <v>36</v>
      </c>
      <c r="Y2405" s="4">
        <v>10</v>
      </c>
      <c r="Z2405" s="4">
        <v>24</v>
      </c>
      <c r="AA2405" t="s">
        <v>37</v>
      </c>
      <c r="AB2405" t="s">
        <v>44</v>
      </c>
      <c r="AC2405" s="7">
        <v>2</v>
      </c>
      <c r="AD2405" t="s">
        <v>45</v>
      </c>
      <c r="AE2405">
        <f t="shared" si="37"/>
        <v>1</v>
      </c>
    </row>
    <row r="2406" spans="1:31" x14ac:dyDescent="0.35">
      <c r="A2406">
        <v>102405</v>
      </c>
      <c r="B2406" s="3">
        <v>46009</v>
      </c>
      <c r="C2406">
        <v>1127</v>
      </c>
      <c r="D2406" t="s">
        <v>59</v>
      </c>
      <c r="E2406" t="s">
        <v>73</v>
      </c>
      <c r="F2406" t="s">
        <v>41</v>
      </c>
      <c r="G2406" t="s">
        <v>63</v>
      </c>
      <c r="H2406" t="s">
        <v>34</v>
      </c>
      <c r="I2406" t="s">
        <v>69</v>
      </c>
      <c r="J2406" s="4">
        <v>21</v>
      </c>
      <c r="K2406" s="4">
        <v>13.66</v>
      </c>
      <c r="L2406">
        <v>10</v>
      </c>
      <c r="M2406" s="4">
        <v>28.69</v>
      </c>
      <c r="N2406" s="4">
        <v>258.17</v>
      </c>
      <c r="O2406" s="4">
        <v>175.85</v>
      </c>
      <c r="P2406" s="4">
        <v>8.3000000000000007</v>
      </c>
      <c r="Q2406" s="4">
        <v>1.1499999999999999</v>
      </c>
      <c r="R2406" s="4">
        <v>6.16</v>
      </c>
      <c r="S2406" s="4">
        <v>0</v>
      </c>
      <c r="T2406" s="4">
        <v>0</v>
      </c>
      <c r="U2406" s="4">
        <v>191.46</v>
      </c>
      <c r="V2406" s="4">
        <v>66.709999999999994</v>
      </c>
      <c r="W2406" t="s">
        <v>21</v>
      </c>
      <c r="X2406" t="s">
        <v>36</v>
      </c>
      <c r="Y2406" s="4">
        <v>12</v>
      </c>
      <c r="Z2406" s="4">
        <v>5</v>
      </c>
      <c r="AA2406" t="s">
        <v>37</v>
      </c>
      <c r="AB2406" t="s">
        <v>38</v>
      </c>
      <c r="AC2406" s="7">
        <v>0</v>
      </c>
      <c r="AD2406" t="s">
        <v>39</v>
      </c>
      <c r="AE2406">
        <f t="shared" si="37"/>
        <v>0</v>
      </c>
    </row>
    <row r="2407" spans="1:31" x14ac:dyDescent="0.35">
      <c r="A2407">
        <v>102406</v>
      </c>
      <c r="B2407" s="3">
        <v>46012</v>
      </c>
      <c r="C2407">
        <v>1137</v>
      </c>
      <c r="D2407" t="s">
        <v>30</v>
      </c>
      <c r="E2407" t="s">
        <v>40</v>
      </c>
      <c r="F2407" t="s">
        <v>41</v>
      </c>
      <c r="G2407" t="s">
        <v>63</v>
      </c>
      <c r="H2407" t="s">
        <v>34</v>
      </c>
      <c r="I2407" t="s">
        <v>35</v>
      </c>
      <c r="J2407" s="4">
        <v>17.7</v>
      </c>
      <c r="K2407" s="4">
        <v>12.82</v>
      </c>
      <c r="L2407">
        <v>5</v>
      </c>
      <c r="M2407" s="4">
        <v>11.35</v>
      </c>
      <c r="N2407" s="4">
        <v>215.56</v>
      </c>
      <c r="O2407" s="4">
        <v>112.09</v>
      </c>
      <c r="P2407" s="4">
        <v>10.46</v>
      </c>
      <c r="Q2407" s="4">
        <v>1.59</v>
      </c>
      <c r="R2407" s="4">
        <v>5.85</v>
      </c>
      <c r="S2407" s="4">
        <v>0</v>
      </c>
      <c r="T2407" s="4">
        <v>0</v>
      </c>
      <c r="U2407" s="4">
        <v>129.99</v>
      </c>
      <c r="V2407" s="4">
        <v>85.57</v>
      </c>
      <c r="W2407" t="s">
        <v>21</v>
      </c>
      <c r="X2407" t="s">
        <v>36</v>
      </c>
      <c r="Y2407" s="4">
        <v>3</v>
      </c>
      <c r="Z2407" s="4">
        <v>18</v>
      </c>
      <c r="AA2407" t="s">
        <v>37</v>
      </c>
      <c r="AB2407" t="s">
        <v>44</v>
      </c>
      <c r="AC2407" s="7">
        <v>4</v>
      </c>
      <c r="AD2407" t="s">
        <v>45</v>
      </c>
      <c r="AE2407">
        <f t="shared" si="37"/>
        <v>1</v>
      </c>
    </row>
    <row r="2408" spans="1:31" x14ac:dyDescent="0.35">
      <c r="A2408">
        <v>102407</v>
      </c>
      <c r="B2408" s="3">
        <v>45987</v>
      </c>
      <c r="C2408">
        <v>1023</v>
      </c>
      <c r="D2408" t="s">
        <v>64</v>
      </c>
      <c r="E2408" t="s">
        <v>75</v>
      </c>
      <c r="F2408" t="s">
        <v>32</v>
      </c>
      <c r="G2408" t="s">
        <v>33</v>
      </c>
      <c r="H2408" t="s">
        <v>57</v>
      </c>
      <c r="I2408" t="s">
        <v>42</v>
      </c>
      <c r="J2408" s="4">
        <v>12.43</v>
      </c>
      <c r="K2408" s="4">
        <v>18.739999999999998</v>
      </c>
      <c r="L2408">
        <v>15</v>
      </c>
      <c r="M2408" s="4">
        <v>34.94</v>
      </c>
      <c r="N2408" s="4">
        <v>198</v>
      </c>
      <c r="O2408" s="4">
        <v>101.46</v>
      </c>
      <c r="P2408" s="4">
        <v>8.16</v>
      </c>
      <c r="Q2408" s="4">
        <v>3.49</v>
      </c>
      <c r="R2408" s="4">
        <v>0</v>
      </c>
      <c r="S2408" s="4">
        <v>0</v>
      </c>
      <c r="T2408" s="4">
        <v>0</v>
      </c>
      <c r="U2408" s="4">
        <v>113.11</v>
      </c>
      <c r="V2408" s="4">
        <v>84.89</v>
      </c>
      <c r="W2408" t="s">
        <v>21</v>
      </c>
      <c r="X2408" t="s">
        <v>36</v>
      </c>
      <c r="Y2408" s="4">
        <v>14</v>
      </c>
      <c r="Z2408" s="4">
        <v>5</v>
      </c>
      <c r="AA2408" t="s">
        <v>37</v>
      </c>
      <c r="AB2408" t="s">
        <v>38</v>
      </c>
      <c r="AC2408" s="7">
        <v>0</v>
      </c>
      <c r="AD2408" t="s">
        <v>39</v>
      </c>
      <c r="AE2408">
        <f t="shared" si="37"/>
        <v>0</v>
      </c>
    </row>
    <row r="2409" spans="1:31" x14ac:dyDescent="0.35">
      <c r="A2409">
        <v>102408</v>
      </c>
      <c r="B2409" s="3">
        <v>45944</v>
      </c>
      <c r="C2409">
        <v>1093</v>
      </c>
      <c r="D2409" t="s">
        <v>59</v>
      </c>
      <c r="E2409" t="s">
        <v>68</v>
      </c>
      <c r="F2409" t="s">
        <v>71</v>
      </c>
      <c r="G2409" t="s">
        <v>50</v>
      </c>
      <c r="H2409" t="s">
        <v>34</v>
      </c>
      <c r="I2409" t="s">
        <v>54</v>
      </c>
      <c r="J2409" s="4">
        <v>23.62</v>
      </c>
      <c r="K2409" s="4">
        <v>17.22</v>
      </c>
      <c r="L2409">
        <v>5</v>
      </c>
      <c r="M2409" s="4">
        <v>20.34</v>
      </c>
      <c r="N2409" s="4">
        <v>386.4</v>
      </c>
      <c r="O2409" s="4">
        <v>165.84</v>
      </c>
      <c r="P2409" s="4">
        <v>11.35</v>
      </c>
      <c r="Q2409" s="4">
        <v>4.88</v>
      </c>
      <c r="R2409" s="4">
        <v>1.28</v>
      </c>
      <c r="S2409" s="4">
        <v>0</v>
      </c>
      <c r="T2409" s="4">
        <v>0</v>
      </c>
      <c r="U2409" s="4">
        <v>183.35</v>
      </c>
      <c r="V2409" s="4">
        <v>203.05</v>
      </c>
      <c r="W2409" t="s">
        <v>21</v>
      </c>
      <c r="X2409" t="s">
        <v>36</v>
      </c>
      <c r="Y2409" s="4">
        <v>4</v>
      </c>
      <c r="Z2409" s="4">
        <v>2</v>
      </c>
      <c r="AA2409" t="s">
        <v>37</v>
      </c>
      <c r="AB2409" t="s">
        <v>38</v>
      </c>
      <c r="AC2409" s="7">
        <v>0</v>
      </c>
      <c r="AD2409" t="s">
        <v>39</v>
      </c>
      <c r="AE2409">
        <f t="shared" si="37"/>
        <v>0</v>
      </c>
    </row>
    <row r="2410" spans="1:31" x14ac:dyDescent="0.35">
      <c r="A2410">
        <v>102409</v>
      </c>
      <c r="B2410" s="3">
        <v>45973</v>
      </c>
      <c r="C2410">
        <v>1011</v>
      </c>
      <c r="D2410" t="s">
        <v>64</v>
      </c>
      <c r="E2410" t="s">
        <v>65</v>
      </c>
      <c r="F2410" t="s">
        <v>32</v>
      </c>
      <c r="G2410" t="s">
        <v>50</v>
      </c>
      <c r="H2410" t="s">
        <v>57</v>
      </c>
      <c r="I2410" t="s">
        <v>35</v>
      </c>
      <c r="J2410" s="4">
        <v>35.69</v>
      </c>
      <c r="K2410" s="4">
        <v>17.23</v>
      </c>
      <c r="L2410">
        <v>10</v>
      </c>
      <c r="M2410" s="4">
        <v>61.49</v>
      </c>
      <c r="N2410" s="4">
        <v>553.45000000000005</v>
      </c>
      <c r="O2410" s="4">
        <v>314.16000000000003</v>
      </c>
      <c r="P2410" s="4">
        <v>4.4000000000000004</v>
      </c>
      <c r="Q2410" s="4">
        <v>4.3</v>
      </c>
      <c r="R2410" s="4">
        <v>3.44</v>
      </c>
      <c r="S2410" s="4">
        <v>351.32</v>
      </c>
      <c r="T2410" s="4">
        <v>14.61</v>
      </c>
      <c r="U2410" s="4">
        <v>692.23</v>
      </c>
      <c r="V2410" s="4">
        <v>-138.78</v>
      </c>
      <c r="W2410" t="s">
        <v>58</v>
      </c>
      <c r="X2410" t="s">
        <v>55</v>
      </c>
      <c r="Y2410" s="4">
        <v>8</v>
      </c>
      <c r="Z2410" s="4">
        <v>7</v>
      </c>
      <c r="AA2410" t="s">
        <v>37</v>
      </c>
      <c r="AB2410" t="s">
        <v>44</v>
      </c>
      <c r="AC2410" s="7">
        <v>1</v>
      </c>
      <c r="AD2410" t="s">
        <v>45</v>
      </c>
      <c r="AE2410">
        <f t="shared" si="37"/>
        <v>1</v>
      </c>
    </row>
    <row r="2411" spans="1:31" x14ac:dyDescent="0.35">
      <c r="A2411">
        <v>102410</v>
      </c>
      <c r="B2411" s="3">
        <v>45936</v>
      </c>
      <c r="C2411">
        <v>1095</v>
      </c>
      <c r="D2411" t="s">
        <v>59</v>
      </c>
      <c r="E2411" t="s">
        <v>73</v>
      </c>
      <c r="F2411" t="s">
        <v>41</v>
      </c>
      <c r="G2411" t="s">
        <v>63</v>
      </c>
      <c r="H2411" t="s">
        <v>34</v>
      </c>
      <c r="I2411" t="s">
        <v>35</v>
      </c>
      <c r="J2411" s="4">
        <v>3</v>
      </c>
      <c r="K2411" s="4">
        <v>12.5</v>
      </c>
      <c r="L2411">
        <v>5</v>
      </c>
      <c r="M2411" s="4">
        <v>1.88</v>
      </c>
      <c r="N2411" s="4">
        <v>35.619999999999997</v>
      </c>
      <c r="O2411" s="4">
        <v>21.13</v>
      </c>
      <c r="P2411" s="4">
        <v>10.59</v>
      </c>
      <c r="Q2411" s="4">
        <v>0.26</v>
      </c>
      <c r="R2411" s="4">
        <v>7.59</v>
      </c>
      <c r="S2411" s="4">
        <v>0</v>
      </c>
      <c r="T2411" s="4">
        <v>0</v>
      </c>
      <c r="U2411" s="4">
        <v>39.57</v>
      </c>
      <c r="V2411" s="4">
        <v>-3.95</v>
      </c>
      <c r="W2411" t="s">
        <v>58</v>
      </c>
      <c r="X2411" t="s">
        <v>36</v>
      </c>
      <c r="Y2411" s="4">
        <v>3</v>
      </c>
      <c r="Z2411" s="4">
        <v>2</v>
      </c>
      <c r="AA2411" t="s">
        <v>37</v>
      </c>
      <c r="AB2411" t="s">
        <v>38</v>
      </c>
      <c r="AC2411" s="7">
        <v>0</v>
      </c>
      <c r="AD2411" t="s">
        <v>45</v>
      </c>
      <c r="AE2411">
        <f t="shared" si="37"/>
        <v>0</v>
      </c>
    </row>
    <row r="2412" spans="1:31" x14ac:dyDescent="0.35">
      <c r="A2412">
        <v>102411</v>
      </c>
      <c r="B2412" s="3">
        <v>45956</v>
      </c>
      <c r="C2412">
        <v>1098</v>
      </c>
      <c r="D2412" t="s">
        <v>59</v>
      </c>
      <c r="E2412" t="s">
        <v>70</v>
      </c>
      <c r="F2412" t="s">
        <v>32</v>
      </c>
      <c r="G2412" t="s">
        <v>63</v>
      </c>
      <c r="H2412" t="s">
        <v>34</v>
      </c>
      <c r="I2412" t="s">
        <v>35</v>
      </c>
      <c r="J2412" s="4">
        <v>20.36</v>
      </c>
      <c r="K2412" s="4">
        <v>13.04</v>
      </c>
      <c r="L2412">
        <v>0</v>
      </c>
      <c r="M2412" s="4">
        <v>0</v>
      </c>
      <c r="N2412" s="4">
        <v>265.49</v>
      </c>
      <c r="O2412" s="4">
        <v>133.30000000000001</v>
      </c>
      <c r="P2412" s="4">
        <v>13.75</v>
      </c>
      <c r="Q2412" s="4">
        <v>1.86</v>
      </c>
      <c r="R2412" s="4">
        <v>9.51</v>
      </c>
      <c r="S2412" s="4">
        <v>0</v>
      </c>
      <c r="T2412" s="4">
        <v>0</v>
      </c>
      <c r="U2412" s="4">
        <v>158.41999999999999</v>
      </c>
      <c r="V2412" s="4">
        <v>107.07</v>
      </c>
      <c r="W2412" t="s">
        <v>21</v>
      </c>
      <c r="X2412" t="s">
        <v>36</v>
      </c>
      <c r="Y2412" s="4">
        <v>11</v>
      </c>
      <c r="Z2412" s="4">
        <v>15</v>
      </c>
      <c r="AA2412" t="s">
        <v>37</v>
      </c>
      <c r="AB2412" t="s">
        <v>38</v>
      </c>
      <c r="AC2412" s="7">
        <v>0</v>
      </c>
      <c r="AD2412" t="s">
        <v>39</v>
      </c>
      <c r="AE2412">
        <f t="shared" si="37"/>
        <v>0</v>
      </c>
    </row>
    <row r="2413" spans="1:31" x14ac:dyDescent="0.35">
      <c r="A2413">
        <v>102412</v>
      </c>
      <c r="B2413" s="3">
        <v>45999</v>
      </c>
      <c r="C2413">
        <v>1022</v>
      </c>
      <c r="D2413" t="s">
        <v>30</v>
      </c>
      <c r="E2413" t="s">
        <v>72</v>
      </c>
      <c r="F2413" t="s">
        <v>41</v>
      </c>
      <c r="G2413" t="s">
        <v>50</v>
      </c>
      <c r="H2413" t="s">
        <v>34</v>
      </c>
      <c r="I2413" t="s">
        <v>42</v>
      </c>
      <c r="J2413" s="4">
        <v>26.43</v>
      </c>
      <c r="K2413" s="4">
        <v>17.66</v>
      </c>
      <c r="L2413">
        <v>0</v>
      </c>
      <c r="M2413" s="4">
        <v>0</v>
      </c>
      <c r="N2413" s="4">
        <v>466.75</v>
      </c>
      <c r="O2413" s="4">
        <v>173.69</v>
      </c>
      <c r="P2413" s="4">
        <v>8.94</v>
      </c>
      <c r="Q2413" s="4">
        <v>7</v>
      </c>
      <c r="R2413" s="4">
        <v>2.89</v>
      </c>
      <c r="S2413" s="4">
        <v>0</v>
      </c>
      <c r="T2413" s="4">
        <v>0</v>
      </c>
      <c r="U2413" s="4">
        <v>192.52</v>
      </c>
      <c r="V2413" s="4">
        <v>274.23</v>
      </c>
      <c r="W2413" t="s">
        <v>21</v>
      </c>
      <c r="X2413" t="s">
        <v>36</v>
      </c>
      <c r="Y2413" s="4">
        <v>2</v>
      </c>
      <c r="Z2413" s="4">
        <v>6</v>
      </c>
      <c r="AA2413" t="s">
        <v>37</v>
      </c>
      <c r="AB2413" t="s">
        <v>38</v>
      </c>
      <c r="AC2413" s="7">
        <v>0</v>
      </c>
      <c r="AD2413" t="s">
        <v>39</v>
      </c>
      <c r="AE2413">
        <f t="shared" si="37"/>
        <v>0</v>
      </c>
    </row>
    <row r="2414" spans="1:31" x14ac:dyDescent="0.35">
      <c r="A2414">
        <v>102413</v>
      </c>
      <c r="B2414" s="3">
        <v>45969</v>
      </c>
      <c r="C2414">
        <v>1015</v>
      </c>
      <c r="D2414" t="s">
        <v>64</v>
      </c>
      <c r="E2414" t="s">
        <v>75</v>
      </c>
      <c r="F2414" t="s">
        <v>61</v>
      </c>
      <c r="G2414" t="s">
        <v>50</v>
      </c>
      <c r="H2414" t="s">
        <v>34</v>
      </c>
      <c r="I2414" t="s">
        <v>69</v>
      </c>
      <c r="J2414" s="4">
        <v>34.020000000000003</v>
      </c>
      <c r="K2414" s="4">
        <v>17.55</v>
      </c>
      <c r="L2414">
        <v>5</v>
      </c>
      <c r="M2414" s="4">
        <v>29.85</v>
      </c>
      <c r="N2414" s="4">
        <v>567.20000000000005</v>
      </c>
      <c r="O2414" s="4">
        <v>311.26</v>
      </c>
      <c r="P2414" s="4">
        <v>7.33</v>
      </c>
      <c r="Q2414" s="4">
        <v>2.39</v>
      </c>
      <c r="R2414" s="4">
        <v>7.7</v>
      </c>
      <c r="S2414" s="4">
        <v>0</v>
      </c>
      <c r="T2414" s="4">
        <v>0</v>
      </c>
      <c r="U2414" s="4">
        <v>328.68</v>
      </c>
      <c r="V2414" s="4">
        <v>238.52</v>
      </c>
      <c r="W2414" t="s">
        <v>21</v>
      </c>
      <c r="X2414" t="s">
        <v>36</v>
      </c>
      <c r="Y2414" s="4">
        <v>21</v>
      </c>
      <c r="Z2414" s="4">
        <v>12</v>
      </c>
      <c r="AA2414" t="s">
        <v>52</v>
      </c>
      <c r="AB2414" t="s">
        <v>44</v>
      </c>
      <c r="AC2414" s="7">
        <v>1</v>
      </c>
      <c r="AD2414" t="s">
        <v>45</v>
      </c>
      <c r="AE2414">
        <f t="shared" si="37"/>
        <v>1</v>
      </c>
    </row>
    <row r="2415" spans="1:31" x14ac:dyDescent="0.35">
      <c r="A2415">
        <v>102414</v>
      </c>
      <c r="B2415" s="3">
        <v>46022</v>
      </c>
      <c r="C2415">
        <v>1121</v>
      </c>
      <c r="D2415" t="s">
        <v>59</v>
      </c>
      <c r="E2415" t="s">
        <v>70</v>
      </c>
      <c r="F2415" t="s">
        <v>32</v>
      </c>
      <c r="G2415" t="s">
        <v>33</v>
      </c>
      <c r="H2415" t="s">
        <v>51</v>
      </c>
      <c r="I2415" t="s">
        <v>42</v>
      </c>
      <c r="J2415" s="4">
        <v>24.91</v>
      </c>
      <c r="K2415" s="4">
        <v>19.86</v>
      </c>
      <c r="L2415">
        <v>15</v>
      </c>
      <c r="M2415" s="4">
        <v>74.209999999999994</v>
      </c>
      <c r="N2415" s="4">
        <v>420.5</v>
      </c>
      <c r="O2415" s="4">
        <v>159.1</v>
      </c>
      <c r="P2415" s="4">
        <v>3.71</v>
      </c>
      <c r="Q2415" s="4">
        <v>7.42</v>
      </c>
      <c r="R2415" s="4">
        <v>14.15</v>
      </c>
      <c r="S2415" s="4">
        <v>0</v>
      </c>
      <c r="T2415" s="4">
        <v>0</v>
      </c>
      <c r="U2415" s="4">
        <v>184.38</v>
      </c>
      <c r="V2415" s="4">
        <v>236.12</v>
      </c>
      <c r="W2415" t="s">
        <v>21</v>
      </c>
      <c r="X2415" t="s">
        <v>36</v>
      </c>
      <c r="Y2415" s="4">
        <v>9</v>
      </c>
      <c r="Z2415" s="4">
        <v>11</v>
      </c>
      <c r="AA2415" t="s">
        <v>37</v>
      </c>
      <c r="AB2415" t="s">
        <v>38</v>
      </c>
      <c r="AC2415" s="7">
        <v>0</v>
      </c>
      <c r="AD2415" t="s">
        <v>39</v>
      </c>
      <c r="AE2415">
        <f t="shared" si="37"/>
        <v>0</v>
      </c>
    </row>
    <row r="2416" spans="1:31" x14ac:dyDescent="0.35">
      <c r="A2416">
        <v>102415</v>
      </c>
      <c r="B2416" s="3">
        <v>46020</v>
      </c>
      <c r="C2416">
        <v>1130</v>
      </c>
      <c r="D2416" t="s">
        <v>30</v>
      </c>
      <c r="E2416" t="s">
        <v>40</v>
      </c>
      <c r="F2416" t="s">
        <v>71</v>
      </c>
      <c r="G2416" t="s">
        <v>46</v>
      </c>
      <c r="H2416" t="s">
        <v>34</v>
      </c>
      <c r="I2416" t="s">
        <v>54</v>
      </c>
      <c r="J2416" s="4">
        <v>24.67</v>
      </c>
      <c r="K2416" s="4">
        <v>14.91</v>
      </c>
      <c r="L2416">
        <v>20</v>
      </c>
      <c r="M2416" s="4">
        <v>73.569999999999993</v>
      </c>
      <c r="N2416" s="4">
        <v>294.26</v>
      </c>
      <c r="O2416" s="4">
        <v>154.82</v>
      </c>
      <c r="P2416" s="4">
        <v>2.0699999999999998</v>
      </c>
      <c r="Q2416" s="4">
        <v>4.41</v>
      </c>
      <c r="R2416" s="4">
        <v>13.59</v>
      </c>
      <c r="S2416" s="4">
        <v>0</v>
      </c>
      <c r="T2416" s="4">
        <v>0</v>
      </c>
      <c r="U2416" s="4">
        <v>174.89</v>
      </c>
      <c r="V2416" s="4">
        <v>119.37</v>
      </c>
      <c r="W2416" t="s">
        <v>21</v>
      </c>
      <c r="X2416" t="s">
        <v>36</v>
      </c>
      <c r="Y2416" s="4">
        <v>4</v>
      </c>
      <c r="Z2416" s="4">
        <v>9</v>
      </c>
      <c r="AA2416" t="s">
        <v>37</v>
      </c>
      <c r="AB2416" t="s">
        <v>38</v>
      </c>
      <c r="AC2416" s="7">
        <v>0</v>
      </c>
      <c r="AD2416" t="s">
        <v>39</v>
      </c>
      <c r="AE2416">
        <f t="shared" si="37"/>
        <v>0</v>
      </c>
    </row>
    <row r="2417" spans="1:31" x14ac:dyDescent="0.35">
      <c r="A2417">
        <v>102416</v>
      </c>
      <c r="B2417" s="3">
        <v>45966</v>
      </c>
      <c r="C2417">
        <v>1001</v>
      </c>
      <c r="D2417" t="s">
        <v>64</v>
      </c>
      <c r="E2417" t="s">
        <v>67</v>
      </c>
      <c r="F2417" t="s">
        <v>41</v>
      </c>
      <c r="G2417" t="s">
        <v>63</v>
      </c>
      <c r="H2417" t="s">
        <v>57</v>
      </c>
      <c r="I2417" t="s">
        <v>54</v>
      </c>
      <c r="J2417" s="4">
        <v>29.78</v>
      </c>
      <c r="K2417" s="4">
        <v>12.19</v>
      </c>
      <c r="L2417">
        <v>0</v>
      </c>
      <c r="M2417" s="4">
        <v>0</v>
      </c>
      <c r="N2417" s="4">
        <v>363.02</v>
      </c>
      <c r="O2417" s="4">
        <v>198</v>
      </c>
      <c r="P2417" s="4">
        <v>5.25</v>
      </c>
      <c r="Q2417" s="4">
        <v>4.3600000000000003</v>
      </c>
      <c r="R2417" s="4">
        <v>5.52</v>
      </c>
      <c r="S2417" s="4">
        <v>175.51</v>
      </c>
      <c r="T2417" s="4">
        <v>14.54</v>
      </c>
      <c r="U2417" s="4">
        <v>403.18</v>
      </c>
      <c r="V2417" s="4">
        <v>-40.159999999999997</v>
      </c>
      <c r="W2417" t="s">
        <v>58</v>
      </c>
      <c r="X2417" t="s">
        <v>55</v>
      </c>
      <c r="Y2417" s="4">
        <v>10</v>
      </c>
      <c r="Z2417" s="4">
        <v>3</v>
      </c>
      <c r="AA2417" t="s">
        <v>37</v>
      </c>
      <c r="AB2417" t="s">
        <v>44</v>
      </c>
      <c r="AC2417" s="7">
        <v>1</v>
      </c>
      <c r="AD2417" t="s">
        <v>45</v>
      </c>
      <c r="AE2417">
        <f t="shared" si="37"/>
        <v>1</v>
      </c>
    </row>
    <row r="2418" spans="1:31" x14ac:dyDescent="0.35">
      <c r="A2418">
        <v>102417</v>
      </c>
      <c r="B2418" s="3">
        <v>45971</v>
      </c>
      <c r="C2418">
        <v>1143</v>
      </c>
      <c r="D2418" t="s">
        <v>64</v>
      </c>
      <c r="E2418" t="s">
        <v>65</v>
      </c>
      <c r="F2418" t="s">
        <v>41</v>
      </c>
      <c r="G2418" t="s">
        <v>46</v>
      </c>
      <c r="H2418" t="s">
        <v>34</v>
      </c>
      <c r="I2418" t="s">
        <v>69</v>
      </c>
      <c r="J2418" s="4">
        <v>27.14</v>
      </c>
      <c r="K2418" s="4">
        <v>15.67</v>
      </c>
      <c r="L2418">
        <v>0</v>
      </c>
      <c r="M2418" s="4">
        <v>0</v>
      </c>
      <c r="N2418" s="4">
        <v>425.28</v>
      </c>
      <c r="O2418" s="4">
        <v>188.83</v>
      </c>
      <c r="P2418" s="4">
        <v>11.45</v>
      </c>
      <c r="Q2418" s="4">
        <v>1.7</v>
      </c>
      <c r="R2418" s="4">
        <v>8.0500000000000007</v>
      </c>
      <c r="S2418" s="4">
        <v>0</v>
      </c>
      <c r="T2418" s="4">
        <v>0</v>
      </c>
      <c r="U2418" s="4">
        <v>210.03</v>
      </c>
      <c r="V2418" s="4">
        <v>215.25</v>
      </c>
      <c r="W2418" t="s">
        <v>21</v>
      </c>
      <c r="X2418" t="s">
        <v>36</v>
      </c>
      <c r="Y2418" s="4">
        <v>29</v>
      </c>
      <c r="Z2418" s="4">
        <v>2</v>
      </c>
      <c r="AA2418" t="s">
        <v>52</v>
      </c>
      <c r="AB2418" t="s">
        <v>44</v>
      </c>
      <c r="AC2418" s="7">
        <v>2</v>
      </c>
      <c r="AD2418" t="s">
        <v>45</v>
      </c>
      <c r="AE2418">
        <f t="shared" si="37"/>
        <v>1</v>
      </c>
    </row>
    <row r="2419" spans="1:31" x14ac:dyDescent="0.35">
      <c r="A2419">
        <v>102418</v>
      </c>
      <c r="B2419" s="3">
        <v>46003</v>
      </c>
      <c r="C2419">
        <v>1075</v>
      </c>
      <c r="D2419" t="s">
        <v>59</v>
      </c>
      <c r="E2419" t="s">
        <v>60</v>
      </c>
      <c r="F2419" t="s">
        <v>41</v>
      </c>
      <c r="G2419" t="s">
        <v>46</v>
      </c>
      <c r="H2419" t="s">
        <v>34</v>
      </c>
      <c r="I2419" t="s">
        <v>42</v>
      </c>
      <c r="J2419" s="4">
        <v>38.65</v>
      </c>
      <c r="K2419" s="4">
        <v>15.56</v>
      </c>
      <c r="L2419">
        <v>15</v>
      </c>
      <c r="M2419" s="4">
        <v>90.21</v>
      </c>
      <c r="N2419" s="4">
        <v>511.18</v>
      </c>
      <c r="O2419" s="4">
        <v>304.89999999999998</v>
      </c>
      <c r="P2419" s="4">
        <v>10.36</v>
      </c>
      <c r="Q2419" s="4">
        <v>9.02</v>
      </c>
      <c r="R2419" s="4">
        <v>5.57</v>
      </c>
      <c r="S2419" s="4">
        <v>0</v>
      </c>
      <c r="T2419" s="4">
        <v>0</v>
      </c>
      <c r="U2419" s="4">
        <v>329.85</v>
      </c>
      <c r="V2419" s="4">
        <v>181.33</v>
      </c>
      <c r="W2419" t="s">
        <v>21</v>
      </c>
      <c r="X2419" t="s">
        <v>36</v>
      </c>
      <c r="Y2419" s="4">
        <v>6</v>
      </c>
      <c r="Z2419" s="4">
        <v>32</v>
      </c>
      <c r="AA2419" t="s">
        <v>37</v>
      </c>
      <c r="AB2419" t="s">
        <v>44</v>
      </c>
      <c r="AC2419" s="7">
        <v>1</v>
      </c>
      <c r="AD2419" t="s">
        <v>45</v>
      </c>
      <c r="AE2419">
        <f t="shared" si="37"/>
        <v>1</v>
      </c>
    </row>
    <row r="2420" spans="1:31" x14ac:dyDescent="0.35">
      <c r="A2420">
        <v>102419</v>
      </c>
      <c r="B2420" s="3">
        <v>45945</v>
      </c>
      <c r="C2420">
        <v>1080</v>
      </c>
      <c r="D2420" t="s">
        <v>47</v>
      </c>
      <c r="E2420" t="s">
        <v>48</v>
      </c>
      <c r="F2420" t="s">
        <v>32</v>
      </c>
      <c r="G2420" t="s">
        <v>63</v>
      </c>
      <c r="H2420" t="s">
        <v>57</v>
      </c>
      <c r="I2420" t="s">
        <v>35</v>
      </c>
      <c r="J2420" s="4">
        <v>21.99</v>
      </c>
      <c r="K2420" s="4">
        <v>13.46</v>
      </c>
      <c r="L2420">
        <v>0</v>
      </c>
      <c r="M2420" s="4">
        <v>0</v>
      </c>
      <c r="N2420" s="4">
        <v>295.99</v>
      </c>
      <c r="O2420" s="4">
        <v>136.74</v>
      </c>
      <c r="P2420" s="4">
        <v>7.17</v>
      </c>
      <c r="Q2420" s="4">
        <v>2.0699999999999998</v>
      </c>
      <c r="R2420" s="4">
        <v>4.95</v>
      </c>
      <c r="S2420" s="4">
        <v>0</v>
      </c>
      <c r="T2420" s="4">
        <v>0</v>
      </c>
      <c r="U2420" s="4">
        <v>150.93</v>
      </c>
      <c r="V2420" s="4">
        <v>145.06</v>
      </c>
      <c r="W2420" t="s">
        <v>21</v>
      </c>
      <c r="X2420" t="s">
        <v>36</v>
      </c>
      <c r="Y2420" s="4">
        <v>17</v>
      </c>
      <c r="Z2420" s="4">
        <v>17</v>
      </c>
      <c r="AA2420" t="s">
        <v>52</v>
      </c>
      <c r="AB2420" t="s">
        <v>44</v>
      </c>
      <c r="AC2420" s="7">
        <v>3</v>
      </c>
      <c r="AD2420" t="s">
        <v>45</v>
      </c>
      <c r="AE2420">
        <f t="shared" si="37"/>
        <v>1</v>
      </c>
    </row>
    <row r="2421" spans="1:31" x14ac:dyDescent="0.35">
      <c r="A2421">
        <v>102420</v>
      </c>
      <c r="B2421" s="3">
        <v>45993</v>
      </c>
      <c r="C2421">
        <v>1030</v>
      </c>
      <c r="D2421" t="s">
        <v>30</v>
      </c>
      <c r="E2421" t="s">
        <v>31</v>
      </c>
      <c r="F2421" t="s">
        <v>41</v>
      </c>
      <c r="G2421" t="s">
        <v>33</v>
      </c>
      <c r="H2421" t="s">
        <v>34</v>
      </c>
      <c r="I2421" t="s">
        <v>35</v>
      </c>
      <c r="J2421" s="4">
        <v>20.79</v>
      </c>
      <c r="K2421" s="4">
        <v>18.77</v>
      </c>
      <c r="L2421">
        <v>5</v>
      </c>
      <c r="M2421" s="4">
        <v>19.510000000000002</v>
      </c>
      <c r="N2421" s="4">
        <v>370.72</v>
      </c>
      <c r="O2421" s="4">
        <v>141.19999999999999</v>
      </c>
      <c r="P2421" s="4">
        <v>5.28</v>
      </c>
      <c r="Q2421" s="4">
        <v>2.73</v>
      </c>
      <c r="R2421" s="4">
        <v>5.89</v>
      </c>
      <c r="S2421" s="4">
        <v>0</v>
      </c>
      <c r="T2421" s="4">
        <v>0</v>
      </c>
      <c r="U2421" s="4">
        <v>155.1</v>
      </c>
      <c r="V2421" s="4">
        <v>215.62</v>
      </c>
      <c r="W2421" t="s">
        <v>21</v>
      </c>
      <c r="X2421" t="s">
        <v>36</v>
      </c>
      <c r="Y2421" s="4">
        <v>11</v>
      </c>
      <c r="Z2421" s="4">
        <v>6</v>
      </c>
      <c r="AA2421" t="s">
        <v>37</v>
      </c>
      <c r="AB2421" t="s">
        <v>38</v>
      </c>
      <c r="AC2421" s="7">
        <v>0</v>
      </c>
      <c r="AD2421" t="s">
        <v>39</v>
      </c>
      <c r="AE2421">
        <f t="shared" si="37"/>
        <v>0</v>
      </c>
    </row>
    <row r="2422" spans="1:31" x14ac:dyDescent="0.35">
      <c r="A2422">
        <v>102421</v>
      </c>
      <c r="B2422" s="3">
        <v>45977</v>
      </c>
      <c r="C2422">
        <v>1110</v>
      </c>
      <c r="D2422" t="s">
        <v>64</v>
      </c>
      <c r="E2422" t="s">
        <v>65</v>
      </c>
      <c r="F2422" t="s">
        <v>41</v>
      </c>
      <c r="G2422" t="s">
        <v>46</v>
      </c>
      <c r="H2422" t="s">
        <v>57</v>
      </c>
      <c r="I2422" t="s">
        <v>35</v>
      </c>
      <c r="J2422" s="4">
        <v>33.700000000000003</v>
      </c>
      <c r="K2422" s="4">
        <v>15.49</v>
      </c>
      <c r="L2422">
        <v>0</v>
      </c>
      <c r="M2422" s="4">
        <v>0</v>
      </c>
      <c r="N2422" s="4">
        <v>522.01</v>
      </c>
      <c r="O2422" s="4">
        <v>266.23</v>
      </c>
      <c r="P2422" s="4">
        <v>10.56</v>
      </c>
      <c r="Q2422" s="4">
        <v>3.65</v>
      </c>
      <c r="R2422" s="4">
        <v>9.35</v>
      </c>
      <c r="S2422" s="4">
        <v>0</v>
      </c>
      <c r="T2422" s="4">
        <v>0</v>
      </c>
      <c r="U2422" s="4">
        <v>289.79000000000002</v>
      </c>
      <c r="V2422" s="4">
        <v>232.22</v>
      </c>
      <c r="W2422" t="s">
        <v>21</v>
      </c>
      <c r="X2422" t="s">
        <v>36</v>
      </c>
      <c r="Y2422" s="4">
        <v>19</v>
      </c>
      <c r="Z2422" s="4">
        <v>3</v>
      </c>
      <c r="AA2422" t="s">
        <v>52</v>
      </c>
      <c r="AB2422" t="s">
        <v>38</v>
      </c>
      <c r="AC2422" s="7">
        <v>0</v>
      </c>
      <c r="AD2422" t="s">
        <v>39</v>
      </c>
      <c r="AE2422">
        <f t="shared" si="37"/>
        <v>0</v>
      </c>
    </row>
    <row r="2423" spans="1:31" x14ac:dyDescent="0.35">
      <c r="A2423">
        <v>102422</v>
      </c>
      <c r="B2423" s="3">
        <v>45957</v>
      </c>
      <c r="C2423">
        <v>1028</v>
      </c>
      <c r="D2423" t="s">
        <v>47</v>
      </c>
      <c r="E2423" t="s">
        <v>74</v>
      </c>
      <c r="F2423" t="s">
        <v>41</v>
      </c>
      <c r="G2423" t="s">
        <v>33</v>
      </c>
      <c r="H2423" t="s">
        <v>57</v>
      </c>
      <c r="I2423" t="s">
        <v>35</v>
      </c>
      <c r="J2423" s="4">
        <v>15.93</v>
      </c>
      <c r="K2423" s="4">
        <v>19.62</v>
      </c>
      <c r="L2423">
        <v>0</v>
      </c>
      <c r="M2423" s="4">
        <v>0</v>
      </c>
      <c r="N2423" s="4">
        <v>312.55</v>
      </c>
      <c r="O2423" s="4">
        <v>108.89</v>
      </c>
      <c r="P2423" s="4">
        <v>4.5199999999999996</v>
      </c>
      <c r="Q2423" s="4">
        <v>2.19</v>
      </c>
      <c r="R2423" s="4">
        <v>10.32</v>
      </c>
      <c r="S2423" s="4">
        <v>0</v>
      </c>
      <c r="T2423" s="4">
        <v>0</v>
      </c>
      <c r="U2423" s="4">
        <v>125.92</v>
      </c>
      <c r="V2423" s="4">
        <v>186.63</v>
      </c>
      <c r="W2423" t="s">
        <v>21</v>
      </c>
      <c r="X2423" t="s">
        <v>36</v>
      </c>
      <c r="Y2423" s="4">
        <v>23</v>
      </c>
      <c r="Z2423" s="4">
        <v>4</v>
      </c>
      <c r="AA2423" t="s">
        <v>52</v>
      </c>
      <c r="AB2423" t="s">
        <v>44</v>
      </c>
      <c r="AC2423" s="7">
        <v>3</v>
      </c>
      <c r="AD2423" t="s">
        <v>45</v>
      </c>
      <c r="AE2423">
        <f t="shared" si="37"/>
        <v>1</v>
      </c>
    </row>
    <row r="2424" spans="1:31" x14ac:dyDescent="0.35">
      <c r="A2424">
        <v>102423</v>
      </c>
      <c r="B2424" s="3">
        <v>46003</v>
      </c>
      <c r="C2424">
        <v>1077</v>
      </c>
      <c r="D2424" t="s">
        <v>30</v>
      </c>
      <c r="E2424" t="s">
        <v>31</v>
      </c>
      <c r="F2424" t="s">
        <v>71</v>
      </c>
      <c r="G2424" t="s">
        <v>63</v>
      </c>
      <c r="H2424" t="s">
        <v>34</v>
      </c>
      <c r="I2424" t="s">
        <v>54</v>
      </c>
      <c r="J2424" s="4">
        <v>8.9499999999999993</v>
      </c>
      <c r="K2424" s="4">
        <v>12.94</v>
      </c>
      <c r="L2424">
        <v>10</v>
      </c>
      <c r="M2424" s="4">
        <v>11.58</v>
      </c>
      <c r="N2424" s="4">
        <v>104.23</v>
      </c>
      <c r="O2424" s="4">
        <v>59.27</v>
      </c>
      <c r="P2424" s="4">
        <v>5.31</v>
      </c>
      <c r="Q2424" s="4">
        <v>1.39</v>
      </c>
      <c r="R2424" s="4">
        <v>6.78</v>
      </c>
      <c r="S2424" s="4">
        <v>0</v>
      </c>
      <c r="T2424" s="4">
        <v>0</v>
      </c>
      <c r="U2424" s="4">
        <v>72.75</v>
      </c>
      <c r="V2424" s="4">
        <v>31.48</v>
      </c>
      <c r="W2424" t="s">
        <v>21</v>
      </c>
      <c r="X2424" t="s">
        <v>36</v>
      </c>
      <c r="Y2424" s="4">
        <v>0</v>
      </c>
      <c r="Z2424" s="4">
        <v>1</v>
      </c>
      <c r="AA2424" t="s">
        <v>37</v>
      </c>
      <c r="AB2424" t="s">
        <v>38</v>
      </c>
      <c r="AC2424" s="7">
        <v>0</v>
      </c>
      <c r="AD2424" t="s">
        <v>39</v>
      </c>
      <c r="AE2424">
        <f t="shared" si="37"/>
        <v>0</v>
      </c>
    </row>
    <row r="2425" spans="1:31" x14ac:dyDescent="0.35">
      <c r="A2425">
        <v>102424</v>
      </c>
      <c r="B2425" s="3">
        <v>45972</v>
      </c>
      <c r="C2425">
        <v>1123</v>
      </c>
      <c r="D2425" t="s">
        <v>47</v>
      </c>
      <c r="E2425" t="s">
        <v>48</v>
      </c>
      <c r="F2425" t="s">
        <v>32</v>
      </c>
      <c r="G2425" t="s">
        <v>63</v>
      </c>
      <c r="H2425" t="s">
        <v>34</v>
      </c>
      <c r="I2425" t="s">
        <v>42</v>
      </c>
      <c r="J2425" s="4">
        <v>5.79</v>
      </c>
      <c r="K2425" s="4">
        <v>12.48</v>
      </c>
      <c r="L2425">
        <v>10</v>
      </c>
      <c r="M2425" s="4">
        <v>7.23</v>
      </c>
      <c r="N2425" s="4">
        <v>65.03</v>
      </c>
      <c r="O2425" s="4">
        <v>38.409999999999997</v>
      </c>
      <c r="P2425" s="4">
        <v>5.64</v>
      </c>
      <c r="Q2425" s="4">
        <v>1.08</v>
      </c>
      <c r="R2425" s="4">
        <v>9.5399999999999991</v>
      </c>
      <c r="S2425" s="4">
        <v>0</v>
      </c>
      <c r="T2425" s="4">
        <v>0</v>
      </c>
      <c r="U2425" s="4">
        <v>54.67</v>
      </c>
      <c r="V2425" s="4">
        <v>10.36</v>
      </c>
      <c r="W2425" t="s">
        <v>21</v>
      </c>
      <c r="X2425" t="s">
        <v>36</v>
      </c>
      <c r="Y2425" s="4">
        <v>15</v>
      </c>
      <c r="Z2425" s="4">
        <v>4</v>
      </c>
      <c r="AA2425" t="s">
        <v>37</v>
      </c>
      <c r="AB2425" t="s">
        <v>38</v>
      </c>
      <c r="AC2425" s="7">
        <v>0</v>
      </c>
      <c r="AD2425" t="s">
        <v>39</v>
      </c>
      <c r="AE2425">
        <f t="shared" si="37"/>
        <v>0</v>
      </c>
    </row>
    <row r="2426" spans="1:31" x14ac:dyDescent="0.35">
      <c r="A2426">
        <v>102425</v>
      </c>
      <c r="B2426" s="3">
        <v>45993</v>
      </c>
      <c r="C2426">
        <v>1106</v>
      </c>
      <c r="D2426" t="s">
        <v>59</v>
      </c>
      <c r="E2426" t="s">
        <v>73</v>
      </c>
      <c r="F2426" t="s">
        <v>71</v>
      </c>
      <c r="G2426" t="s">
        <v>33</v>
      </c>
      <c r="H2426" t="s">
        <v>34</v>
      </c>
      <c r="I2426" t="s">
        <v>35</v>
      </c>
      <c r="J2426" s="4">
        <v>23.45</v>
      </c>
      <c r="K2426" s="4">
        <v>19.7</v>
      </c>
      <c r="L2426">
        <v>0</v>
      </c>
      <c r="M2426" s="4">
        <v>0</v>
      </c>
      <c r="N2426" s="4">
        <v>461.96</v>
      </c>
      <c r="O2426" s="4">
        <v>185.02</v>
      </c>
      <c r="P2426" s="4">
        <v>3.81</v>
      </c>
      <c r="Q2426" s="4">
        <v>3.23</v>
      </c>
      <c r="R2426" s="4">
        <v>5.6</v>
      </c>
      <c r="S2426" s="4">
        <v>0</v>
      </c>
      <c r="T2426" s="4">
        <v>0</v>
      </c>
      <c r="U2426" s="4">
        <v>197.66</v>
      </c>
      <c r="V2426" s="4">
        <v>264.3</v>
      </c>
      <c r="W2426" t="s">
        <v>21</v>
      </c>
      <c r="X2426" t="s">
        <v>36</v>
      </c>
      <c r="Y2426" s="4">
        <v>16</v>
      </c>
      <c r="Z2426" s="4">
        <v>19</v>
      </c>
      <c r="AA2426" t="s">
        <v>52</v>
      </c>
      <c r="AB2426" t="s">
        <v>44</v>
      </c>
      <c r="AC2426" s="7">
        <v>3</v>
      </c>
      <c r="AD2426" t="s">
        <v>45</v>
      </c>
      <c r="AE2426">
        <f t="shared" si="37"/>
        <v>1</v>
      </c>
    </row>
    <row r="2427" spans="1:31" x14ac:dyDescent="0.35">
      <c r="A2427">
        <v>102426</v>
      </c>
      <c r="B2427" s="3">
        <v>46010</v>
      </c>
      <c r="C2427">
        <v>1029</v>
      </c>
      <c r="D2427" t="s">
        <v>30</v>
      </c>
      <c r="E2427" t="s">
        <v>72</v>
      </c>
      <c r="F2427" t="s">
        <v>32</v>
      </c>
      <c r="G2427" t="s">
        <v>46</v>
      </c>
      <c r="H2427" t="s">
        <v>57</v>
      </c>
      <c r="I2427" t="s">
        <v>35</v>
      </c>
      <c r="J2427" s="4">
        <v>39.92</v>
      </c>
      <c r="K2427" s="4">
        <v>15.37</v>
      </c>
      <c r="L2427">
        <v>0</v>
      </c>
      <c r="M2427" s="4">
        <v>0</v>
      </c>
      <c r="N2427" s="4">
        <v>613.57000000000005</v>
      </c>
      <c r="O2427" s="4">
        <v>313.22000000000003</v>
      </c>
      <c r="P2427" s="4">
        <v>9.44</v>
      </c>
      <c r="Q2427" s="4">
        <v>4.29</v>
      </c>
      <c r="R2427" s="4">
        <v>14.88</v>
      </c>
      <c r="S2427" s="4">
        <v>0</v>
      </c>
      <c r="T2427" s="4">
        <v>0</v>
      </c>
      <c r="U2427" s="4">
        <v>341.83</v>
      </c>
      <c r="V2427" s="4">
        <v>271.74</v>
      </c>
      <c r="W2427" t="s">
        <v>21</v>
      </c>
      <c r="X2427" t="s">
        <v>36</v>
      </c>
      <c r="Y2427" s="4">
        <v>0</v>
      </c>
      <c r="Z2427" s="4">
        <v>10</v>
      </c>
      <c r="AA2427" t="s">
        <v>37</v>
      </c>
      <c r="AB2427" t="s">
        <v>38</v>
      </c>
      <c r="AC2427" s="7">
        <v>0</v>
      </c>
      <c r="AD2427" t="s">
        <v>39</v>
      </c>
      <c r="AE2427">
        <f t="shared" si="37"/>
        <v>0</v>
      </c>
    </row>
    <row r="2428" spans="1:31" x14ac:dyDescent="0.35">
      <c r="A2428">
        <v>102427</v>
      </c>
      <c r="B2428" s="3">
        <v>45934</v>
      </c>
      <c r="C2428">
        <v>1004</v>
      </c>
      <c r="D2428" t="s">
        <v>47</v>
      </c>
      <c r="E2428" t="s">
        <v>56</v>
      </c>
      <c r="F2428" t="s">
        <v>41</v>
      </c>
      <c r="G2428" t="s">
        <v>46</v>
      </c>
      <c r="H2428" t="s">
        <v>57</v>
      </c>
      <c r="I2428" t="s">
        <v>54</v>
      </c>
      <c r="J2428" s="4">
        <v>26.24</v>
      </c>
      <c r="K2428" s="4">
        <v>15.61</v>
      </c>
      <c r="L2428">
        <v>5</v>
      </c>
      <c r="M2428" s="4">
        <v>20.48</v>
      </c>
      <c r="N2428" s="4">
        <v>389.13</v>
      </c>
      <c r="O2428" s="4">
        <v>206.83</v>
      </c>
      <c r="P2428" s="4">
        <v>9.4700000000000006</v>
      </c>
      <c r="Q2428" s="4">
        <v>4.92</v>
      </c>
      <c r="R2428" s="4">
        <v>7.95</v>
      </c>
      <c r="S2428" s="4">
        <v>0</v>
      </c>
      <c r="T2428" s="4">
        <v>0</v>
      </c>
      <c r="U2428" s="4">
        <v>229.17</v>
      </c>
      <c r="V2428" s="4">
        <v>159.96</v>
      </c>
      <c r="W2428" t="s">
        <v>21</v>
      </c>
      <c r="X2428" t="s">
        <v>36</v>
      </c>
      <c r="Y2428" s="4">
        <v>16</v>
      </c>
      <c r="Z2428" s="4">
        <v>1</v>
      </c>
      <c r="AA2428" t="s">
        <v>52</v>
      </c>
      <c r="AB2428" t="s">
        <v>38</v>
      </c>
      <c r="AC2428" s="7">
        <v>0</v>
      </c>
      <c r="AD2428" t="s">
        <v>39</v>
      </c>
      <c r="AE2428">
        <f t="shared" si="37"/>
        <v>0</v>
      </c>
    </row>
    <row r="2429" spans="1:31" x14ac:dyDescent="0.35">
      <c r="A2429">
        <v>102428</v>
      </c>
      <c r="B2429" s="3">
        <v>45985</v>
      </c>
      <c r="C2429">
        <v>1108</v>
      </c>
      <c r="D2429" t="s">
        <v>64</v>
      </c>
      <c r="E2429" t="s">
        <v>75</v>
      </c>
      <c r="F2429" t="s">
        <v>41</v>
      </c>
      <c r="G2429" t="s">
        <v>46</v>
      </c>
      <c r="H2429" t="s">
        <v>34</v>
      </c>
      <c r="I2429" t="s">
        <v>35</v>
      </c>
      <c r="J2429" s="4">
        <v>22.77</v>
      </c>
      <c r="K2429" s="4">
        <v>17.43</v>
      </c>
      <c r="L2429">
        <v>0</v>
      </c>
      <c r="M2429" s="4">
        <v>0</v>
      </c>
      <c r="N2429" s="4">
        <v>396.88</v>
      </c>
      <c r="O2429" s="4">
        <v>152.28</v>
      </c>
      <c r="P2429" s="4">
        <v>4.05</v>
      </c>
      <c r="Q2429" s="4">
        <v>2.78</v>
      </c>
      <c r="R2429" s="4">
        <v>0</v>
      </c>
      <c r="S2429" s="4">
        <v>0</v>
      </c>
      <c r="T2429" s="4">
        <v>0</v>
      </c>
      <c r="U2429" s="4">
        <v>159.11000000000001</v>
      </c>
      <c r="V2429" s="4">
        <v>237.77</v>
      </c>
      <c r="W2429" t="s">
        <v>21</v>
      </c>
      <c r="X2429" t="s">
        <v>36</v>
      </c>
      <c r="Y2429" s="4">
        <v>4</v>
      </c>
      <c r="Z2429" s="4">
        <v>12</v>
      </c>
      <c r="AA2429" t="s">
        <v>37</v>
      </c>
      <c r="AB2429" t="s">
        <v>38</v>
      </c>
      <c r="AC2429" s="7">
        <v>0</v>
      </c>
      <c r="AD2429" t="s">
        <v>39</v>
      </c>
      <c r="AE2429">
        <f t="shared" si="37"/>
        <v>0</v>
      </c>
    </row>
    <row r="2430" spans="1:31" x14ac:dyDescent="0.35">
      <c r="A2430">
        <v>102429</v>
      </c>
      <c r="B2430" s="3">
        <v>45991</v>
      </c>
      <c r="C2430">
        <v>1094</v>
      </c>
      <c r="D2430" t="s">
        <v>30</v>
      </c>
      <c r="E2430" t="s">
        <v>31</v>
      </c>
      <c r="F2430" t="s">
        <v>41</v>
      </c>
      <c r="G2430" t="s">
        <v>33</v>
      </c>
      <c r="H2430" t="s">
        <v>34</v>
      </c>
      <c r="I2430" t="s">
        <v>69</v>
      </c>
      <c r="J2430" s="4">
        <v>28.81</v>
      </c>
      <c r="K2430" s="4">
        <v>18.91</v>
      </c>
      <c r="L2430">
        <v>0</v>
      </c>
      <c r="M2430" s="4">
        <v>0</v>
      </c>
      <c r="N2430" s="4">
        <v>544.79999999999995</v>
      </c>
      <c r="O2430" s="4">
        <v>218.65</v>
      </c>
      <c r="P2430" s="4">
        <v>4.5</v>
      </c>
      <c r="Q2430" s="4">
        <v>2.1800000000000002</v>
      </c>
      <c r="R2430" s="4">
        <v>6.89</v>
      </c>
      <c r="S2430" s="4">
        <v>0</v>
      </c>
      <c r="T2430" s="4">
        <v>0</v>
      </c>
      <c r="U2430" s="4">
        <v>232.22</v>
      </c>
      <c r="V2430" s="4">
        <v>312.58</v>
      </c>
      <c r="W2430" t="s">
        <v>21</v>
      </c>
      <c r="X2430" t="s">
        <v>36</v>
      </c>
      <c r="Y2430" s="4">
        <v>2</v>
      </c>
      <c r="Z2430" s="4">
        <v>10</v>
      </c>
      <c r="AA2430" t="s">
        <v>37</v>
      </c>
      <c r="AB2430" t="s">
        <v>38</v>
      </c>
      <c r="AC2430" s="7">
        <v>0</v>
      </c>
      <c r="AD2430" t="s">
        <v>39</v>
      </c>
      <c r="AE2430">
        <f t="shared" si="37"/>
        <v>0</v>
      </c>
    </row>
    <row r="2431" spans="1:31" x14ac:dyDescent="0.35">
      <c r="A2431">
        <v>102430</v>
      </c>
      <c r="B2431" s="3">
        <v>45959</v>
      </c>
      <c r="C2431">
        <v>1068</v>
      </c>
      <c r="D2431" t="s">
        <v>47</v>
      </c>
      <c r="E2431" t="s">
        <v>56</v>
      </c>
      <c r="F2431" t="s">
        <v>32</v>
      </c>
      <c r="G2431" t="s">
        <v>46</v>
      </c>
      <c r="H2431" t="s">
        <v>51</v>
      </c>
      <c r="I2431" t="s">
        <v>42</v>
      </c>
      <c r="J2431" s="4">
        <v>26.93</v>
      </c>
      <c r="K2431" s="4">
        <v>16.190000000000001</v>
      </c>
      <c r="L2431">
        <v>0</v>
      </c>
      <c r="M2431" s="4">
        <v>0</v>
      </c>
      <c r="N2431" s="4">
        <v>436</v>
      </c>
      <c r="O2431" s="4">
        <v>192.41</v>
      </c>
      <c r="P2431" s="4">
        <v>9.06</v>
      </c>
      <c r="Q2431" s="4">
        <v>6.54</v>
      </c>
      <c r="R2431" s="4">
        <v>9.93</v>
      </c>
      <c r="S2431" s="4">
        <v>0</v>
      </c>
      <c r="T2431" s="4">
        <v>0</v>
      </c>
      <c r="U2431" s="4">
        <v>217.94</v>
      </c>
      <c r="V2431" s="4">
        <v>218.06</v>
      </c>
      <c r="W2431" t="s">
        <v>21</v>
      </c>
      <c r="X2431" t="s">
        <v>36</v>
      </c>
      <c r="Y2431" s="4">
        <v>13</v>
      </c>
      <c r="Z2431" s="4">
        <v>6</v>
      </c>
      <c r="AA2431" t="s">
        <v>37</v>
      </c>
      <c r="AB2431" t="s">
        <v>38</v>
      </c>
      <c r="AC2431" s="7">
        <v>0</v>
      </c>
      <c r="AD2431" t="s">
        <v>39</v>
      </c>
      <c r="AE2431">
        <f t="shared" si="37"/>
        <v>0</v>
      </c>
    </row>
    <row r="2432" spans="1:31" x14ac:dyDescent="0.35">
      <c r="A2432">
        <v>102431</v>
      </c>
      <c r="B2432" s="3">
        <v>45937</v>
      </c>
      <c r="C2432">
        <v>1042</v>
      </c>
      <c r="D2432" t="s">
        <v>59</v>
      </c>
      <c r="E2432" t="s">
        <v>73</v>
      </c>
      <c r="F2432" t="s">
        <v>41</v>
      </c>
      <c r="G2432" t="s">
        <v>63</v>
      </c>
      <c r="H2432" t="s">
        <v>34</v>
      </c>
      <c r="I2432" t="s">
        <v>35</v>
      </c>
      <c r="J2432" s="4">
        <v>3</v>
      </c>
      <c r="K2432" s="4">
        <v>12.92</v>
      </c>
      <c r="L2432">
        <v>5</v>
      </c>
      <c r="M2432" s="4">
        <v>1.94</v>
      </c>
      <c r="N2432" s="4">
        <v>36.82</v>
      </c>
      <c r="O2432" s="4">
        <v>20.22</v>
      </c>
      <c r="P2432" s="4">
        <v>7.69</v>
      </c>
      <c r="Q2432" s="4">
        <v>0.27</v>
      </c>
      <c r="R2432" s="4">
        <v>6.28</v>
      </c>
      <c r="S2432" s="4">
        <v>0</v>
      </c>
      <c r="T2432" s="4">
        <v>0</v>
      </c>
      <c r="U2432" s="4">
        <v>34.46</v>
      </c>
      <c r="V2432" s="4">
        <v>2.36</v>
      </c>
      <c r="W2432" t="s">
        <v>21</v>
      </c>
      <c r="X2432" t="s">
        <v>36</v>
      </c>
      <c r="Y2432" s="4">
        <v>33</v>
      </c>
      <c r="Z2432" s="4">
        <v>7</v>
      </c>
      <c r="AA2432" t="s">
        <v>43</v>
      </c>
      <c r="AB2432" t="s">
        <v>44</v>
      </c>
      <c r="AC2432" s="7">
        <v>2</v>
      </c>
      <c r="AD2432" t="s">
        <v>45</v>
      </c>
      <c r="AE2432">
        <f t="shared" si="37"/>
        <v>1</v>
      </c>
    </row>
    <row r="2433" spans="1:31" x14ac:dyDescent="0.35">
      <c r="A2433">
        <v>102432</v>
      </c>
      <c r="B2433" s="3">
        <v>45962</v>
      </c>
      <c r="C2433">
        <v>1062</v>
      </c>
      <c r="D2433" t="s">
        <v>47</v>
      </c>
      <c r="E2433" t="s">
        <v>48</v>
      </c>
      <c r="F2433" t="s">
        <v>61</v>
      </c>
      <c r="G2433" t="s">
        <v>63</v>
      </c>
      <c r="H2433" t="s">
        <v>51</v>
      </c>
      <c r="I2433" t="s">
        <v>35</v>
      </c>
      <c r="J2433" s="4">
        <v>19.61</v>
      </c>
      <c r="K2433" s="4">
        <v>12.64</v>
      </c>
      <c r="L2433">
        <v>0</v>
      </c>
      <c r="M2433" s="4">
        <v>0</v>
      </c>
      <c r="N2433" s="4">
        <v>247.87</v>
      </c>
      <c r="O2433" s="4">
        <v>148.61000000000001</v>
      </c>
      <c r="P2433" s="4">
        <v>5.93</v>
      </c>
      <c r="Q2433" s="4">
        <v>1.74</v>
      </c>
      <c r="R2433" s="4">
        <v>10.76</v>
      </c>
      <c r="S2433" s="4">
        <v>0</v>
      </c>
      <c r="T2433" s="4">
        <v>0</v>
      </c>
      <c r="U2433" s="4">
        <v>167.04</v>
      </c>
      <c r="V2433" s="4">
        <v>80.83</v>
      </c>
      <c r="W2433" t="s">
        <v>21</v>
      </c>
      <c r="X2433" t="s">
        <v>36</v>
      </c>
      <c r="Y2433" s="4">
        <v>19</v>
      </c>
      <c r="Z2433" s="4">
        <v>19</v>
      </c>
      <c r="AA2433" t="s">
        <v>52</v>
      </c>
      <c r="AB2433" t="s">
        <v>44</v>
      </c>
      <c r="AC2433" s="7">
        <v>3</v>
      </c>
      <c r="AD2433" t="s">
        <v>45</v>
      </c>
      <c r="AE2433">
        <f t="shared" si="37"/>
        <v>1</v>
      </c>
    </row>
    <row r="2434" spans="1:31" x14ac:dyDescent="0.35">
      <c r="A2434">
        <v>102433</v>
      </c>
      <c r="B2434" s="3">
        <v>46021</v>
      </c>
      <c r="C2434">
        <v>1144</v>
      </c>
      <c r="D2434" t="s">
        <v>59</v>
      </c>
      <c r="E2434" t="s">
        <v>73</v>
      </c>
      <c r="F2434" t="s">
        <v>32</v>
      </c>
      <c r="G2434" t="s">
        <v>63</v>
      </c>
      <c r="H2434" t="s">
        <v>57</v>
      </c>
      <c r="I2434" t="s">
        <v>35</v>
      </c>
      <c r="J2434" s="4">
        <v>3</v>
      </c>
      <c r="K2434" s="4">
        <v>13.11</v>
      </c>
      <c r="L2434">
        <v>20</v>
      </c>
      <c r="M2434" s="4">
        <v>7.87</v>
      </c>
      <c r="N2434" s="4">
        <v>31.46</v>
      </c>
      <c r="O2434" s="4">
        <v>22.48</v>
      </c>
      <c r="P2434" s="4">
        <v>4.96</v>
      </c>
      <c r="Q2434" s="4">
        <v>0.28000000000000003</v>
      </c>
      <c r="R2434" s="4">
        <v>8.4499999999999993</v>
      </c>
      <c r="S2434" s="4">
        <v>0</v>
      </c>
      <c r="T2434" s="4">
        <v>0</v>
      </c>
      <c r="U2434" s="4">
        <v>36.17</v>
      </c>
      <c r="V2434" s="4">
        <v>-4.71</v>
      </c>
      <c r="W2434" t="s">
        <v>58</v>
      </c>
      <c r="X2434" t="s">
        <v>36</v>
      </c>
      <c r="Y2434" s="4">
        <v>2</v>
      </c>
      <c r="Z2434" s="4">
        <v>3</v>
      </c>
      <c r="AA2434" t="s">
        <v>37</v>
      </c>
      <c r="AB2434" t="s">
        <v>38</v>
      </c>
      <c r="AC2434" s="7">
        <v>0</v>
      </c>
      <c r="AD2434" t="s">
        <v>39</v>
      </c>
      <c r="AE2434">
        <f t="shared" si="37"/>
        <v>0</v>
      </c>
    </row>
    <row r="2435" spans="1:31" x14ac:dyDescent="0.35">
      <c r="A2435">
        <v>102434</v>
      </c>
      <c r="B2435" s="3">
        <v>45940</v>
      </c>
      <c r="C2435">
        <v>1075</v>
      </c>
      <c r="D2435" t="s">
        <v>30</v>
      </c>
      <c r="E2435" t="s">
        <v>72</v>
      </c>
      <c r="F2435" t="s">
        <v>41</v>
      </c>
      <c r="G2435" t="s">
        <v>63</v>
      </c>
      <c r="H2435" t="s">
        <v>57</v>
      </c>
      <c r="I2435" t="s">
        <v>54</v>
      </c>
      <c r="J2435" s="4">
        <v>16.36</v>
      </c>
      <c r="K2435" s="4">
        <v>12.84</v>
      </c>
      <c r="L2435">
        <v>0</v>
      </c>
      <c r="M2435" s="4">
        <v>0</v>
      </c>
      <c r="N2435" s="4">
        <v>210.06</v>
      </c>
      <c r="O2435" s="4">
        <v>119.71</v>
      </c>
      <c r="P2435" s="4">
        <v>1</v>
      </c>
      <c r="Q2435" s="4">
        <v>2.52</v>
      </c>
      <c r="R2435" s="4">
        <v>0</v>
      </c>
      <c r="S2435" s="4">
        <v>0</v>
      </c>
      <c r="T2435" s="4">
        <v>0</v>
      </c>
      <c r="U2435" s="4">
        <v>123.23</v>
      </c>
      <c r="V2435" s="4">
        <v>86.83</v>
      </c>
      <c r="W2435" t="s">
        <v>21</v>
      </c>
      <c r="X2435" t="s">
        <v>36</v>
      </c>
      <c r="Y2435" s="4">
        <v>4</v>
      </c>
      <c r="Z2435" s="4">
        <v>4</v>
      </c>
      <c r="AA2435" t="s">
        <v>37</v>
      </c>
      <c r="AB2435" t="s">
        <v>38</v>
      </c>
      <c r="AC2435" s="7">
        <v>0</v>
      </c>
      <c r="AD2435" t="s">
        <v>39</v>
      </c>
      <c r="AE2435">
        <f t="shared" ref="AE2435:AE2498" si="38">IF(AB2435="Yes",1,0)</f>
        <v>0</v>
      </c>
    </row>
    <row r="2436" spans="1:31" x14ac:dyDescent="0.35">
      <c r="A2436">
        <v>102435</v>
      </c>
      <c r="B2436" s="3">
        <v>45939</v>
      </c>
      <c r="C2436">
        <v>1058</v>
      </c>
      <c r="D2436" t="s">
        <v>59</v>
      </c>
      <c r="E2436" t="s">
        <v>70</v>
      </c>
      <c r="F2436" t="s">
        <v>41</v>
      </c>
      <c r="G2436" t="s">
        <v>46</v>
      </c>
      <c r="H2436" t="s">
        <v>34</v>
      </c>
      <c r="I2436" t="s">
        <v>54</v>
      </c>
      <c r="J2436" s="4">
        <v>31.03</v>
      </c>
      <c r="K2436" s="4">
        <v>17.559999999999999</v>
      </c>
      <c r="L2436">
        <v>0</v>
      </c>
      <c r="M2436" s="4">
        <v>0</v>
      </c>
      <c r="N2436" s="4">
        <v>544.89</v>
      </c>
      <c r="O2436" s="4">
        <v>237.49</v>
      </c>
      <c r="P2436" s="4">
        <v>12.52</v>
      </c>
      <c r="Q2436" s="4">
        <v>6.54</v>
      </c>
      <c r="R2436" s="4">
        <v>5.23</v>
      </c>
      <c r="S2436" s="4">
        <v>0</v>
      </c>
      <c r="T2436" s="4">
        <v>0</v>
      </c>
      <c r="U2436" s="4">
        <v>261.77999999999997</v>
      </c>
      <c r="V2436" s="4">
        <v>283.11</v>
      </c>
      <c r="W2436" t="s">
        <v>21</v>
      </c>
      <c r="X2436" t="s">
        <v>36</v>
      </c>
      <c r="Y2436" s="4">
        <v>10</v>
      </c>
      <c r="Z2436" s="4">
        <v>2</v>
      </c>
      <c r="AA2436" t="s">
        <v>37</v>
      </c>
      <c r="AB2436" t="s">
        <v>38</v>
      </c>
      <c r="AC2436" s="7">
        <v>0</v>
      </c>
      <c r="AD2436" t="s">
        <v>39</v>
      </c>
      <c r="AE2436">
        <f t="shared" si="38"/>
        <v>0</v>
      </c>
    </row>
    <row r="2437" spans="1:31" x14ac:dyDescent="0.35">
      <c r="A2437">
        <v>102436</v>
      </c>
      <c r="B2437" s="3">
        <v>46020</v>
      </c>
      <c r="C2437">
        <v>1121</v>
      </c>
      <c r="D2437" t="s">
        <v>30</v>
      </c>
      <c r="E2437" t="s">
        <v>72</v>
      </c>
      <c r="F2437" t="s">
        <v>71</v>
      </c>
      <c r="G2437" t="s">
        <v>50</v>
      </c>
      <c r="H2437" t="s">
        <v>57</v>
      </c>
      <c r="I2437" t="s">
        <v>54</v>
      </c>
      <c r="J2437" s="4">
        <v>16.920000000000002</v>
      </c>
      <c r="K2437" s="4">
        <v>18.79</v>
      </c>
      <c r="L2437">
        <v>0</v>
      </c>
      <c r="M2437" s="4">
        <v>0</v>
      </c>
      <c r="N2437" s="4">
        <v>317.93</v>
      </c>
      <c r="O2437" s="4">
        <v>89.29</v>
      </c>
      <c r="P2437" s="4">
        <v>2.4900000000000002</v>
      </c>
      <c r="Q2437" s="4">
        <v>3.82</v>
      </c>
      <c r="R2437" s="4">
        <v>8.59</v>
      </c>
      <c r="S2437" s="4">
        <v>0</v>
      </c>
      <c r="T2437" s="4">
        <v>0</v>
      </c>
      <c r="U2437" s="4">
        <v>104.19</v>
      </c>
      <c r="V2437" s="4">
        <v>213.74</v>
      </c>
      <c r="W2437" t="s">
        <v>21</v>
      </c>
      <c r="X2437" t="s">
        <v>36</v>
      </c>
      <c r="Y2437" s="4">
        <v>2</v>
      </c>
      <c r="Z2437" s="4">
        <v>22</v>
      </c>
      <c r="AA2437" t="s">
        <v>37</v>
      </c>
      <c r="AB2437" t="s">
        <v>44</v>
      </c>
      <c r="AC2437" s="7">
        <v>3</v>
      </c>
      <c r="AD2437" t="s">
        <v>45</v>
      </c>
      <c r="AE2437">
        <f t="shared" si="38"/>
        <v>1</v>
      </c>
    </row>
    <row r="2438" spans="1:31" x14ac:dyDescent="0.35">
      <c r="A2438">
        <v>102437</v>
      </c>
      <c r="B2438" s="3">
        <v>45937</v>
      </c>
      <c r="C2438">
        <v>1145</v>
      </c>
      <c r="D2438" t="s">
        <v>47</v>
      </c>
      <c r="E2438" t="s">
        <v>74</v>
      </c>
      <c r="F2438" t="s">
        <v>41</v>
      </c>
      <c r="G2438" t="s">
        <v>63</v>
      </c>
      <c r="H2438" t="s">
        <v>34</v>
      </c>
      <c r="I2438" t="s">
        <v>42</v>
      </c>
      <c r="J2438" s="4">
        <v>6.94</v>
      </c>
      <c r="K2438" s="4">
        <v>12.68</v>
      </c>
      <c r="L2438">
        <v>0</v>
      </c>
      <c r="M2438" s="4">
        <v>0</v>
      </c>
      <c r="N2438" s="4">
        <v>88</v>
      </c>
      <c r="O2438" s="4">
        <v>44.97</v>
      </c>
      <c r="P2438" s="4">
        <v>10.24</v>
      </c>
      <c r="Q2438" s="4">
        <v>1.32</v>
      </c>
      <c r="R2438" s="4">
        <v>8.11</v>
      </c>
      <c r="S2438" s="4">
        <v>0</v>
      </c>
      <c r="T2438" s="4">
        <v>0</v>
      </c>
      <c r="U2438" s="4">
        <v>64.64</v>
      </c>
      <c r="V2438" s="4">
        <v>23.36</v>
      </c>
      <c r="W2438" t="s">
        <v>21</v>
      </c>
      <c r="X2438" t="s">
        <v>36</v>
      </c>
      <c r="Y2438" s="4">
        <v>4</v>
      </c>
      <c r="Z2438" s="4">
        <v>10</v>
      </c>
      <c r="AA2438" t="s">
        <v>37</v>
      </c>
      <c r="AB2438" t="s">
        <v>38</v>
      </c>
      <c r="AC2438" s="7">
        <v>0</v>
      </c>
      <c r="AD2438" t="s">
        <v>39</v>
      </c>
      <c r="AE2438">
        <f t="shared" si="38"/>
        <v>0</v>
      </c>
    </row>
    <row r="2439" spans="1:31" x14ac:dyDescent="0.35">
      <c r="A2439">
        <v>102438</v>
      </c>
      <c r="B2439" s="3">
        <v>45944</v>
      </c>
      <c r="C2439">
        <v>1150</v>
      </c>
      <c r="D2439" t="s">
        <v>64</v>
      </c>
      <c r="E2439" t="s">
        <v>75</v>
      </c>
      <c r="F2439" t="s">
        <v>71</v>
      </c>
      <c r="G2439" t="s">
        <v>50</v>
      </c>
      <c r="H2439" t="s">
        <v>34</v>
      </c>
      <c r="I2439" t="s">
        <v>69</v>
      </c>
      <c r="J2439" s="4">
        <v>35.99</v>
      </c>
      <c r="K2439" s="4">
        <v>17.71</v>
      </c>
      <c r="L2439">
        <v>10</v>
      </c>
      <c r="M2439" s="4">
        <v>63.74</v>
      </c>
      <c r="N2439" s="4">
        <v>573.64</v>
      </c>
      <c r="O2439" s="4">
        <v>214.63</v>
      </c>
      <c r="P2439" s="4">
        <v>4.04</v>
      </c>
      <c r="Q2439" s="4">
        <v>2.5499999999999998</v>
      </c>
      <c r="R2439" s="4">
        <v>5.27</v>
      </c>
      <c r="S2439" s="4">
        <v>0</v>
      </c>
      <c r="T2439" s="4">
        <v>0</v>
      </c>
      <c r="U2439" s="4">
        <v>226.49</v>
      </c>
      <c r="V2439" s="4">
        <v>347.15</v>
      </c>
      <c r="W2439" t="s">
        <v>21</v>
      </c>
      <c r="X2439" t="s">
        <v>36</v>
      </c>
      <c r="Y2439" s="4">
        <v>0</v>
      </c>
      <c r="Z2439" s="4">
        <v>5</v>
      </c>
      <c r="AA2439" t="s">
        <v>37</v>
      </c>
      <c r="AB2439" t="s">
        <v>38</v>
      </c>
      <c r="AC2439" s="7">
        <v>0</v>
      </c>
      <c r="AD2439" t="s">
        <v>39</v>
      </c>
      <c r="AE2439">
        <f t="shared" si="38"/>
        <v>0</v>
      </c>
    </row>
    <row r="2440" spans="1:31" x14ac:dyDescent="0.35">
      <c r="A2440">
        <v>102439</v>
      </c>
      <c r="B2440" s="3">
        <v>45988</v>
      </c>
      <c r="C2440">
        <v>1112</v>
      </c>
      <c r="D2440" t="s">
        <v>30</v>
      </c>
      <c r="E2440" t="s">
        <v>31</v>
      </c>
      <c r="F2440" t="s">
        <v>61</v>
      </c>
      <c r="G2440" t="s">
        <v>46</v>
      </c>
      <c r="H2440" t="s">
        <v>51</v>
      </c>
      <c r="I2440" t="s">
        <v>69</v>
      </c>
      <c r="J2440" s="4">
        <v>26.25</v>
      </c>
      <c r="K2440" s="4">
        <v>16.02</v>
      </c>
      <c r="L2440">
        <v>0</v>
      </c>
      <c r="M2440" s="4">
        <v>0</v>
      </c>
      <c r="N2440" s="4">
        <v>420.52</v>
      </c>
      <c r="O2440" s="4">
        <v>173.64</v>
      </c>
      <c r="P2440" s="4">
        <v>6.05</v>
      </c>
      <c r="Q2440" s="4">
        <v>1.68</v>
      </c>
      <c r="R2440" s="4">
        <v>8.5399999999999991</v>
      </c>
      <c r="S2440" s="4">
        <v>0</v>
      </c>
      <c r="T2440" s="4">
        <v>0</v>
      </c>
      <c r="U2440" s="4">
        <v>189.91</v>
      </c>
      <c r="V2440" s="4">
        <v>230.61</v>
      </c>
      <c r="W2440" t="s">
        <v>21</v>
      </c>
      <c r="X2440" t="s">
        <v>36</v>
      </c>
      <c r="Y2440" s="4">
        <v>2</v>
      </c>
      <c r="Z2440" s="4">
        <v>7</v>
      </c>
      <c r="AA2440" t="s">
        <v>37</v>
      </c>
      <c r="AB2440" t="s">
        <v>38</v>
      </c>
      <c r="AC2440" s="7">
        <v>0</v>
      </c>
      <c r="AD2440" t="s">
        <v>39</v>
      </c>
      <c r="AE2440">
        <f t="shared" si="38"/>
        <v>0</v>
      </c>
    </row>
    <row r="2441" spans="1:31" x14ac:dyDescent="0.35">
      <c r="A2441">
        <v>102440</v>
      </c>
      <c r="B2441" s="3">
        <v>45992</v>
      </c>
      <c r="C2441">
        <v>1150</v>
      </c>
      <c r="D2441" t="s">
        <v>64</v>
      </c>
      <c r="E2441" t="s">
        <v>65</v>
      </c>
      <c r="F2441" t="s">
        <v>61</v>
      </c>
      <c r="G2441" t="s">
        <v>33</v>
      </c>
      <c r="H2441" t="s">
        <v>34</v>
      </c>
      <c r="I2441" t="s">
        <v>42</v>
      </c>
      <c r="J2441" s="4">
        <v>39.68</v>
      </c>
      <c r="K2441" s="4">
        <v>18.46</v>
      </c>
      <c r="L2441">
        <v>10</v>
      </c>
      <c r="M2441" s="4">
        <v>73.25</v>
      </c>
      <c r="N2441" s="4">
        <v>659.24</v>
      </c>
      <c r="O2441" s="4">
        <v>276.51</v>
      </c>
      <c r="P2441" s="4">
        <v>6.1</v>
      </c>
      <c r="Q2441" s="4">
        <v>10.99</v>
      </c>
      <c r="R2441" s="4">
        <v>10.11</v>
      </c>
      <c r="S2441" s="4">
        <v>0</v>
      </c>
      <c r="T2441" s="4">
        <v>0</v>
      </c>
      <c r="U2441" s="4">
        <v>303.70999999999998</v>
      </c>
      <c r="V2441" s="4">
        <v>355.53</v>
      </c>
      <c r="W2441" t="s">
        <v>21</v>
      </c>
      <c r="X2441" t="s">
        <v>36</v>
      </c>
      <c r="Y2441" s="4">
        <v>0</v>
      </c>
      <c r="Z2441" s="4">
        <v>11</v>
      </c>
      <c r="AA2441" t="s">
        <v>37</v>
      </c>
      <c r="AB2441" t="s">
        <v>38</v>
      </c>
      <c r="AC2441" s="7">
        <v>0</v>
      </c>
      <c r="AD2441" t="s">
        <v>39</v>
      </c>
      <c r="AE2441">
        <f t="shared" si="38"/>
        <v>0</v>
      </c>
    </row>
    <row r="2442" spans="1:31" x14ac:dyDescent="0.35">
      <c r="A2442">
        <v>102441</v>
      </c>
      <c r="B2442" s="3">
        <v>45935</v>
      </c>
      <c r="C2442">
        <v>1005</v>
      </c>
      <c r="D2442" t="s">
        <v>47</v>
      </c>
      <c r="E2442" t="s">
        <v>74</v>
      </c>
      <c r="F2442" t="s">
        <v>32</v>
      </c>
      <c r="G2442" t="s">
        <v>50</v>
      </c>
      <c r="H2442" t="s">
        <v>34</v>
      </c>
      <c r="I2442" t="s">
        <v>35</v>
      </c>
      <c r="J2442" s="4">
        <v>28.5</v>
      </c>
      <c r="K2442" s="4">
        <v>18.559999999999999</v>
      </c>
      <c r="L2442">
        <v>15</v>
      </c>
      <c r="M2442" s="4">
        <v>79.34</v>
      </c>
      <c r="N2442" s="4">
        <v>449.62</v>
      </c>
      <c r="O2442" s="4">
        <v>193.55</v>
      </c>
      <c r="P2442" s="4">
        <v>7.43</v>
      </c>
      <c r="Q2442" s="4">
        <v>3.7</v>
      </c>
      <c r="R2442" s="4">
        <v>0</v>
      </c>
      <c r="S2442" s="4">
        <v>269.17</v>
      </c>
      <c r="T2442" s="4">
        <v>0</v>
      </c>
      <c r="U2442" s="4">
        <v>473.85</v>
      </c>
      <c r="V2442" s="4">
        <v>-24.23</v>
      </c>
      <c r="W2442" t="s">
        <v>58</v>
      </c>
      <c r="X2442" t="s">
        <v>55</v>
      </c>
      <c r="Y2442" s="4">
        <v>20</v>
      </c>
      <c r="Z2442" s="4">
        <v>4</v>
      </c>
      <c r="AA2442" t="s">
        <v>52</v>
      </c>
      <c r="AB2442" t="s">
        <v>44</v>
      </c>
      <c r="AC2442" s="7">
        <v>3</v>
      </c>
      <c r="AD2442" t="s">
        <v>45</v>
      </c>
      <c r="AE2442">
        <f t="shared" si="38"/>
        <v>1</v>
      </c>
    </row>
    <row r="2443" spans="1:31" x14ac:dyDescent="0.35">
      <c r="A2443">
        <v>102442</v>
      </c>
      <c r="B2443" s="3">
        <v>46014</v>
      </c>
      <c r="C2443">
        <v>1099</v>
      </c>
      <c r="D2443" t="s">
        <v>47</v>
      </c>
      <c r="E2443" t="s">
        <v>74</v>
      </c>
      <c r="F2443" t="s">
        <v>61</v>
      </c>
      <c r="G2443" t="s">
        <v>63</v>
      </c>
      <c r="H2443" t="s">
        <v>34</v>
      </c>
      <c r="I2443" t="s">
        <v>35</v>
      </c>
      <c r="J2443" s="4">
        <v>19.64</v>
      </c>
      <c r="K2443" s="4">
        <v>14.34</v>
      </c>
      <c r="L2443">
        <v>20</v>
      </c>
      <c r="M2443" s="4">
        <v>56.33</v>
      </c>
      <c r="N2443" s="4">
        <v>225.31</v>
      </c>
      <c r="O2443" s="4">
        <v>167.42</v>
      </c>
      <c r="P2443" s="4">
        <v>11.7</v>
      </c>
      <c r="Q2443" s="4">
        <v>1.97</v>
      </c>
      <c r="R2443" s="4">
        <v>0.7</v>
      </c>
      <c r="S2443" s="4">
        <v>0</v>
      </c>
      <c r="T2443" s="4">
        <v>0</v>
      </c>
      <c r="U2443" s="4">
        <v>181.79</v>
      </c>
      <c r="V2443" s="4">
        <v>43.52</v>
      </c>
      <c r="W2443" t="s">
        <v>21</v>
      </c>
      <c r="X2443" t="s">
        <v>36</v>
      </c>
      <c r="Y2443" s="4">
        <v>9</v>
      </c>
      <c r="Z2443" s="4">
        <v>1</v>
      </c>
      <c r="AA2443" t="s">
        <v>37</v>
      </c>
      <c r="AB2443" t="s">
        <v>38</v>
      </c>
      <c r="AC2443" s="7">
        <v>0</v>
      </c>
      <c r="AD2443" t="s">
        <v>39</v>
      </c>
      <c r="AE2443">
        <f t="shared" si="38"/>
        <v>0</v>
      </c>
    </row>
    <row r="2444" spans="1:31" x14ac:dyDescent="0.35">
      <c r="A2444">
        <v>102443</v>
      </c>
      <c r="B2444" s="3">
        <v>45954</v>
      </c>
      <c r="C2444">
        <v>1007</v>
      </c>
      <c r="D2444" t="s">
        <v>64</v>
      </c>
      <c r="E2444" t="s">
        <v>67</v>
      </c>
      <c r="F2444" t="s">
        <v>71</v>
      </c>
      <c r="G2444" t="s">
        <v>46</v>
      </c>
      <c r="H2444" t="s">
        <v>34</v>
      </c>
      <c r="I2444" t="s">
        <v>42</v>
      </c>
      <c r="J2444" s="4">
        <v>27.12</v>
      </c>
      <c r="K2444" s="4">
        <v>14.96</v>
      </c>
      <c r="L2444">
        <v>15</v>
      </c>
      <c r="M2444" s="4">
        <v>60.86</v>
      </c>
      <c r="N2444" s="4">
        <v>344.86</v>
      </c>
      <c r="O2444" s="4">
        <v>192.25</v>
      </c>
      <c r="P2444" s="4">
        <v>8.81</v>
      </c>
      <c r="Q2444" s="4">
        <v>6.09</v>
      </c>
      <c r="R2444" s="4">
        <v>6.35</v>
      </c>
      <c r="S2444" s="4">
        <v>0</v>
      </c>
      <c r="T2444" s="4">
        <v>0</v>
      </c>
      <c r="U2444" s="4">
        <v>213.5</v>
      </c>
      <c r="V2444" s="4">
        <v>131.36000000000001</v>
      </c>
      <c r="W2444" t="s">
        <v>21</v>
      </c>
      <c r="X2444" t="s">
        <v>36</v>
      </c>
      <c r="Y2444" s="4">
        <v>7</v>
      </c>
      <c r="Z2444" s="4">
        <v>2</v>
      </c>
      <c r="AA2444" t="s">
        <v>37</v>
      </c>
      <c r="AB2444" t="s">
        <v>38</v>
      </c>
      <c r="AC2444" s="7">
        <v>0</v>
      </c>
      <c r="AD2444" t="s">
        <v>39</v>
      </c>
      <c r="AE2444">
        <f t="shared" si="38"/>
        <v>0</v>
      </c>
    </row>
    <row r="2445" spans="1:31" x14ac:dyDescent="0.35">
      <c r="A2445">
        <v>102444</v>
      </c>
      <c r="B2445" s="3">
        <v>46012</v>
      </c>
      <c r="C2445">
        <v>1111</v>
      </c>
      <c r="D2445" t="s">
        <v>30</v>
      </c>
      <c r="E2445" t="s">
        <v>40</v>
      </c>
      <c r="F2445" t="s">
        <v>71</v>
      </c>
      <c r="G2445" t="s">
        <v>46</v>
      </c>
      <c r="H2445" t="s">
        <v>51</v>
      </c>
      <c r="I2445" t="s">
        <v>35</v>
      </c>
      <c r="J2445" s="4">
        <v>8.61</v>
      </c>
      <c r="K2445" s="4">
        <v>14.54</v>
      </c>
      <c r="L2445">
        <v>0</v>
      </c>
      <c r="M2445" s="4">
        <v>0</v>
      </c>
      <c r="N2445" s="4">
        <v>125.19</v>
      </c>
      <c r="O2445" s="4">
        <v>59.64</v>
      </c>
      <c r="P2445" s="4">
        <v>10.32</v>
      </c>
      <c r="Q2445" s="4">
        <v>0.88</v>
      </c>
      <c r="R2445" s="4">
        <v>3.74</v>
      </c>
      <c r="S2445" s="4">
        <v>0</v>
      </c>
      <c r="T2445" s="4">
        <v>0</v>
      </c>
      <c r="U2445" s="4">
        <v>74.58</v>
      </c>
      <c r="V2445" s="4">
        <v>50.61</v>
      </c>
      <c r="W2445" t="s">
        <v>21</v>
      </c>
      <c r="X2445" t="s">
        <v>36</v>
      </c>
      <c r="Y2445" s="4">
        <v>14</v>
      </c>
      <c r="Z2445" s="4">
        <v>16</v>
      </c>
      <c r="AA2445" t="s">
        <v>37</v>
      </c>
      <c r="AB2445" t="s">
        <v>44</v>
      </c>
      <c r="AC2445" s="7">
        <v>2</v>
      </c>
      <c r="AD2445" t="s">
        <v>45</v>
      </c>
      <c r="AE2445">
        <f t="shared" si="38"/>
        <v>1</v>
      </c>
    </row>
    <row r="2446" spans="1:31" x14ac:dyDescent="0.35">
      <c r="A2446">
        <v>102445</v>
      </c>
      <c r="B2446" s="3">
        <v>45962</v>
      </c>
      <c r="C2446">
        <v>1141</v>
      </c>
      <c r="D2446" t="s">
        <v>64</v>
      </c>
      <c r="E2446" t="s">
        <v>65</v>
      </c>
      <c r="F2446" t="s">
        <v>49</v>
      </c>
      <c r="G2446" t="s">
        <v>46</v>
      </c>
      <c r="H2446" t="s">
        <v>34</v>
      </c>
      <c r="I2446" t="s">
        <v>35</v>
      </c>
      <c r="J2446" s="4">
        <v>32.299999999999997</v>
      </c>
      <c r="K2446" s="4">
        <v>16.079999999999998</v>
      </c>
      <c r="L2446">
        <v>0</v>
      </c>
      <c r="M2446" s="4">
        <v>0</v>
      </c>
      <c r="N2446" s="4">
        <v>519.38</v>
      </c>
      <c r="O2446" s="4">
        <v>214.22</v>
      </c>
      <c r="P2446" s="4">
        <v>6.47</v>
      </c>
      <c r="Q2446" s="4">
        <v>3.64</v>
      </c>
      <c r="R2446" s="4">
        <v>7.34</v>
      </c>
      <c r="S2446" s="4">
        <v>0</v>
      </c>
      <c r="T2446" s="4">
        <v>0</v>
      </c>
      <c r="U2446" s="4">
        <v>231.67</v>
      </c>
      <c r="V2446" s="4">
        <v>287.70999999999998</v>
      </c>
      <c r="W2446" t="s">
        <v>21</v>
      </c>
      <c r="X2446" t="s">
        <v>36</v>
      </c>
      <c r="Y2446" s="4">
        <v>5</v>
      </c>
      <c r="Z2446" s="4">
        <v>10</v>
      </c>
      <c r="AA2446" t="s">
        <v>37</v>
      </c>
      <c r="AB2446" t="s">
        <v>38</v>
      </c>
      <c r="AC2446" s="7">
        <v>0</v>
      </c>
      <c r="AD2446" t="s">
        <v>39</v>
      </c>
      <c r="AE2446">
        <f t="shared" si="38"/>
        <v>0</v>
      </c>
    </row>
    <row r="2447" spans="1:31" x14ac:dyDescent="0.35">
      <c r="A2447">
        <v>102446</v>
      </c>
      <c r="B2447" s="3">
        <v>45983</v>
      </c>
      <c r="C2447">
        <v>1016</v>
      </c>
      <c r="D2447" t="s">
        <v>30</v>
      </c>
      <c r="E2447" t="s">
        <v>31</v>
      </c>
      <c r="F2447" t="s">
        <v>61</v>
      </c>
      <c r="G2447" t="s">
        <v>50</v>
      </c>
      <c r="H2447" t="s">
        <v>57</v>
      </c>
      <c r="I2447" t="s">
        <v>54</v>
      </c>
      <c r="J2447" s="4">
        <v>24.45</v>
      </c>
      <c r="K2447" s="4">
        <v>17.87</v>
      </c>
      <c r="L2447">
        <v>0</v>
      </c>
      <c r="M2447" s="4">
        <v>0</v>
      </c>
      <c r="N2447" s="4">
        <v>436.92</v>
      </c>
      <c r="O2447" s="4">
        <v>164.72</v>
      </c>
      <c r="P2447" s="4">
        <v>13.81</v>
      </c>
      <c r="Q2447" s="4">
        <v>5.24</v>
      </c>
      <c r="R2447" s="4">
        <v>3.33</v>
      </c>
      <c r="S2447" s="4">
        <v>0</v>
      </c>
      <c r="T2447" s="4">
        <v>0</v>
      </c>
      <c r="U2447" s="4">
        <v>187.1</v>
      </c>
      <c r="V2447" s="4">
        <v>249.82</v>
      </c>
      <c r="W2447" t="s">
        <v>21</v>
      </c>
      <c r="X2447" t="s">
        <v>36</v>
      </c>
      <c r="Y2447" s="4">
        <v>26</v>
      </c>
      <c r="Z2447" s="4">
        <v>1</v>
      </c>
      <c r="AA2447" t="s">
        <v>52</v>
      </c>
      <c r="AB2447" t="s">
        <v>44</v>
      </c>
      <c r="AC2447" s="7">
        <v>2</v>
      </c>
      <c r="AD2447" t="s">
        <v>45</v>
      </c>
      <c r="AE2447">
        <f t="shared" si="38"/>
        <v>1</v>
      </c>
    </row>
    <row r="2448" spans="1:31" x14ac:dyDescent="0.35">
      <c r="A2448">
        <v>102447</v>
      </c>
      <c r="B2448" s="3">
        <v>46015</v>
      </c>
      <c r="C2448">
        <v>1041</v>
      </c>
      <c r="D2448" t="s">
        <v>30</v>
      </c>
      <c r="E2448" t="s">
        <v>40</v>
      </c>
      <c r="F2448" t="s">
        <v>49</v>
      </c>
      <c r="G2448" t="s">
        <v>33</v>
      </c>
      <c r="H2448" t="s">
        <v>51</v>
      </c>
      <c r="I2448" t="s">
        <v>35</v>
      </c>
      <c r="J2448" s="4">
        <v>20.65</v>
      </c>
      <c r="K2448" s="4">
        <v>19.48</v>
      </c>
      <c r="L2448">
        <v>0</v>
      </c>
      <c r="M2448" s="4">
        <v>0</v>
      </c>
      <c r="N2448" s="4">
        <v>402.26</v>
      </c>
      <c r="O2448" s="4">
        <v>165.17</v>
      </c>
      <c r="P2448" s="4">
        <v>10.73</v>
      </c>
      <c r="Q2448" s="4">
        <v>2.82</v>
      </c>
      <c r="R2448" s="4">
        <v>5.45</v>
      </c>
      <c r="S2448" s="4">
        <v>0</v>
      </c>
      <c r="T2448" s="4">
        <v>0</v>
      </c>
      <c r="U2448" s="4">
        <v>184.17</v>
      </c>
      <c r="V2448" s="4">
        <v>218.09</v>
      </c>
      <c r="W2448" t="s">
        <v>21</v>
      </c>
      <c r="X2448" t="s">
        <v>36</v>
      </c>
      <c r="Y2448" s="4">
        <v>4</v>
      </c>
      <c r="Z2448" s="4">
        <v>10</v>
      </c>
      <c r="AA2448" t="s">
        <v>37</v>
      </c>
      <c r="AB2448" t="s">
        <v>38</v>
      </c>
      <c r="AC2448" s="7">
        <v>0</v>
      </c>
      <c r="AD2448" t="s">
        <v>39</v>
      </c>
      <c r="AE2448">
        <f t="shared" si="38"/>
        <v>0</v>
      </c>
    </row>
    <row r="2449" spans="1:31" x14ac:dyDescent="0.35">
      <c r="A2449">
        <v>102448</v>
      </c>
      <c r="B2449" s="3">
        <v>45953</v>
      </c>
      <c r="C2449">
        <v>1009</v>
      </c>
      <c r="D2449" t="s">
        <v>59</v>
      </c>
      <c r="E2449" t="s">
        <v>70</v>
      </c>
      <c r="F2449" t="s">
        <v>41</v>
      </c>
      <c r="G2449" t="s">
        <v>63</v>
      </c>
      <c r="H2449" t="s">
        <v>34</v>
      </c>
      <c r="I2449" t="s">
        <v>69</v>
      </c>
      <c r="J2449" s="4">
        <v>19.329999999999998</v>
      </c>
      <c r="K2449" s="4">
        <v>12.14</v>
      </c>
      <c r="L2449">
        <v>0</v>
      </c>
      <c r="M2449" s="4">
        <v>0</v>
      </c>
      <c r="N2449" s="4">
        <v>234.67</v>
      </c>
      <c r="O2449" s="4">
        <v>145.61000000000001</v>
      </c>
      <c r="P2449" s="4">
        <v>13.51</v>
      </c>
      <c r="Q2449" s="4">
        <v>0.94</v>
      </c>
      <c r="R2449" s="4">
        <v>2.86</v>
      </c>
      <c r="S2449" s="4">
        <v>0</v>
      </c>
      <c r="T2449" s="4">
        <v>0</v>
      </c>
      <c r="U2449" s="4">
        <v>162.91999999999999</v>
      </c>
      <c r="V2449" s="4">
        <v>71.75</v>
      </c>
      <c r="W2449" t="s">
        <v>21</v>
      </c>
      <c r="X2449" t="s">
        <v>36</v>
      </c>
      <c r="Y2449" s="4">
        <v>21</v>
      </c>
      <c r="Z2449" s="4">
        <v>3</v>
      </c>
      <c r="AA2449" t="s">
        <v>52</v>
      </c>
      <c r="AB2449" t="s">
        <v>44</v>
      </c>
      <c r="AC2449" s="7">
        <v>4</v>
      </c>
      <c r="AD2449" t="s">
        <v>45</v>
      </c>
      <c r="AE2449">
        <f t="shared" si="38"/>
        <v>1</v>
      </c>
    </row>
    <row r="2450" spans="1:31" x14ac:dyDescent="0.35">
      <c r="A2450">
        <v>102449</v>
      </c>
      <c r="B2450" s="3">
        <v>46012</v>
      </c>
      <c r="C2450">
        <v>1104</v>
      </c>
      <c r="D2450" t="s">
        <v>30</v>
      </c>
      <c r="E2450" t="s">
        <v>31</v>
      </c>
      <c r="F2450" t="s">
        <v>41</v>
      </c>
      <c r="G2450" t="s">
        <v>63</v>
      </c>
      <c r="H2450" t="s">
        <v>34</v>
      </c>
      <c r="I2450" t="s">
        <v>42</v>
      </c>
      <c r="J2450" s="4">
        <v>27.58</v>
      </c>
      <c r="K2450" s="4">
        <v>13.9</v>
      </c>
      <c r="L2450">
        <v>0</v>
      </c>
      <c r="M2450" s="4">
        <v>0</v>
      </c>
      <c r="N2450" s="4">
        <v>383.36</v>
      </c>
      <c r="O2450" s="4">
        <v>172.73</v>
      </c>
      <c r="P2450" s="4">
        <v>7.54</v>
      </c>
      <c r="Q2450" s="4">
        <v>5.75</v>
      </c>
      <c r="R2450" s="4">
        <v>12.79</v>
      </c>
      <c r="S2450" s="4">
        <v>0</v>
      </c>
      <c r="T2450" s="4">
        <v>0</v>
      </c>
      <c r="U2450" s="4">
        <v>198.81</v>
      </c>
      <c r="V2450" s="4">
        <v>184.55</v>
      </c>
      <c r="W2450" t="s">
        <v>21</v>
      </c>
      <c r="X2450" t="s">
        <v>36</v>
      </c>
      <c r="Y2450" s="4">
        <v>11</v>
      </c>
      <c r="Z2450" s="4">
        <v>18</v>
      </c>
      <c r="AA2450" t="s">
        <v>37</v>
      </c>
      <c r="AB2450" t="s">
        <v>44</v>
      </c>
      <c r="AC2450" s="7">
        <v>2</v>
      </c>
      <c r="AD2450" t="s">
        <v>45</v>
      </c>
      <c r="AE2450">
        <f t="shared" si="38"/>
        <v>1</v>
      </c>
    </row>
    <row r="2451" spans="1:31" x14ac:dyDescent="0.35">
      <c r="A2451">
        <v>102450</v>
      </c>
      <c r="B2451" s="3">
        <v>45965</v>
      </c>
      <c r="C2451">
        <v>1018</v>
      </c>
      <c r="D2451" t="s">
        <v>30</v>
      </c>
      <c r="E2451" t="s">
        <v>62</v>
      </c>
      <c r="F2451" t="s">
        <v>32</v>
      </c>
      <c r="G2451" t="s">
        <v>63</v>
      </c>
      <c r="H2451" t="s">
        <v>57</v>
      </c>
      <c r="I2451" t="s">
        <v>42</v>
      </c>
      <c r="J2451" s="4">
        <v>22.17</v>
      </c>
      <c r="K2451" s="4">
        <v>13.1</v>
      </c>
      <c r="L2451">
        <v>0</v>
      </c>
      <c r="M2451" s="4">
        <v>0</v>
      </c>
      <c r="N2451" s="4">
        <v>290.43</v>
      </c>
      <c r="O2451" s="4">
        <v>180.99</v>
      </c>
      <c r="P2451" s="4">
        <v>5.79</v>
      </c>
      <c r="Q2451" s="4">
        <v>4.3600000000000003</v>
      </c>
      <c r="R2451" s="4">
        <v>0</v>
      </c>
      <c r="S2451" s="4">
        <v>0</v>
      </c>
      <c r="T2451" s="4">
        <v>0</v>
      </c>
      <c r="U2451" s="4">
        <v>191.14</v>
      </c>
      <c r="V2451" s="4">
        <v>99.29</v>
      </c>
      <c r="W2451" t="s">
        <v>21</v>
      </c>
      <c r="X2451" t="s">
        <v>36</v>
      </c>
      <c r="Y2451" s="4">
        <v>2</v>
      </c>
      <c r="Z2451" s="4">
        <v>4</v>
      </c>
      <c r="AA2451" t="s">
        <v>37</v>
      </c>
      <c r="AB2451" t="s">
        <v>38</v>
      </c>
      <c r="AC2451" s="7">
        <v>0</v>
      </c>
      <c r="AD2451" t="s">
        <v>39</v>
      </c>
      <c r="AE2451">
        <f t="shared" si="38"/>
        <v>0</v>
      </c>
    </row>
    <row r="2452" spans="1:31" x14ac:dyDescent="0.35">
      <c r="A2452">
        <v>102451</v>
      </c>
      <c r="B2452" s="3">
        <v>45982</v>
      </c>
      <c r="C2452">
        <v>1138</v>
      </c>
      <c r="D2452" t="s">
        <v>47</v>
      </c>
      <c r="E2452" t="s">
        <v>74</v>
      </c>
      <c r="F2452" t="s">
        <v>32</v>
      </c>
      <c r="G2452" t="s">
        <v>63</v>
      </c>
      <c r="H2452" t="s">
        <v>34</v>
      </c>
      <c r="I2452" t="s">
        <v>35</v>
      </c>
      <c r="J2452" s="4">
        <v>3</v>
      </c>
      <c r="K2452" s="4">
        <v>13.68</v>
      </c>
      <c r="L2452">
        <v>0</v>
      </c>
      <c r="M2452" s="4">
        <v>0</v>
      </c>
      <c r="N2452" s="4">
        <v>41.04</v>
      </c>
      <c r="O2452" s="4">
        <v>25.22</v>
      </c>
      <c r="P2452" s="4">
        <v>8.1</v>
      </c>
      <c r="Q2452" s="4">
        <v>0.28999999999999998</v>
      </c>
      <c r="R2452" s="4">
        <v>6.42</v>
      </c>
      <c r="S2452" s="4">
        <v>0</v>
      </c>
      <c r="T2452" s="4">
        <v>0</v>
      </c>
      <c r="U2452" s="4">
        <v>40.03</v>
      </c>
      <c r="V2452" s="4">
        <v>1.01</v>
      </c>
      <c r="W2452" t="s">
        <v>21</v>
      </c>
      <c r="X2452" t="s">
        <v>36</v>
      </c>
      <c r="Y2452" s="4">
        <v>13</v>
      </c>
      <c r="Z2452" s="4">
        <v>11</v>
      </c>
      <c r="AA2452" t="s">
        <v>37</v>
      </c>
      <c r="AB2452" t="s">
        <v>38</v>
      </c>
      <c r="AC2452" s="7">
        <v>1</v>
      </c>
      <c r="AD2452" t="s">
        <v>39</v>
      </c>
      <c r="AE2452">
        <f t="shared" si="38"/>
        <v>0</v>
      </c>
    </row>
    <row r="2453" spans="1:31" x14ac:dyDescent="0.35">
      <c r="A2453">
        <v>102452</v>
      </c>
      <c r="B2453" s="3">
        <v>45990</v>
      </c>
      <c r="C2453">
        <v>1028</v>
      </c>
      <c r="D2453" t="s">
        <v>30</v>
      </c>
      <c r="E2453" t="s">
        <v>62</v>
      </c>
      <c r="F2453" t="s">
        <v>71</v>
      </c>
      <c r="G2453" t="s">
        <v>46</v>
      </c>
      <c r="H2453" t="s">
        <v>34</v>
      </c>
      <c r="I2453" t="s">
        <v>54</v>
      </c>
      <c r="J2453" s="4">
        <v>26.58</v>
      </c>
      <c r="K2453" s="4">
        <v>14.73</v>
      </c>
      <c r="L2453">
        <v>0</v>
      </c>
      <c r="M2453" s="4">
        <v>0</v>
      </c>
      <c r="N2453" s="4">
        <v>391.52</v>
      </c>
      <c r="O2453" s="4">
        <v>214.95</v>
      </c>
      <c r="P2453" s="4">
        <v>6.19</v>
      </c>
      <c r="Q2453" s="4">
        <v>4.7</v>
      </c>
      <c r="R2453" s="4">
        <v>4.5599999999999996</v>
      </c>
      <c r="S2453" s="4">
        <v>208.79</v>
      </c>
      <c r="T2453" s="4">
        <v>0</v>
      </c>
      <c r="U2453" s="4">
        <v>439.19</v>
      </c>
      <c r="V2453" s="4">
        <v>-47.67</v>
      </c>
      <c r="W2453" t="s">
        <v>58</v>
      </c>
      <c r="X2453" t="s">
        <v>55</v>
      </c>
      <c r="Y2453" s="4">
        <v>0</v>
      </c>
      <c r="Z2453" s="4">
        <v>10</v>
      </c>
      <c r="AA2453" t="s">
        <v>37</v>
      </c>
      <c r="AB2453" t="s">
        <v>44</v>
      </c>
      <c r="AC2453" s="7">
        <v>1</v>
      </c>
      <c r="AD2453" t="s">
        <v>45</v>
      </c>
      <c r="AE2453">
        <f t="shared" si="38"/>
        <v>1</v>
      </c>
    </row>
    <row r="2454" spans="1:31" x14ac:dyDescent="0.35">
      <c r="A2454">
        <v>102453</v>
      </c>
      <c r="B2454" s="3">
        <v>45959</v>
      </c>
      <c r="C2454">
        <v>1098</v>
      </c>
      <c r="D2454" t="s">
        <v>47</v>
      </c>
      <c r="E2454" t="s">
        <v>48</v>
      </c>
      <c r="F2454" t="s">
        <v>71</v>
      </c>
      <c r="G2454" t="s">
        <v>63</v>
      </c>
      <c r="H2454" t="s">
        <v>34</v>
      </c>
      <c r="I2454" t="s">
        <v>35</v>
      </c>
      <c r="J2454" s="4">
        <v>25.59</v>
      </c>
      <c r="K2454" s="4">
        <v>13.62</v>
      </c>
      <c r="L2454">
        <v>15</v>
      </c>
      <c r="M2454" s="4">
        <v>52.28</v>
      </c>
      <c r="N2454" s="4">
        <v>296.26</v>
      </c>
      <c r="O2454" s="4">
        <v>201.13</v>
      </c>
      <c r="P2454" s="4">
        <v>9.77</v>
      </c>
      <c r="Q2454" s="4">
        <v>2.44</v>
      </c>
      <c r="R2454" s="4">
        <v>7.69</v>
      </c>
      <c r="S2454" s="4">
        <v>282.45999999999998</v>
      </c>
      <c r="T2454" s="4">
        <v>0</v>
      </c>
      <c r="U2454" s="4">
        <v>503.49</v>
      </c>
      <c r="V2454" s="4">
        <v>-207.23</v>
      </c>
      <c r="W2454" t="s">
        <v>58</v>
      </c>
      <c r="X2454" t="s">
        <v>55</v>
      </c>
      <c r="Y2454" s="4">
        <v>4</v>
      </c>
      <c r="Z2454" s="4">
        <v>6</v>
      </c>
      <c r="AA2454" t="s">
        <v>37</v>
      </c>
      <c r="AB2454" t="s">
        <v>44</v>
      </c>
      <c r="AC2454" s="7">
        <v>2</v>
      </c>
      <c r="AD2454" t="s">
        <v>45</v>
      </c>
      <c r="AE2454">
        <f t="shared" si="38"/>
        <v>1</v>
      </c>
    </row>
    <row r="2455" spans="1:31" x14ac:dyDescent="0.35">
      <c r="A2455">
        <v>102454</v>
      </c>
      <c r="B2455" s="3">
        <v>45989</v>
      </c>
      <c r="C2455">
        <v>1145</v>
      </c>
      <c r="D2455" t="s">
        <v>30</v>
      </c>
      <c r="E2455" t="s">
        <v>31</v>
      </c>
      <c r="F2455" t="s">
        <v>71</v>
      </c>
      <c r="G2455" t="s">
        <v>46</v>
      </c>
      <c r="H2455" t="s">
        <v>34</v>
      </c>
      <c r="I2455" t="s">
        <v>35</v>
      </c>
      <c r="J2455" s="4">
        <v>13.69</v>
      </c>
      <c r="K2455" s="4">
        <v>14.9</v>
      </c>
      <c r="L2455">
        <v>0</v>
      </c>
      <c r="M2455" s="4">
        <v>0</v>
      </c>
      <c r="N2455" s="4">
        <v>203.98</v>
      </c>
      <c r="O2455" s="4">
        <v>80.61</v>
      </c>
      <c r="P2455" s="4">
        <v>8.52</v>
      </c>
      <c r="Q2455" s="4">
        <v>1.43</v>
      </c>
      <c r="R2455" s="4">
        <v>7.31</v>
      </c>
      <c r="S2455" s="4">
        <v>0</v>
      </c>
      <c r="T2455" s="4">
        <v>0</v>
      </c>
      <c r="U2455" s="4">
        <v>97.87</v>
      </c>
      <c r="V2455" s="4">
        <v>106.11</v>
      </c>
      <c r="W2455" t="s">
        <v>21</v>
      </c>
      <c r="X2455" t="s">
        <v>36</v>
      </c>
      <c r="Y2455" s="4">
        <v>5</v>
      </c>
      <c r="Z2455" s="4">
        <v>0</v>
      </c>
      <c r="AA2455" t="s">
        <v>37</v>
      </c>
      <c r="AB2455" t="s">
        <v>38</v>
      </c>
      <c r="AC2455" s="7">
        <v>0</v>
      </c>
      <c r="AD2455" t="s">
        <v>39</v>
      </c>
      <c r="AE2455">
        <f t="shared" si="38"/>
        <v>0</v>
      </c>
    </row>
    <row r="2456" spans="1:31" x14ac:dyDescent="0.35">
      <c r="A2456">
        <v>102455</v>
      </c>
      <c r="B2456" s="3">
        <v>45998</v>
      </c>
      <c r="C2456">
        <v>1128</v>
      </c>
      <c r="D2456" t="s">
        <v>59</v>
      </c>
      <c r="E2456" t="s">
        <v>73</v>
      </c>
      <c r="F2456" t="s">
        <v>71</v>
      </c>
      <c r="G2456" t="s">
        <v>33</v>
      </c>
      <c r="H2456" t="s">
        <v>34</v>
      </c>
      <c r="I2456" t="s">
        <v>35</v>
      </c>
      <c r="J2456" s="4">
        <v>36.64</v>
      </c>
      <c r="K2456" s="4">
        <v>21.51</v>
      </c>
      <c r="L2456">
        <v>10</v>
      </c>
      <c r="M2456" s="4">
        <v>78.81</v>
      </c>
      <c r="N2456" s="4">
        <v>709.32</v>
      </c>
      <c r="O2456" s="4">
        <v>245.89</v>
      </c>
      <c r="P2456" s="4">
        <v>5.67</v>
      </c>
      <c r="Q2456" s="4">
        <v>5.52</v>
      </c>
      <c r="R2456" s="4">
        <v>6.87</v>
      </c>
      <c r="S2456" s="4">
        <v>0</v>
      </c>
      <c r="T2456" s="4">
        <v>0</v>
      </c>
      <c r="U2456" s="4">
        <v>263.95</v>
      </c>
      <c r="V2456" s="4">
        <v>445.37</v>
      </c>
      <c r="W2456" t="s">
        <v>21</v>
      </c>
      <c r="X2456" t="s">
        <v>36</v>
      </c>
      <c r="Y2456" s="4">
        <v>7</v>
      </c>
      <c r="Z2456" s="4">
        <v>0</v>
      </c>
      <c r="AA2456" t="s">
        <v>37</v>
      </c>
      <c r="AB2456" t="s">
        <v>38</v>
      </c>
      <c r="AC2456" s="7">
        <v>0</v>
      </c>
      <c r="AD2456" t="s">
        <v>39</v>
      </c>
      <c r="AE2456">
        <f t="shared" si="38"/>
        <v>0</v>
      </c>
    </row>
    <row r="2457" spans="1:31" x14ac:dyDescent="0.35">
      <c r="A2457">
        <v>102456</v>
      </c>
      <c r="B2457" s="3">
        <v>45959</v>
      </c>
      <c r="C2457">
        <v>1078</v>
      </c>
      <c r="D2457" t="s">
        <v>47</v>
      </c>
      <c r="E2457" t="s">
        <v>74</v>
      </c>
      <c r="F2457" t="s">
        <v>71</v>
      </c>
      <c r="G2457" t="s">
        <v>63</v>
      </c>
      <c r="H2457" t="s">
        <v>51</v>
      </c>
      <c r="I2457" t="s">
        <v>35</v>
      </c>
      <c r="J2457" s="4">
        <v>29.72</v>
      </c>
      <c r="K2457" s="4">
        <v>12.75</v>
      </c>
      <c r="L2457">
        <v>5</v>
      </c>
      <c r="M2457" s="4">
        <v>18.95</v>
      </c>
      <c r="N2457" s="4">
        <v>359.98</v>
      </c>
      <c r="O2457" s="4">
        <v>261.54000000000002</v>
      </c>
      <c r="P2457" s="4">
        <v>8.33</v>
      </c>
      <c r="Q2457" s="4">
        <v>2.65</v>
      </c>
      <c r="R2457" s="4">
        <v>5.0199999999999996</v>
      </c>
      <c r="S2457" s="4">
        <v>0</v>
      </c>
      <c r="T2457" s="4">
        <v>0</v>
      </c>
      <c r="U2457" s="4">
        <v>277.54000000000002</v>
      </c>
      <c r="V2457" s="4">
        <v>82.44</v>
      </c>
      <c r="W2457" t="s">
        <v>21</v>
      </c>
      <c r="X2457" t="s">
        <v>36</v>
      </c>
      <c r="Y2457" s="4">
        <v>9</v>
      </c>
      <c r="Z2457" s="4">
        <v>15</v>
      </c>
      <c r="AA2457" t="s">
        <v>37</v>
      </c>
      <c r="AB2457" t="s">
        <v>38</v>
      </c>
      <c r="AC2457" s="7">
        <v>0</v>
      </c>
      <c r="AD2457" t="s">
        <v>39</v>
      </c>
      <c r="AE2457">
        <f t="shared" si="38"/>
        <v>0</v>
      </c>
    </row>
    <row r="2458" spans="1:31" x14ac:dyDescent="0.35">
      <c r="A2458">
        <v>102457</v>
      </c>
      <c r="B2458" s="3">
        <v>45934</v>
      </c>
      <c r="C2458">
        <v>1146</v>
      </c>
      <c r="D2458" t="s">
        <v>30</v>
      </c>
      <c r="E2458" t="s">
        <v>31</v>
      </c>
      <c r="F2458" t="s">
        <v>41</v>
      </c>
      <c r="G2458" t="s">
        <v>46</v>
      </c>
      <c r="H2458" t="s">
        <v>51</v>
      </c>
      <c r="I2458" t="s">
        <v>35</v>
      </c>
      <c r="J2458" s="4">
        <v>22.66</v>
      </c>
      <c r="K2458" s="4">
        <v>15.24</v>
      </c>
      <c r="L2458">
        <v>15</v>
      </c>
      <c r="M2458" s="4">
        <v>51.8</v>
      </c>
      <c r="N2458" s="4">
        <v>293.54000000000002</v>
      </c>
      <c r="O2458" s="4">
        <v>167.18</v>
      </c>
      <c r="P2458" s="4">
        <v>3.6</v>
      </c>
      <c r="Q2458" s="4">
        <v>2.42</v>
      </c>
      <c r="R2458" s="4">
        <v>1.75</v>
      </c>
      <c r="S2458" s="4">
        <v>310.38</v>
      </c>
      <c r="T2458" s="4">
        <v>2.56</v>
      </c>
      <c r="U2458" s="4">
        <v>487.89</v>
      </c>
      <c r="V2458" s="4">
        <v>-194.35</v>
      </c>
      <c r="W2458" t="s">
        <v>58</v>
      </c>
      <c r="X2458" t="s">
        <v>55</v>
      </c>
      <c r="Y2458" s="4">
        <v>26</v>
      </c>
      <c r="Z2458" s="4">
        <v>0</v>
      </c>
      <c r="AA2458" t="s">
        <v>52</v>
      </c>
      <c r="AB2458" t="s">
        <v>44</v>
      </c>
      <c r="AC2458" s="7">
        <v>1</v>
      </c>
      <c r="AD2458" t="s">
        <v>45</v>
      </c>
      <c r="AE2458">
        <f t="shared" si="38"/>
        <v>1</v>
      </c>
    </row>
    <row r="2459" spans="1:31" x14ac:dyDescent="0.35">
      <c r="A2459">
        <v>102458</v>
      </c>
      <c r="B2459" s="3">
        <v>45947</v>
      </c>
      <c r="C2459">
        <v>1055</v>
      </c>
      <c r="D2459" t="s">
        <v>59</v>
      </c>
      <c r="E2459" t="s">
        <v>73</v>
      </c>
      <c r="F2459" t="s">
        <v>41</v>
      </c>
      <c r="G2459" t="s">
        <v>33</v>
      </c>
      <c r="H2459" t="s">
        <v>34</v>
      </c>
      <c r="I2459" t="s">
        <v>69</v>
      </c>
      <c r="J2459" s="4">
        <v>33.4</v>
      </c>
      <c r="K2459" s="4">
        <v>18.14</v>
      </c>
      <c r="L2459">
        <v>15</v>
      </c>
      <c r="M2459" s="4">
        <v>90.88</v>
      </c>
      <c r="N2459" s="4">
        <v>515</v>
      </c>
      <c r="O2459" s="4">
        <v>269.87</v>
      </c>
      <c r="P2459" s="4">
        <v>8.7899999999999991</v>
      </c>
      <c r="Q2459" s="4">
        <v>2.42</v>
      </c>
      <c r="R2459" s="4">
        <v>5.96</v>
      </c>
      <c r="S2459" s="4">
        <v>0</v>
      </c>
      <c r="T2459" s="4">
        <v>0</v>
      </c>
      <c r="U2459" s="4">
        <v>287.04000000000002</v>
      </c>
      <c r="V2459" s="4">
        <v>227.96</v>
      </c>
      <c r="W2459" t="s">
        <v>21</v>
      </c>
      <c r="X2459" t="s">
        <v>36</v>
      </c>
      <c r="Y2459" s="4">
        <v>10</v>
      </c>
      <c r="Z2459" s="4">
        <v>3</v>
      </c>
      <c r="AA2459" t="s">
        <v>37</v>
      </c>
      <c r="AB2459" t="s">
        <v>38</v>
      </c>
      <c r="AC2459" s="7">
        <v>0</v>
      </c>
      <c r="AD2459" t="s">
        <v>39</v>
      </c>
      <c r="AE2459">
        <f t="shared" si="38"/>
        <v>0</v>
      </c>
    </row>
    <row r="2460" spans="1:31" x14ac:dyDescent="0.35">
      <c r="A2460">
        <v>102459</v>
      </c>
      <c r="B2460" s="3">
        <v>45985</v>
      </c>
      <c r="C2460">
        <v>1092</v>
      </c>
      <c r="D2460" t="s">
        <v>30</v>
      </c>
      <c r="E2460" t="s">
        <v>72</v>
      </c>
      <c r="F2460" t="s">
        <v>61</v>
      </c>
      <c r="G2460" t="s">
        <v>50</v>
      </c>
      <c r="H2460" t="s">
        <v>34</v>
      </c>
      <c r="I2460" t="s">
        <v>35</v>
      </c>
      <c r="J2460" s="4">
        <v>38.32</v>
      </c>
      <c r="K2460" s="4">
        <v>17.989999999999998</v>
      </c>
      <c r="L2460">
        <v>0</v>
      </c>
      <c r="M2460" s="4">
        <v>0</v>
      </c>
      <c r="N2460" s="4">
        <v>689.38</v>
      </c>
      <c r="O2460" s="4">
        <v>282.64</v>
      </c>
      <c r="P2460" s="4">
        <v>5.92</v>
      </c>
      <c r="Q2460" s="4">
        <v>4.83</v>
      </c>
      <c r="R2460" s="4">
        <v>12.53</v>
      </c>
      <c r="S2460" s="4">
        <v>0</v>
      </c>
      <c r="T2460" s="4">
        <v>0</v>
      </c>
      <c r="U2460" s="4">
        <v>305.92</v>
      </c>
      <c r="V2460" s="4">
        <v>383.46</v>
      </c>
      <c r="W2460" t="s">
        <v>21</v>
      </c>
      <c r="X2460" t="s">
        <v>36</v>
      </c>
      <c r="Y2460" s="4">
        <v>10</v>
      </c>
      <c r="Z2460" s="4">
        <v>19</v>
      </c>
      <c r="AA2460" t="s">
        <v>37</v>
      </c>
      <c r="AB2460" t="s">
        <v>44</v>
      </c>
      <c r="AC2460" s="7">
        <v>2</v>
      </c>
      <c r="AD2460" t="s">
        <v>45</v>
      </c>
      <c r="AE2460">
        <f t="shared" si="38"/>
        <v>1</v>
      </c>
    </row>
    <row r="2461" spans="1:31" x14ac:dyDescent="0.35">
      <c r="A2461">
        <v>102460</v>
      </c>
      <c r="B2461" s="3">
        <v>45946</v>
      </c>
      <c r="C2461">
        <v>1058</v>
      </c>
      <c r="D2461" t="s">
        <v>59</v>
      </c>
      <c r="E2461" t="s">
        <v>70</v>
      </c>
      <c r="F2461" t="s">
        <v>49</v>
      </c>
      <c r="G2461" t="s">
        <v>46</v>
      </c>
      <c r="H2461" t="s">
        <v>34</v>
      </c>
      <c r="I2461" t="s">
        <v>35</v>
      </c>
      <c r="J2461" s="4">
        <v>19.05</v>
      </c>
      <c r="K2461" s="4">
        <v>15.46</v>
      </c>
      <c r="L2461">
        <v>20</v>
      </c>
      <c r="M2461" s="4">
        <v>58.9</v>
      </c>
      <c r="N2461" s="4">
        <v>235.61</v>
      </c>
      <c r="O2461" s="4">
        <v>121.7</v>
      </c>
      <c r="P2461" s="4">
        <v>2.98</v>
      </c>
      <c r="Q2461" s="4">
        <v>2.06</v>
      </c>
      <c r="R2461" s="4">
        <v>4.9000000000000004</v>
      </c>
      <c r="S2461" s="4">
        <v>0</v>
      </c>
      <c r="T2461" s="4">
        <v>0</v>
      </c>
      <c r="U2461" s="4">
        <v>131.63999999999999</v>
      </c>
      <c r="V2461" s="4">
        <v>103.97</v>
      </c>
      <c r="W2461" t="s">
        <v>21</v>
      </c>
      <c r="X2461" t="s">
        <v>36</v>
      </c>
      <c r="Y2461" s="4">
        <v>4</v>
      </c>
      <c r="Z2461" s="4">
        <v>8</v>
      </c>
      <c r="AA2461" t="s">
        <v>37</v>
      </c>
      <c r="AB2461" t="s">
        <v>38</v>
      </c>
      <c r="AC2461" s="7">
        <v>2</v>
      </c>
      <c r="AD2461" t="s">
        <v>39</v>
      </c>
      <c r="AE2461">
        <f t="shared" si="38"/>
        <v>0</v>
      </c>
    </row>
    <row r="2462" spans="1:31" x14ac:dyDescent="0.35">
      <c r="A2462">
        <v>102461</v>
      </c>
      <c r="B2462" s="3">
        <v>45992</v>
      </c>
      <c r="C2462">
        <v>1006</v>
      </c>
      <c r="D2462" t="s">
        <v>47</v>
      </c>
      <c r="E2462" t="s">
        <v>53</v>
      </c>
      <c r="F2462" t="s">
        <v>49</v>
      </c>
      <c r="G2462" t="s">
        <v>46</v>
      </c>
      <c r="H2462" t="s">
        <v>34</v>
      </c>
      <c r="I2462" t="s">
        <v>35</v>
      </c>
      <c r="J2462" s="4">
        <v>25.24</v>
      </c>
      <c r="K2462" s="4">
        <v>15.88</v>
      </c>
      <c r="L2462">
        <v>15</v>
      </c>
      <c r="M2462" s="4">
        <v>60.12</v>
      </c>
      <c r="N2462" s="4">
        <v>340.69</v>
      </c>
      <c r="O2462" s="4">
        <v>204.25</v>
      </c>
      <c r="P2462" s="4">
        <v>8.06</v>
      </c>
      <c r="Q2462" s="4">
        <v>2.81</v>
      </c>
      <c r="R2462" s="4">
        <v>9.09</v>
      </c>
      <c r="S2462" s="4">
        <v>0</v>
      </c>
      <c r="T2462" s="4">
        <v>0</v>
      </c>
      <c r="U2462" s="4">
        <v>224.21</v>
      </c>
      <c r="V2462" s="4">
        <v>116.48</v>
      </c>
      <c r="W2462" t="s">
        <v>21</v>
      </c>
      <c r="X2462" t="s">
        <v>36</v>
      </c>
      <c r="Y2462" s="4">
        <v>32</v>
      </c>
      <c r="Z2462" s="4">
        <v>2</v>
      </c>
      <c r="AA2462" t="s">
        <v>43</v>
      </c>
      <c r="AB2462" t="s">
        <v>44</v>
      </c>
      <c r="AC2462" s="7">
        <v>1</v>
      </c>
      <c r="AD2462" t="s">
        <v>45</v>
      </c>
      <c r="AE2462">
        <f t="shared" si="38"/>
        <v>1</v>
      </c>
    </row>
    <row r="2463" spans="1:31" x14ac:dyDescent="0.35">
      <c r="A2463">
        <v>102462</v>
      </c>
      <c r="B2463" s="3">
        <v>45989</v>
      </c>
      <c r="C2463">
        <v>1072</v>
      </c>
      <c r="D2463" t="s">
        <v>59</v>
      </c>
      <c r="E2463" t="s">
        <v>60</v>
      </c>
      <c r="F2463" t="s">
        <v>49</v>
      </c>
      <c r="G2463" t="s">
        <v>63</v>
      </c>
      <c r="H2463" t="s">
        <v>34</v>
      </c>
      <c r="I2463" t="s">
        <v>42</v>
      </c>
      <c r="J2463" s="4">
        <v>14.53</v>
      </c>
      <c r="K2463" s="4">
        <v>12.96</v>
      </c>
      <c r="L2463">
        <v>0</v>
      </c>
      <c r="M2463" s="4">
        <v>0</v>
      </c>
      <c r="N2463" s="4">
        <v>188.31</v>
      </c>
      <c r="O2463" s="4">
        <v>108.2</v>
      </c>
      <c r="P2463" s="4">
        <v>5.8</v>
      </c>
      <c r="Q2463" s="4">
        <v>2.82</v>
      </c>
      <c r="R2463" s="4">
        <v>10.08</v>
      </c>
      <c r="S2463" s="4">
        <v>0</v>
      </c>
      <c r="T2463" s="4">
        <v>0</v>
      </c>
      <c r="U2463" s="4">
        <v>126.9</v>
      </c>
      <c r="V2463" s="4">
        <v>61.41</v>
      </c>
      <c r="W2463" t="s">
        <v>21</v>
      </c>
      <c r="X2463" t="s">
        <v>36</v>
      </c>
      <c r="Y2463" s="4">
        <v>10</v>
      </c>
      <c r="Z2463" s="4">
        <v>4</v>
      </c>
      <c r="AA2463" t="s">
        <v>37</v>
      </c>
      <c r="AB2463" t="s">
        <v>38</v>
      </c>
      <c r="AC2463" s="7">
        <v>0</v>
      </c>
      <c r="AD2463" t="s">
        <v>39</v>
      </c>
      <c r="AE2463">
        <f t="shared" si="38"/>
        <v>0</v>
      </c>
    </row>
    <row r="2464" spans="1:31" x14ac:dyDescent="0.35">
      <c r="A2464">
        <v>102463</v>
      </c>
      <c r="B2464" s="3">
        <v>46009</v>
      </c>
      <c r="C2464">
        <v>1098</v>
      </c>
      <c r="D2464" t="s">
        <v>59</v>
      </c>
      <c r="E2464" t="s">
        <v>73</v>
      </c>
      <c r="F2464" t="s">
        <v>32</v>
      </c>
      <c r="G2464" t="s">
        <v>63</v>
      </c>
      <c r="H2464" t="s">
        <v>57</v>
      </c>
      <c r="I2464" t="s">
        <v>35</v>
      </c>
      <c r="J2464" s="4">
        <v>21.76</v>
      </c>
      <c r="K2464" s="4">
        <v>12.95</v>
      </c>
      <c r="L2464">
        <v>10</v>
      </c>
      <c r="M2464" s="4">
        <v>28.18</v>
      </c>
      <c r="N2464" s="4">
        <v>253.61</v>
      </c>
      <c r="O2464" s="4">
        <v>132.44999999999999</v>
      </c>
      <c r="P2464" s="4">
        <v>8.68</v>
      </c>
      <c r="Q2464" s="4">
        <v>1.97</v>
      </c>
      <c r="R2464" s="4">
        <v>5.21</v>
      </c>
      <c r="S2464" s="4">
        <v>0</v>
      </c>
      <c r="T2464" s="4">
        <v>0</v>
      </c>
      <c r="U2464" s="4">
        <v>148.31</v>
      </c>
      <c r="V2464" s="4">
        <v>105.3</v>
      </c>
      <c r="W2464" t="s">
        <v>21</v>
      </c>
      <c r="X2464" t="s">
        <v>36</v>
      </c>
      <c r="Y2464" s="4">
        <v>32</v>
      </c>
      <c r="Z2464" s="4">
        <v>4</v>
      </c>
      <c r="AA2464" t="s">
        <v>43</v>
      </c>
      <c r="AB2464" t="s">
        <v>44</v>
      </c>
      <c r="AC2464" s="7">
        <v>2</v>
      </c>
      <c r="AD2464" t="s">
        <v>45</v>
      </c>
      <c r="AE2464">
        <f t="shared" si="38"/>
        <v>1</v>
      </c>
    </row>
    <row r="2465" spans="1:31" x14ac:dyDescent="0.35">
      <c r="A2465">
        <v>102464</v>
      </c>
      <c r="B2465" s="3">
        <v>45945</v>
      </c>
      <c r="C2465">
        <v>1146</v>
      </c>
      <c r="D2465" t="s">
        <v>64</v>
      </c>
      <c r="E2465" t="s">
        <v>76</v>
      </c>
      <c r="F2465" t="s">
        <v>71</v>
      </c>
      <c r="G2465" t="s">
        <v>50</v>
      </c>
      <c r="H2465" t="s">
        <v>34</v>
      </c>
      <c r="I2465" t="s">
        <v>35</v>
      </c>
      <c r="J2465" s="4">
        <v>25.92</v>
      </c>
      <c r="K2465" s="4">
        <v>18.739999999999998</v>
      </c>
      <c r="L2465">
        <v>0</v>
      </c>
      <c r="M2465" s="4">
        <v>0</v>
      </c>
      <c r="N2465" s="4">
        <v>485.74</v>
      </c>
      <c r="O2465" s="4">
        <v>172.48</v>
      </c>
      <c r="P2465" s="4">
        <v>4.2</v>
      </c>
      <c r="Q2465" s="4">
        <v>3.4</v>
      </c>
      <c r="R2465" s="4">
        <v>6.93</v>
      </c>
      <c r="S2465" s="4">
        <v>0</v>
      </c>
      <c r="T2465" s="4">
        <v>0</v>
      </c>
      <c r="U2465" s="4">
        <v>187.01</v>
      </c>
      <c r="V2465" s="4">
        <v>298.73</v>
      </c>
      <c r="W2465" t="s">
        <v>21</v>
      </c>
      <c r="X2465" t="s">
        <v>36</v>
      </c>
      <c r="Y2465" s="4">
        <v>5</v>
      </c>
      <c r="Z2465" s="4">
        <v>3</v>
      </c>
      <c r="AA2465" t="s">
        <v>37</v>
      </c>
      <c r="AB2465" t="s">
        <v>38</v>
      </c>
      <c r="AC2465" s="7">
        <v>0</v>
      </c>
      <c r="AD2465" t="s">
        <v>39</v>
      </c>
      <c r="AE2465">
        <f t="shared" si="38"/>
        <v>0</v>
      </c>
    </row>
    <row r="2466" spans="1:31" x14ac:dyDescent="0.35">
      <c r="A2466">
        <v>102465</v>
      </c>
      <c r="B2466" s="3">
        <v>45978</v>
      </c>
      <c r="C2466">
        <v>1117</v>
      </c>
      <c r="D2466" t="s">
        <v>47</v>
      </c>
      <c r="E2466" t="s">
        <v>53</v>
      </c>
      <c r="F2466" t="s">
        <v>61</v>
      </c>
      <c r="G2466" t="s">
        <v>46</v>
      </c>
      <c r="H2466" t="s">
        <v>57</v>
      </c>
      <c r="I2466" t="s">
        <v>69</v>
      </c>
      <c r="J2466" s="4">
        <v>34.96</v>
      </c>
      <c r="K2466" s="4">
        <v>16.809999999999999</v>
      </c>
      <c r="L2466">
        <v>5</v>
      </c>
      <c r="M2466" s="4">
        <v>29.38</v>
      </c>
      <c r="N2466" s="4">
        <v>558.29999999999995</v>
      </c>
      <c r="O2466" s="4">
        <v>228.65</v>
      </c>
      <c r="P2466" s="4">
        <v>7.41</v>
      </c>
      <c r="Q2466" s="4">
        <v>2.35</v>
      </c>
      <c r="R2466" s="4">
        <v>13.42</v>
      </c>
      <c r="S2466" s="4">
        <v>0</v>
      </c>
      <c r="T2466" s="4">
        <v>0</v>
      </c>
      <c r="U2466" s="4">
        <v>251.83</v>
      </c>
      <c r="V2466" s="4">
        <v>306.47000000000003</v>
      </c>
      <c r="W2466" t="s">
        <v>21</v>
      </c>
      <c r="X2466" t="s">
        <v>36</v>
      </c>
      <c r="Y2466" s="4">
        <v>56</v>
      </c>
      <c r="Z2466" s="4">
        <v>3</v>
      </c>
      <c r="AA2466" t="s">
        <v>43</v>
      </c>
      <c r="AB2466" t="s">
        <v>44</v>
      </c>
      <c r="AC2466" s="7">
        <v>1</v>
      </c>
      <c r="AD2466" t="s">
        <v>45</v>
      </c>
      <c r="AE2466">
        <f t="shared" si="38"/>
        <v>1</v>
      </c>
    </row>
    <row r="2467" spans="1:31" x14ac:dyDescent="0.35">
      <c r="A2467">
        <v>102466</v>
      </c>
      <c r="B2467" s="3">
        <v>46010</v>
      </c>
      <c r="C2467">
        <v>1136</v>
      </c>
      <c r="D2467" t="s">
        <v>59</v>
      </c>
      <c r="E2467" t="s">
        <v>60</v>
      </c>
      <c r="F2467" t="s">
        <v>61</v>
      </c>
      <c r="G2467" t="s">
        <v>50</v>
      </c>
      <c r="H2467" t="s">
        <v>34</v>
      </c>
      <c r="I2467" t="s">
        <v>35</v>
      </c>
      <c r="J2467" s="4">
        <v>17.739999999999998</v>
      </c>
      <c r="K2467" s="4">
        <v>15.99</v>
      </c>
      <c r="L2467">
        <v>0</v>
      </c>
      <c r="M2467" s="4">
        <v>0</v>
      </c>
      <c r="N2467" s="4">
        <v>283.66000000000003</v>
      </c>
      <c r="O2467" s="4">
        <v>134.51</v>
      </c>
      <c r="P2467" s="4">
        <v>10.31</v>
      </c>
      <c r="Q2467" s="4">
        <v>1.99</v>
      </c>
      <c r="R2467" s="4">
        <v>4.74</v>
      </c>
      <c r="S2467" s="4">
        <v>0</v>
      </c>
      <c r="T2467" s="4">
        <v>0</v>
      </c>
      <c r="U2467" s="4">
        <v>151.55000000000001</v>
      </c>
      <c r="V2467" s="4">
        <v>132.11000000000001</v>
      </c>
      <c r="W2467" t="s">
        <v>21</v>
      </c>
      <c r="X2467" t="s">
        <v>36</v>
      </c>
      <c r="Y2467" s="4">
        <v>2</v>
      </c>
      <c r="Z2467" s="4">
        <v>7</v>
      </c>
      <c r="AA2467" t="s">
        <v>37</v>
      </c>
      <c r="AB2467" t="s">
        <v>38</v>
      </c>
      <c r="AC2467" s="7">
        <v>0</v>
      </c>
      <c r="AD2467" t="s">
        <v>39</v>
      </c>
      <c r="AE2467">
        <f t="shared" si="38"/>
        <v>0</v>
      </c>
    </row>
    <row r="2468" spans="1:31" x14ac:dyDescent="0.35">
      <c r="A2468">
        <v>102467</v>
      </c>
      <c r="B2468" s="3">
        <v>45965</v>
      </c>
      <c r="C2468">
        <v>1054</v>
      </c>
      <c r="D2468" t="s">
        <v>30</v>
      </c>
      <c r="E2468" t="s">
        <v>72</v>
      </c>
      <c r="F2468" t="s">
        <v>49</v>
      </c>
      <c r="G2468" t="s">
        <v>63</v>
      </c>
      <c r="H2468" t="s">
        <v>34</v>
      </c>
      <c r="I2468" t="s">
        <v>42</v>
      </c>
      <c r="J2468" s="4">
        <v>29.27</v>
      </c>
      <c r="K2468" s="4">
        <v>10.7</v>
      </c>
      <c r="L2468">
        <v>10</v>
      </c>
      <c r="M2468" s="4">
        <v>31.32</v>
      </c>
      <c r="N2468" s="4">
        <v>281.87</v>
      </c>
      <c r="O2468" s="4">
        <v>177.38</v>
      </c>
      <c r="P2468" s="4">
        <v>7.26</v>
      </c>
      <c r="Q2468" s="4">
        <v>4.7</v>
      </c>
      <c r="R2468" s="4">
        <v>3.08</v>
      </c>
      <c r="S2468" s="4">
        <v>0</v>
      </c>
      <c r="T2468" s="4">
        <v>0</v>
      </c>
      <c r="U2468" s="4">
        <v>192.42</v>
      </c>
      <c r="V2468" s="4">
        <v>89.45</v>
      </c>
      <c r="W2468" t="s">
        <v>21</v>
      </c>
      <c r="X2468" t="s">
        <v>36</v>
      </c>
      <c r="Y2468" s="4">
        <v>6</v>
      </c>
      <c r="Z2468" s="4">
        <v>4</v>
      </c>
      <c r="AA2468" t="s">
        <v>37</v>
      </c>
      <c r="AB2468" t="s">
        <v>38</v>
      </c>
      <c r="AC2468" s="7">
        <v>0</v>
      </c>
      <c r="AD2468" t="s">
        <v>39</v>
      </c>
      <c r="AE2468">
        <f t="shared" si="38"/>
        <v>0</v>
      </c>
    </row>
    <row r="2469" spans="1:31" x14ac:dyDescent="0.35">
      <c r="A2469">
        <v>102468</v>
      </c>
      <c r="B2469" s="3">
        <v>45963</v>
      </c>
      <c r="C2469">
        <v>1101</v>
      </c>
      <c r="D2469" t="s">
        <v>47</v>
      </c>
      <c r="E2469" t="s">
        <v>56</v>
      </c>
      <c r="F2469" t="s">
        <v>71</v>
      </c>
      <c r="G2469" t="s">
        <v>46</v>
      </c>
      <c r="H2469" t="s">
        <v>34</v>
      </c>
      <c r="I2469" t="s">
        <v>69</v>
      </c>
      <c r="J2469" s="4">
        <v>14.49</v>
      </c>
      <c r="K2469" s="4">
        <v>16.260000000000002</v>
      </c>
      <c r="L2469">
        <v>15</v>
      </c>
      <c r="M2469" s="4">
        <v>35.340000000000003</v>
      </c>
      <c r="N2469" s="4">
        <v>200.27</v>
      </c>
      <c r="O2469" s="4">
        <v>126.4</v>
      </c>
      <c r="P2469" s="4">
        <v>7.07</v>
      </c>
      <c r="Q2469" s="4">
        <v>0.94</v>
      </c>
      <c r="R2469" s="4">
        <v>8.6</v>
      </c>
      <c r="S2469" s="4">
        <v>0</v>
      </c>
      <c r="T2469" s="4">
        <v>0</v>
      </c>
      <c r="U2469" s="4">
        <v>143.01</v>
      </c>
      <c r="V2469" s="4">
        <v>57.26</v>
      </c>
      <c r="W2469" t="s">
        <v>21</v>
      </c>
      <c r="X2469" t="s">
        <v>36</v>
      </c>
      <c r="Y2469" s="4">
        <v>4</v>
      </c>
      <c r="Z2469" s="4">
        <v>3</v>
      </c>
      <c r="AA2469" t="s">
        <v>37</v>
      </c>
      <c r="AB2469" t="s">
        <v>38</v>
      </c>
      <c r="AC2469" s="7">
        <v>0</v>
      </c>
      <c r="AD2469" t="s">
        <v>39</v>
      </c>
      <c r="AE2469">
        <f t="shared" si="38"/>
        <v>0</v>
      </c>
    </row>
    <row r="2470" spans="1:31" x14ac:dyDescent="0.35">
      <c r="A2470">
        <v>102469</v>
      </c>
      <c r="B2470" s="3">
        <v>45965</v>
      </c>
      <c r="C2470">
        <v>1019</v>
      </c>
      <c r="D2470" t="s">
        <v>30</v>
      </c>
      <c r="E2470" t="s">
        <v>31</v>
      </c>
      <c r="F2470" t="s">
        <v>61</v>
      </c>
      <c r="G2470" t="s">
        <v>63</v>
      </c>
      <c r="H2470" t="s">
        <v>34</v>
      </c>
      <c r="I2470" t="s">
        <v>35</v>
      </c>
      <c r="J2470" s="4">
        <v>9.01</v>
      </c>
      <c r="K2470" s="4">
        <v>11.95</v>
      </c>
      <c r="L2470">
        <v>0</v>
      </c>
      <c r="M2470" s="4">
        <v>0</v>
      </c>
      <c r="N2470" s="4">
        <v>107.67</v>
      </c>
      <c r="O2470" s="4">
        <v>62.66</v>
      </c>
      <c r="P2470" s="4">
        <v>8.07</v>
      </c>
      <c r="Q2470" s="4">
        <v>0.75</v>
      </c>
      <c r="R2470" s="4">
        <v>3.43</v>
      </c>
      <c r="S2470" s="4">
        <v>0</v>
      </c>
      <c r="T2470" s="4">
        <v>0</v>
      </c>
      <c r="U2470" s="4">
        <v>74.91</v>
      </c>
      <c r="V2470" s="4">
        <v>32.76</v>
      </c>
      <c r="W2470" t="s">
        <v>21</v>
      </c>
      <c r="X2470" t="s">
        <v>36</v>
      </c>
      <c r="Y2470" s="4">
        <v>3</v>
      </c>
      <c r="Z2470" s="4">
        <v>22</v>
      </c>
      <c r="AA2470" t="s">
        <v>37</v>
      </c>
      <c r="AB2470" t="s">
        <v>44</v>
      </c>
      <c r="AC2470" s="7">
        <v>1</v>
      </c>
      <c r="AD2470" t="s">
        <v>45</v>
      </c>
      <c r="AE2470">
        <f t="shared" si="38"/>
        <v>1</v>
      </c>
    </row>
    <row r="2471" spans="1:31" x14ac:dyDescent="0.35">
      <c r="A2471">
        <v>102470</v>
      </c>
      <c r="B2471" s="3">
        <v>46009</v>
      </c>
      <c r="C2471">
        <v>1046</v>
      </c>
      <c r="D2471" t="s">
        <v>64</v>
      </c>
      <c r="E2471" t="s">
        <v>75</v>
      </c>
      <c r="F2471" t="s">
        <v>32</v>
      </c>
      <c r="G2471" t="s">
        <v>63</v>
      </c>
      <c r="H2471" t="s">
        <v>34</v>
      </c>
      <c r="I2471" t="s">
        <v>54</v>
      </c>
      <c r="J2471" s="4">
        <v>15.39</v>
      </c>
      <c r="K2471" s="4">
        <v>12.88</v>
      </c>
      <c r="L2471">
        <v>20</v>
      </c>
      <c r="M2471" s="4">
        <v>39.64</v>
      </c>
      <c r="N2471" s="4">
        <v>158.58000000000001</v>
      </c>
      <c r="O2471" s="4">
        <v>127.49</v>
      </c>
      <c r="P2471" s="4">
        <v>5.27</v>
      </c>
      <c r="Q2471" s="4">
        <v>2.38</v>
      </c>
      <c r="R2471" s="4">
        <v>7.31</v>
      </c>
      <c r="S2471" s="4">
        <v>162.99</v>
      </c>
      <c r="T2471" s="4">
        <v>0</v>
      </c>
      <c r="U2471" s="4">
        <v>305.44</v>
      </c>
      <c r="V2471" s="4">
        <v>-146.86000000000001</v>
      </c>
      <c r="W2471" t="s">
        <v>58</v>
      </c>
      <c r="X2471" t="s">
        <v>66</v>
      </c>
      <c r="Y2471" s="4">
        <v>8</v>
      </c>
      <c r="Z2471" s="4">
        <v>5</v>
      </c>
      <c r="AA2471" t="s">
        <v>37</v>
      </c>
      <c r="AB2471" t="s">
        <v>38</v>
      </c>
      <c r="AC2471" s="7">
        <v>1</v>
      </c>
      <c r="AD2471" t="s">
        <v>45</v>
      </c>
      <c r="AE2471">
        <f t="shared" si="38"/>
        <v>0</v>
      </c>
    </row>
    <row r="2472" spans="1:31" x14ac:dyDescent="0.35">
      <c r="A2472">
        <v>102471</v>
      </c>
      <c r="B2472" s="3">
        <v>45978</v>
      </c>
      <c r="C2472">
        <v>1039</v>
      </c>
      <c r="D2472" t="s">
        <v>64</v>
      </c>
      <c r="E2472" t="s">
        <v>76</v>
      </c>
      <c r="F2472" t="s">
        <v>41</v>
      </c>
      <c r="G2472" t="s">
        <v>63</v>
      </c>
      <c r="H2472" t="s">
        <v>34</v>
      </c>
      <c r="I2472" t="s">
        <v>35</v>
      </c>
      <c r="J2472" s="4">
        <v>20.36</v>
      </c>
      <c r="K2472" s="4">
        <v>12.3</v>
      </c>
      <c r="L2472">
        <v>15</v>
      </c>
      <c r="M2472" s="4">
        <v>37.56</v>
      </c>
      <c r="N2472" s="4">
        <v>212.87</v>
      </c>
      <c r="O2472" s="4">
        <v>180.76</v>
      </c>
      <c r="P2472" s="4">
        <v>7.92</v>
      </c>
      <c r="Q2472" s="4">
        <v>1.75</v>
      </c>
      <c r="R2472" s="4">
        <v>0</v>
      </c>
      <c r="S2472" s="4">
        <v>0</v>
      </c>
      <c r="T2472" s="4">
        <v>0</v>
      </c>
      <c r="U2472" s="4">
        <v>190.43</v>
      </c>
      <c r="V2472" s="4">
        <v>22.44</v>
      </c>
      <c r="W2472" t="s">
        <v>21</v>
      </c>
      <c r="X2472" t="s">
        <v>36</v>
      </c>
      <c r="Y2472" s="4">
        <v>12</v>
      </c>
      <c r="Z2472" s="4">
        <v>3</v>
      </c>
      <c r="AA2472" t="s">
        <v>37</v>
      </c>
      <c r="AB2472" t="s">
        <v>38</v>
      </c>
      <c r="AC2472" s="7">
        <v>0</v>
      </c>
      <c r="AD2472" t="s">
        <v>39</v>
      </c>
      <c r="AE2472">
        <f t="shared" si="38"/>
        <v>0</v>
      </c>
    </row>
    <row r="2473" spans="1:31" x14ac:dyDescent="0.35">
      <c r="A2473">
        <v>102472</v>
      </c>
      <c r="B2473" s="3">
        <v>45950</v>
      </c>
      <c r="C2473">
        <v>1122</v>
      </c>
      <c r="D2473" t="s">
        <v>30</v>
      </c>
      <c r="E2473" t="s">
        <v>40</v>
      </c>
      <c r="F2473" t="s">
        <v>71</v>
      </c>
      <c r="G2473" t="s">
        <v>46</v>
      </c>
      <c r="H2473" t="s">
        <v>34</v>
      </c>
      <c r="I2473" t="s">
        <v>35</v>
      </c>
      <c r="J2473" s="4">
        <v>21.6</v>
      </c>
      <c r="K2473" s="4">
        <v>16.329999999999998</v>
      </c>
      <c r="L2473">
        <v>0</v>
      </c>
      <c r="M2473" s="4">
        <v>0</v>
      </c>
      <c r="N2473" s="4">
        <v>352.73</v>
      </c>
      <c r="O2473" s="4">
        <v>158.22</v>
      </c>
      <c r="P2473" s="4">
        <v>12.7</v>
      </c>
      <c r="Q2473" s="4">
        <v>2.4700000000000002</v>
      </c>
      <c r="R2473" s="4">
        <v>0</v>
      </c>
      <c r="S2473" s="4">
        <v>273.60000000000002</v>
      </c>
      <c r="T2473" s="4">
        <v>0</v>
      </c>
      <c r="U2473" s="4">
        <v>446.99</v>
      </c>
      <c r="V2473" s="4">
        <v>-94.26</v>
      </c>
      <c r="W2473" t="s">
        <v>58</v>
      </c>
      <c r="X2473" t="s">
        <v>55</v>
      </c>
      <c r="Y2473" s="4">
        <v>23</v>
      </c>
      <c r="Z2473" s="4">
        <v>22</v>
      </c>
      <c r="AA2473" t="s">
        <v>52</v>
      </c>
      <c r="AB2473" t="s">
        <v>44</v>
      </c>
      <c r="AC2473" s="7">
        <v>1</v>
      </c>
      <c r="AD2473" t="s">
        <v>45</v>
      </c>
      <c r="AE2473">
        <f t="shared" si="38"/>
        <v>1</v>
      </c>
    </row>
    <row r="2474" spans="1:31" x14ac:dyDescent="0.35">
      <c r="A2474">
        <v>102473</v>
      </c>
      <c r="B2474" s="3">
        <v>45946</v>
      </c>
      <c r="C2474">
        <v>1125</v>
      </c>
      <c r="D2474" t="s">
        <v>59</v>
      </c>
      <c r="E2474" t="s">
        <v>60</v>
      </c>
      <c r="F2474" t="s">
        <v>61</v>
      </c>
      <c r="G2474" t="s">
        <v>46</v>
      </c>
      <c r="H2474" t="s">
        <v>57</v>
      </c>
      <c r="I2474" t="s">
        <v>35</v>
      </c>
      <c r="J2474" s="4">
        <v>24.12</v>
      </c>
      <c r="K2474" s="4">
        <v>15.53</v>
      </c>
      <c r="L2474">
        <v>0</v>
      </c>
      <c r="M2474" s="4">
        <v>0</v>
      </c>
      <c r="N2474" s="4">
        <v>374.58</v>
      </c>
      <c r="O2474" s="4">
        <v>175.37</v>
      </c>
      <c r="P2474" s="4">
        <v>8.2799999999999994</v>
      </c>
      <c r="Q2474" s="4">
        <v>2.62</v>
      </c>
      <c r="R2474" s="4">
        <v>1.54</v>
      </c>
      <c r="S2474" s="4">
        <v>0</v>
      </c>
      <c r="T2474" s="4">
        <v>0</v>
      </c>
      <c r="U2474" s="4">
        <v>187.81</v>
      </c>
      <c r="V2474" s="4">
        <v>186.77</v>
      </c>
      <c r="W2474" t="s">
        <v>21</v>
      </c>
      <c r="X2474" t="s">
        <v>36</v>
      </c>
      <c r="Y2474" s="4">
        <v>1</v>
      </c>
      <c r="Z2474" s="4">
        <v>4</v>
      </c>
      <c r="AA2474" t="s">
        <v>37</v>
      </c>
      <c r="AB2474" t="s">
        <v>38</v>
      </c>
      <c r="AC2474" s="7">
        <v>0</v>
      </c>
      <c r="AD2474" t="s">
        <v>39</v>
      </c>
      <c r="AE2474">
        <f t="shared" si="38"/>
        <v>0</v>
      </c>
    </row>
    <row r="2475" spans="1:31" x14ac:dyDescent="0.35">
      <c r="A2475">
        <v>102474</v>
      </c>
      <c r="B2475" s="3">
        <v>45961</v>
      </c>
      <c r="C2475">
        <v>1054</v>
      </c>
      <c r="D2475" t="s">
        <v>47</v>
      </c>
      <c r="E2475" t="s">
        <v>74</v>
      </c>
      <c r="F2475" t="s">
        <v>41</v>
      </c>
      <c r="G2475" t="s">
        <v>46</v>
      </c>
      <c r="H2475" t="s">
        <v>34</v>
      </c>
      <c r="I2475" t="s">
        <v>35</v>
      </c>
      <c r="J2475" s="4">
        <v>35.06</v>
      </c>
      <c r="K2475" s="4">
        <v>15.8</v>
      </c>
      <c r="L2475">
        <v>0</v>
      </c>
      <c r="M2475" s="4">
        <v>0</v>
      </c>
      <c r="N2475" s="4">
        <v>553.95000000000005</v>
      </c>
      <c r="O2475" s="4">
        <v>225.18</v>
      </c>
      <c r="P2475" s="4">
        <v>5.5</v>
      </c>
      <c r="Q2475" s="4">
        <v>3.88</v>
      </c>
      <c r="R2475" s="4">
        <v>3.56</v>
      </c>
      <c r="S2475" s="4">
        <v>0</v>
      </c>
      <c r="T2475" s="4">
        <v>0</v>
      </c>
      <c r="U2475" s="4">
        <v>238.12</v>
      </c>
      <c r="V2475" s="4">
        <v>315.83</v>
      </c>
      <c r="W2475" t="s">
        <v>21</v>
      </c>
      <c r="X2475" t="s">
        <v>36</v>
      </c>
      <c r="Y2475" s="4">
        <v>6</v>
      </c>
      <c r="Z2475" s="4">
        <v>2</v>
      </c>
      <c r="AA2475" t="s">
        <v>37</v>
      </c>
      <c r="AB2475" t="s">
        <v>38</v>
      </c>
      <c r="AC2475" s="7">
        <v>0</v>
      </c>
      <c r="AD2475" t="s">
        <v>39</v>
      </c>
      <c r="AE2475">
        <f t="shared" si="38"/>
        <v>0</v>
      </c>
    </row>
    <row r="2476" spans="1:31" x14ac:dyDescent="0.35">
      <c r="A2476">
        <v>102475</v>
      </c>
      <c r="B2476" s="3">
        <v>46016</v>
      </c>
      <c r="C2476">
        <v>1030</v>
      </c>
      <c r="D2476" t="s">
        <v>47</v>
      </c>
      <c r="E2476" t="s">
        <v>56</v>
      </c>
      <c r="F2476" t="s">
        <v>41</v>
      </c>
      <c r="G2476" t="s">
        <v>33</v>
      </c>
      <c r="H2476" t="s">
        <v>34</v>
      </c>
      <c r="I2476" t="s">
        <v>42</v>
      </c>
      <c r="J2476" s="4">
        <v>29.93</v>
      </c>
      <c r="K2476" s="4">
        <v>19.13</v>
      </c>
      <c r="L2476">
        <v>0</v>
      </c>
      <c r="M2476" s="4">
        <v>0</v>
      </c>
      <c r="N2476" s="4">
        <v>572.55999999999995</v>
      </c>
      <c r="O2476" s="4">
        <v>226.12</v>
      </c>
      <c r="P2476" s="4">
        <v>8.33</v>
      </c>
      <c r="Q2476" s="4">
        <v>8.59</v>
      </c>
      <c r="R2476" s="4">
        <v>8.56</v>
      </c>
      <c r="S2476" s="4">
        <v>0</v>
      </c>
      <c r="T2476" s="4">
        <v>0</v>
      </c>
      <c r="U2476" s="4">
        <v>251.6</v>
      </c>
      <c r="V2476" s="4">
        <v>320.95999999999998</v>
      </c>
      <c r="W2476" t="s">
        <v>21</v>
      </c>
      <c r="X2476" t="s">
        <v>36</v>
      </c>
      <c r="Y2476" s="4">
        <v>50</v>
      </c>
      <c r="Z2476" s="4">
        <v>0</v>
      </c>
      <c r="AA2476" t="s">
        <v>43</v>
      </c>
      <c r="AB2476" t="s">
        <v>44</v>
      </c>
      <c r="AC2476" s="7">
        <v>2</v>
      </c>
      <c r="AD2476" t="s">
        <v>45</v>
      </c>
      <c r="AE2476">
        <f t="shared" si="38"/>
        <v>1</v>
      </c>
    </row>
    <row r="2477" spans="1:31" x14ac:dyDescent="0.35">
      <c r="A2477">
        <v>102476</v>
      </c>
      <c r="B2477" s="3">
        <v>45962</v>
      </c>
      <c r="C2477">
        <v>1113</v>
      </c>
      <c r="D2477" t="s">
        <v>59</v>
      </c>
      <c r="E2477" t="s">
        <v>60</v>
      </c>
      <c r="F2477" t="s">
        <v>32</v>
      </c>
      <c r="G2477" t="s">
        <v>46</v>
      </c>
      <c r="H2477" t="s">
        <v>34</v>
      </c>
      <c r="I2477" t="s">
        <v>69</v>
      </c>
      <c r="J2477" s="4">
        <v>42.92</v>
      </c>
      <c r="K2477" s="4">
        <v>14.65</v>
      </c>
      <c r="L2477">
        <v>15</v>
      </c>
      <c r="M2477" s="4">
        <v>94.32</v>
      </c>
      <c r="N2477" s="4">
        <v>534.46</v>
      </c>
      <c r="O2477" s="4">
        <v>309.63</v>
      </c>
      <c r="P2477" s="4">
        <v>6.99</v>
      </c>
      <c r="Q2477" s="4">
        <v>2.52</v>
      </c>
      <c r="R2477" s="4">
        <v>9.94</v>
      </c>
      <c r="S2477" s="4">
        <v>0</v>
      </c>
      <c r="T2477" s="4">
        <v>0</v>
      </c>
      <c r="U2477" s="4">
        <v>329.08</v>
      </c>
      <c r="V2477" s="4">
        <v>205.38</v>
      </c>
      <c r="W2477" t="s">
        <v>21</v>
      </c>
      <c r="X2477" t="s">
        <v>36</v>
      </c>
      <c r="Y2477" s="4">
        <v>22</v>
      </c>
      <c r="Z2477" s="4">
        <v>2</v>
      </c>
      <c r="AA2477" t="s">
        <v>52</v>
      </c>
      <c r="AB2477" t="s">
        <v>44</v>
      </c>
      <c r="AC2477" s="7">
        <v>1</v>
      </c>
      <c r="AD2477" t="s">
        <v>45</v>
      </c>
      <c r="AE2477">
        <f t="shared" si="38"/>
        <v>1</v>
      </c>
    </row>
    <row r="2478" spans="1:31" x14ac:dyDescent="0.35">
      <c r="A2478">
        <v>102477</v>
      </c>
      <c r="B2478" s="3">
        <v>45952</v>
      </c>
      <c r="C2478">
        <v>1137</v>
      </c>
      <c r="D2478" t="s">
        <v>47</v>
      </c>
      <c r="E2478" t="s">
        <v>74</v>
      </c>
      <c r="F2478" t="s">
        <v>32</v>
      </c>
      <c r="G2478" t="s">
        <v>63</v>
      </c>
      <c r="H2478" t="s">
        <v>34</v>
      </c>
      <c r="I2478" t="s">
        <v>35</v>
      </c>
      <c r="J2478" s="4">
        <v>14.25</v>
      </c>
      <c r="K2478" s="4">
        <v>11.75</v>
      </c>
      <c r="L2478">
        <v>5</v>
      </c>
      <c r="M2478" s="4">
        <v>8.3699999999999992</v>
      </c>
      <c r="N2478" s="4">
        <v>159.07</v>
      </c>
      <c r="O2478" s="4">
        <v>104.1</v>
      </c>
      <c r="P2478" s="4">
        <v>8.3699999999999992</v>
      </c>
      <c r="Q2478" s="4">
        <v>1.17</v>
      </c>
      <c r="R2478" s="4">
        <v>8.59</v>
      </c>
      <c r="S2478" s="4">
        <v>0</v>
      </c>
      <c r="T2478" s="4">
        <v>0</v>
      </c>
      <c r="U2478" s="4">
        <v>122.23</v>
      </c>
      <c r="V2478" s="4">
        <v>36.840000000000003</v>
      </c>
      <c r="W2478" t="s">
        <v>21</v>
      </c>
      <c r="X2478" t="s">
        <v>36</v>
      </c>
      <c r="Y2478" s="4">
        <v>11</v>
      </c>
      <c r="Z2478" s="4">
        <v>7</v>
      </c>
      <c r="AA2478" t="s">
        <v>37</v>
      </c>
      <c r="AB2478" t="s">
        <v>38</v>
      </c>
      <c r="AC2478" s="7">
        <v>0</v>
      </c>
      <c r="AD2478" t="s">
        <v>39</v>
      </c>
      <c r="AE2478">
        <f t="shared" si="38"/>
        <v>0</v>
      </c>
    </row>
    <row r="2479" spans="1:31" x14ac:dyDescent="0.35">
      <c r="A2479">
        <v>102478</v>
      </c>
      <c r="B2479" s="3">
        <v>45934</v>
      </c>
      <c r="C2479">
        <v>1007</v>
      </c>
      <c r="D2479" t="s">
        <v>30</v>
      </c>
      <c r="E2479" t="s">
        <v>72</v>
      </c>
      <c r="F2479" t="s">
        <v>32</v>
      </c>
      <c r="G2479" t="s">
        <v>63</v>
      </c>
      <c r="H2479" t="s">
        <v>57</v>
      </c>
      <c r="I2479" t="s">
        <v>54</v>
      </c>
      <c r="J2479" s="4">
        <v>12.04</v>
      </c>
      <c r="K2479" s="4">
        <v>11.68</v>
      </c>
      <c r="L2479">
        <v>20</v>
      </c>
      <c r="M2479" s="4">
        <v>28.13</v>
      </c>
      <c r="N2479" s="4">
        <v>112.5</v>
      </c>
      <c r="O2479" s="4">
        <v>95.76</v>
      </c>
      <c r="P2479" s="4">
        <v>5.56</v>
      </c>
      <c r="Q2479" s="4">
        <v>1.69</v>
      </c>
      <c r="R2479" s="4">
        <v>5.55</v>
      </c>
      <c r="S2479" s="4">
        <v>0</v>
      </c>
      <c r="T2479" s="4">
        <v>0</v>
      </c>
      <c r="U2479" s="4">
        <v>108.56</v>
      </c>
      <c r="V2479" s="4">
        <v>3.94</v>
      </c>
      <c r="W2479" t="s">
        <v>21</v>
      </c>
      <c r="X2479" t="s">
        <v>36</v>
      </c>
      <c r="Y2479" s="4">
        <v>9</v>
      </c>
      <c r="Z2479" s="4">
        <v>7</v>
      </c>
      <c r="AA2479" t="s">
        <v>37</v>
      </c>
      <c r="AB2479" t="s">
        <v>38</v>
      </c>
      <c r="AC2479" s="7">
        <v>0</v>
      </c>
      <c r="AD2479" t="s">
        <v>39</v>
      </c>
      <c r="AE2479">
        <f t="shared" si="38"/>
        <v>0</v>
      </c>
    </row>
    <row r="2480" spans="1:31" x14ac:dyDescent="0.35">
      <c r="A2480">
        <v>102479</v>
      </c>
      <c r="B2480" s="3">
        <v>45964</v>
      </c>
      <c r="C2480">
        <v>1007</v>
      </c>
      <c r="D2480" t="s">
        <v>30</v>
      </c>
      <c r="E2480" t="s">
        <v>62</v>
      </c>
      <c r="F2480" t="s">
        <v>32</v>
      </c>
      <c r="G2480" t="s">
        <v>46</v>
      </c>
      <c r="H2480" t="s">
        <v>51</v>
      </c>
      <c r="I2480" t="s">
        <v>35</v>
      </c>
      <c r="J2480" s="4">
        <v>34.72</v>
      </c>
      <c r="K2480" s="4">
        <v>16.559999999999999</v>
      </c>
      <c r="L2480">
        <v>0</v>
      </c>
      <c r="M2480" s="4">
        <v>0</v>
      </c>
      <c r="N2480" s="4">
        <v>574.96</v>
      </c>
      <c r="O2480" s="4">
        <v>250.58</v>
      </c>
      <c r="P2480" s="4">
        <v>8.4</v>
      </c>
      <c r="Q2480" s="4">
        <v>4.0199999999999996</v>
      </c>
      <c r="R2480" s="4">
        <v>3.62</v>
      </c>
      <c r="S2480" s="4">
        <v>0</v>
      </c>
      <c r="T2480" s="4">
        <v>0</v>
      </c>
      <c r="U2480" s="4">
        <v>266.62</v>
      </c>
      <c r="V2480" s="4">
        <v>308.33999999999997</v>
      </c>
      <c r="W2480" t="s">
        <v>21</v>
      </c>
      <c r="X2480" t="s">
        <v>36</v>
      </c>
      <c r="Y2480" s="4">
        <v>23</v>
      </c>
      <c r="Z2480" s="4">
        <v>9</v>
      </c>
      <c r="AA2480" t="s">
        <v>52</v>
      </c>
      <c r="AB2480" t="s">
        <v>44</v>
      </c>
      <c r="AC2480" s="7">
        <v>1</v>
      </c>
      <c r="AD2480" t="s">
        <v>45</v>
      </c>
      <c r="AE2480">
        <f t="shared" si="38"/>
        <v>1</v>
      </c>
    </row>
    <row r="2481" spans="1:31" x14ac:dyDescent="0.35">
      <c r="A2481">
        <v>102480</v>
      </c>
      <c r="B2481" s="3">
        <v>45937</v>
      </c>
      <c r="C2481">
        <v>1072</v>
      </c>
      <c r="D2481" t="s">
        <v>30</v>
      </c>
      <c r="E2481" t="s">
        <v>62</v>
      </c>
      <c r="F2481" t="s">
        <v>61</v>
      </c>
      <c r="G2481" t="s">
        <v>63</v>
      </c>
      <c r="H2481" t="s">
        <v>34</v>
      </c>
      <c r="I2481" t="s">
        <v>69</v>
      </c>
      <c r="J2481" s="4">
        <v>22.29</v>
      </c>
      <c r="K2481" s="4">
        <v>12.61</v>
      </c>
      <c r="L2481">
        <v>0</v>
      </c>
      <c r="M2481" s="4">
        <v>0</v>
      </c>
      <c r="N2481" s="4">
        <v>281.08</v>
      </c>
      <c r="O2481" s="4">
        <v>181.15</v>
      </c>
      <c r="P2481" s="4">
        <v>10.34</v>
      </c>
      <c r="Q2481" s="4">
        <v>1.1200000000000001</v>
      </c>
      <c r="R2481" s="4">
        <v>9.92</v>
      </c>
      <c r="S2481" s="4">
        <v>0</v>
      </c>
      <c r="T2481" s="4">
        <v>0</v>
      </c>
      <c r="U2481" s="4">
        <v>202.53</v>
      </c>
      <c r="V2481" s="4">
        <v>78.55</v>
      </c>
      <c r="W2481" t="s">
        <v>21</v>
      </c>
      <c r="X2481" t="s">
        <v>36</v>
      </c>
      <c r="Y2481" s="4">
        <v>20</v>
      </c>
      <c r="Z2481" s="4">
        <v>18</v>
      </c>
      <c r="AA2481" t="s">
        <v>52</v>
      </c>
      <c r="AB2481" t="s">
        <v>44</v>
      </c>
      <c r="AC2481" s="7">
        <v>1</v>
      </c>
      <c r="AD2481" t="s">
        <v>45</v>
      </c>
      <c r="AE2481">
        <f t="shared" si="38"/>
        <v>1</v>
      </c>
    </row>
    <row r="2482" spans="1:31" x14ac:dyDescent="0.35">
      <c r="A2482">
        <v>102481</v>
      </c>
      <c r="B2482" s="3">
        <v>45989</v>
      </c>
      <c r="C2482">
        <v>1088</v>
      </c>
      <c r="D2482" t="s">
        <v>47</v>
      </c>
      <c r="E2482" t="s">
        <v>56</v>
      </c>
      <c r="F2482" t="s">
        <v>32</v>
      </c>
      <c r="G2482" t="s">
        <v>63</v>
      </c>
      <c r="H2482" t="s">
        <v>51</v>
      </c>
      <c r="I2482" t="s">
        <v>35</v>
      </c>
      <c r="J2482" s="4">
        <v>24.34</v>
      </c>
      <c r="K2482" s="4">
        <v>12.65</v>
      </c>
      <c r="L2482">
        <v>5</v>
      </c>
      <c r="M2482" s="4">
        <v>15.4</v>
      </c>
      <c r="N2482" s="4">
        <v>292.5</v>
      </c>
      <c r="O2482" s="4">
        <v>186.82</v>
      </c>
      <c r="P2482" s="4">
        <v>10.7</v>
      </c>
      <c r="Q2482" s="4">
        <v>2.16</v>
      </c>
      <c r="R2482" s="4">
        <v>5.26</v>
      </c>
      <c r="S2482" s="4">
        <v>0</v>
      </c>
      <c r="T2482" s="4">
        <v>0</v>
      </c>
      <c r="U2482" s="4">
        <v>204.94</v>
      </c>
      <c r="V2482" s="4">
        <v>87.56</v>
      </c>
      <c r="W2482" t="s">
        <v>21</v>
      </c>
      <c r="X2482" t="s">
        <v>36</v>
      </c>
      <c r="Y2482" s="4">
        <v>4</v>
      </c>
      <c r="Z2482" s="4">
        <v>12</v>
      </c>
      <c r="AA2482" t="s">
        <v>37</v>
      </c>
      <c r="AB2482" t="s">
        <v>38</v>
      </c>
      <c r="AC2482" s="7">
        <v>0</v>
      </c>
      <c r="AD2482" t="s">
        <v>39</v>
      </c>
      <c r="AE2482">
        <f t="shared" si="38"/>
        <v>0</v>
      </c>
    </row>
    <row r="2483" spans="1:31" x14ac:dyDescent="0.35">
      <c r="A2483">
        <v>102482</v>
      </c>
      <c r="B2483" s="3">
        <v>45940</v>
      </c>
      <c r="C2483">
        <v>1055</v>
      </c>
      <c r="D2483" t="s">
        <v>30</v>
      </c>
      <c r="E2483" t="s">
        <v>31</v>
      </c>
      <c r="F2483" t="s">
        <v>61</v>
      </c>
      <c r="G2483" t="s">
        <v>63</v>
      </c>
      <c r="H2483" t="s">
        <v>51</v>
      </c>
      <c r="I2483" t="s">
        <v>35</v>
      </c>
      <c r="J2483" s="4">
        <v>3</v>
      </c>
      <c r="K2483" s="4">
        <v>13.41</v>
      </c>
      <c r="L2483">
        <v>0</v>
      </c>
      <c r="M2483" s="4">
        <v>0</v>
      </c>
      <c r="N2483" s="4">
        <v>40.229999999999997</v>
      </c>
      <c r="O2483" s="4">
        <v>17.32</v>
      </c>
      <c r="P2483" s="4">
        <v>4.76</v>
      </c>
      <c r="Q2483" s="4">
        <v>0.28000000000000003</v>
      </c>
      <c r="R2483" s="4">
        <v>0</v>
      </c>
      <c r="S2483" s="4">
        <v>0</v>
      </c>
      <c r="T2483" s="4">
        <v>0</v>
      </c>
      <c r="U2483" s="4">
        <v>22.36</v>
      </c>
      <c r="V2483" s="4">
        <v>17.87</v>
      </c>
      <c r="W2483" t="s">
        <v>21</v>
      </c>
      <c r="X2483" t="s">
        <v>36</v>
      </c>
      <c r="Y2483" s="4">
        <v>5</v>
      </c>
      <c r="Z2483" s="4">
        <v>17</v>
      </c>
      <c r="AA2483" t="s">
        <v>37</v>
      </c>
      <c r="AB2483" t="s">
        <v>44</v>
      </c>
      <c r="AC2483" s="7">
        <v>1</v>
      </c>
      <c r="AD2483" t="s">
        <v>45</v>
      </c>
      <c r="AE2483">
        <f t="shared" si="38"/>
        <v>1</v>
      </c>
    </row>
    <row r="2484" spans="1:31" x14ac:dyDescent="0.35">
      <c r="A2484">
        <v>102483</v>
      </c>
      <c r="B2484" s="3">
        <v>45942</v>
      </c>
      <c r="C2484">
        <v>1143</v>
      </c>
      <c r="D2484" t="s">
        <v>64</v>
      </c>
      <c r="E2484" t="s">
        <v>76</v>
      </c>
      <c r="F2484" t="s">
        <v>71</v>
      </c>
      <c r="G2484" t="s">
        <v>63</v>
      </c>
      <c r="H2484" t="s">
        <v>34</v>
      </c>
      <c r="I2484" t="s">
        <v>69</v>
      </c>
      <c r="J2484" s="4">
        <v>20.03</v>
      </c>
      <c r="K2484" s="4">
        <v>12.7</v>
      </c>
      <c r="L2484">
        <v>10</v>
      </c>
      <c r="M2484" s="4">
        <v>25.44</v>
      </c>
      <c r="N2484" s="4">
        <v>228.94</v>
      </c>
      <c r="O2484" s="4">
        <v>148.03</v>
      </c>
      <c r="P2484" s="4">
        <v>10.75</v>
      </c>
      <c r="Q2484" s="4">
        <v>1.02</v>
      </c>
      <c r="R2484" s="4">
        <v>4.1399999999999997</v>
      </c>
      <c r="S2484" s="4">
        <v>0</v>
      </c>
      <c r="T2484" s="4">
        <v>0</v>
      </c>
      <c r="U2484" s="4">
        <v>163.94</v>
      </c>
      <c r="V2484" s="4">
        <v>65</v>
      </c>
      <c r="W2484" t="s">
        <v>21</v>
      </c>
      <c r="X2484" t="s">
        <v>36</v>
      </c>
      <c r="Y2484" s="4">
        <v>25</v>
      </c>
      <c r="Z2484" s="4">
        <v>1</v>
      </c>
      <c r="AA2484" t="s">
        <v>52</v>
      </c>
      <c r="AB2484" t="s">
        <v>44</v>
      </c>
      <c r="AC2484" s="7">
        <v>2</v>
      </c>
      <c r="AD2484" t="s">
        <v>45</v>
      </c>
      <c r="AE2484">
        <f t="shared" si="38"/>
        <v>1</v>
      </c>
    </row>
    <row r="2485" spans="1:31" x14ac:dyDescent="0.35">
      <c r="A2485">
        <v>102484</v>
      </c>
      <c r="B2485" s="3">
        <v>45971</v>
      </c>
      <c r="C2485">
        <v>1061</v>
      </c>
      <c r="D2485" t="s">
        <v>47</v>
      </c>
      <c r="E2485" t="s">
        <v>74</v>
      </c>
      <c r="F2485" t="s">
        <v>49</v>
      </c>
      <c r="G2485" t="s">
        <v>46</v>
      </c>
      <c r="H2485" t="s">
        <v>34</v>
      </c>
      <c r="I2485" t="s">
        <v>35</v>
      </c>
      <c r="J2485" s="4">
        <v>27.28</v>
      </c>
      <c r="K2485" s="4">
        <v>16.850000000000001</v>
      </c>
      <c r="L2485">
        <v>10</v>
      </c>
      <c r="M2485" s="4">
        <v>45.97</v>
      </c>
      <c r="N2485" s="4">
        <v>413.7</v>
      </c>
      <c r="O2485" s="4">
        <v>217.1</v>
      </c>
      <c r="P2485" s="4">
        <v>9.11</v>
      </c>
      <c r="Q2485" s="4">
        <v>3.22</v>
      </c>
      <c r="R2485" s="4">
        <v>3.27</v>
      </c>
      <c r="S2485" s="4">
        <v>0</v>
      </c>
      <c r="T2485" s="4">
        <v>0</v>
      </c>
      <c r="U2485" s="4">
        <v>232.7</v>
      </c>
      <c r="V2485" s="4">
        <v>181</v>
      </c>
      <c r="W2485" t="s">
        <v>21</v>
      </c>
      <c r="X2485" t="s">
        <v>36</v>
      </c>
      <c r="Y2485" s="4">
        <v>12</v>
      </c>
      <c r="Z2485" s="4">
        <v>5</v>
      </c>
      <c r="AA2485" t="s">
        <v>37</v>
      </c>
      <c r="AB2485" t="s">
        <v>38</v>
      </c>
      <c r="AC2485" s="7">
        <v>0</v>
      </c>
      <c r="AD2485" t="s">
        <v>39</v>
      </c>
      <c r="AE2485">
        <f t="shared" si="38"/>
        <v>0</v>
      </c>
    </row>
    <row r="2486" spans="1:31" x14ac:dyDescent="0.35">
      <c r="A2486">
        <v>102485</v>
      </c>
      <c r="B2486" s="3">
        <v>45955</v>
      </c>
      <c r="C2486">
        <v>1004</v>
      </c>
      <c r="D2486" t="s">
        <v>47</v>
      </c>
      <c r="E2486" t="s">
        <v>53</v>
      </c>
      <c r="F2486" t="s">
        <v>71</v>
      </c>
      <c r="G2486" t="s">
        <v>63</v>
      </c>
      <c r="H2486" t="s">
        <v>34</v>
      </c>
      <c r="I2486" t="s">
        <v>35</v>
      </c>
      <c r="J2486" s="4">
        <v>21.67</v>
      </c>
      <c r="K2486" s="4">
        <v>13.06</v>
      </c>
      <c r="L2486">
        <v>20</v>
      </c>
      <c r="M2486" s="4">
        <v>56.6</v>
      </c>
      <c r="N2486" s="4">
        <v>226.41</v>
      </c>
      <c r="O2486" s="4">
        <v>120.89</v>
      </c>
      <c r="P2486" s="4">
        <v>7.84</v>
      </c>
      <c r="Q2486" s="4">
        <v>1.98</v>
      </c>
      <c r="R2486" s="4">
        <v>12.75</v>
      </c>
      <c r="S2486" s="4">
        <v>0</v>
      </c>
      <c r="T2486" s="4">
        <v>0</v>
      </c>
      <c r="U2486" s="4">
        <v>143.46</v>
      </c>
      <c r="V2486" s="4">
        <v>82.95</v>
      </c>
      <c r="W2486" t="s">
        <v>21</v>
      </c>
      <c r="X2486" t="s">
        <v>36</v>
      </c>
      <c r="Y2486" s="4">
        <v>4</v>
      </c>
      <c r="Z2486" s="4">
        <v>16</v>
      </c>
      <c r="AA2486" t="s">
        <v>37</v>
      </c>
      <c r="AB2486" t="s">
        <v>44</v>
      </c>
      <c r="AC2486" s="7">
        <v>3</v>
      </c>
      <c r="AD2486" t="s">
        <v>45</v>
      </c>
      <c r="AE2486">
        <f t="shared" si="38"/>
        <v>1</v>
      </c>
    </row>
    <row r="2487" spans="1:31" x14ac:dyDescent="0.35">
      <c r="A2487">
        <v>102486</v>
      </c>
      <c r="B2487" s="3">
        <v>46020</v>
      </c>
      <c r="C2487">
        <v>1130</v>
      </c>
      <c r="D2487" t="s">
        <v>47</v>
      </c>
      <c r="E2487" t="s">
        <v>48</v>
      </c>
      <c r="F2487" t="s">
        <v>61</v>
      </c>
      <c r="G2487" t="s">
        <v>33</v>
      </c>
      <c r="H2487" t="s">
        <v>57</v>
      </c>
      <c r="I2487" t="s">
        <v>35</v>
      </c>
      <c r="J2487" s="4">
        <v>34.03</v>
      </c>
      <c r="K2487" s="4">
        <v>19.760000000000002</v>
      </c>
      <c r="L2487">
        <v>0</v>
      </c>
      <c r="M2487" s="4">
        <v>0</v>
      </c>
      <c r="N2487" s="4">
        <v>672.43</v>
      </c>
      <c r="O2487" s="4">
        <v>229.29</v>
      </c>
      <c r="P2487" s="4">
        <v>11.45</v>
      </c>
      <c r="Q2487" s="4">
        <v>4.71</v>
      </c>
      <c r="R2487" s="4">
        <v>4.84</v>
      </c>
      <c r="S2487" s="4">
        <v>0</v>
      </c>
      <c r="T2487" s="4">
        <v>0</v>
      </c>
      <c r="U2487" s="4">
        <v>250.29</v>
      </c>
      <c r="V2487" s="4">
        <v>422.14</v>
      </c>
      <c r="W2487" t="s">
        <v>21</v>
      </c>
      <c r="X2487" t="s">
        <v>36</v>
      </c>
      <c r="Y2487" s="4">
        <v>7</v>
      </c>
      <c r="Z2487" s="4">
        <v>4</v>
      </c>
      <c r="AA2487" t="s">
        <v>37</v>
      </c>
      <c r="AB2487" t="s">
        <v>38</v>
      </c>
      <c r="AC2487" s="7">
        <v>0</v>
      </c>
      <c r="AD2487" t="s">
        <v>39</v>
      </c>
      <c r="AE2487">
        <f t="shared" si="38"/>
        <v>0</v>
      </c>
    </row>
    <row r="2488" spans="1:31" x14ac:dyDescent="0.35">
      <c r="A2488">
        <v>102487</v>
      </c>
      <c r="B2488" s="3">
        <v>45937</v>
      </c>
      <c r="C2488">
        <v>1024</v>
      </c>
      <c r="D2488" t="s">
        <v>59</v>
      </c>
      <c r="E2488" t="s">
        <v>70</v>
      </c>
      <c r="F2488" t="s">
        <v>71</v>
      </c>
      <c r="G2488" t="s">
        <v>63</v>
      </c>
      <c r="H2488" t="s">
        <v>57</v>
      </c>
      <c r="I2488" t="s">
        <v>69</v>
      </c>
      <c r="J2488" s="4">
        <v>13.51</v>
      </c>
      <c r="K2488" s="4">
        <v>12.72</v>
      </c>
      <c r="L2488">
        <v>5</v>
      </c>
      <c r="M2488" s="4">
        <v>8.59</v>
      </c>
      <c r="N2488" s="4">
        <v>163.26</v>
      </c>
      <c r="O2488" s="4">
        <v>89.33</v>
      </c>
      <c r="P2488" s="4">
        <v>8.4600000000000009</v>
      </c>
      <c r="Q2488" s="4">
        <v>0.69</v>
      </c>
      <c r="R2488" s="4">
        <v>5.69</v>
      </c>
      <c r="S2488" s="4">
        <v>0</v>
      </c>
      <c r="T2488" s="4">
        <v>0</v>
      </c>
      <c r="U2488" s="4">
        <v>104.17</v>
      </c>
      <c r="V2488" s="4">
        <v>59.09</v>
      </c>
      <c r="W2488" t="s">
        <v>21</v>
      </c>
      <c r="X2488" t="s">
        <v>36</v>
      </c>
      <c r="Y2488" s="4">
        <v>8</v>
      </c>
      <c r="Z2488" s="4">
        <v>0</v>
      </c>
      <c r="AA2488" t="s">
        <v>37</v>
      </c>
      <c r="AB2488" t="s">
        <v>38</v>
      </c>
      <c r="AC2488" s="7">
        <v>0</v>
      </c>
      <c r="AD2488" t="s">
        <v>39</v>
      </c>
      <c r="AE2488">
        <f t="shared" si="38"/>
        <v>0</v>
      </c>
    </row>
    <row r="2489" spans="1:31" x14ac:dyDescent="0.35">
      <c r="A2489">
        <v>102488</v>
      </c>
      <c r="B2489" s="3">
        <v>46010</v>
      </c>
      <c r="C2489">
        <v>1117</v>
      </c>
      <c r="D2489" t="s">
        <v>30</v>
      </c>
      <c r="E2489" t="s">
        <v>31</v>
      </c>
      <c r="F2489" t="s">
        <v>61</v>
      </c>
      <c r="G2489" t="s">
        <v>33</v>
      </c>
      <c r="H2489" t="s">
        <v>34</v>
      </c>
      <c r="I2489" t="s">
        <v>35</v>
      </c>
      <c r="J2489" s="4">
        <v>27.67</v>
      </c>
      <c r="K2489" s="4">
        <v>17.98</v>
      </c>
      <c r="L2489">
        <v>20</v>
      </c>
      <c r="M2489" s="4">
        <v>99.5</v>
      </c>
      <c r="N2489" s="4">
        <v>398.01</v>
      </c>
      <c r="O2489" s="4">
        <v>208.38</v>
      </c>
      <c r="P2489" s="4">
        <v>5.59</v>
      </c>
      <c r="Q2489" s="4">
        <v>3.48</v>
      </c>
      <c r="R2489" s="4">
        <v>3.85</v>
      </c>
      <c r="S2489" s="4">
        <v>0</v>
      </c>
      <c r="T2489" s="4">
        <v>0</v>
      </c>
      <c r="U2489" s="4">
        <v>221.3</v>
      </c>
      <c r="V2489" s="4">
        <v>176.71</v>
      </c>
      <c r="W2489" t="s">
        <v>21</v>
      </c>
      <c r="X2489" t="s">
        <v>36</v>
      </c>
      <c r="Y2489" s="4">
        <v>6</v>
      </c>
      <c r="Z2489" s="4">
        <v>0</v>
      </c>
      <c r="AA2489" t="s">
        <v>37</v>
      </c>
      <c r="AB2489" t="s">
        <v>38</v>
      </c>
      <c r="AC2489" s="7">
        <v>0</v>
      </c>
      <c r="AD2489" t="s">
        <v>39</v>
      </c>
      <c r="AE2489">
        <f t="shared" si="38"/>
        <v>0</v>
      </c>
    </row>
    <row r="2490" spans="1:31" x14ac:dyDescent="0.35">
      <c r="A2490">
        <v>102489</v>
      </c>
      <c r="B2490" s="3">
        <v>45983</v>
      </c>
      <c r="C2490">
        <v>1050</v>
      </c>
      <c r="D2490" t="s">
        <v>47</v>
      </c>
      <c r="E2490" t="s">
        <v>74</v>
      </c>
      <c r="F2490" t="s">
        <v>41</v>
      </c>
      <c r="G2490" t="s">
        <v>63</v>
      </c>
      <c r="H2490" t="s">
        <v>34</v>
      </c>
      <c r="I2490" t="s">
        <v>35</v>
      </c>
      <c r="J2490" s="4">
        <v>23.81</v>
      </c>
      <c r="K2490" s="4">
        <v>11.28</v>
      </c>
      <c r="L2490">
        <v>10</v>
      </c>
      <c r="M2490" s="4">
        <v>26.86</v>
      </c>
      <c r="N2490" s="4">
        <v>241.72</v>
      </c>
      <c r="O2490" s="4">
        <v>182.56</v>
      </c>
      <c r="P2490" s="4">
        <v>5.83</v>
      </c>
      <c r="Q2490" s="4">
        <v>1.88</v>
      </c>
      <c r="R2490" s="4">
        <v>7.56</v>
      </c>
      <c r="S2490" s="4">
        <v>0</v>
      </c>
      <c r="T2490" s="4">
        <v>0</v>
      </c>
      <c r="U2490" s="4">
        <v>197.83</v>
      </c>
      <c r="V2490" s="4">
        <v>43.89</v>
      </c>
      <c r="W2490" t="s">
        <v>21</v>
      </c>
      <c r="X2490" t="s">
        <v>36</v>
      </c>
      <c r="Y2490" s="4">
        <v>1</v>
      </c>
      <c r="Z2490" s="4">
        <v>13</v>
      </c>
      <c r="AA2490" t="s">
        <v>37</v>
      </c>
      <c r="AB2490" t="s">
        <v>38</v>
      </c>
      <c r="AC2490" s="7">
        <v>0</v>
      </c>
      <c r="AD2490" t="s">
        <v>39</v>
      </c>
      <c r="AE2490">
        <f t="shared" si="38"/>
        <v>0</v>
      </c>
    </row>
    <row r="2491" spans="1:31" x14ac:dyDescent="0.35">
      <c r="A2491">
        <v>102490</v>
      </c>
      <c r="B2491" s="3">
        <v>45955</v>
      </c>
      <c r="C2491">
        <v>1021</v>
      </c>
      <c r="D2491" t="s">
        <v>64</v>
      </c>
      <c r="E2491" t="s">
        <v>67</v>
      </c>
      <c r="F2491" t="s">
        <v>61</v>
      </c>
      <c r="G2491" t="s">
        <v>46</v>
      </c>
      <c r="H2491" t="s">
        <v>34</v>
      </c>
      <c r="I2491" t="s">
        <v>69</v>
      </c>
      <c r="J2491" s="4">
        <v>30.63</v>
      </c>
      <c r="K2491" s="4">
        <v>15.21</v>
      </c>
      <c r="L2491">
        <v>5</v>
      </c>
      <c r="M2491" s="4">
        <v>23.29</v>
      </c>
      <c r="N2491" s="4">
        <v>442.59</v>
      </c>
      <c r="O2491" s="4">
        <v>214.25</v>
      </c>
      <c r="P2491" s="4">
        <v>6.68</v>
      </c>
      <c r="Q2491" s="4">
        <v>1.86</v>
      </c>
      <c r="R2491" s="4">
        <v>11.44</v>
      </c>
      <c r="S2491" s="4">
        <v>0</v>
      </c>
      <c r="T2491" s="4">
        <v>0</v>
      </c>
      <c r="U2491" s="4">
        <v>234.23</v>
      </c>
      <c r="V2491" s="4">
        <v>208.36</v>
      </c>
      <c r="W2491" t="s">
        <v>21</v>
      </c>
      <c r="X2491" t="s">
        <v>36</v>
      </c>
      <c r="Y2491" s="4">
        <v>29</v>
      </c>
      <c r="Z2491" s="4">
        <v>17</v>
      </c>
      <c r="AA2491" t="s">
        <v>52</v>
      </c>
      <c r="AB2491" t="s">
        <v>44</v>
      </c>
      <c r="AC2491" s="7">
        <v>2</v>
      </c>
      <c r="AD2491" t="s">
        <v>45</v>
      </c>
      <c r="AE2491">
        <f t="shared" si="38"/>
        <v>1</v>
      </c>
    </row>
    <row r="2492" spans="1:31" x14ac:dyDescent="0.35">
      <c r="A2492">
        <v>102491</v>
      </c>
      <c r="B2492" s="3">
        <v>45943</v>
      </c>
      <c r="C2492">
        <v>1052</v>
      </c>
      <c r="D2492" t="s">
        <v>64</v>
      </c>
      <c r="E2492" t="s">
        <v>65</v>
      </c>
      <c r="F2492" t="s">
        <v>61</v>
      </c>
      <c r="G2492" t="s">
        <v>63</v>
      </c>
      <c r="H2492" t="s">
        <v>34</v>
      </c>
      <c r="I2492" t="s">
        <v>42</v>
      </c>
      <c r="J2492" s="4">
        <v>12.65</v>
      </c>
      <c r="K2492" s="4">
        <v>11.22</v>
      </c>
      <c r="L2492">
        <v>5</v>
      </c>
      <c r="M2492" s="4">
        <v>7.1</v>
      </c>
      <c r="N2492" s="4">
        <v>134.83000000000001</v>
      </c>
      <c r="O2492" s="4">
        <v>91.3</v>
      </c>
      <c r="P2492" s="4">
        <v>8.27</v>
      </c>
      <c r="Q2492" s="4">
        <v>2.13</v>
      </c>
      <c r="R2492" s="4">
        <v>10.210000000000001</v>
      </c>
      <c r="S2492" s="4">
        <v>0</v>
      </c>
      <c r="T2492" s="4">
        <v>0</v>
      </c>
      <c r="U2492" s="4">
        <v>111.91</v>
      </c>
      <c r="V2492" s="4">
        <v>22.92</v>
      </c>
      <c r="W2492" t="s">
        <v>21</v>
      </c>
      <c r="X2492" t="s">
        <v>36</v>
      </c>
      <c r="Y2492" s="4">
        <v>7</v>
      </c>
      <c r="Z2492" s="4">
        <v>5</v>
      </c>
      <c r="AA2492" t="s">
        <v>37</v>
      </c>
      <c r="AB2492" t="s">
        <v>38</v>
      </c>
      <c r="AC2492" s="7">
        <v>0</v>
      </c>
      <c r="AD2492" t="s">
        <v>39</v>
      </c>
      <c r="AE2492">
        <f t="shared" si="38"/>
        <v>0</v>
      </c>
    </row>
    <row r="2493" spans="1:31" x14ac:dyDescent="0.35">
      <c r="A2493">
        <v>102492</v>
      </c>
      <c r="B2493" s="3">
        <v>46017</v>
      </c>
      <c r="C2493">
        <v>1141</v>
      </c>
      <c r="D2493" t="s">
        <v>47</v>
      </c>
      <c r="E2493" t="s">
        <v>56</v>
      </c>
      <c r="F2493" t="s">
        <v>71</v>
      </c>
      <c r="G2493" t="s">
        <v>33</v>
      </c>
      <c r="H2493" t="s">
        <v>57</v>
      </c>
      <c r="I2493" t="s">
        <v>35</v>
      </c>
      <c r="J2493" s="4">
        <v>47.6</v>
      </c>
      <c r="K2493" s="4">
        <v>20.329999999999998</v>
      </c>
      <c r="L2493">
        <v>0</v>
      </c>
      <c r="M2493" s="4">
        <v>0</v>
      </c>
      <c r="N2493" s="4">
        <v>967.71</v>
      </c>
      <c r="O2493" s="4">
        <v>315.10000000000002</v>
      </c>
      <c r="P2493" s="4">
        <v>10.94</v>
      </c>
      <c r="Q2493" s="4">
        <v>6.77</v>
      </c>
      <c r="R2493" s="4">
        <v>6.51</v>
      </c>
      <c r="S2493" s="4">
        <v>0</v>
      </c>
      <c r="T2493" s="4">
        <v>0</v>
      </c>
      <c r="U2493" s="4">
        <v>339.32</v>
      </c>
      <c r="V2493" s="4">
        <v>628.39</v>
      </c>
      <c r="W2493" t="s">
        <v>21</v>
      </c>
      <c r="X2493" t="s">
        <v>36</v>
      </c>
      <c r="Y2493" s="4">
        <v>8</v>
      </c>
      <c r="Z2493" s="4">
        <v>0</v>
      </c>
      <c r="AA2493" t="s">
        <v>37</v>
      </c>
      <c r="AB2493" t="s">
        <v>38</v>
      </c>
      <c r="AC2493" s="7">
        <v>0</v>
      </c>
      <c r="AD2493" t="s">
        <v>39</v>
      </c>
      <c r="AE2493">
        <f t="shared" si="38"/>
        <v>0</v>
      </c>
    </row>
    <row r="2494" spans="1:31" x14ac:dyDescent="0.35">
      <c r="A2494">
        <v>102493</v>
      </c>
      <c r="B2494" s="3">
        <v>45983</v>
      </c>
      <c r="C2494">
        <v>1085</v>
      </c>
      <c r="D2494" t="s">
        <v>47</v>
      </c>
      <c r="E2494" t="s">
        <v>56</v>
      </c>
      <c r="F2494" t="s">
        <v>61</v>
      </c>
      <c r="G2494" t="s">
        <v>33</v>
      </c>
      <c r="H2494" t="s">
        <v>34</v>
      </c>
      <c r="I2494" t="s">
        <v>35</v>
      </c>
      <c r="J2494" s="4">
        <v>26.86</v>
      </c>
      <c r="K2494" s="4">
        <v>19.829999999999998</v>
      </c>
      <c r="L2494">
        <v>0</v>
      </c>
      <c r="M2494" s="4">
        <v>0</v>
      </c>
      <c r="N2494" s="4">
        <v>532.63</v>
      </c>
      <c r="O2494" s="4">
        <v>217.37</v>
      </c>
      <c r="P2494" s="4">
        <v>4.99</v>
      </c>
      <c r="Q2494" s="4">
        <v>3.73</v>
      </c>
      <c r="R2494" s="4">
        <v>2.54</v>
      </c>
      <c r="S2494" s="4">
        <v>0</v>
      </c>
      <c r="T2494" s="4">
        <v>0</v>
      </c>
      <c r="U2494" s="4">
        <v>228.63</v>
      </c>
      <c r="V2494" s="4">
        <v>304</v>
      </c>
      <c r="W2494" t="s">
        <v>21</v>
      </c>
      <c r="X2494" t="s">
        <v>36</v>
      </c>
      <c r="Y2494" s="4">
        <v>5</v>
      </c>
      <c r="Z2494" s="4">
        <v>0</v>
      </c>
      <c r="AA2494" t="s">
        <v>37</v>
      </c>
      <c r="AB2494" t="s">
        <v>38</v>
      </c>
      <c r="AC2494" s="7">
        <v>0</v>
      </c>
      <c r="AD2494" t="s">
        <v>39</v>
      </c>
      <c r="AE2494">
        <f t="shared" si="38"/>
        <v>0</v>
      </c>
    </row>
    <row r="2495" spans="1:31" x14ac:dyDescent="0.35">
      <c r="A2495">
        <v>102494</v>
      </c>
      <c r="B2495" s="3">
        <v>45970</v>
      </c>
      <c r="C2495">
        <v>1062</v>
      </c>
      <c r="D2495" t="s">
        <v>64</v>
      </c>
      <c r="E2495" t="s">
        <v>67</v>
      </c>
      <c r="F2495" t="s">
        <v>61</v>
      </c>
      <c r="G2495" t="s">
        <v>63</v>
      </c>
      <c r="H2495" t="s">
        <v>57</v>
      </c>
      <c r="I2495" t="s">
        <v>35</v>
      </c>
      <c r="J2495" s="4">
        <v>19.07</v>
      </c>
      <c r="K2495" s="4">
        <v>13.11</v>
      </c>
      <c r="L2495">
        <v>0</v>
      </c>
      <c r="M2495" s="4">
        <v>0</v>
      </c>
      <c r="N2495" s="4">
        <v>250.01</v>
      </c>
      <c r="O2495" s="4">
        <v>114.12</v>
      </c>
      <c r="P2495" s="4">
        <v>2.97</v>
      </c>
      <c r="Q2495" s="4">
        <v>1.75</v>
      </c>
      <c r="R2495" s="4">
        <v>5.9</v>
      </c>
      <c r="S2495" s="4">
        <v>0</v>
      </c>
      <c r="T2495" s="4">
        <v>0</v>
      </c>
      <c r="U2495" s="4">
        <v>124.74</v>
      </c>
      <c r="V2495" s="4">
        <v>125.27</v>
      </c>
      <c r="W2495" t="s">
        <v>21</v>
      </c>
      <c r="X2495" t="s">
        <v>36</v>
      </c>
      <c r="Y2495" s="4">
        <v>2</v>
      </c>
      <c r="Z2495" s="4">
        <v>12</v>
      </c>
      <c r="AA2495" t="s">
        <v>37</v>
      </c>
      <c r="AB2495" t="s">
        <v>38</v>
      </c>
      <c r="AC2495" s="7">
        <v>0</v>
      </c>
      <c r="AD2495" t="s">
        <v>39</v>
      </c>
      <c r="AE2495">
        <f t="shared" si="38"/>
        <v>0</v>
      </c>
    </row>
    <row r="2496" spans="1:31" x14ac:dyDescent="0.35">
      <c r="A2496">
        <v>102495</v>
      </c>
      <c r="B2496" s="3">
        <v>45948</v>
      </c>
      <c r="C2496">
        <v>1120</v>
      </c>
      <c r="D2496" t="s">
        <v>47</v>
      </c>
      <c r="E2496" t="s">
        <v>56</v>
      </c>
      <c r="F2496" t="s">
        <v>71</v>
      </c>
      <c r="G2496" t="s">
        <v>63</v>
      </c>
      <c r="H2496" t="s">
        <v>34</v>
      </c>
      <c r="I2496" t="s">
        <v>54</v>
      </c>
      <c r="J2496" s="4">
        <v>21.36</v>
      </c>
      <c r="K2496" s="4">
        <v>13.03</v>
      </c>
      <c r="L2496">
        <v>5</v>
      </c>
      <c r="M2496" s="4">
        <v>13.92</v>
      </c>
      <c r="N2496" s="4">
        <v>264.39999999999998</v>
      </c>
      <c r="O2496" s="4">
        <v>190.85</v>
      </c>
      <c r="P2496" s="4">
        <v>8.35</v>
      </c>
      <c r="Q2496" s="4">
        <v>3.34</v>
      </c>
      <c r="R2496" s="4">
        <v>11.03</v>
      </c>
      <c r="S2496" s="4">
        <v>0</v>
      </c>
      <c r="T2496" s="4">
        <v>0</v>
      </c>
      <c r="U2496" s="4">
        <v>213.57</v>
      </c>
      <c r="V2496" s="4">
        <v>50.83</v>
      </c>
      <c r="W2496" t="s">
        <v>21</v>
      </c>
      <c r="X2496" t="s">
        <v>36</v>
      </c>
      <c r="Y2496" s="4">
        <v>33</v>
      </c>
      <c r="Z2496" s="4">
        <v>14</v>
      </c>
      <c r="AA2496" t="s">
        <v>43</v>
      </c>
      <c r="AB2496" t="s">
        <v>44</v>
      </c>
      <c r="AC2496" s="7">
        <v>3</v>
      </c>
      <c r="AD2496" t="s">
        <v>45</v>
      </c>
      <c r="AE2496">
        <f t="shared" si="38"/>
        <v>1</v>
      </c>
    </row>
    <row r="2497" spans="1:31" x14ac:dyDescent="0.35">
      <c r="A2497">
        <v>102496</v>
      </c>
      <c r="B2497" s="3">
        <v>46014</v>
      </c>
      <c r="C2497">
        <v>1086</v>
      </c>
      <c r="D2497" t="s">
        <v>59</v>
      </c>
      <c r="E2497" t="s">
        <v>73</v>
      </c>
      <c r="F2497" t="s">
        <v>49</v>
      </c>
      <c r="G2497" t="s">
        <v>46</v>
      </c>
      <c r="H2497" t="s">
        <v>34</v>
      </c>
      <c r="I2497" t="s">
        <v>54</v>
      </c>
      <c r="J2497" s="4">
        <v>27.39</v>
      </c>
      <c r="K2497" s="4">
        <v>15.94</v>
      </c>
      <c r="L2497">
        <v>10</v>
      </c>
      <c r="M2497" s="4">
        <v>43.66</v>
      </c>
      <c r="N2497" s="4">
        <v>392.94</v>
      </c>
      <c r="O2497" s="4">
        <v>195.41</v>
      </c>
      <c r="P2497" s="4">
        <v>9.24</v>
      </c>
      <c r="Q2497" s="4">
        <v>5.24</v>
      </c>
      <c r="R2497" s="4">
        <v>1.9</v>
      </c>
      <c r="S2497" s="4">
        <v>303.02</v>
      </c>
      <c r="T2497" s="4">
        <v>0</v>
      </c>
      <c r="U2497" s="4">
        <v>514.80999999999995</v>
      </c>
      <c r="V2497" s="4">
        <v>-121.87</v>
      </c>
      <c r="W2497" t="s">
        <v>58</v>
      </c>
      <c r="X2497" t="s">
        <v>66</v>
      </c>
      <c r="Y2497" s="4">
        <v>3</v>
      </c>
      <c r="Z2497" s="4">
        <v>10</v>
      </c>
      <c r="AA2497" t="s">
        <v>37</v>
      </c>
      <c r="AB2497" t="s">
        <v>38</v>
      </c>
      <c r="AC2497" s="7">
        <v>2</v>
      </c>
      <c r="AD2497" t="s">
        <v>45</v>
      </c>
      <c r="AE2497">
        <f t="shared" si="38"/>
        <v>0</v>
      </c>
    </row>
    <row r="2498" spans="1:31" x14ac:dyDescent="0.35">
      <c r="A2498">
        <v>102497</v>
      </c>
      <c r="B2498" s="3">
        <v>45981</v>
      </c>
      <c r="C2498">
        <v>1070</v>
      </c>
      <c r="D2498" t="s">
        <v>47</v>
      </c>
      <c r="E2498" t="s">
        <v>48</v>
      </c>
      <c r="F2498" t="s">
        <v>71</v>
      </c>
      <c r="G2498" t="s">
        <v>46</v>
      </c>
      <c r="H2498" t="s">
        <v>57</v>
      </c>
      <c r="I2498" t="s">
        <v>69</v>
      </c>
      <c r="J2498" s="4">
        <v>27.87</v>
      </c>
      <c r="K2498" s="4">
        <v>16.46</v>
      </c>
      <c r="L2498">
        <v>15</v>
      </c>
      <c r="M2498" s="4">
        <v>68.81</v>
      </c>
      <c r="N2498" s="4">
        <v>389.93</v>
      </c>
      <c r="O2498" s="4">
        <v>179.8</v>
      </c>
      <c r="P2498" s="4">
        <v>8.76</v>
      </c>
      <c r="Q2498" s="4">
        <v>1.83</v>
      </c>
      <c r="R2498" s="4">
        <v>7.25</v>
      </c>
      <c r="S2498" s="4">
        <v>0</v>
      </c>
      <c r="T2498" s="4">
        <v>0</v>
      </c>
      <c r="U2498" s="4">
        <v>197.64</v>
      </c>
      <c r="V2498" s="4">
        <v>192.29</v>
      </c>
      <c r="W2498" t="s">
        <v>21</v>
      </c>
      <c r="X2498" t="s">
        <v>36</v>
      </c>
      <c r="Y2498" s="4">
        <v>10</v>
      </c>
      <c r="Z2498" s="4">
        <v>15</v>
      </c>
      <c r="AA2498" t="s">
        <v>37</v>
      </c>
      <c r="AB2498" t="s">
        <v>38</v>
      </c>
      <c r="AC2498" s="7">
        <v>0</v>
      </c>
      <c r="AD2498" t="s">
        <v>39</v>
      </c>
      <c r="AE2498">
        <f t="shared" si="38"/>
        <v>0</v>
      </c>
    </row>
    <row r="2499" spans="1:31" x14ac:dyDescent="0.35">
      <c r="A2499">
        <v>102498</v>
      </c>
      <c r="B2499" s="3">
        <v>45993</v>
      </c>
      <c r="C2499">
        <v>1019</v>
      </c>
      <c r="D2499" t="s">
        <v>59</v>
      </c>
      <c r="E2499" t="s">
        <v>73</v>
      </c>
      <c r="F2499" t="s">
        <v>71</v>
      </c>
      <c r="G2499" t="s">
        <v>33</v>
      </c>
      <c r="H2499" t="s">
        <v>57</v>
      </c>
      <c r="I2499" t="s">
        <v>54</v>
      </c>
      <c r="J2499" s="4">
        <v>23.26</v>
      </c>
      <c r="K2499" s="4">
        <v>18.670000000000002</v>
      </c>
      <c r="L2499">
        <v>0</v>
      </c>
      <c r="M2499" s="4">
        <v>0</v>
      </c>
      <c r="N2499" s="4">
        <v>434.26</v>
      </c>
      <c r="O2499" s="4">
        <v>179.05</v>
      </c>
      <c r="P2499" s="4">
        <v>11.14</v>
      </c>
      <c r="Q2499" s="4">
        <v>5.21</v>
      </c>
      <c r="R2499" s="4">
        <v>3.2</v>
      </c>
      <c r="S2499" s="4">
        <v>215.59</v>
      </c>
      <c r="T2499" s="4">
        <v>7.68</v>
      </c>
      <c r="U2499" s="4">
        <v>421.87</v>
      </c>
      <c r="V2499" s="4">
        <v>12.39</v>
      </c>
      <c r="W2499" t="s">
        <v>21</v>
      </c>
      <c r="X2499" t="s">
        <v>55</v>
      </c>
      <c r="Y2499" s="4">
        <v>15</v>
      </c>
      <c r="Z2499" s="4">
        <v>9</v>
      </c>
      <c r="AA2499" t="s">
        <v>37</v>
      </c>
      <c r="AB2499" t="s">
        <v>44</v>
      </c>
      <c r="AC2499" s="7">
        <v>1</v>
      </c>
      <c r="AD2499" t="s">
        <v>45</v>
      </c>
      <c r="AE2499">
        <f t="shared" ref="AE2499:AE2562" si="39">IF(AB2499="Yes",1,0)</f>
        <v>1</v>
      </c>
    </row>
    <row r="2500" spans="1:31" x14ac:dyDescent="0.35">
      <c r="A2500">
        <v>102499</v>
      </c>
      <c r="B2500" s="3">
        <v>46009</v>
      </c>
      <c r="C2500">
        <v>1037</v>
      </c>
      <c r="D2500" t="s">
        <v>59</v>
      </c>
      <c r="E2500" t="s">
        <v>70</v>
      </c>
      <c r="F2500" t="s">
        <v>49</v>
      </c>
      <c r="G2500" t="s">
        <v>46</v>
      </c>
      <c r="H2500" t="s">
        <v>57</v>
      </c>
      <c r="I2500" t="s">
        <v>54</v>
      </c>
      <c r="J2500" s="4">
        <v>17.690000000000001</v>
      </c>
      <c r="K2500" s="4">
        <v>14.71</v>
      </c>
      <c r="L2500">
        <v>0</v>
      </c>
      <c r="M2500" s="4">
        <v>0</v>
      </c>
      <c r="N2500" s="4">
        <v>260.22000000000003</v>
      </c>
      <c r="O2500" s="4">
        <v>147.81</v>
      </c>
      <c r="P2500" s="4">
        <v>6.64</v>
      </c>
      <c r="Q2500" s="4">
        <v>3.12</v>
      </c>
      <c r="R2500" s="4">
        <v>5.31</v>
      </c>
      <c r="S2500" s="4">
        <v>0</v>
      </c>
      <c r="T2500" s="4">
        <v>0</v>
      </c>
      <c r="U2500" s="4">
        <v>162.88</v>
      </c>
      <c r="V2500" s="4">
        <v>97.34</v>
      </c>
      <c r="W2500" t="s">
        <v>21</v>
      </c>
      <c r="X2500" t="s">
        <v>36</v>
      </c>
      <c r="Y2500" s="4">
        <v>0</v>
      </c>
      <c r="Z2500" s="4">
        <v>8</v>
      </c>
      <c r="AA2500" t="s">
        <v>37</v>
      </c>
      <c r="AB2500" t="s">
        <v>38</v>
      </c>
      <c r="AC2500" s="7">
        <v>0</v>
      </c>
      <c r="AD2500" t="s">
        <v>39</v>
      </c>
      <c r="AE2500">
        <f t="shared" si="39"/>
        <v>0</v>
      </c>
    </row>
    <row r="2501" spans="1:31" x14ac:dyDescent="0.35">
      <c r="A2501">
        <v>102500</v>
      </c>
      <c r="B2501" s="3">
        <v>45985</v>
      </c>
      <c r="C2501">
        <v>1089</v>
      </c>
      <c r="D2501" t="s">
        <v>59</v>
      </c>
      <c r="E2501" t="s">
        <v>70</v>
      </c>
      <c r="F2501" t="s">
        <v>71</v>
      </c>
      <c r="G2501" t="s">
        <v>33</v>
      </c>
      <c r="H2501" t="s">
        <v>57</v>
      </c>
      <c r="I2501" t="s">
        <v>35</v>
      </c>
      <c r="J2501" s="4">
        <v>37.94</v>
      </c>
      <c r="K2501" s="4">
        <v>18.98</v>
      </c>
      <c r="L2501">
        <v>5</v>
      </c>
      <c r="M2501" s="4">
        <v>36.01</v>
      </c>
      <c r="N2501" s="4">
        <v>684.09</v>
      </c>
      <c r="O2501" s="4">
        <v>220.38</v>
      </c>
      <c r="P2501" s="4">
        <v>8.51</v>
      </c>
      <c r="Q2501" s="4">
        <v>5.04</v>
      </c>
      <c r="R2501" s="4">
        <v>0</v>
      </c>
      <c r="S2501" s="4">
        <v>0</v>
      </c>
      <c r="T2501" s="4">
        <v>0</v>
      </c>
      <c r="U2501" s="4">
        <v>233.93</v>
      </c>
      <c r="V2501" s="4">
        <v>450.16</v>
      </c>
      <c r="W2501" t="s">
        <v>21</v>
      </c>
      <c r="X2501" t="s">
        <v>36</v>
      </c>
      <c r="Y2501" s="4">
        <v>3</v>
      </c>
      <c r="Z2501" s="4">
        <v>0</v>
      </c>
      <c r="AA2501" t="s">
        <v>37</v>
      </c>
      <c r="AB2501" t="s">
        <v>38</v>
      </c>
      <c r="AC2501" s="7">
        <v>0</v>
      </c>
      <c r="AD2501" t="s">
        <v>39</v>
      </c>
      <c r="AE2501">
        <f t="shared" si="39"/>
        <v>0</v>
      </c>
    </row>
    <row r="2502" spans="1:31" x14ac:dyDescent="0.35">
      <c r="A2502">
        <v>102501</v>
      </c>
      <c r="B2502" s="3">
        <v>45992</v>
      </c>
      <c r="C2502">
        <v>1046</v>
      </c>
      <c r="D2502" t="s">
        <v>30</v>
      </c>
      <c r="E2502" t="s">
        <v>40</v>
      </c>
      <c r="F2502" t="s">
        <v>71</v>
      </c>
      <c r="G2502" t="s">
        <v>46</v>
      </c>
      <c r="H2502" t="s">
        <v>34</v>
      </c>
      <c r="I2502" t="s">
        <v>35</v>
      </c>
      <c r="J2502" s="4">
        <v>32.64</v>
      </c>
      <c r="K2502" s="4">
        <v>14.9</v>
      </c>
      <c r="L2502">
        <v>5</v>
      </c>
      <c r="M2502" s="4">
        <v>24.32</v>
      </c>
      <c r="N2502" s="4">
        <v>462.02</v>
      </c>
      <c r="O2502" s="4">
        <v>203.88</v>
      </c>
      <c r="P2502" s="4">
        <v>6.89</v>
      </c>
      <c r="Q2502" s="4">
        <v>3.4</v>
      </c>
      <c r="R2502" s="4">
        <v>7.34</v>
      </c>
      <c r="S2502" s="4">
        <v>0</v>
      </c>
      <c r="T2502" s="4">
        <v>0</v>
      </c>
      <c r="U2502" s="4">
        <v>221.51</v>
      </c>
      <c r="V2502" s="4">
        <v>240.51</v>
      </c>
      <c r="W2502" t="s">
        <v>21</v>
      </c>
      <c r="X2502" t="s">
        <v>36</v>
      </c>
      <c r="Y2502" s="4">
        <v>10</v>
      </c>
      <c r="Z2502" s="4">
        <v>58</v>
      </c>
      <c r="AA2502" t="s">
        <v>37</v>
      </c>
      <c r="AB2502" t="s">
        <v>44</v>
      </c>
      <c r="AC2502" s="7">
        <v>1</v>
      </c>
      <c r="AD2502" t="s">
        <v>45</v>
      </c>
      <c r="AE2502">
        <f t="shared" si="39"/>
        <v>1</v>
      </c>
    </row>
    <row r="2503" spans="1:31" x14ac:dyDescent="0.35">
      <c r="A2503">
        <v>102502</v>
      </c>
      <c r="B2503" s="3">
        <v>45959</v>
      </c>
      <c r="C2503">
        <v>1092</v>
      </c>
      <c r="D2503" t="s">
        <v>30</v>
      </c>
      <c r="E2503" t="s">
        <v>62</v>
      </c>
      <c r="F2503" t="s">
        <v>32</v>
      </c>
      <c r="G2503" t="s">
        <v>50</v>
      </c>
      <c r="H2503" t="s">
        <v>57</v>
      </c>
      <c r="I2503" t="s">
        <v>35</v>
      </c>
      <c r="J2503" s="4">
        <v>44.32</v>
      </c>
      <c r="K2503" s="4">
        <v>19.38</v>
      </c>
      <c r="L2503">
        <v>0</v>
      </c>
      <c r="M2503" s="4">
        <v>0</v>
      </c>
      <c r="N2503" s="4">
        <v>858.92</v>
      </c>
      <c r="O2503" s="4">
        <v>316.61</v>
      </c>
      <c r="P2503" s="4">
        <v>12.13</v>
      </c>
      <c r="Q2503" s="4">
        <v>6.01</v>
      </c>
      <c r="R2503" s="4">
        <v>6.59</v>
      </c>
      <c r="S2503" s="4">
        <v>0</v>
      </c>
      <c r="T2503" s="4">
        <v>0</v>
      </c>
      <c r="U2503" s="4">
        <v>341.34</v>
      </c>
      <c r="V2503" s="4">
        <v>517.58000000000004</v>
      </c>
      <c r="W2503" t="s">
        <v>21</v>
      </c>
      <c r="X2503" t="s">
        <v>36</v>
      </c>
      <c r="Y2503" s="4">
        <v>12</v>
      </c>
      <c r="Z2503" s="4">
        <v>2</v>
      </c>
      <c r="AA2503" t="s">
        <v>37</v>
      </c>
      <c r="AB2503" t="s">
        <v>38</v>
      </c>
      <c r="AC2503" s="7">
        <v>0</v>
      </c>
      <c r="AD2503" t="s">
        <v>39</v>
      </c>
      <c r="AE2503">
        <f t="shared" si="39"/>
        <v>0</v>
      </c>
    </row>
    <row r="2504" spans="1:31" x14ac:dyDescent="0.35">
      <c r="A2504">
        <v>102503</v>
      </c>
      <c r="B2504" s="3">
        <v>45979</v>
      </c>
      <c r="C2504">
        <v>1104</v>
      </c>
      <c r="D2504" t="s">
        <v>30</v>
      </c>
      <c r="E2504" t="s">
        <v>40</v>
      </c>
      <c r="F2504" t="s">
        <v>41</v>
      </c>
      <c r="G2504" t="s">
        <v>50</v>
      </c>
      <c r="H2504" t="s">
        <v>34</v>
      </c>
      <c r="I2504" t="s">
        <v>42</v>
      </c>
      <c r="J2504" s="4">
        <v>18.440000000000001</v>
      </c>
      <c r="K2504" s="4">
        <v>17.100000000000001</v>
      </c>
      <c r="L2504">
        <v>15</v>
      </c>
      <c r="M2504" s="4">
        <v>47.3</v>
      </c>
      <c r="N2504" s="4">
        <v>268.02</v>
      </c>
      <c r="O2504" s="4">
        <v>113.34</v>
      </c>
      <c r="P2504" s="4">
        <v>4.67</v>
      </c>
      <c r="Q2504" s="4">
        <v>4.7300000000000004</v>
      </c>
      <c r="R2504" s="4">
        <v>8.49</v>
      </c>
      <c r="S2504" s="4">
        <v>0</v>
      </c>
      <c r="T2504" s="4">
        <v>0</v>
      </c>
      <c r="U2504" s="4">
        <v>131.22999999999999</v>
      </c>
      <c r="V2504" s="4">
        <v>136.79</v>
      </c>
      <c r="W2504" t="s">
        <v>21</v>
      </c>
      <c r="X2504" t="s">
        <v>36</v>
      </c>
      <c r="Y2504" s="4">
        <v>16</v>
      </c>
      <c r="Z2504" s="4">
        <v>3</v>
      </c>
      <c r="AA2504" t="s">
        <v>52</v>
      </c>
      <c r="AB2504" t="s">
        <v>38</v>
      </c>
      <c r="AC2504" s="7">
        <v>0</v>
      </c>
      <c r="AD2504" t="s">
        <v>39</v>
      </c>
      <c r="AE2504">
        <f t="shared" si="39"/>
        <v>0</v>
      </c>
    </row>
    <row r="2505" spans="1:31" x14ac:dyDescent="0.35">
      <c r="A2505">
        <v>102504</v>
      </c>
      <c r="B2505" s="3">
        <v>45982</v>
      </c>
      <c r="C2505">
        <v>1055</v>
      </c>
      <c r="D2505" t="s">
        <v>64</v>
      </c>
      <c r="E2505" t="s">
        <v>65</v>
      </c>
      <c r="F2505" t="s">
        <v>71</v>
      </c>
      <c r="G2505" t="s">
        <v>46</v>
      </c>
      <c r="H2505" t="s">
        <v>34</v>
      </c>
      <c r="I2505" t="s">
        <v>54</v>
      </c>
      <c r="J2505" s="4">
        <v>24.31</v>
      </c>
      <c r="K2505" s="4">
        <v>15.74</v>
      </c>
      <c r="L2505">
        <v>0</v>
      </c>
      <c r="M2505" s="4">
        <v>0</v>
      </c>
      <c r="N2505" s="4">
        <v>382.64</v>
      </c>
      <c r="O2505" s="4">
        <v>179.74</v>
      </c>
      <c r="P2505" s="4">
        <v>5.95</v>
      </c>
      <c r="Q2505" s="4">
        <v>4.59</v>
      </c>
      <c r="R2505" s="4">
        <v>5.92</v>
      </c>
      <c r="S2505" s="4">
        <v>253.91</v>
      </c>
      <c r="T2505" s="4">
        <v>0</v>
      </c>
      <c r="U2505" s="4">
        <v>450.11</v>
      </c>
      <c r="V2505" s="4">
        <v>-67.47</v>
      </c>
      <c r="W2505" t="s">
        <v>58</v>
      </c>
      <c r="X2505" t="s">
        <v>55</v>
      </c>
      <c r="Y2505" s="4">
        <v>28</v>
      </c>
      <c r="Z2505" s="4">
        <v>0</v>
      </c>
      <c r="AA2505" t="s">
        <v>52</v>
      </c>
      <c r="AB2505" t="s">
        <v>44</v>
      </c>
      <c r="AC2505" s="7">
        <v>1</v>
      </c>
      <c r="AD2505" t="s">
        <v>45</v>
      </c>
      <c r="AE2505">
        <f t="shared" si="39"/>
        <v>1</v>
      </c>
    </row>
    <row r="2506" spans="1:31" x14ac:dyDescent="0.35">
      <c r="A2506">
        <v>102505</v>
      </c>
      <c r="B2506" s="3">
        <v>45948</v>
      </c>
      <c r="C2506">
        <v>1007</v>
      </c>
      <c r="D2506" t="s">
        <v>64</v>
      </c>
      <c r="E2506" t="s">
        <v>65</v>
      </c>
      <c r="F2506" t="s">
        <v>61</v>
      </c>
      <c r="G2506" t="s">
        <v>63</v>
      </c>
      <c r="H2506" t="s">
        <v>34</v>
      </c>
      <c r="I2506" t="s">
        <v>42</v>
      </c>
      <c r="J2506" s="4">
        <v>14.89</v>
      </c>
      <c r="K2506" s="4">
        <v>12.93</v>
      </c>
      <c r="L2506">
        <v>0</v>
      </c>
      <c r="M2506" s="4">
        <v>0</v>
      </c>
      <c r="N2506" s="4">
        <v>192.53</v>
      </c>
      <c r="O2506" s="4">
        <v>96.1</v>
      </c>
      <c r="P2506" s="4">
        <v>4.03</v>
      </c>
      <c r="Q2506" s="4">
        <v>2.89</v>
      </c>
      <c r="R2506" s="4">
        <v>5.24</v>
      </c>
      <c r="S2506" s="4">
        <v>0</v>
      </c>
      <c r="T2506" s="4">
        <v>0</v>
      </c>
      <c r="U2506" s="4">
        <v>108.26</v>
      </c>
      <c r="V2506" s="4">
        <v>84.27</v>
      </c>
      <c r="W2506" t="s">
        <v>21</v>
      </c>
      <c r="X2506" t="s">
        <v>36</v>
      </c>
      <c r="Y2506" s="4">
        <v>8</v>
      </c>
      <c r="Z2506" s="4">
        <v>42</v>
      </c>
      <c r="AA2506" t="s">
        <v>37</v>
      </c>
      <c r="AB2506" t="s">
        <v>44</v>
      </c>
      <c r="AC2506" s="7">
        <v>2</v>
      </c>
      <c r="AD2506" t="s">
        <v>45</v>
      </c>
      <c r="AE2506">
        <f t="shared" si="39"/>
        <v>1</v>
      </c>
    </row>
    <row r="2507" spans="1:31" x14ac:dyDescent="0.35">
      <c r="A2507">
        <v>102506</v>
      </c>
      <c r="B2507" s="3">
        <v>45948</v>
      </c>
      <c r="C2507">
        <v>1123</v>
      </c>
      <c r="D2507" t="s">
        <v>59</v>
      </c>
      <c r="E2507" t="s">
        <v>73</v>
      </c>
      <c r="F2507" t="s">
        <v>41</v>
      </c>
      <c r="G2507" t="s">
        <v>46</v>
      </c>
      <c r="H2507" t="s">
        <v>34</v>
      </c>
      <c r="I2507" t="s">
        <v>42</v>
      </c>
      <c r="J2507" s="4">
        <v>12.82</v>
      </c>
      <c r="K2507" s="4">
        <v>15.27</v>
      </c>
      <c r="L2507">
        <v>0</v>
      </c>
      <c r="M2507" s="4">
        <v>0</v>
      </c>
      <c r="N2507" s="4">
        <v>195.76</v>
      </c>
      <c r="O2507" s="4">
        <v>88.48</v>
      </c>
      <c r="P2507" s="4">
        <v>10.81</v>
      </c>
      <c r="Q2507" s="4">
        <v>2.94</v>
      </c>
      <c r="R2507" s="4">
        <v>4.01</v>
      </c>
      <c r="S2507" s="4">
        <v>0</v>
      </c>
      <c r="T2507" s="4">
        <v>0</v>
      </c>
      <c r="U2507" s="4">
        <v>106.24</v>
      </c>
      <c r="V2507" s="4">
        <v>89.52</v>
      </c>
      <c r="W2507" t="s">
        <v>21</v>
      </c>
      <c r="X2507" t="s">
        <v>36</v>
      </c>
      <c r="Y2507" s="4">
        <v>2</v>
      </c>
      <c r="Z2507" s="4">
        <v>0</v>
      </c>
      <c r="AA2507" t="s">
        <v>37</v>
      </c>
      <c r="AB2507" t="s">
        <v>38</v>
      </c>
      <c r="AC2507" s="7">
        <v>0</v>
      </c>
      <c r="AD2507" t="s">
        <v>39</v>
      </c>
      <c r="AE2507">
        <f t="shared" si="39"/>
        <v>0</v>
      </c>
    </row>
    <row r="2508" spans="1:31" x14ac:dyDescent="0.35">
      <c r="A2508">
        <v>102507</v>
      </c>
      <c r="B2508" s="3">
        <v>45949</v>
      </c>
      <c r="C2508">
        <v>1143</v>
      </c>
      <c r="D2508" t="s">
        <v>47</v>
      </c>
      <c r="E2508" t="s">
        <v>48</v>
      </c>
      <c r="F2508" t="s">
        <v>61</v>
      </c>
      <c r="G2508" t="s">
        <v>33</v>
      </c>
      <c r="H2508" t="s">
        <v>34</v>
      </c>
      <c r="I2508" t="s">
        <v>35</v>
      </c>
      <c r="J2508" s="4">
        <v>24.02</v>
      </c>
      <c r="K2508" s="4">
        <v>20.37</v>
      </c>
      <c r="L2508">
        <v>0</v>
      </c>
      <c r="M2508" s="4">
        <v>0</v>
      </c>
      <c r="N2508" s="4">
        <v>489.29</v>
      </c>
      <c r="O2508" s="4">
        <v>178.17</v>
      </c>
      <c r="P2508" s="4">
        <v>13.1</v>
      </c>
      <c r="Q2508" s="4">
        <v>3.43</v>
      </c>
      <c r="R2508" s="4">
        <v>4.12</v>
      </c>
      <c r="S2508" s="4">
        <v>245.38</v>
      </c>
      <c r="T2508" s="4">
        <v>0</v>
      </c>
      <c r="U2508" s="4">
        <v>444.2</v>
      </c>
      <c r="V2508" s="4">
        <v>45.09</v>
      </c>
      <c r="W2508" t="s">
        <v>21</v>
      </c>
      <c r="X2508" t="s">
        <v>55</v>
      </c>
      <c r="Y2508" s="4">
        <v>25</v>
      </c>
      <c r="Z2508" s="4">
        <v>6</v>
      </c>
      <c r="AA2508" t="s">
        <v>52</v>
      </c>
      <c r="AB2508" t="s">
        <v>44</v>
      </c>
      <c r="AC2508" s="7">
        <v>3</v>
      </c>
      <c r="AD2508" t="s">
        <v>45</v>
      </c>
      <c r="AE2508">
        <f t="shared" si="39"/>
        <v>1</v>
      </c>
    </row>
    <row r="2509" spans="1:31" x14ac:dyDescent="0.35">
      <c r="A2509">
        <v>102508</v>
      </c>
      <c r="B2509" s="3">
        <v>46006</v>
      </c>
      <c r="C2509">
        <v>1123</v>
      </c>
      <c r="D2509" t="s">
        <v>64</v>
      </c>
      <c r="E2509" t="s">
        <v>76</v>
      </c>
      <c r="F2509" t="s">
        <v>61</v>
      </c>
      <c r="G2509" t="s">
        <v>63</v>
      </c>
      <c r="H2509" t="s">
        <v>57</v>
      </c>
      <c r="I2509" t="s">
        <v>54</v>
      </c>
      <c r="J2509" s="4">
        <v>13.78</v>
      </c>
      <c r="K2509" s="4">
        <v>12.39</v>
      </c>
      <c r="L2509">
        <v>0</v>
      </c>
      <c r="M2509" s="4">
        <v>0</v>
      </c>
      <c r="N2509" s="4">
        <v>170.73</v>
      </c>
      <c r="O2509" s="4">
        <v>88.88</v>
      </c>
      <c r="P2509" s="4">
        <v>5.37</v>
      </c>
      <c r="Q2509" s="4">
        <v>2.0499999999999998</v>
      </c>
      <c r="R2509" s="4">
        <v>6.4</v>
      </c>
      <c r="S2509" s="4">
        <v>0</v>
      </c>
      <c r="T2509" s="4">
        <v>0</v>
      </c>
      <c r="U2509" s="4">
        <v>102.7</v>
      </c>
      <c r="V2509" s="4">
        <v>68.03</v>
      </c>
      <c r="W2509" t="s">
        <v>21</v>
      </c>
      <c r="X2509" t="s">
        <v>36</v>
      </c>
      <c r="Y2509" s="4">
        <v>10</v>
      </c>
      <c r="Z2509" s="4">
        <v>2</v>
      </c>
      <c r="AA2509" t="s">
        <v>37</v>
      </c>
      <c r="AB2509" t="s">
        <v>38</v>
      </c>
      <c r="AC2509" s="7">
        <v>2</v>
      </c>
      <c r="AD2509" t="s">
        <v>39</v>
      </c>
      <c r="AE2509">
        <f t="shared" si="39"/>
        <v>0</v>
      </c>
    </row>
    <row r="2510" spans="1:31" x14ac:dyDescent="0.35">
      <c r="A2510">
        <v>102509</v>
      </c>
      <c r="B2510" s="3">
        <v>45978</v>
      </c>
      <c r="C2510">
        <v>1049</v>
      </c>
      <c r="D2510" t="s">
        <v>47</v>
      </c>
      <c r="E2510" t="s">
        <v>74</v>
      </c>
      <c r="F2510" t="s">
        <v>32</v>
      </c>
      <c r="G2510" t="s">
        <v>63</v>
      </c>
      <c r="H2510" t="s">
        <v>34</v>
      </c>
      <c r="I2510" t="s">
        <v>35</v>
      </c>
      <c r="J2510" s="4">
        <v>19.14</v>
      </c>
      <c r="K2510" s="4">
        <v>13.98</v>
      </c>
      <c r="L2510">
        <v>0</v>
      </c>
      <c r="M2510" s="4">
        <v>0</v>
      </c>
      <c r="N2510" s="4">
        <v>267.58</v>
      </c>
      <c r="O2510" s="4">
        <v>142.16</v>
      </c>
      <c r="P2510" s="4">
        <v>10.5</v>
      </c>
      <c r="Q2510" s="4">
        <v>1.87</v>
      </c>
      <c r="R2510" s="4">
        <v>9.11</v>
      </c>
      <c r="S2510" s="4">
        <v>0</v>
      </c>
      <c r="T2510" s="4">
        <v>0</v>
      </c>
      <c r="U2510" s="4">
        <v>163.63999999999999</v>
      </c>
      <c r="V2510" s="4">
        <v>103.94</v>
      </c>
      <c r="W2510" t="s">
        <v>21</v>
      </c>
      <c r="X2510" t="s">
        <v>36</v>
      </c>
      <c r="Y2510" s="4">
        <v>1</v>
      </c>
      <c r="Z2510" s="4">
        <v>8</v>
      </c>
      <c r="AA2510" t="s">
        <v>37</v>
      </c>
      <c r="AB2510" t="s">
        <v>38</v>
      </c>
      <c r="AC2510" s="7">
        <v>0</v>
      </c>
      <c r="AD2510" t="s">
        <v>39</v>
      </c>
      <c r="AE2510">
        <f t="shared" si="39"/>
        <v>0</v>
      </c>
    </row>
    <row r="2511" spans="1:31" x14ac:dyDescent="0.35">
      <c r="A2511">
        <v>102510</v>
      </c>
      <c r="B2511" s="3">
        <v>45973</v>
      </c>
      <c r="C2511">
        <v>1094</v>
      </c>
      <c r="D2511" t="s">
        <v>47</v>
      </c>
      <c r="E2511" t="s">
        <v>48</v>
      </c>
      <c r="F2511" t="s">
        <v>32</v>
      </c>
      <c r="G2511" t="s">
        <v>33</v>
      </c>
      <c r="H2511" t="s">
        <v>34</v>
      </c>
      <c r="I2511" t="s">
        <v>69</v>
      </c>
      <c r="J2511" s="4">
        <v>19.48</v>
      </c>
      <c r="K2511" s="4">
        <v>19.07</v>
      </c>
      <c r="L2511">
        <v>10</v>
      </c>
      <c r="M2511" s="4">
        <v>37.15</v>
      </c>
      <c r="N2511" s="4">
        <v>334.33</v>
      </c>
      <c r="O2511" s="4">
        <v>125.99</v>
      </c>
      <c r="P2511" s="4">
        <v>7.06</v>
      </c>
      <c r="Q2511" s="4">
        <v>1.49</v>
      </c>
      <c r="R2511" s="4">
        <v>3.76</v>
      </c>
      <c r="S2511" s="4">
        <v>0</v>
      </c>
      <c r="T2511" s="4">
        <v>0</v>
      </c>
      <c r="U2511" s="4">
        <v>138.30000000000001</v>
      </c>
      <c r="V2511" s="4">
        <v>196.03</v>
      </c>
      <c r="W2511" t="s">
        <v>21</v>
      </c>
      <c r="X2511" t="s">
        <v>36</v>
      </c>
      <c r="Y2511" s="4">
        <v>4</v>
      </c>
      <c r="Z2511" s="4">
        <v>10</v>
      </c>
      <c r="AA2511" t="s">
        <v>37</v>
      </c>
      <c r="AB2511" t="s">
        <v>38</v>
      </c>
      <c r="AC2511" s="7">
        <v>0</v>
      </c>
      <c r="AD2511" t="s">
        <v>39</v>
      </c>
      <c r="AE2511">
        <f t="shared" si="39"/>
        <v>0</v>
      </c>
    </row>
    <row r="2512" spans="1:31" x14ac:dyDescent="0.35">
      <c r="A2512">
        <v>102511</v>
      </c>
      <c r="B2512" s="3">
        <v>45951</v>
      </c>
      <c r="C2512">
        <v>1078</v>
      </c>
      <c r="D2512" t="s">
        <v>59</v>
      </c>
      <c r="E2512" t="s">
        <v>68</v>
      </c>
      <c r="F2512" t="s">
        <v>49</v>
      </c>
      <c r="G2512" t="s">
        <v>46</v>
      </c>
      <c r="H2512" t="s">
        <v>51</v>
      </c>
      <c r="I2512" t="s">
        <v>69</v>
      </c>
      <c r="J2512" s="4">
        <v>33.25</v>
      </c>
      <c r="K2512" s="4">
        <v>17.71</v>
      </c>
      <c r="L2512">
        <v>15</v>
      </c>
      <c r="M2512" s="4">
        <v>88.33</v>
      </c>
      <c r="N2512" s="4">
        <v>500.53</v>
      </c>
      <c r="O2512" s="4">
        <v>216.93</v>
      </c>
      <c r="P2512" s="4">
        <v>4.46</v>
      </c>
      <c r="Q2512" s="4">
        <v>2.36</v>
      </c>
      <c r="R2512" s="4">
        <v>6.58</v>
      </c>
      <c r="S2512" s="4">
        <v>0</v>
      </c>
      <c r="T2512" s="4">
        <v>0</v>
      </c>
      <c r="U2512" s="4">
        <v>230.33</v>
      </c>
      <c r="V2512" s="4">
        <v>270.2</v>
      </c>
      <c r="W2512" t="s">
        <v>21</v>
      </c>
      <c r="X2512" t="s">
        <v>36</v>
      </c>
      <c r="Y2512" s="4">
        <v>3</v>
      </c>
      <c r="Z2512" s="4">
        <v>6</v>
      </c>
      <c r="AA2512" t="s">
        <v>37</v>
      </c>
      <c r="AB2512" t="s">
        <v>38</v>
      </c>
      <c r="AC2512" s="7">
        <v>0</v>
      </c>
      <c r="AD2512" t="s">
        <v>39</v>
      </c>
      <c r="AE2512">
        <f t="shared" si="39"/>
        <v>0</v>
      </c>
    </row>
    <row r="2513" spans="1:31" x14ac:dyDescent="0.35">
      <c r="A2513">
        <v>102512</v>
      </c>
      <c r="B2513" s="3">
        <v>45983</v>
      </c>
      <c r="C2513">
        <v>1010</v>
      </c>
      <c r="D2513" t="s">
        <v>59</v>
      </c>
      <c r="E2513" t="s">
        <v>60</v>
      </c>
      <c r="F2513" t="s">
        <v>49</v>
      </c>
      <c r="G2513" t="s">
        <v>33</v>
      </c>
      <c r="H2513" t="s">
        <v>34</v>
      </c>
      <c r="I2513" t="s">
        <v>35</v>
      </c>
      <c r="J2513" s="4">
        <v>35.840000000000003</v>
      </c>
      <c r="K2513" s="4">
        <v>19.64</v>
      </c>
      <c r="L2513">
        <v>15</v>
      </c>
      <c r="M2513" s="4">
        <v>105.58</v>
      </c>
      <c r="N2513" s="4">
        <v>598.32000000000005</v>
      </c>
      <c r="O2513" s="4">
        <v>262.01</v>
      </c>
      <c r="P2513" s="4">
        <v>1.1499999999999999</v>
      </c>
      <c r="Q2513" s="4">
        <v>4.93</v>
      </c>
      <c r="R2513" s="4">
        <v>2.94</v>
      </c>
      <c r="S2513" s="4">
        <v>0</v>
      </c>
      <c r="T2513" s="4">
        <v>0</v>
      </c>
      <c r="U2513" s="4">
        <v>271.02999999999997</v>
      </c>
      <c r="V2513" s="4">
        <v>327.29000000000002</v>
      </c>
      <c r="W2513" t="s">
        <v>21</v>
      </c>
      <c r="X2513" t="s">
        <v>36</v>
      </c>
      <c r="Y2513" s="4">
        <v>8</v>
      </c>
      <c r="Z2513" s="4">
        <v>9</v>
      </c>
      <c r="AA2513" t="s">
        <v>37</v>
      </c>
      <c r="AB2513" t="s">
        <v>38</v>
      </c>
      <c r="AC2513" s="7">
        <v>0</v>
      </c>
      <c r="AD2513" t="s">
        <v>39</v>
      </c>
      <c r="AE2513">
        <f t="shared" si="39"/>
        <v>0</v>
      </c>
    </row>
    <row r="2514" spans="1:31" x14ac:dyDescent="0.35">
      <c r="A2514">
        <v>102513</v>
      </c>
      <c r="B2514" s="3">
        <v>46003</v>
      </c>
      <c r="C2514">
        <v>1138</v>
      </c>
      <c r="D2514" t="s">
        <v>47</v>
      </c>
      <c r="E2514" t="s">
        <v>48</v>
      </c>
      <c r="F2514" t="s">
        <v>49</v>
      </c>
      <c r="G2514" t="s">
        <v>46</v>
      </c>
      <c r="H2514" t="s">
        <v>34</v>
      </c>
      <c r="I2514" t="s">
        <v>42</v>
      </c>
      <c r="J2514" s="4">
        <v>32.020000000000003</v>
      </c>
      <c r="K2514" s="4">
        <v>15.39</v>
      </c>
      <c r="L2514">
        <v>0</v>
      </c>
      <c r="M2514" s="4">
        <v>0</v>
      </c>
      <c r="N2514" s="4">
        <v>492.79</v>
      </c>
      <c r="O2514" s="4">
        <v>237.2</v>
      </c>
      <c r="P2514" s="4">
        <v>5.78</v>
      </c>
      <c r="Q2514" s="4">
        <v>7.39</v>
      </c>
      <c r="R2514" s="4">
        <v>10.66</v>
      </c>
      <c r="S2514" s="4">
        <v>405.98</v>
      </c>
      <c r="T2514" s="4">
        <v>0</v>
      </c>
      <c r="U2514" s="4">
        <v>667.01</v>
      </c>
      <c r="V2514" s="4">
        <v>-174.22</v>
      </c>
      <c r="W2514" t="s">
        <v>58</v>
      </c>
      <c r="X2514" t="s">
        <v>55</v>
      </c>
      <c r="Y2514" s="4">
        <v>4</v>
      </c>
      <c r="Z2514" s="4">
        <v>4</v>
      </c>
      <c r="AA2514" t="s">
        <v>37</v>
      </c>
      <c r="AB2514" t="s">
        <v>44</v>
      </c>
      <c r="AC2514" s="7">
        <v>1</v>
      </c>
      <c r="AD2514" t="s">
        <v>45</v>
      </c>
      <c r="AE2514">
        <f t="shared" si="39"/>
        <v>1</v>
      </c>
    </row>
    <row r="2515" spans="1:31" x14ac:dyDescent="0.35">
      <c r="A2515">
        <v>102514</v>
      </c>
      <c r="B2515" s="3">
        <v>45968</v>
      </c>
      <c r="C2515">
        <v>1102</v>
      </c>
      <c r="D2515" t="s">
        <v>47</v>
      </c>
      <c r="E2515" t="s">
        <v>53</v>
      </c>
      <c r="F2515" t="s">
        <v>41</v>
      </c>
      <c r="G2515" t="s">
        <v>46</v>
      </c>
      <c r="H2515" t="s">
        <v>57</v>
      </c>
      <c r="I2515" t="s">
        <v>42</v>
      </c>
      <c r="J2515" s="4">
        <v>29.24</v>
      </c>
      <c r="K2515" s="4">
        <v>14.79</v>
      </c>
      <c r="L2515">
        <v>20</v>
      </c>
      <c r="M2515" s="4">
        <v>86.49</v>
      </c>
      <c r="N2515" s="4">
        <v>345.97</v>
      </c>
      <c r="O2515" s="4">
        <v>227.23</v>
      </c>
      <c r="P2515" s="4">
        <v>7.96</v>
      </c>
      <c r="Q2515" s="4">
        <v>6.49</v>
      </c>
      <c r="R2515" s="4">
        <v>8.3699999999999992</v>
      </c>
      <c r="S2515" s="4">
        <v>0</v>
      </c>
      <c r="T2515" s="4">
        <v>0</v>
      </c>
      <c r="U2515" s="4">
        <v>250.05</v>
      </c>
      <c r="V2515" s="4">
        <v>95.92</v>
      </c>
      <c r="W2515" t="s">
        <v>21</v>
      </c>
      <c r="X2515" t="s">
        <v>36</v>
      </c>
      <c r="Y2515" s="4">
        <v>1</v>
      </c>
      <c r="Z2515" s="4">
        <v>7</v>
      </c>
      <c r="AA2515" t="s">
        <v>37</v>
      </c>
      <c r="AB2515" t="s">
        <v>38</v>
      </c>
      <c r="AC2515" s="7">
        <v>0</v>
      </c>
      <c r="AD2515" t="s">
        <v>39</v>
      </c>
      <c r="AE2515">
        <f t="shared" si="39"/>
        <v>0</v>
      </c>
    </row>
    <row r="2516" spans="1:31" x14ac:dyDescent="0.35">
      <c r="A2516">
        <v>102515</v>
      </c>
      <c r="B2516" s="3">
        <v>45978</v>
      </c>
      <c r="C2516">
        <v>1092</v>
      </c>
      <c r="D2516" t="s">
        <v>30</v>
      </c>
      <c r="E2516" t="s">
        <v>72</v>
      </c>
      <c r="F2516" t="s">
        <v>32</v>
      </c>
      <c r="G2516" t="s">
        <v>63</v>
      </c>
      <c r="H2516" t="s">
        <v>57</v>
      </c>
      <c r="I2516" t="s">
        <v>35</v>
      </c>
      <c r="J2516" s="4">
        <v>3.02</v>
      </c>
      <c r="K2516" s="4">
        <v>13.68</v>
      </c>
      <c r="L2516">
        <v>0</v>
      </c>
      <c r="M2516" s="4">
        <v>0</v>
      </c>
      <c r="N2516" s="4">
        <v>41.31</v>
      </c>
      <c r="O2516" s="4">
        <v>21.42</v>
      </c>
      <c r="P2516" s="4">
        <v>9.24</v>
      </c>
      <c r="Q2516" s="4">
        <v>0.28999999999999998</v>
      </c>
      <c r="R2516" s="4">
        <v>11.95</v>
      </c>
      <c r="S2516" s="4">
        <v>0</v>
      </c>
      <c r="T2516" s="4">
        <v>0</v>
      </c>
      <c r="U2516" s="4">
        <v>42.9</v>
      </c>
      <c r="V2516" s="4">
        <v>-1.59</v>
      </c>
      <c r="W2516" t="s">
        <v>58</v>
      </c>
      <c r="X2516" t="s">
        <v>36</v>
      </c>
      <c r="Y2516" s="4">
        <v>0</v>
      </c>
      <c r="Z2516" s="4">
        <v>34</v>
      </c>
      <c r="AA2516" t="s">
        <v>37</v>
      </c>
      <c r="AB2516" t="s">
        <v>44</v>
      </c>
      <c r="AC2516" s="7">
        <v>1</v>
      </c>
      <c r="AD2516" t="s">
        <v>45</v>
      </c>
      <c r="AE2516">
        <f t="shared" si="39"/>
        <v>1</v>
      </c>
    </row>
    <row r="2517" spans="1:31" x14ac:dyDescent="0.35">
      <c r="A2517">
        <v>102516</v>
      </c>
      <c r="B2517" s="3">
        <v>45988</v>
      </c>
      <c r="C2517">
        <v>1074</v>
      </c>
      <c r="D2517" t="s">
        <v>64</v>
      </c>
      <c r="E2517" t="s">
        <v>75</v>
      </c>
      <c r="F2517" t="s">
        <v>61</v>
      </c>
      <c r="G2517" t="s">
        <v>50</v>
      </c>
      <c r="H2517" t="s">
        <v>51</v>
      </c>
      <c r="I2517" t="s">
        <v>35</v>
      </c>
      <c r="J2517" s="4">
        <v>33.82</v>
      </c>
      <c r="K2517" s="4">
        <v>17.54</v>
      </c>
      <c r="L2517">
        <v>0</v>
      </c>
      <c r="M2517" s="4">
        <v>0</v>
      </c>
      <c r="N2517" s="4">
        <v>593.20000000000005</v>
      </c>
      <c r="O2517" s="4">
        <v>267.05</v>
      </c>
      <c r="P2517" s="4">
        <v>10.02</v>
      </c>
      <c r="Q2517" s="4">
        <v>4.1500000000000004</v>
      </c>
      <c r="R2517" s="4">
        <v>2.48</v>
      </c>
      <c r="S2517" s="4">
        <v>0</v>
      </c>
      <c r="T2517" s="4">
        <v>0</v>
      </c>
      <c r="U2517" s="4">
        <v>283.7</v>
      </c>
      <c r="V2517" s="4">
        <v>309.5</v>
      </c>
      <c r="W2517" t="s">
        <v>21</v>
      </c>
      <c r="X2517" t="s">
        <v>36</v>
      </c>
      <c r="Y2517" s="4">
        <v>14</v>
      </c>
      <c r="Z2517" s="4">
        <v>10</v>
      </c>
      <c r="AA2517" t="s">
        <v>37</v>
      </c>
      <c r="AB2517" t="s">
        <v>38</v>
      </c>
      <c r="AC2517" s="7">
        <v>0</v>
      </c>
      <c r="AD2517" t="s">
        <v>39</v>
      </c>
      <c r="AE2517">
        <f t="shared" si="39"/>
        <v>0</v>
      </c>
    </row>
    <row r="2518" spans="1:31" x14ac:dyDescent="0.35">
      <c r="A2518">
        <v>102517</v>
      </c>
      <c r="B2518" s="3">
        <v>45990</v>
      </c>
      <c r="C2518">
        <v>1104</v>
      </c>
      <c r="D2518" t="s">
        <v>47</v>
      </c>
      <c r="E2518" t="s">
        <v>48</v>
      </c>
      <c r="F2518" t="s">
        <v>41</v>
      </c>
      <c r="G2518" t="s">
        <v>46</v>
      </c>
      <c r="H2518" t="s">
        <v>51</v>
      </c>
      <c r="I2518" t="s">
        <v>35</v>
      </c>
      <c r="J2518" s="4">
        <v>32</v>
      </c>
      <c r="K2518" s="4">
        <v>15.64</v>
      </c>
      <c r="L2518">
        <v>10</v>
      </c>
      <c r="M2518" s="4">
        <v>50.05</v>
      </c>
      <c r="N2518" s="4">
        <v>450.43</v>
      </c>
      <c r="O2518" s="4">
        <v>243.5</v>
      </c>
      <c r="P2518" s="4">
        <v>11.19</v>
      </c>
      <c r="Q2518" s="4">
        <v>3.5</v>
      </c>
      <c r="R2518" s="4">
        <v>6.15</v>
      </c>
      <c r="S2518" s="4">
        <v>0</v>
      </c>
      <c r="T2518" s="4">
        <v>0</v>
      </c>
      <c r="U2518" s="4">
        <v>264.33999999999997</v>
      </c>
      <c r="V2518" s="4">
        <v>186.09</v>
      </c>
      <c r="W2518" t="s">
        <v>21</v>
      </c>
      <c r="X2518" t="s">
        <v>36</v>
      </c>
      <c r="Y2518" s="4">
        <v>19</v>
      </c>
      <c r="Z2518" s="4">
        <v>4</v>
      </c>
      <c r="AA2518" t="s">
        <v>52</v>
      </c>
      <c r="AB2518" t="s">
        <v>38</v>
      </c>
      <c r="AC2518" s="7">
        <v>1</v>
      </c>
      <c r="AD2518" t="s">
        <v>39</v>
      </c>
      <c r="AE2518">
        <f t="shared" si="39"/>
        <v>0</v>
      </c>
    </row>
    <row r="2519" spans="1:31" x14ac:dyDescent="0.35">
      <c r="A2519">
        <v>102518</v>
      </c>
      <c r="B2519" s="3">
        <v>45971</v>
      </c>
      <c r="C2519">
        <v>1080</v>
      </c>
      <c r="D2519" t="s">
        <v>47</v>
      </c>
      <c r="E2519" t="s">
        <v>53</v>
      </c>
      <c r="F2519" t="s">
        <v>32</v>
      </c>
      <c r="G2519" t="s">
        <v>63</v>
      </c>
      <c r="H2519" t="s">
        <v>51</v>
      </c>
      <c r="I2519" t="s">
        <v>69</v>
      </c>
      <c r="J2519" s="4">
        <v>18.760000000000002</v>
      </c>
      <c r="K2519" s="4">
        <v>13.17</v>
      </c>
      <c r="L2519">
        <v>15</v>
      </c>
      <c r="M2519" s="4">
        <v>37.06</v>
      </c>
      <c r="N2519" s="4">
        <v>210.01</v>
      </c>
      <c r="O2519" s="4">
        <v>121.96</v>
      </c>
      <c r="P2519" s="4">
        <v>10.77</v>
      </c>
      <c r="Q2519" s="4">
        <v>0.99</v>
      </c>
      <c r="R2519" s="4">
        <v>10.029999999999999</v>
      </c>
      <c r="S2519" s="4">
        <v>0</v>
      </c>
      <c r="T2519" s="4">
        <v>0</v>
      </c>
      <c r="U2519" s="4">
        <v>143.75</v>
      </c>
      <c r="V2519" s="4">
        <v>66.260000000000005</v>
      </c>
      <c r="W2519" t="s">
        <v>21</v>
      </c>
      <c r="X2519" t="s">
        <v>36</v>
      </c>
      <c r="Y2519" s="4">
        <v>1</v>
      </c>
      <c r="Z2519" s="4">
        <v>4</v>
      </c>
      <c r="AA2519" t="s">
        <v>37</v>
      </c>
      <c r="AB2519" t="s">
        <v>38</v>
      </c>
      <c r="AC2519" s="7">
        <v>0</v>
      </c>
      <c r="AD2519" t="s">
        <v>39</v>
      </c>
      <c r="AE2519">
        <f t="shared" si="39"/>
        <v>0</v>
      </c>
    </row>
    <row r="2520" spans="1:31" x14ac:dyDescent="0.35">
      <c r="A2520">
        <v>102519</v>
      </c>
      <c r="B2520" s="3">
        <v>45984</v>
      </c>
      <c r="C2520">
        <v>1103</v>
      </c>
      <c r="D2520" t="s">
        <v>30</v>
      </c>
      <c r="E2520" t="s">
        <v>31</v>
      </c>
      <c r="F2520" t="s">
        <v>61</v>
      </c>
      <c r="G2520" t="s">
        <v>50</v>
      </c>
      <c r="H2520" t="s">
        <v>57</v>
      </c>
      <c r="I2520" t="s">
        <v>35</v>
      </c>
      <c r="J2520" s="4">
        <v>26.86</v>
      </c>
      <c r="K2520" s="4">
        <v>17.54</v>
      </c>
      <c r="L2520">
        <v>0</v>
      </c>
      <c r="M2520" s="4">
        <v>0</v>
      </c>
      <c r="N2520" s="4">
        <v>471.12</v>
      </c>
      <c r="O2520" s="4">
        <v>232.47</v>
      </c>
      <c r="P2520" s="4">
        <v>6.91</v>
      </c>
      <c r="Q2520" s="4">
        <v>3.3</v>
      </c>
      <c r="R2520" s="4">
        <v>2.8</v>
      </c>
      <c r="S2520" s="4">
        <v>0</v>
      </c>
      <c r="T2520" s="4">
        <v>0</v>
      </c>
      <c r="U2520" s="4">
        <v>245.48</v>
      </c>
      <c r="V2520" s="4">
        <v>225.64</v>
      </c>
      <c r="W2520" t="s">
        <v>21</v>
      </c>
      <c r="X2520" t="s">
        <v>36</v>
      </c>
      <c r="Y2520" s="4">
        <v>11</v>
      </c>
      <c r="Z2520" s="4">
        <v>21</v>
      </c>
      <c r="AA2520" t="s">
        <v>37</v>
      </c>
      <c r="AB2520" t="s">
        <v>44</v>
      </c>
      <c r="AC2520" s="7">
        <v>2</v>
      </c>
      <c r="AD2520" t="s">
        <v>45</v>
      </c>
      <c r="AE2520">
        <f t="shared" si="39"/>
        <v>1</v>
      </c>
    </row>
    <row r="2521" spans="1:31" x14ac:dyDescent="0.35">
      <c r="A2521">
        <v>102520</v>
      </c>
      <c r="B2521" s="3">
        <v>45947</v>
      </c>
      <c r="C2521">
        <v>1120</v>
      </c>
      <c r="D2521" t="s">
        <v>30</v>
      </c>
      <c r="E2521" t="s">
        <v>31</v>
      </c>
      <c r="F2521" t="s">
        <v>41</v>
      </c>
      <c r="G2521" t="s">
        <v>46</v>
      </c>
      <c r="H2521" t="s">
        <v>34</v>
      </c>
      <c r="I2521" t="s">
        <v>69</v>
      </c>
      <c r="J2521" s="4">
        <v>25.01</v>
      </c>
      <c r="K2521" s="4">
        <v>14.36</v>
      </c>
      <c r="L2521">
        <v>15</v>
      </c>
      <c r="M2521" s="4">
        <v>53.87</v>
      </c>
      <c r="N2521" s="4">
        <v>305.27</v>
      </c>
      <c r="O2521" s="4">
        <v>181.22</v>
      </c>
      <c r="P2521" s="4">
        <v>5.39</v>
      </c>
      <c r="Q2521" s="4">
        <v>1.44</v>
      </c>
      <c r="R2521" s="4">
        <v>9.4499999999999993</v>
      </c>
      <c r="S2521" s="4">
        <v>0</v>
      </c>
      <c r="T2521" s="4">
        <v>0</v>
      </c>
      <c r="U2521" s="4">
        <v>197.5</v>
      </c>
      <c r="V2521" s="4">
        <v>107.77</v>
      </c>
      <c r="W2521" t="s">
        <v>21</v>
      </c>
      <c r="X2521" t="s">
        <v>36</v>
      </c>
      <c r="Y2521" s="4">
        <v>2</v>
      </c>
      <c r="Z2521" s="4">
        <v>12</v>
      </c>
      <c r="AA2521" t="s">
        <v>37</v>
      </c>
      <c r="AB2521" t="s">
        <v>38</v>
      </c>
      <c r="AC2521" s="7">
        <v>0</v>
      </c>
      <c r="AD2521" t="s">
        <v>39</v>
      </c>
      <c r="AE2521">
        <f t="shared" si="39"/>
        <v>0</v>
      </c>
    </row>
    <row r="2522" spans="1:31" x14ac:dyDescent="0.35">
      <c r="A2522">
        <v>102521</v>
      </c>
      <c r="B2522" s="3">
        <v>45962</v>
      </c>
      <c r="C2522">
        <v>1148</v>
      </c>
      <c r="D2522" t="s">
        <v>59</v>
      </c>
      <c r="E2522" t="s">
        <v>68</v>
      </c>
      <c r="F2522" t="s">
        <v>71</v>
      </c>
      <c r="G2522" t="s">
        <v>63</v>
      </c>
      <c r="H2522" t="s">
        <v>34</v>
      </c>
      <c r="I2522" t="s">
        <v>35</v>
      </c>
      <c r="J2522" s="4">
        <v>16.62</v>
      </c>
      <c r="K2522" s="4">
        <v>12.64</v>
      </c>
      <c r="L2522">
        <v>0</v>
      </c>
      <c r="M2522" s="4">
        <v>0</v>
      </c>
      <c r="N2522" s="4">
        <v>210.08</v>
      </c>
      <c r="O2522" s="4">
        <v>130.44999999999999</v>
      </c>
      <c r="P2522" s="4">
        <v>5.07</v>
      </c>
      <c r="Q2522" s="4">
        <v>1.47</v>
      </c>
      <c r="R2522" s="4">
        <v>4.32</v>
      </c>
      <c r="S2522" s="4">
        <v>0</v>
      </c>
      <c r="T2522" s="4">
        <v>0</v>
      </c>
      <c r="U2522" s="4">
        <v>141.31</v>
      </c>
      <c r="V2522" s="4">
        <v>68.77</v>
      </c>
      <c r="W2522" t="s">
        <v>21</v>
      </c>
      <c r="X2522" t="s">
        <v>36</v>
      </c>
      <c r="Y2522" s="4">
        <v>3</v>
      </c>
      <c r="Z2522" s="4">
        <v>3</v>
      </c>
      <c r="AA2522" t="s">
        <v>37</v>
      </c>
      <c r="AB2522" t="s">
        <v>38</v>
      </c>
      <c r="AC2522" s="7">
        <v>0</v>
      </c>
      <c r="AD2522" t="s">
        <v>39</v>
      </c>
      <c r="AE2522">
        <f t="shared" si="39"/>
        <v>0</v>
      </c>
    </row>
    <row r="2523" spans="1:31" x14ac:dyDescent="0.35">
      <c r="A2523">
        <v>102522</v>
      </c>
      <c r="B2523" s="3">
        <v>46017</v>
      </c>
      <c r="C2523">
        <v>1140</v>
      </c>
      <c r="D2523" t="s">
        <v>59</v>
      </c>
      <c r="E2523" t="s">
        <v>68</v>
      </c>
      <c r="F2523" t="s">
        <v>41</v>
      </c>
      <c r="G2523" t="s">
        <v>33</v>
      </c>
      <c r="H2523" t="s">
        <v>57</v>
      </c>
      <c r="I2523" t="s">
        <v>35</v>
      </c>
      <c r="J2523" s="4">
        <v>27.26</v>
      </c>
      <c r="K2523" s="4">
        <v>18.66</v>
      </c>
      <c r="L2523">
        <v>10</v>
      </c>
      <c r="M2523" s="4">
        <v>50.87</v>
      </c>
      <c r="N2523" s="4">
        <v>457.8</v>
      </c>
      <c r="O2523" s="4">
        <v>205.94</v>
      </c>
      <c r="P2523" s="4">
        <v>8.6999999999999993</v>
      </c>
      <c r="Q2523" s="4">
        <v>3.56</v>
      </c>
      <c r="R2523" s="4">
        <v>5.85</v>
      </c>
      <c r="S2523" s="4">
        <v>0</v>
      </c>
      <c r="T2523" s="4">
        <v>0</v>
      </c>
      <c r="U2523" s="4">
        <v>224.05</v>
      </c>
      <c r="V2523" s="4">
        <v>233.75</v>
      </c>
      <c r="W2523" t="s">
        <v>21</v>
      </c>
      <c r="X2523" t="s">
        <v>36</v>
      </c>
      <c r="Y2523" s="4">
        <v>17</v>
      </c>
      <c r="Z2523" s="4">
        <v>2</v>
      </c>
      <c r="AA2523" t="s">
        <v>52</v>
      </c>
      <c r="AB2523" t="s">
        <v>38</v>
      </c>
      <c r="AC2523" s="7">
        <v>0</v>
      </c>
      <c r="AD2523" t="s">
        <v>39</v>
      </c>
      <c r="AE2523">
        <f t="shared" si="39"/>
        <v>0</v>
      </c>
    </row>
    <row r="2524" spans="1:31" x14ac:dyDescent="0.35">
      <c r="A2524">
        <v>102523</v>
      </c>
      <c r="B2524" s="3">
        <v>46001</v>
      </c>
      <c r="C2524">
        <v>1042</v>
      </c>
      <c r="D2524" t="s">
        <v>47</v>
      </c>
      <c r="E2524" t="s">
        <v>48</v>
      </c>
      <c r="F2524" t="s">
        <v>41</v>
      </c>
      <c r="G2524" t="s">
        <v>46</v>
      </c>
      <c r="H2524" t="s">
        <v>34</v>
      </c>
      <c r="I2524" t="s">
        <v>35</v>
      </c>
      <c r="J2524" s="4">
        <v>25.61</v>
      </c>
      <c r="K2524" s="4">
        <v>15.54</v>
      </c>
      <c r="L2524">
        <v>0</v>
      </c>
      <c r="M2524" s="4">
        <v>0</v>
      </c>
      <c r="N2524" s="4">
        <v>397.98</v>
      </c>
      <c r="O2524" s="4">
        <v>158.79</v>
      </c>
      <c r="P2524" s="4">
        <v>8.01</v>
      </c>
      <c r="Q2524" s="4">
        <v>2.79</v>
      </c>
      <c r="R2524" s="4">
        <v>16.64</v>
      </c>
      <c r="S2524" s="4">
        <v>0</v>
      </c>
      <c r="T2524" s="4">
        <v>0</v>
      </c>
      <c r="U2524" s="4">
        <v>186.23</v>
      </c>
      <c r="V2524" s="4">
        <v>211.75</v>
      </c>
      <c r="W2524" t="s">
        <v>21</v>
      </c>
      <c r="X2524" t="s">
        <v>36</v>
      </c>
      <c r="Y2524" s="4">
        <v>18</v>
      </c>
      <c r="Z2524" s="4">
        <v>7</v>
      </c>
      <c r="AA2524" t="s">
        <v>52</v>
      </c>
      <c r="AB2524" t="s">
        <v>38</v>
      </c>
      <c r="AC2524" s="7">
        <v>0</v>
      </c>
      <c r="AD2524" t="s">
        <v>39</v>
      </c>
      <c r="AE2524">
        <f t="shared" si="39"/>
        <v>0</v>
      </c>
    </row>
    <row r="2525" spans="1:31" x14ac:dyDescent="0.35">
      <c r="A2525">
        <v>102524</v>
      </c>
      <c r="B2525" s="3">
        <v>45996</v>
      </c>
      <c r="C2525">
        <v>1148</v>
      </c>
      <c r="D2525" t="s">
        <v>59</v>
      </c>
      <c r="E2525" t="s">
        <v>73</v>
      </c>
      <c r="F2525" t="s">
        <v>49</v>
      </c>
      <c r="G2525" t="s">
        <v>46</v>
      </c>
      <c r="H2525" t="s">
        <v>34</v>
      </c>
      <c r="I2525" t="s">
        <v>69</v>
      </c>
      <c r="J2525" s="4">
        <v>19.87</v>
      </c>
      <c r="K2525" s="4">
        <v>16.079999999999998</v>
      </c>
      <c r="L2525">
        <v>0</v>
      </c>
      <c r="M2525" s="4">
        <v>0</v>
      </c>
      <c r="N2525" s="4">
        <v>319.51</v>
      </c>
      <c r="O2525" s="4">
        <v>175.36</v>
      </c>
      <c r="P2525" s="4">
        <v>5.0199999999999996</v>
      </c>
      <c r="Q2525" s="4">
        <v>1.28</v>
      </c>
      <c r="R2525" s="4">
        <v>2.81</v>
      </c>
      <c r="S2525" s="4">
        <v>298.58999999999997</v>
      </c>
      <c r="T2525" s="4">
        <v>0</v>
      </c>
      <c r="U2525" s="4">
        <v>483.06</v>
      </c>
      <c r="V2525" s="4">
        <v>-163.55000000000001</v>
      </c>
      <c r="W2525" t="s">
        <v>58</v>
      </c>
      <c r="X2525" t="s">
        <v>66</v>
      </c>
      <c r="Y2525" s="4">
        <v>4</v>
      </c>
      <c r="Z2525" s="4">
        <v>7</v>
      </c>
      <c r="AA2525" t="s">
        <v>37</v>
      </c>
      <c r="AB2525" t="s">
        <v>38</v>
      </c>
      <c r="AC2525" s="7">
        <v>1</v>
      </c>
      <c r="AD2525" t="s">
        <v>45</v>
      </c>
      <c r="AE2525">
        <f t="shared" si="39"/>
        <v>0</v>
      </c>
    </row>
    <row r="2526" spans="1:31" x14ac:dyDescent="0.35">
      <c r="A2526">
        <v>102525</v>
      </c>
      <c r="B2526" s="3">
        <v>45962</v>
      </c>
      <c r="C2526">
        <v>1019</v>
      </c>
      <c r="D2526" t="s">
        <v>30</v>
      </c>
      <c r="E2526" t="s">
        <v>31</v>
      </c>
      <c r="F2526" t="s">
        <v>61</v>
      </c>
      <c r="G2526" t="s">
        <v>50</v>
      </c>
      <c r="H2526" t="s">
        <v>34</v>
      </c>
      <c r="I2526" t="s">
        <v>42</v>
      </c>
      <c r="J2526" s="4">
        <v>25.36</v>
      </c>
      <c r="K2526" s="4">
        <v>17.12</v>
      </c>
      <c r="L2526">
        <v>5</v>
      </c>
      <c r="M2526" s="4">
        <v>21.71</v>
      </c>
      <c r="N2526" s="4">
        <v>412.45</v>
      </c>
      <c r="O2526" s="4">
        <v>167.18</v>
      </c>
      <c r="P2526" s="4">
        <v>9.09</v>
      </c>
      <c r="Q2526" s="4">
        <v>6.51</v>
      </c>
      <c r="R2526" s="4">
        <v>6.79</v>
      </c>
      <c r="S2526" s="4">
        <v>0</v>
      </c>
      <c r="T2526" s="4">
        <v>0</v>
      </c>
      <c r="U2526" s="4">
        <v>189.57</v>
      </c>
      <c r="V2526" s="4">
        <v>222.88</v>
      </c>
      <c r="W2526" t="s">
        <v>21</v>
      </c>
      <c r="X2526" t="s">
        <v>36</v>
      </c>
      <c r="Y2526" s="4">
        <v>10</v>
      </c>
      <c r="Z2526" s="4">
        <v>7</v>
      </c>
      <c r="AA2526" t="s">
        <v>37</v>
      </c>
      <c r="AB2526" t="s">
        <v>38</v>
      </c>
      <c r="AC2526" s="7">
        <v>0</v>
      </c>
      <c r="AD2526" t="s">
        <v>39</v>
      </c>
      <c r="AE2526">
        <f t="shared" si="39"/>
        <v>0</v>
      </c>
    </row>
    <row r="2527" spans="1:31" x14ac:dyDescent="0.35">
      <c r="A2527">
        <v>102526</v>
      </c>
      <c r="B2527" s="3">
        <v>45974</v>
      </c>
      <c r="C2527">
        <v>1118</v>
      </c>
      <c r="D2527" t="s">
        <v>59</v>
      </c>
      <c r="E2527" t="s">
        <v>68</v>
      </c>
      <c r="F2527" t="s">
        <v>41</v>
      </c>
      <c r="G2527" t="s">
        <v>46</v>
      </c>
      <c r="H2527" t="s">
        <v>34</v>
      </c>
      <c r="I2527" t="s">
        <v>35</v>
      </c>
      <c r="J2527" s="4">
        <v>34.090000000000003</v>
      </c>
      <c r="K2527" s="4">
        <v>17.03</v>
      </c>
      <c r="L2527">
        <v>5</v>
      </c>
      <c r="M2527" s="4">
        <v>29.03</v>
      </c>
      <c r="N2527" s="4">
        <v>551.52</v>
      </c>
      <c r="O2527" s="4">
        <v>242.3</v>
      </c>
      <c r="P2527" s="4">
        <v>5.13</v>
      </c>
      <c r="Q2527" s="4">
        <v>4.0599999999999996</v>
      </c>
      <c r="R2527" s="4">
        <v>1.6</v>
      </c>
      <c r="S2527" s="4">
        <v>0</v>
      </c>
      <c r="T2527" s="4">
        <v>0</v>
      </c>
      <c r="U2527" s="4">
        <v>253.09</v>
      </c>
      <c r="V2527" s="4">
        <v>298.43</v>
      </c>
      <c r="W2527" t="s">
        <v>21</v>
      </c>
      <c r="X2527" t="s">
        <v>36</v>
      </c>
      <c r="Y2527" s="4">
        <v>17</v>
      </c>
      <c r="Z2527" s="4">
        <v>2</v>
      </c>
      <c r="AA2527" t="s">
        <v>52</v>
      </c>
      <c r="AB2527" t="s">
        <v>38</v>
      </c>
      <c r="AC2527" s="7">
        <v>0</v>
      </c>
      <c r="AD2527" t="s">
        <v>39</v>
      </c>
      <c r="AE2527">
        <f t="shared" si="39"/>
        <v>0</v>
      </c>
    </row>
    <row r="2528" spans="1:31" x14ac:dyDescent="0.35">
      <c r="A2528">
        <v>102527</v>
      </c>
      <c r="B2528" s="3">
        <v>46022</v>
      </c>
      <c r="C2528">
        <v>1149</v>
      </c>
      <c r="D2528" t="s">
        <v>30</v>
      </c>
      <c r="E2528" t="s">
        <v>31</v>
      </c>
      <c r="F2528" t="s">
        <v>71</v>
      </c>
      <c r="G2528" t="s">
        <v>46</v>
      </c>
      <c r="H2528" t="s">
        <v>51</v>
      </c>
      <c r="I2528" t="s">
        <v>42</v>
      </c>
      <c r="J2528" s="4">
        <v>18.91</v>
      </c>
      <c r="K2528" s="4">
        <v>15.77</v>
      </c>
      <c r="L2528">
        <v>0</v>
      </c>
      <c r="M2528" s="4">
        <v>0</v>
      </c>
      <c r="N2528" s="4">
        <v>298.20999999999998</v>
      </c>
      <c r="O2528" s="4">
        <v>127.35</v>
      </c>
      <c r="P2528" s="4">
        <v>6.79</v>
      </c>
      <c r="Q2528" s="4">
        <v>4.47</v>
      </c>
      <c r="R2528" s="4">
        <v>7.82</v>
      </c>
      <c r="S2528" s="4">
        <v>0</v>
      </c>
      <c r="T2528" s="4">
        <v>0</v>
      </c>
      <c r="U2528" s="4">
        <v>146.43</v>
      </c>
      <c r="V2528" s="4">
        <v>151.78</v>
      </c>
      <c r="W2528" t="s">
        <v>21</v>
      </c>
      <c r="X2528" t="s">
        <v>36</v>
      </c>
      <c r="Y2528" s="4">
        <v>2</v>
      </c>
      <c r="Z2528" s="4">
        <v>23</v>
      </c>
      <c r="AA2528" t="s">
        <v>37</v>
      </c>
      <c r="AB2528" t="s">
        <v>44</v>
      </c>
      <c r="AC2528" s="7">
        <v>2</v>
      </c>
      <c r="AD2528" t="s">
        <v>45</v>
      </c>
      <c r="AE2528">
        <f t="shared" si="39"/>
        <v>1</v>
      </c>
    </row>
    <row r="2529" spans="1:31" x14ac:dyDescent="0.35">
      <c r="A2529">
        <v>102528</v>
      </c>
      <c r="B2529" s="3">
        <v>45935</v>
      </c>
      <c r="C2529">
        <v>1079</v>
      </c>
      <c r="D2529" t="s">
        <v>47</v>
      </c>
      <c r="E2529" t="s">
        <v>74</v>
      </c>
      <c r="F2529" t="s">
        <v>41</v>
      </c>
      <c r="G2529" t="s">
        <v>50</v>
      </c>
      <c r="H2529" t="s">
        <v>34</v>
      </c>
      <c r="I2529" t="s">
        <v>42</v>
      </c>
      <c r="J2529" s="4">
        <v>33.93</v>
      </c>
      <c r="K2529" s="4">
        <v>16.8</v>
      </c>
      <c r="L2529">
        <v>20</v>
      </c>
      <c r="M2529" s="4">
        <v>114</v>
      </c>
      <c r="N2529" s="4">
        <v>456.02</v>
      </c>
      <c r="O2529" s="4">
        <v>279.66000000000003</v>
      </c>
      <c r="P2529" s="4">
        <v>10.99</v>
      </c>
      <c r="Q2529" s="4">
        <v>8.5500000000000007</v>
      </c>
      <c r="R2529" s="4">
        <v>9.27</v>
      </c>
      <c r="S2529" s="4">
        <v>0</v>
      </c>
      <c r="T2529" s="4">
        <v>0</v>
      </c>
      <c r="U2529" s="4">
        <v>308.47000000000003</v>
      </c>
      <c r="V2529" s="4">
        <v>147.55000000000001</v>
      </c>
      <c r="W2529" t="s">
        <v>21</v>
      </c>
      <c r="X2529" t="s">
        <v>36</v>
      </c>
      <c r="Y2529" s="4">
        <v>6</v>
      </c>
      <c r="Z2529" s="4">
        <v>10</v>
      </c>
      <c r="AA2529" t="s">
        <v>37</v>
      </c>
      <c r="AB2529" t="s">
        <v>38</v>
      </c>
      <c r="AC2529" s="7">
        <v>0</v>
      </c>
      <c r="AD2529" t="s">
        <v>39</v>
      </c>
      <c r="AE2529">
        <f t="shared" si="39"/>
        <v>0</v>
      </c>
    </row>
    <row r="2530" spans="1:31" x14ac:dyDescent="0.35">
      <c r="A2530">
        <v>102529</v>
      </c>
      <c r="B2530" s="3">
        <v>46017</v>
      </c>
      <c r="C2530">
        <v>1042</v>
      </c>
      <c r="D2530" t="s">
        <v>30</v>
      </c>
      <c r="E2530" t="s">
        <v>31</v>
      </c>
      <c r="F2530" t="s">
        <v>61</v>
      </c>
      <c r="G2530" t="s">
        <v>33</v>
      </c>
      <c r="H2530" t="s">
        <v>51</v>
      </c>
      <c r="I2530" t="s">
        <v>35</v>
      </c>
      <c r="J2530" s="4">
        <v>17.079999999999998</v>
      </c>
      <c r="K2530" s="4">
        <v>19.48</v>
      </c>
      <c r="L2530">
        <v>20</v>
      </c>
      <c r="M2530" s="4">
        <v>66.540000000000006</v>
      </c>
      <c r="N2530" s="4">
        <v>266.18</v>
      </c>
      <c r="O2530" s="4">
        <v>141.53</v>
      </c>
      <c r="P2530" s="4">
        <v>4.78</v>
      </c>
      <c r="Q2530" s="4">
        <v>2.33</v>
      </c>
      <c r="R2530" s="4">
        <v>9.7799999999999994</v>
      </c>
      <c r="S2530" s="4">
        <v>0</v>
      </c>
      <c r="T2530" s="4">
        <v>0</v>
      </c>
      <c r="U2530" s="4">
        <v>158.41999999999999</v>
      </c>
      <c r="V2530" s="4">
        <v>107.76</v>
      </c>
      <c r="W2530" t="s">
        <v>21</v>
      </c>
      <c r="X2530" t="s">
        <v>36</v>
      </c>
      <c r="Y2530" s="4">
        <v>5</v>
      </c>
      <c r="Z2530" s="4">
        <v>3</v>
      </c>
      <c r="AA2530" t="s">
        <v>37</v>
      </c>
      <c r="AB2530" t="s">
        <v>38</v>
      </c>
      <c r="AC2530" s="7">
        <v>0</v>
      </c>
      <c r="AD2530" t="s">
        <v>39</v>
      </c>
      <c r="AE2530">
        <f t="shared" si="39"/>
        <v>0</v>
      </c>
    </row>
    <row r="2531" spans="1:31" x14ac:dyDescent="0.35">
      <c r="A2531">
        <v>102530</v>
      </c>
      <c r="B2531" s="3">
        <v>45980</v>
      </c>
      <c r="C2531">
        <v>1043</v>
      </c>
      <c r="D2531" t="s">
        <v>30</v>
      </c>
      <c r="E2531" t="s">
        <v>40</v>
      </c>
      <c r="F2531" t="s">
        <v>41</v>
      </c>
      <c r="G2531" t="s">
        <v>50</v>
      </c>
      <c r="H2531" t="s">
        <v>34</v>
      </c>
      <c r="I2531" t="s">
        <v>69</v>
      </c>
      <c r="J2531" s="4">
        <v>15.38</v>
      </c>
      <c r="K2531" s="4">
        <v>18.100000000000001</v>
      </c>
      <c r="L2531">
        <v>15</v>
      </c>
      <c r="M2531" s="4">
        <v>41.76</v>
      </c>
      <c r="N2531" s="4">
        <v>236.62</v>
      </c>
      <c r="O2531" s="4">
        <v>119.35</v>
      </c>
      <c r="P2531" s="4">
        <v>9.01</v>
      </c>
      <c r="Q2531" s="4">
        <v>1.1100000000000001</v>
      </c>
      <c r="R2531" s="4">
        <v>3.6</v>
      </c>
      <c r="S2531" s="4">
        <v>242.15</v>
      </c>
      <c r="T2531" s="4">
        <v>0</v>
      </c>
      <c r="U2531" s="4">
        <v>375.22</v>
      </c>
      <c r="V2531" s="4">
        <v>-138.6</v>
      </c>
      <c r="W2531" t="s">
        <v>58</v>
      </c>
      <c r="X2531" t="s">
        <v>66</v>
      </c>
      <c r="Y2531" s="4">
        <v>33</v>
      </c>
      <c r="Z2531" s="4">
        <v>2</v>
      </c>
      <c r="AA2531" t="s">
        <v>43</v>
      </c>
      <c r="AB2531" t="s">
        <v>44</v>
      </c>
      <c r="AC2531" s="7">
        <v>2</v>
      </c>
      <c r="AD2531" t="s">
        <v>45</v>
      </c>
      <c r="AE2531">
        <f t="shared" si="39"/>
        <v>1</v>
      </c>
    </row>
    <row r="2532" spans="1:31" x14ac:dyDescent="0.35">
      <c r="A2532">
        <v>102531</v>
      </c>
      <c r="B2532" s="3">
        <v>45975</v>
      </c>
      <c r="C2532">
        <v>1013</v>
      </c>
      <c r="D2532" t="s">
        <v>30</v>
      </c>
      <c r="E2532" t="s">
        <v>62</v>
      </c>
      <c r="F2532" t="s">
        <v>49</v>
      </c>
      <c r="G2532" t="s">
        <v>63</v>
      </c>
      <c r="H2532" t="s">
        <v>57</v>
      </c>
      <c r="I2532" t="s">
        <v>54</v>
      </c>
      <c r="J2532" s="4">
        <v>8.91</v>
      </c>
      <c r="K2532" s="4">
        <v>13.18</v>
      </c>
      <c r="L2532">
        <v>5</v>
      </c>
      <c r="M2532" s="4">
        <v>5.87</v>
      </c>
      <c r="N2532" s="4">
        <v>111.56</v>
      </c>
      <c r="O2532" s="4">
        <v>75.23</v>
      </c>
      <c r="P2532" s="4">
        <v>4.2699999999999996</v>
      </c>
      <c r="Q2532" s="4">
        <v>1.41</v>
      </c>
      <c r="R2532" s="4">
        <v>8.58</v>
      </c>
      <c r="S2532" s="4">
        <v>0</v>
      </c>
      <c r="T2532" s="4">
        <v>0</v>
      </c>
      <c r="U2532" s="4">
        <v>89.49</v>
      </c>
      <c r="V2532" s="4">
        <v>22.07</v>
      </c>
      <c r="W2532" t="s">
        <v>21</v>
      </c>
      <c r="X2532" t="s">
        <v>36</v>
      </c>
      <c r="Y2532" s="4">
        <v>10</v>
      </c>
      <c r="Z2532" s="4">
        <v>11</v>
      </c>
      <c r="AA2532" t="s">
        <v>37</v>
      </c>
      <c r="AB2532" t="s">
        <v>38</v>
      </c>
      <c r="AC2532" s="7">
        <v>0</v>
      </c>
      <c r="AD2532" t="s">
        <v>39</v>
      </c>
      <c r="AE2532">
        <f t="shared" si="39"/>
        <v>0</v>
      </c>
    </row>
    <row r="2533" spans="1:31" x14ac:dyDescent="0.35">
      <c r="A2533">
        <v>102532</v>
      </c>
      <c r="B2533" s="3">
        <v>46011</v>
      </c>
      <c r="C2533">
        <v>1099</v>
      </c>
      <c r="D2533" t="s">
        <v>30</v>
      </c>
      <c r="E2533" t="s">
        <v>31</v>
      </c>
      <c r="F2533" t="s">
        <v>49</v>
      </c>
      <c r="G2533" t="s">
        <v>46</v>
      </c>
      <c r="H2533" t="s">
        <v>34</v>
      </c>
      <c r="I2533" t="s">
        <v>35</v>
      </c>
      <c r="J2533" s="4">
        <v>32.270000000000003</v>
      </c>
      <c r="K2533" s="4">
        <v>17.7</v>
      </c>
      <c r="L2533">
        <v>5</v>
      </c>
      <c r="M2533" s="4">
        <v>28.56</v>
      </c>
      <c r="N2533" s="4">
        <v>542.62</v>
      </c>
      <c r="O2533" s="4">
        <v>223.53</v>
      </c>
      <c r="P2533" s="4">
        <v>3.17</v>
      </c>
      <c r="Q2533" s="4">
        <v>4</v>
      </c>
      <c r="R2533" s="4">
        <v>4.6100000000000003</v>
      </c>
      <c r="S2533" s="4">
        <v>0</v>
      </c>
      <c r="T2533" s="4">
        <v>0</v>
      </c>
      <c r="U2533" s="4">
        <v>235.31</v>
      </c>
      <c r="V2533" s="4">
        <v>307.31</v>
      </c>
      <c r="W2533" t="s">
        <v>21</v>
      </c>
      <c r="X2533" t="s">
        <v>36</v>
      </c>
      <c r="Y2533" s="4">
        <v>1</v>
      </c>
      <c r="Z2533" s="4">
        <v>12</v>
      </c>
      <c r="AA2533" t="s">
        <v>37</v>
      </c>
      <c r="AB2533" t="s">
        <v>38</v>
      </c>
      <c r="AC2533" s="7">
        <v>0</v>
      </c>
      <c r="AD2533" t="s">
        <v>39</v>
      </c>
      <c r="AE2533">
        <f t="shared" si="39"/>
        <v>0</v>
      </c>
    </row>
    <row r="2534" spans="1:31" x14ac:dyDescent="0.35">
      <c r="A2534">
        <v>102533</v>
      </c>
      <c r="B2534" s="3">
        <v>45934</v>
      </c>
      <c r="C2534">
        <v>1106</v>
      </c>
      <c r="D2534" t="s">
        <v>47</v>
      </c>
      <c r="E2534" t="s">
        <v>53</v>
      </c>
      <c r="F2534" t="s">
        <v>32</v>
      </c>
      <c r="G2534" t="s">
        <v>50</v>
      </c>
      <c r="H2534" t="s">
        <v>57</v>
      </c>
      <c r="I2534" t="s">
        <v>35</v>
      </c>
      <c r="J2534" s="4">
        <v>41.18</v>
      </c>
      <c r="K2534" s="4">
        <v>19.45</v>
      </c>
      <c r="L2534">
        <v>0</v>
      </c>
      <c r="M2534" s="4">
        <v>0</v>
      </c>
      <c r="N2534" s="4">
        <v>800.95</v>
      </c>
      <c r="O2534" s="4">
        <v>307.74</v>
      </c>
      <c r="P2534" s="4">
        <v>2.61</v>
      </c>
      <c r="Q2534" s="4">
        <v>5.61</v>
      </c>
      <c r="R2534" s="4">
        <v>3.57</v>
      </c>
      <c r="S2534" s="4">
        <v>0</v>
      </c>
      <c r="T2534" s="4">
        <v>0</v>
      </c>
      <c r="U2534" s="4">
        <v>319.52999999999997</v>
      </c>
      <c r="V2534" s="4">
        <v>481.42</v>
      </c>
      <c r="W2534" t="s">
        <v>21</v>
      </c>
      <c r="X2534" t="s">
        <v>36</v>
      </c>
      <c r="Y2534" s="4">
        <v>4</v>
      </c>
      <c r="Z2534" s="4">
        <v>5</v>
      </c>
      <c r="AA2534" t="s">
        <v>37</v>
      </c>
      <c r="AB2534" t="s">
        <v>38</v>
      </c>
      <c r="AC2534" s="7">
        <v>0</v>
      </c>
      <c r="AD2534" t="s">
        <v>39</v>
      </c>
      <c r="AE2534">
        <f t="shared" si="39"/>
        <v>0</v>
      </c>
    </row>
    <row r="2535" spans="1:31" x14ac:dyDescent="0.35">
      <c r="A2535">
        <v>102534</v>
      </c>
      <c r="B2535" s="3">
        <v>45968</v>
      </c>
      <c r="C2535">
        <v>1062</v>
      </c>
      <c r="D2535" t="s">
        <v>64</v>
      </c>
      <c r="E2535" t="s">
        <v>65</v>
      </c>
      <c r="F2535" t="s">
        <v>71</v>
      </c>
      <c r="G2535" t="s">
        <v>50</v>
      </c>
      <c r="H2535" t="s">
        <v>34</v>
      </c>
      <c r="I2535" t="s">
        <v>35</v>
      </c>
      <c r="J2535" s="4">
        <v>37.44</v>
      </c>
      <c r="K2535" s="4">
        <v>18.010000000000002</v>
      </c>
      <c r="L2535">
        <v>10</v>
      </c>
      <c r="M2535" s="4">
        <v>67.430000000000007</v>
      </c>
      <c r="N2535" s="4">
        <v>606.86</v>
      </c>
      <c r="O2535" s="4">
        <v>269.77</v>
      </c>
      <c r="P2535" s="4">
        <v>8.73</v>
      </c>
      <c r="Q2535" s="4">
        <v>4.72</v>
      </c>
      <c r="R2535" s="4">
        <v>2.41</v>
      </c>
      <c r="S2535" s="4">
        <v>0</v>
      </c>
      <c r="T2535" s="4">
        <v>0</v>
      </c>
      <c r="U2535" s="4">
        <v>285.63</v>
      </c>
      <c r="V2535" s="4">
        <v>321.23</v>
      </c>
      <c r="W2535" t="s">
        <v>21</v>
      </c>
      <c r="X2535" t="s">
        <v>36</v>
      </c>
      <c r="Y2535" s="4">
        <v>2</v>
      </c>
      <c r="Z2535" s="4">
        <v>0</v>
      </c>
      <c r="AA2535" t="s">
        <v>37</v>
      </c>
      <c r="AB2535" t="s">
        <v>38</v>
      </c>
      <c r="AC2535" s="7">
        <v>0</v>
      </c>
      <c r="AD2535" t="s">
        <v>39</v>
      </c>
      <c r="AE2535">
        <f t="shared" si="39"/>
        <v>0</v>
      </c>
    </row>
    <row r="2536" spans="1:31" x14ac:dyDescent="0.35">
      <c r="A2536">
        <v>102535</v>
      </c>
      <c r="B2536" s="3">
        <v>45991</v>
      </c>
      <c r="C2536">
        <v>1025</v>
      </c>
      <c r="D2536" t="s">
        <v>64</v>
      </c>
      <c r="E2536" t="s">
        <v>75</v>
      </c>
      <c r="F2536" t="s">
        <v>61</v>
      </c>
      <c r="G2536" t="s">
        <v>63</v>
      </c>
      <c r="H2536" t="s">
        <v>34</v>
      </c>
      <c r="I2536" t="s">
        <v>69</v>
      </c>
      <c r="J2536" s="4">
        <v>12.07</v>
      </c>
      <c r="K2536" s="4">
        <v>12.73</v>
      </c>
      <c r="L2536">
        <v>0</v>
      </c>
      <c r="M2536" s="4">
        <v>0</v>
      </c>
      <c r="N2536" s="4">
        <v>153.65</v>
      </c>
      <c r="O2536" s="4">
        <v>77.930000000000007</v>
      </c>
      <c r="P2536" s="4">
        <v>5.53</v>
      </c>
      <c r="Q2536" s="4">
        <v>0.61</v>
      </c>
      <c r="R2536" s="4">
        <v>8.89</v>
      </c>
      <c r="S2536" s="4">
        <v>0</v>
      </c>
      <c r="T2536" s="4">
        <v>0</v>
      </c>
      <c r="U2536" s="4">
        <v>92.96</v>
      </c>
      <c r="V2536" s="4">
        <v>60.69</v>
      </c>
      <c r="W2536" t="s">
        <v>21</v>
      </c>
      <c r="X2536" t="s">
        <v>36</v>
      </c>
      <c r="Y2536" s="4">
        <v>21</v>
      </c>
      <c r="Z2536" s="4">
        <v>8</v>
      </c>
      <c r="AA2536" t="s">
        <v>52</v>
      </c>
      <c r="AB2536" t="s">
        <v>44</v>
      </c>
      <c r="AC2536" s="7">
        <v>3</v>
      </c>
      <c r="AD2536" t="s">
        <v>45</v>
      </c>
      <c r="AE2536">
        <f t="shared" si="39"/>
        <v>1</v>
      </c>
    </row>
    <row r="2537" spans="1:31" x14ac:dyDescent="0.35">
      <c r="A2537">
        <v>102536</v>
      </c>
      <c r="B2537" s="3">
        <v>45958</v>
      </c>
      <c r="C2537">
        <v>1068</v>
      </c>
      <c r="D2537" t="s">
        <v>59</v>
      </c>
      <c r="E2537" t="s">
        <v>73</v>
      </c>
      <c r="F2537" t="s">
        <v>41</v>
      </c>
      <c r="G2537" t="s">
        <v>46</v>
      </c>
      <c r="H2537" t="s">
        <v>34</v>
      </c>
      <c r="I2537" t="s">
        <v>42</v>
      </c>
      <c r="J2537" s="4">
        <v>32.799999999999997</v>
      </c>
      <c r="K2537" s="4">
        <v>16.39</v>
      </c>
      <c r="L2537">
        <v>5</v>
      </c>
      <c r="M2537" s="4">
        <v>26.88</v>
      </c>
      <c r="N2537" s="4">
        <v>510.71</v>
      </c>
      <c r="O2537" s="4">
        <v>231.06</v>
      </c>
      <c r="P2537" s="4">
        <v>6.78</v>
      </c>
      <c r="Q2537" s="4">
        <v>8.06</v>
      </c>
      <c r="R2537" s="4">
        <v>1.64</v>
      </c>
      <c r="S2537" s="4">
        <v>0</v>
      </c>
      <c r="T2537" s="4">
        <v>0</v>
      </c>
      <c r="U2537" s="4">
        <v>247.54</v>
      </c>
      <c r="V2537" s="4">
        <v>263.17</v>
      </c>
      <c r="W2537" t="s">
        <v>21</v>
      </c>
      <c r="X2537" t="s">
        <v>36</v>
      </c>
      <c r="Y2537" s="4">
        <v>10</v>
      </c>
      <c r="Z2537" s="4">
        <v>0</v>
      </c>
      <c r="AA2537" t="s">
        <v>37</v>
      </c>
      <c r="AB2537" t="s">
        <v>38</v>
      </c>
      <c r="AC2537" s="7">
        <v>0</v>
      </c>
      <c r="AD2537" t="s">
        <v>39</v>
      </c>
      <c r="AE2537">
        <f t="shared" si="39"/>
        <v>0</v>
      </c>
    </row>
    <row r="2538" spans="1:31" x14ac:dyDescent="0.35">
      <c r="A2538">
        <v>102537</v>
      </c>
      <c r="B2538" s="3">
        <v>45991</v>
      </c>
      <c r="C2538">
        <v>1078</v>
      </c>
      <c r="D2538" t="s">
        <v>47</v>
      </c>
      <c r="E2538" t="s">
        <v>56</v>
      </c>
      <c r="F2538" t="s">
        <v>49</v>
      </c>
      <c r="G2538" t="s">
        <v>46</v>
      </c>
      <c r="H2538" t="s">
        <v>34</v>
      </c>
      <c r="I2538" t="s">
        <v>35</v>
      </c>
      <c r="J2538" s="4">
        <v>17.53</v>
      </c>
      <c r="K2538" s="4">
        <v>15.69</v>
      </c>
      <c r="L2538">
        <v>0</v>
      </c>
      <c r="M2538" s="4">
        <v>0</v>
      </c>
      <c r="N2538" s="4">
        <v>275.05</v>
      </c>
      <c r="O2538" s="4">
        <v>125</v>
      </c>
      <c r="P2538" s="4">
        <v>4.26</v>
      </c>
      <c r="Q2538" s="4">
        <v>1.93</v>
      </c>
      <c r="R2538" s="4">
        <v>3.64</v>
      </c>
      <c r="S2538" s="4">
        <v>109.72</v>
      </c>
      <c r="T2538" s="4">
        <v>0</v>
      </c>
      <c r="U2538" s="4">
        <v>244.55</v>
      </c>
      <c r="V2538" s="4">
        <v>30.5</v>
      </c>
      <c r="W2538" t="s">
        <v>21</v>
      </c>
      <c r="X2538" t="s">
        <v>66</v>
      </c>
      <c r="Y2538" s="4">
        <v>12</v>
      </c>
      <c r="Z2538" s="4">
        <v>34</v>
      </c>
      <c r="AA2538" t="s">
        <v>37</v>
      </c>
      <c r="AB2538" t="s">
        <v>44</v>
      </c>
      <c r="AC2538" s="7">
        <v>3</v>
      </c>
      <c r="AD2538" t="s">
        <v>45</v>
      </c>
      <c r="AE2538">
        <f t="shared" si="39"/>
        <v>1</v>
      </c>
    </row>
    <row r="2539" spans="1:31" x14ac:dyDescent="0.35">
      <c r="A2539">
        <v>102538</v>
      </c>
      <c r="B2539" s="3">
        <v>45981</v>
      </c>
      <c r="C2539">
        <v>1052</v>
      </c>
      <c r="D2539" t="s">
        <v>59</v>
      </c>
      <c r="E2539" t="s">
        <v>60</v>
      </c>
      <c r="F2539" t="s">
        <v>71</v>
      </c>
      <c r="G2539" t="s">
        <v>63</v>
      </c>
      <c r="H2539" t="s">
        <v>34</v>
      </c>
      <c r="I2539" t="s">
        <v>35</v>
      </c>
      <c r="J2539" s="4">
        <v>26.76</v>
      </c>
      <c r="K2539" s="4">
        <v>12.82</v>
      </c>
      <c r="L2539">
        <v>5</v>
      </c>
      <c r="M2539" s="4">
        <v>17.149999999999999</v>
      </c>
      <c r="N2539" s="4">
        <v>325.91000000000003</v>
      </c>
      <c r="O2539" s="4">
        <v>199.04</v>
      </c>
      <c r="P2539" s="4">
        <v>8.61</v>
      </c>
      <c r="Q2539" s="4">
        <v>2.4</v>
      </c>
      <c r="R2539" s="4">
        <v>6.65</v>
      </c>
      <c r="S2539" s="4">
        <v>277.43</v>
      </c>
      <c r="T2539" s="4">
        <v>0</v>
      </c>
      <c r="U2539" s="4">
        <v>494.13</v>
      </c>
      <c r="V2539" s="4">
        <v>-168.22</v>
      </c>
      <c r="W2539" t="s">
        <v>58</v>
      </c>
      <c r="X2539" t="s">
        <v>55</v>
      </c>
      <c r="Y2539" s="4">
        <v>4</v>
      </c>
      <c r="Z2539" s="4">
        <v>2</v>
      </c>
      <c r="AA2539" t="s">
        <v>37</v>
      </c>
      <c r="AB2539" t="s">
        <v>44</v>
      </c>
      <c r="AC2539" s="7">
        <v>2</v>
      </c>
      <c r="AD2539" t="s">
        <v>45</v>
      </c>
      <c r="AE2539">
        <f t="shared" si="39"/>
        <v>1</v>
      </c>
    </row>
    <row r="2540" spans="1:31" x14ac:dyDescent="0.35">
      <c r="A2540">
        <v>102539</v>
      </c>
      <c r="B2540" s="3">
        <v>45987</v>
      </c>
      <c r="C2540">
        <v>1123</v>
      </c>
      <c r="D2540" t="s">
        <v>59</v>
      </c>
      <c r="E2540" t="s">
        <v>60</v>
      </c>
      <c r="F2540" t="s">
        <v>61</v>
      </c>
      <c r="G2540" t="s">
        <v>63</v>
      </c>
      <c r="H2540" t="s">
        <v>34</v>
      </c>
      <c r="I2540" t="s">
        <v>69</v>
      </c>
      <c r="J2540" s="4">
        <v>36.229999999999997</v>
      </c>
      <c r="K2540" s="4">
        <v>12.33</v>
      </c>
      <c r="L2540">
        <v>0</v>
      </c>
      <c r="M2540" s="4">
        <v>0</v>
      </c>
      <c r="N2540" s="4">
        <v>446.72</v>
      </c>
      <c r="O2540" s="4">
        <v>261.19</v>
      </c>
      <c r="P2540" s="4">
        <v>9.73</v>
      </c>
      <c r="Q2540" s="4">
        <v>1.79</v>
      </c>
      <c r="R2540" s="4">
        <v>11.52</v>
      </c>
      <c r="S2540" s="4">
        <v>0</v>
      </c>
      <c r="T2540" s="4">
        <v>0</v>
      </c>
      <c r="U2540" s="4">
        <v>284.23</v>
      </c>
      <c r="V2540" s="4">
        <v>162.49</v>
      </c>
      <c r="W2540" t="s">
        <v>21</v>
      </c>
      <c r="X2540" t="s">
        <v>36</v>
      </c>
      <c r="Y2540" s="4">
        <v>4</v>
      </c>
      <c r="Z2540" s="4">
        <v>6</v>
      </c>
      <c r="AA2540" t="s">
        <v>37</v>
      </c>
      <c r="AB2540" t="s">
        <v>38</v>
      </c>
      <c r="AC2540" s="7">
        <v>0</v>
      </c>
      <c r="AD2540" t="s">
        <v>39</v>
      </c>
      <c r="AE2540">
        <f t="shared" si="39"/>
        <v>0</v>
      </c>
    </row>
    <row r="2541" spans="1:31" x14ac:dyDescent="0.35">
      <c r="A2541">
        <v>102540</v>
      </c>
      <c r="B2541" s="3">
        <v>46022</v>
      </c>
      <c r="C2541">
        <v>1063</v>
      </c>
      <c r="D2541" t="s">
        <v>59</v>
      </c>
      <c r="E2541" t="s">
        <v>60</v>
      </c>
      <c r="F2541" t="s">
        <v>49</v>
      </c>
      <c r="G2541" t="s">
        <v>63</v>
      </c>
      <c r="H2541" t="s">
        <v>34</v>
      </c>
      <c r="I2541" t="s">
        <v>69</v>
      </c>
      <c r="J2541" s="4">
        <v>12.76</v>
      </c>
      <c r="K2541" s="4">
        <v>12.24</v>
      </c>
      <c r="L2541">
        <v>5</v>
      </c>
      <c r="M2541" s="4">
        <v>7.81</v>
      </c>
      <c r="N2541" s="4">
        <v>148.37</v>
      </c>
      <c r="O2541" s="4">
        <v>96.15</v>
      </c>
      <c r="P2541" s="4">
        <v>12.27</v>
      </c>
      <c r="Q2541" s="4">
        <v>0.62</v>
      </c>
      <c r="R2541" s="4">
        <v>10.02</v>
      </c>
      <c r="S2541" s="4">
        <v>0</v>
      </c>
      <c r="T2541" s="4">
        <v>0</v>
      </c>
      <c r="U2541" s="4">
        <v>119.06</v>
      </c>
      <c r="V2541" s="4">
        <v>29.31</v>
      </c>
      <c r="W2541" t="s">
        <v>21</v>
      </c>
      <c r="X2541" t="s">
        <v>36</v>
      </c>
      <c r="Y2541" s="4">
        <v>2</v>
      </c>
      <c r="Z2541" s="4">
        <v>0</v>
      </c>
      <c r="AA2541" t="s">
        <v>37</v>
      </c>
      <c r="AB2541" t="s">
        <v>38</v>
      </c>
      <c r="AC2541" s="7">
        <v>0</v>
      </c>
      <c r="AD2541" t="s">
        <v>39</v>
      </c>
      <c r="AE2541">
        <f t="shared" si="39"/>
        <v>0</v>
      </c>
    </row>
    <row r="2542" spans="1:31" x14ac:dyDescent="0.35">
      <c r="A2542">
        <v>102541</v>
      </c>
      <c r="B2542" s="3">
        <v>46005</v>
      </c>
      <c r="C2542">
        <v>1088</v>
      </c>
      <c r="D2542" t="s">
        <v>59</v>
      </c>
      <c r="E2542" t="s">
        <v>60</v>
      </c>
      <c r="F2542" t="s">
        <v>61</v>
      </c>
      <c r="G2542" t="s">
        <v>63</v>
      </c>
      <c r="H2542" t="s">
        <v>57</v>
      </c>
      <c r="I2542" t="s">
        <v>69</v>
      </c>
      <c r="J2542" s="4">
        <v>14.38</v>
      </c>
      <c r="K2542" s="4">
        <v>11.52</v>
      </c>
      <c r="L2542">
        <v>5</v>
      </c>
      <c r="M2542" s="4">
        <v>8.2799999999999994</v>
      </c>
      <c r="N2542" s="4">
        <v>157.38</v>
      </c>
      <c r="O2542" s="4">
        <v>115.88</v>
      </c>
      <c r="P2542" s="4">
        <v>11.57</v>
      </c>
      <c r="Q2542" s="4">
        <v>0.66</v>
      </c>
      <c r="R2542" s="4">
        <v>0</v>
      </c>
      <c r="S2542" s="4">
        <v>0</v>
      </c>
      <c r="T2542" s="4">
        <v>0</v>
      </c>
      <c r="U2542" s="4">
        <v>128.11000000000001</v>
      </c>
      <c r="V2542" s="4">
        <v>29.27</v>
      </c>
      <c r="W2542" t="s">
        <v>21</v>
      </c>
      <c r="X2542" t="s">
        <v>36</v>
      </c>
      <c r="Y2542" s="4">
        <v>44</v>
      </c>
      <c r="Z2542" s="4">
        <v>19</v>
      </c>
      <c r="AA2542" t="s">
        <v>43</v>
      </c>
      <c r="AB2542" t="s">
        <v>44</v>
      </c>
      <c r="AC2542" s="7">
        <v>2</v>
      </c>
      <c r="AD2542" t="s">
        <v>45</v>
      </c>
      <c r="AE2542">
        <f t="shared" si="39"/>
        <v>1</v>
      </c>
    </row>
    <row r="2543" spans="1:31" x14ac:dyDescent="0.35">
      <c r="A2543">
        <v>102542</v>
      </c>
      <c r="B2543" s="3">
        <v>45954</v>
      </c>
      <c r="C2543">
        <v>1046</v>
      </c>
      <c r="D2543" t="s">
        <v>30</v>
      </c>
      <c r="E2543" t="s">
        <v>62</v>
      </c>
      <c r="F2543" t="s">
        <v>71</v>
      </c>
      <c r="G2543" t="s">
        <v>46</v>
      </c>
      <c r="H2543" t="s">
        <v>34</v>
      </c>
      <c r="I2543" t="s">
        <v>35</v>
      </c>
      <c r="J2543" s="4">
        <v>40.82</v>
      </c>
      <c r="K2543" s="4">
        <v>16.11</v>
      </c>
      <c r="L2543">
        <v>0</v>
      </c>
      <c r="M2543" s="4">
        <v>0</v>
      </c>
      <c r="N2543" s="4">
        <v>657.61</v>
      </c>
      <c r="O2543" s="4">
        <v>289.39</v>
      </c>
      <c r="P2543" s="4">
        <v>7.31</v>
      </c>
      <c r="Q2543" s="4">
        <v>4.5999999999999996</v>
      </c>
      <c r="R2543" s="4">
        <v>4.8</v>
      </c>
      <c r="S2543" s="4">
        <v>637.64</v>
      </c>
      <c r="T2543" s="4">
        <v>0</v>
      </c>
      <c r="U2543" s="4">
        <v>943.74</v>
      </c>
      <c r="V2543" s="4">
        <v>-286.13</v>
      </c>
      <c r="W2543" t="s">
        <v>58</v>
      </c>
      <c r="X2543" t="s">
        <v>66</v>
      </c>
      <c r="Y2543" s="4">
        <v>12</v>
      </c>
      <c r="Z2543" s="4">
        <v>4</v>
      </c>
      <c r="AA2543" t="s">
        <v>37</v>
      </c>
      <c r="AB2543" t="s">
        <v>38</v>
      </c>
      <c r="AC2543" s="7">
        <v>1</v>
      </c>
      <c r="AD2543" t="s">
        <v>45</v>
      </c>
      <c r="AE2543">
        <f t="shared" si="39"/>
        <v>0</v>
      </c>
    </row>
    <row r="2544" spans="1:31" x14ac:dyDescent="0.35">
      <c r="A2544">
        <v>102543</v>
      </c>
      <c r="B2544" s="3">
        <v>45945</v>
      </c>
      <c r="C2544">
        <v>1023</v>
      </c>
      <c r="D2544" t="s">
        <v>59</v>
      </c>
      <c r="E2544" t="s">
        <v>60</v>
      </c>
      <c r="F2544" t="s">
        <v>32</v>
      </c>
      <c r="G2544" t="s">
        <v>33</v>
      </c>
      <c r="H2544" t="s">
        <v>34</v>
      </c>
      <c r="I2544" t="s">
        <v>54</v>
      </c>
      <c r="J2544" s="4">
        <v>18.95</v>
      </c>
      <c r="K2544" s="4">
        <v>19.96</v>
      </c>
      <c r="L2544">
        <v>15</v>
      </c>
      <c r="M2544" s="4">
        <v>56.74</v>
      </c>
      <c r="N2544" s="4">
        <v>321.5</v>
      </c>
      <c r="O2544" s="4">
        <v>140.41999999999999</v>
      </c>
      <c r="P2544" s="4">
        <v>3.62</v>
      </c>
      <c r="Q2544" s="4">
        <v>4.54</v>
      </c>
      <c r="R2544" s="4">
        <v>10.050000000000001</v>
      </c>
      <c r="S2544" s="4">
        <v>0</v>
      </c>
      <c r="T2544" s="4">
        <v>0</v>
      </c>
      <c r="U2544" s="4">
        <v>158.63</v>
      </c>
      <c r="V2544" s="4">
        <v>162.87</v>
      </c>
      <c r="W2544" t="s">
        <v>21</v>
      </c>
      <c r="X2544" t="s">
        <v>36</v>
      </c>
      <c r="Y2544" s="4">
        <v>13</v>
      </c>
      <c r="Z2544" s="4">
        <v>4</v>
      </c>
      <c r="AA2544" t="s">
        <v>37</v>
      </c>
      <c r="AB2544" t="s">
        <v>38</v>
      </c>
      <c r="AC2544" s="7">
        <v>0</v>
      </c>
      <c r="AD2544" t="s">
        <v>39</v>
      </c>
      <c r="AE2544">
        <f t="shared" si="39"/>
        <v>0</v>
      </c>
    </row>
    <row r="2545" spans="1:31" x14ac:dyDescent="0.35">
      <c r="A2545">
        <v>102544</v>
      </c>
      <c r="B2545" s="3">
        <v>45990</v>
      </c>
      <c r="C2545">
        <v>1136</v>
      </c>
      <c r="D2545" t="s">
        <v>47</v>
      </c>
      <c r="E2545" t="s">
        <v>74</v>
      </c>
      <c r="F2545" t="s">
        <v>61</v>
      </c>
      <c r="G2545" t="s">
        <v>33</v>
      </c>
      <c r="H2545" t="s">
        <v>34</v>
      </c>
      <c r="I2545" t="s">
        <v>35</v>
      </c>
      <c r="J2545" s="4">
        <v>14.47</v>
      </c>
      <c r="K2545" s="4">
        <v>19.61</v>
      </c>
      <c r="L2545">
        <v>0</v>
      </c>
      <c r="M2545" s="4">
        <v>0</v>
      </c>
      <c r="N2545" s="4">
        <v>283.76</v>
      </c>
      <c r="O2545" s="4">
        <v>81.28</v>
      </c>
      <c r="P2545" s="4">
        <v>8.32</v>
      </c>
      <c r="Q2545" s="4">
        <v>1.99</v>
      </c>
      <c r="R2545" s="4">
        <v>3.73</v>
      </c>
      <c r="S2545" s="4">
        <v>142.93</v>
      </c>
      <c r="T2545" s="4">
        <v>0</v>
      </c>
      <c r="U2545" s="4">
        <v>238.25</v>
      </c>
      <c r="V2545" s="4">
        <v>45.51</v>
      </c>
      <c r="W2545" t="s">
        <v>21</v>
      </c>
      <c r="X2545" t="s">
        <v>55</v>
      </c>
      <c r="Y2545" s="4">
        <v>3</v>
      </c>
      <c r="Z2545" s="4">
        <v>16</v>
      </c>
      <c r="AA2545" t="s">
        <v>37</v>
      </c>
      <c r="AB2545" t="s">
        <v>44</v>
      </c>
      <c r="AC2545" s="7">
        <v>3</v>
      </c>
      <c r="AD2545" t="s">
        <v>45</v>
      </c>
      <c r="AE2545">
        <f t="shared" si="39"/>
        <v>1</v>
      </c>
    </row>
    <row r="2546" spans="1:31" x14ac:dyDescent="0.35">
      <c r="A2546">
        <v>102545</v>
      </c>
      <c r="B2546" s="3">
        <v>45937</v>
      </c>
      <c r="C2546">
        <v>1089</v>
      </c>
      <c r="D2546" t="s">
        <v>30</v>
      </c>
      <c r="E2546" t="s">
        <v>72</v>
      </c>
      <c r="F2546" t="s">
        <v>49</v>
      </c>
      <c r="G2546" t="s">
        <v>63</v>
      </c>
      <c r="H2546" t="s">
        <v>51</v>
      </c>
      <c r="I2546" t="s">
        <v>35</v>
      </c>
      <c r="J2546" s="4">
        <v>19.03</v>
      </c>
      <c r="K2546" s="4">
        <v>12.57</v>
      </c>
      <c r="L2546">
        <v>10</v>
      </c>
      <c r="M2546" s="4">
        <v>23.92</v>
      </c>
      <c r="N2546" s="4">
        <v>215.29</v>
      </c>
      <c r="O2546" s="4">
        <v>133.22</v>
      </c>
      <c r="P2546" s="4">
        <v>3.84</v>
      </c>
      <c r="Q2546" s="4">
        <v>1.67</v>
      </c>
      <c r="R2546" s="4">
        <v>1.28</v>
      </c>
      <c r="S2546" s="4">
        <v>0</v>
      </c>
      <c r="T2546" s="4">
        <v>0</v>
      </c>
      <c r="U2546" s="4">
        <v>140.01</v>
      </c>
      <c r="V2546" s="4">
        <v>75.28</v>
      </c>
      <c r="W2546" t="s">
        <v>21</v>
      </c>
      <c r="X2546" t="s">
        <v>36</v>
      </c>
      <c r="Y2546" s="4">
        <v>22</v>
      </c>
      <c r="Z2546" s="4">
        <v>0</v>
      </c>
      <c r="AA2546" t="s">
        <v>52</v>
      </c>
      <c r="AB2546" t="s">
        <v>44</v>
      </c>
      <c r="AC2546" s="7">
        <v>1</v>
      </c>
      <c r="AD2546" t="s">
        <v>45</v>
      </c>
      <c r="AE2546">
        <f t="shared" si="39"/>
        <v>1</v>
      </c>
    </row>
    <row r="2547" spans="1:31" x14ac:dyDescent="0.35">
      <c r="A2547">
        <v>102546</v>
      </c>
      <c r="B2547" s="3">
        <v>46004</v>
      </c>
      <c r="C2547">
        <v>1079</v>
      </c>
      <c r="D2547" t="s">
        <v>64</v>
      </c>
      <c r="E2547" t="s">
        <v>65</v>
      </c>
      <c r="F2547" t="s">
        <v>71</v>
      </c>
      <c r="G2547" t="s">
        <v>46</v>
      </c>
      <c r="H2547" t="s">
        <v>57</v>
      </c>
      <c r="I2547" t="s">
        <v>42</v>
      </c>
      <c r="J2547" s="4">
        <v>28.89</v>
      </c>
      <c r="K2547" s="4">
        <v>15.72</v>
      </c>
      <c r="L2547">
        <v>5</v>
      </c>
      <c r="M2547" s="4">
        <v>22.71</v>
      </c>
      <c r="N2547" s="4">
        <v>431.44</v>
      </c>
      <c r="O2547" s="4">
        <v>241.1</v>
      </c>
      <c r="P2547" s="4">
        <v>9.1199999999999992</v>
      </c>
      <c r="Q2547" s="4">
        <v>6.81</v>
      </c>
      <c r="R2547" s="4">
        <v>0</v>
      </c>
      <c r="S2547" s="4">
        <v>0</v>
      </c>
      <c r="T2547" s="4">
        <v>0</v>
      </c>
      <c r="U2547" s="4">
        <v>257.02999999999997</v>
      </c>
      <c r="V2547" s="4">
        <v>174.41</v>
      </c>
      <c r="W2547" t="s">
        <v>21</v>
      </c>
      <c r="X2547" t="s">
        <v>36</v>
      </c>
      <c r="Y2547" s="4">
        <v>28</v>
      </c>
      <c r="Z2547" s="4">
        <v>18</v>
      </c>
      <c r="AA2547" t="s">
        <v>52</v>
      </c>
      <c r="AB2547" t="s">
        <v>44</v>
      </c>
      <c r="AC2547" s="7">
        <v>3</v>
      </c>
      <c r="AD2547" t="s">
        <v>45</v>
      </c>
      <c r="AE2547">
        <f t="shared" si="39"/>
        <v>1</v>
      </c>
    </row>
    <row r="2548" spans="1:31" x14ac:dyDescent="0.35">
      <c r="A2548">
        <v>102547</v>
      </c>
      <c r="B2548" s="3">
        <v>45976</v>
      </c>
      <c r="C2548">
        <v>1146</v>
      </c>
      <c r="D2548" t="s">
        <v>30</v>
      </c>
      <c r="E2548" t="s">
        <v>62</v>
      </c>
      <c r="F2548" t="s">
        <v>49</v>
      </c>
      <c r="G2548" t="s">
        <v>63</v>
      </c>
      <c r="H2548" t="s">
        <v>34</v>
      </c>
      <c r="I2548" t="s">
        <v>35</v>
      </c>
      <c r="J2548" s="4">
        <v>17.239999999999998</v>
      </c>
      <c r="K2548" s="4">
        <v>13.71</v>
      </c>
      <c r="L2548">
        <v>10</v>
      </c>
      <c r="M2548" s="4">
        <v>23.64</v>
      </c>
      <c r="N2548" s="4">
        <v>212.72</v>
      </c>
      <c r="O2548" s="4">
        <v>137.19</v>
      </c>
      <c r="P2548" s="4">
        <v>7.47</v>
      </c>
      <c r="Q2548" s="4">
        <v>1.65</v>
      </c>
      <c r="R2548" s="4">
        <v>5.96</v>
      </c>
      <c r="S2548" s="4">
        <v>0</v>
      </c>
      <c r="T2548" s="4">
        <v>0</v>
      </c>
      <c r="U2548" s="4">
        <v>152.27000000000001</v>
      </c>
      <c r="V2548" s="4">
        <v>60.45</v>
      </c>
      <c r="W2548" t="s">
        <v>21</v>
      </c>
      <c r="X2548" t="s">
        <v>36</v>
      </c>
      <c r="Y2548" s="4">
        <v>8</v>
      </c>
      <c r="Z2548" s="4">
        <v>3</v>
      </c>
      <c r="AA2548" t="s">
        <v>37</v>
      </c>
      <c r="AB2548" t="s">
        <v>38</v>
      </c>
      <c r="AC2548" s="7">
        <v>0</v>
      </c>
      <c r="AD2548" t="s">
        <v>39</v>
      </c>
      <c r="AE2548">
        <f t="shared" si="39"/>
        <v>0</v>
      </c>
    </row>
    <row r="2549" spans="1:31" x14ac:dyDescent="0.35">
      <c r="A2549">
        <v>102548</v>
      </c>
      <c r="B2549" s="3">
        <v>45985</v>
      </c>
      <c r="C2549">
        <v>1012</v>
      </c>
      <c r="D2549" t="s">
        <v>47</v>
      </c>
      <c r="E2549" t="s">
        <v>48</v>
      </c>
      <c r="F2549" t="s">
        <v>41</v>
      </c>
      <c r="G2549" t="s">
        <v>46</v>
      </c>
      <c r="H2549" t="s">
        <v>57</v>
      </c>
      <c r="I2549" t="s">
        <v>42</v>
      </c>
      <c r="J2549" s="4">
        <v>33.380000000000003</v>
      </c>
      <c r="K2549" s="4">
        <v>14.47</v>
      </c>
      <c r="L2549">
        <v>0</v>
      </c>
      <c r="M2549" s="4">
        <v>0</v>
      </c>
      <c r="N2549" s="4">
        <v>483.01</v>
      </c>
      <c r="O2549" s="4">
        <v>291.29000000000002</v>
      </c>
      <c r="P2549" s="4">
        <v>6.76</v>
      </c>
      <c r="Q2549" s="4">
        <v>7.25</v>
      </c>
      <c r="R2549" s="4">
        <v>13.53</v>
      </c>
      <c r="S2549" s="4">
        <v>0</v>
      </c>
      <c r="T2549" s="4">
        <v>0</v>
      </c>
      <c r="U2549" s="4">
        <v>318.83</v>
      </c>
      <c r="V2549" s="4">
        <v>164.18</v>
      </c>
      <c r="W2549" t="s">
        <v>21</v>
      </c>
      <c r="X2549" t="s">
        <v>36</v>
      </c>
      <c r="Y2549" s="4">
        <v>8</v>
      </c>
      <c r="Z2549" s="4">
        <v>10</v>
      </c>
      <c r="AA2549" t="s">
        <v>37</v>
      </c>
      <c r="AB2549" t="s">
        <v>38</v>
      </c>
      <c r="AC2549" s="7">
        <v>0</v>
      </c>
      <c r="AD2549" t="s">
        <v>39</v>
      </c>
      <c r="AE2549">
        <f t="shared" si="39"/>
        <v>0</v>
      </c>
    </row>
    <row r="2550" spans="1:31" x14ac:dyDescent="0.35">
      <c r="A2550">
        <v>102549</v>
      </c>
      <c r="B2550" s="3">
        <v>46010</v>
      </c>
      <c r="C2550">
        <v>1096</v>
      </c>
      <c r="D2550" t="s">
        <v>59</v>
      </c>
      <c r="E2550" t="s">
        <v>68</v>
      </c>
      <c r="F2550" t="s">
        <v>32</v>
      </c>
      <c r="G2550" t="s">
        <v>50</v>
      </c>
      <c r="H2550" t="s">
        <v>57</v>
      </c>
      <c r="I2550" t="s">
        <v>42</v>
      </c>
      <c r="J2550" s="4">
        <v>18.54</v>
      </c>
      <c r="K2550" s="4">
        <v>18.86</v>
      </c>
      <c r="L2550">
        <v>0</v>
      </c>
      <c r="M2550" s="4">
        <v>0</v>
      </c>
      <c r="N2550" s="4">
        <v>349.66</v>
      </c>
      <c r="O2550" s="4">
        <v>135.19</v>
      </c>
      <c r="P2550" s="4">
        <v>6.29</v>
      </c>
      <c r="Q2550" s="4">
        <v>5.24</v>
      </c>
      <c r="R2550" s="4">
        <v>11.28</v>
      </c>
      <c r="S2550" s="4">
        <v>0</v>
      </c>
      <c r="T2550" s="4">
        <v>0</v>
      </c>
      <c r="U2550" s="4">
        <v>158</v>
      </c>
      <c r="V2550" s="4">
        <v>191.66</v>
      </c>
      <c r="W2550" t="s">
        <v>21</v>
      </c>
      <c r="X2550" t="s">
        <v>36</v>
      </c>
      <c r="Y2550" s="4">
        <v>10</v>
      </c>
      <c r="Z2550" s="4">
        <v>2</v>
      </c>
      <c r="AA2550" t="s">
        <v>37</v>
      </c>
      <c r="AB2550" t="s">
        <v>38</v>
      </c>
      <c r="AC2550" s="7">
        <v>0</v>
      </c>
      <c r="AD2550" t="s">
        <v>39</v>
      </c>
      <c r="AE2550">
        <f t="shared" si="39"/>
        <v>0</v>
      </c>
    </row>
    <row r="2551" spans="1:31" x14ac:dyDescent="0.35">
      <c r="A2551">
        <v>102550</v>
      </c>
      <c r="B2551" s="3">
        <v>45955</v>
      </c>
      <c r="C2551">
        <v>1077</v>
      </c>
      <c r="D2551" t="s">
        <v>59</v>
      </c>
      <c r="E2551" t="s">
        <v>60</v>
      </c>
      <c r="F2551" t="s">
        <v>49</v>
      </c>
      <c r="G2551" t="s">
        <v>50</v>
      </c>
      <c r="H2551" t="s">
        <v>34</v>
      </c>
      <c r="I2551" t="s">
        <v>54</v>
      </c>
      <c r="J2551" s="4">
        <v>22.24</v>
      </c>
      <c r="K2551" s="4">
        <v>17.309999999999999</v>
      </c>
      <c r="L2551">
        <v>0</v>
      </c>
      <c r="M2551" s="4">
        <v>0</v>
      </c>
      <c r="N2551" s="4">
        <v>384.97</v>
      </c>
      <c r="O2551" s="4">
        <v>145.26</v>
      </c>
      <c r="P2551" s="4">
        <v>9.7200000000000006</v>
      </c>
      <c r="Q2551" s="4">
        <v>4.62</v>
      </c>
      <c r="R2551" s="4">
        <v>2.1800000000000002</v>
      </c>
      <c r="S2551" s="4">
        <v>0</v>
      </c>
      <c r="T2551" s="4">
        <v>0</v>
      </c>
      <c r="U2551" s="4">
        <v>161.78</v>
      </c>
      <c r="V2551" s="4">
        <v>223.19</v>
      </c>
      <c r="W2551" t="s">
        <v>21</v>
      </c>
      <c r="X2551" t="s">
        <v>36</v>
      </c>
      <c r="Y2551" s="4">
        <v>1</v>
      </c>
      <c r="Z2551" s="4">
        <v>4</v>
      </c>
      <c r="AA2551" t="s">
        <v>37</v>
      </c>
      <c r="AB2551" t="s">
        <v>38</v>
      </c>
      <c r="AC2551" s="7">
        <v>0</v>
      </c>
      <c r="AD2551" t="s">
        <v>39</v>
      </c>
      <c r="AE2551">
        <f t="shared" si="39"/>
        <v>0</v>
      </c>
    </row>
    <row r="2552" spans="1:31" x14ac:dyDescent="0.35">
      <c r="A2552">
        <v>102551</v>
      </c>
      <c r="B2552" s="3">
        <v>45935</v>
      </c>
      <c r="C2552">
        <v>1014</v>
      </c>
      <c r="D2552" t="s">
        <v>47</v>
      </c>
      <c r="E2552" t="s">
        <v>53</v>
      </c>
      <c r="F2552" t="s">
        <v>32</v>
      </c>
      <c r="G2552" t="s">
        <v>63</v>
      </c>
      <c r="H2552" t="s">
        <v>34</v>
      </c>
      <c r="I2552" t="s">
        <v>54</v>
      </c>
      <c r="J2552" s="4">
        <v>29.56</v>
      </c>
      <c r="K2552" s="4">
        <v>13.25</v>
      </c>
      <c r="L2552">
        <v>5</v>
      </c>
      <c r="M2552" s="4">
        <v>19.579999999999998</v>
      </c>
      <c r="N2552" s="4">
        <v>372.09</v>
      </c>
      <c r="O2552" s="4">
        <v>270.77999999999997</v>
      </c>
      <c r="P2552" s="4">
        <v>7.29</v>
      </c>
      <c r="Q2552" s="4">
        <v>4.7</v>
      </c>
      <c r="R2552" s="4">
        <v>13.52</v>
      </c>
      <c r="S2552" s="4">
        <v>0</v>
      </c>
      <c r="T2552" s="4">
        <v>0</v>
      </c>
      <c r="U2552" s="4">
        <v>296.29000000000002</v>
      </c>
      <c r="V2552" s="4">
        <v>75.8</v>
      </c>
      <c r="W2552" t="s">
        <v>21</v>
      </c>
      <c r="X2552" t="s">
        <v>36</v>
      </c>
      <c r="Y2552" s="4">
        <v>20</v>
      </c>
      <c r="Z2552" s="4">
        <v>5</v>
      </c>
      <c r="AA2552" t="s">
        <v>52</v>
      </c>
      <c r="AB2552" t="s">
        <v>38</v>
      </c>
      <c r="AC2552" s="7">
        <v>0</v>
      </c>
      <c r="AD2552" t="s">
        <v>39</v>
      </c>
      <c r="AE2552">
        <f t="shared" si="39"/>
        <v>0</v>
      </c>
    </row>
    <row r="2553" spans="1:31" x14ac:dyDescent="0.35">
      <c r="A2553">
        <v>102552</v>
      </c>
      <c r="B2553" s="3">
        <v>46018</v>
      </c>
      <c r="C2553">
        <v>1107</v>
      </c>
      <c r="D2553" t="s">
        <v>30</v>
      </c>
      <c r="E2553" t="s">
        <v>40</v>
      </c>
      <c r="F2553" t="s">
        <v>41</v>
      </c>
      <c r="G2553" t="s">
        <v>50</v>
      </c>
      <c r="H2553" t="s">
        <v>57</v>
      </c>
      <c r="I2553" t="s">
        <v>35</v>
      </c>
      <c r="J2553" s="4">
        <v>22.12</v>
      </c>
      <c r="K2553" s="4">
        <v>17.72</v>
      </c>
      <c r="L2553">
        <v>5</v>
      </c>
      <c r="M2553" s="4">
        <v>19.600000000000001</v>
      </c>
      <c r="N2553" s="4">
        <v>372.37</v>
      </c>
      <c r="O2553" s="4">
        <v>141.44999999999999</v>
      </c>
      <c r="P2553" s="4">
        <v>9.9700000000000006</v>
      </c>
      <c r="Q2553" s="4">
        <v>2.74</v>
      </c>
      <c r="R2553" s="4">
        <v>4.79</v>
      </c>
      <c r="S2553" s="4">
        <v>0</v>
      </c>
      <c r="T2553" s="4">
        <v>0</v>
      </c>
      <c r="U2553" s="4">
        <v>158.94999999999999</v>
      </c>
      <c r="V2553" s="4">
        <v>213.42</v>
      </c>
      <c r="W2553" t="s">
        <v>21</v>
      </c>
      <c r="X2553" t="s">
        <v>36</v>
      </c>
      <c r="Y2553" s="4">
        <v>1</v>
      </c>
      <c r="Z2553" s="4">
        <v>62</v>
      </c>
      <c r="AA2553" t="s">
        <v>37</v>
      </c>
      <c r="AB2553" t="s">
        <v>44</v>
      </c>
      <c r="AC2553" s="7">
        <v>3</v>
      </c>
      <c r="AD2553" t="s">
        <v>45</v>
      </c>
      <c r="AE2553">
        <f t="shared" si="39"/>
        <v>1</v>
      </c>
    </row>
    <row r="2554" spans="1:31" x14ac:dyDescent="0.35">
      <c r="A2554">
        <v>102553</v>
      </c>
      <c r="B2554" s="3">
        <v>45990</v>
      </c>
      <c r="C2554">
        <v>1012</v>
      </c>
      <c r="D2554" t="s">
        <v>64</v>
      </c>
      <c r="E2554" t="s">
        <v>67</v>
      </c>
      <c r="F2554" t="s">
        <v>49</v>
      </c>
      <c r="G2554" t="s">
        <v>33</v>
      </c>
      <c r="H2554" t="s">
        <v>34</v>
      </c>
      <c r="I2554" t="s">
        <v>35</v>
      </c>
      <c r="J2554" s="4">
        <v>23.98</v>
      </c>
      <c r="K2554" s="4">
        <v>19.04</v>
      </c>
      <c r="L2554">
        <v>0</v>
      </c>
      <c r="M2554" s="4">
        <v>0</v>
      </c>
      <c r="N2554" s="4">
        <v>456.58</v>
      </c>
      <c r="O2554" s="4">
        <v>167.56</v>
      </c>
      <c r="P2554" s="4">
        <v>16.690000000000001</v>
      </c>
      <c r="Q2554" s="4">
        <v>3.2</v>
      </c>
      <c r="R2554" s="4">
        <v>9.93</v>
      </c>
      <c r="S2554" s="4">
        <v>0</v>
      </c>
      <c r="T2554" s="4">
        <v>0</v>
      </c>
      <c r="U2554" s="4">
        <v>197.38</v>
      </c>
      <c r="V2554" s="4">
        <v>259.2</v>
      </c>
      <c r="W2554" t="s">
        <v>21</v>
      </c>
      <c r="X2554" t="s">
        <v>36</v>
      </c>
      <c r="Y2554" s="4">
        <v>2</v>
      </c>
      <c r="Z2554" s="4">
        <v>15</v>
      </c>
      <c r="AA2554" t="s">
        <v>37</v>
      </c>
      <c r="AB2554" t="s">
        <v>38</v>
      </c>
      <c r="AC2554" s="7">
        <v>0</v>
      </c>
      <c r="AD2554" t="s">
        <v>39</v>
      </c>
      <c r="AE2554">
        <f t="shared" si="39"/>
        <v>0</v>
      </c>
    </row>
    <row r="2555" spans="1:31" x14ac:dyDescent="0.35">
      <c r="A2555">
        <v>102554</v>
      </c>
      <c r="B2555" s="3">
        <v>45998</v>
      </c>
      <c r="C2555">
        <v>1030</v>
      </c>
      <c r="D2555" t="s">
        <v>64</v>
      </c>
      <c r="E2555" t="s">
        <v>65</v>
      </c>
      <c r="F2555" t="s">
        <v>32</v>
      </c>
      <c r="G2555" t="s">
        <v>63</v>
      </c>
      <c r="H2555" t="s">
        <v>34</v>
      </c>
      <c r="I2555" t="s">
        <v>35</v>
      </c>
      <c r="J2555" s="4">
        <v>12.94</v>
      </c>
      <c r="K2555" s="4">
        <v>12.73</v>
      </c>
      <c r="L2555">
        <v>0</v>
      </c>
      <c r="M2555" s="4">
        <v>0</v>
      </c>
      <c r="N2555" s="4">
        <v>164.73</v>
      </c>
      <c r="O2555" s="4">
        <v>87.22</v>
      </c>
      <c r="P2555" s="4">
        <v>1.25</v>
      </c>
      <c r="Q2555" s="4">
        <v>1.1499999999999999</v>
      </c>
      <c r="R2555" s="4">
        <v>7.53</v>
      </c>
      <c r="S2555" s="4">
        <v>84.21</v>
      </c>
      <c r="T2555" s="4">
        <v>0</v>
      </c>
      <c r="U2555" s="4">
        <v>181.36</v>
      </c>
      <c r="V2555" s="4">
        <v>-16.63</v>
      </c>
      <c r="W2555" t="s">
        <v>58</v>
      </c>
      <c r="X2555" t="s">
        <v>55</v>
      </c>
      <c r="Y2555" s="4">
        <v>9</v>
      </c>
      <c r="Z2555" s="4">
        <v>8</v>
      </c>
      <c r="AA2555" t="s">
        <v>37</v>
      </c>
      <c r="AB2555" t="s">
        <v>44</v>
      </c>
      <c r="AC2555" s="7">
        <v>1</v>
      </c>
      <c r="AD2555" t="s">
        <v>45</v>
      </c>
      <c r="AE2555">
        <f t="shared" si="39"/>
        <v>1</v>
      </c>
    </row>
    <row r="2556" spans="1:31" x14ac:dyDescent="0.35">
      <c r="A2556">
        <v>102555</v>
      </c>
      <c r="B2556" s="3">
        <v>46014</v>
      </c>
      <c r="C2556">
        <v>1078</v>
      </c>
      <c r="D2556" t="s">
        <v>30</v>
      </c>
      <c r="E2556" t="s">
        <v>62</v>
      </c>
      <c r="F2556" t="s">
        <v>41</v>
      </c>
      <c r="G2556" t="s">
        <v>63</v>
      </c>
      <c r="H2556" t="s">
        <v>34</v>
      </c>
      <c r="I2556" t="s">
        <v>35</v>
      </c>
      <c r="J2556" s="4">
        <v>14.1</v>
      </c>
      <c r="K2556" s="4">
        <v>11.76</v>
      </c>
      <c r="L2556">
        <v>0</v>
      </c>
      <c r="M2556" s="4">
        <v>0</v>
      </c>
      <c r="N2556" s="4">
        <v>165.82</v>
      </c>
      <c r="O2556" s="4">
        <v>96.77</v>
      </c>
      <c r="P2556" s="4">
        <v>14.23</v>
      </c>
      <c r="Q2556" s="4">
        <v>1.1599999999999999</v>
      </c>
      <c r="R2556" s="4">
        <v>3.19</v>
      </c>
      <c r="S2556" s="4">
        <v>0</v>
      </c>
      <c r="T2556" s="4">
        <v>0</v>
      </c>
      <c r="U2556" s="4">
        <v>115.35</v>
      </c>
      <c r="V2556" s="4">
        <v>50.47</v>
      </c>
      <c r="W2556" t="s">
        <v>21</v>
      </c>
      <c r="X2556" t="s">
        <v>36</v>
      </c>
      <c r="Y2556" s="4">
        <v>0</v>
      </c>
      <c r="Z2556" s="4">
        <v>2</v>
      </c>
      <c r="AA2556" t="s">
        <v>37</v>
      </c>
      <c r="AB2556" t="s">
        <v>38</v>
      </c>
      <c r="AC2556" s="7">
        <v>0</v>
      </c>
      <c r="AD2556" t="s">
        <v>39</v>
      </c>
      <c r="AE2556">
        <f t="shared" si="39"/>
        <v>0</v>
      </c>
    </row>
    <row r="2557" spans="1:31" x14ac:dyDescent="0.35">
      <c r="A2557">
        <v>102556</v>
      </c>
      <c r="B2557" s="3">
        <v>45980</v>
      </c>
      <c r="C2557">
        <v>1072</v>
      </c>
      <c r="D2557" t="s">
        <v>47</v>
      </c>
      <c r="E2557" t="s">
        <v>56</v>
      </c>
      <c r="F2557" t="s">
        <v>32</v>
      </c>
      <c r="G2557" t="s">
        <v>46</v>
      </c>
      <c r="H2557" t="s">
        <v>34</v>
      </c>
      <c r="I2557" t="s">
        <v>69</v>
      </c>
      <c r="J2557" s="4">
        <v>39.99</v>
      </c>
      <c r="K2557" s="4">
        <v>15.15</v>
      </c>
      <c r="L2557">
        <v>0</v>
      </c>
      <c r="M2557" s="4">
        <v>0</v>
      </c>
      <c r="N2557" s="4">
        <v>605.85</v>
      </c>
      <c r="O2557" s="4">
        <v>248.23</v>
      </c>
      <c r="P2557" s="4">
        <v>5.32</v>
      </c>
      <c r="Q2557" s="4">
        <v>2.42</v>
      </c>
      <c r="R2557" s="4">
        <v>8.23</v>
      </c>
      <c r="S2557" s="4">
        <v>0</v>
      </c>
      <c r="T2557" s="4">
        <v>0</v>
      </c>
      <c r="U2557" s="4">
        <v>264.2</v>
      </c>
      <c r="V2557" s="4">
        <v>341.65</v>
      </c>
      <c r="W2557" t="s">
        <v>21</v>
      </c>
      <c r="X2557" t="s">
        <v>36</v>
      </c>
      <c r="Y2557" s="4">
        <v>11</v>
      </c>
      <c r="Z2557" s="4">
        <v>3</v>
      </c>
      <c r="AA2557" t="s">
        <v>37</v>
      </c>
      <c r="AB2557" t="s">
        <v>38</v>
      </c>
      <c r="AC2557" s="7">
        <v>0</v>
      </c>
      <c r="AD2557" t="s">
        <v>39</v>
      </c>
      <c r="AE2557">
        <f t="shared" si="39"/>
        <v>0</v>
      </c>
    </row>
    <row r="2558" spans="1:31" x14ac:dyDescent="0.35">
      <c r="A2558">
        <v>102557</v>
      </c>
      <c r="B2558" s="3">
        <v>45946</v>
      </c>
      <c r="C2558">
        <v>1045</v>
      </c>
      <c r="D2558" t="s">
        <v>30</v>
      </c>
      <c r="E2558" t="s">
        <v>72</v>
      </c>
      <c r="F2558" t="s">
        <v>61</v>
      </c>
      <c r="G2558" t="s">
        <v>46</v>
      </c>
      <c r="H2558" t="s">
        <v>34</v>
      </c>
      <c r="I2558" t="s">
        <v>54</v>
      </c>
      <c r="J2558" s="4">
        <v>38.700000000000003</v>
      </c>
      <c r="K2558" s="4">
        <v>16.559999999999999</v>
      </c>
      <c r="L2558">
        <v>5</v>
      </c>
      <c r="M2558" s="4">
        <v>32.04</v>
      </c>
      <c r="N2558" s="4">
        <v>608.83000000000004</v>
      </c>
      <c r="O2558" s="4">
        <v>263.55</v>
      </c>
      <c r="P2558" s="4">
        <v>9.68</v>
      </c>
      <c r="Q2558" s="4">
        <v>7.69</v>
      </c>
      <c r="R2558" s="4">
        <v>7.31</v>
      </c>
      <c r="S2558" s="4">
        <v>486.2</v>
      </c>
      <c r="T2558" s="4">
        <v>0</v>
      </c>
      <c r="U2558" s="4">
        <v>774.43</v>
      </c>
      <c r="V2558" s="4">
        <v>-165.6</v>
      </c>
      <c r="W2558" t="s">
        <v>58</v>
      </c>
      <c r="X2558" t="s">
        <v>66</v>
      </c>
      <c r="Y2558" s="4">
        <v>4</v>
      </c>
      <c r="Z2558" s="4">
        <v>5</v>
      </c>
      <c r="AA2558" t="s">
        <v>37</v>
      </c>
      <c r="AB2558" t="s">
        <v>38</v>
      </c>
      <c r="AC2558" s="7">
        <v>1</v>
      </c>
      <c r="AD2558" t="s">
        <v>45</v>
      </c>
      <c r="AE2558">
        <f t="shared" si="39"/>
        <v>0</v>
      </c>
    </row>
    <row r="2559" spans="1:31" x14ac:dyDescent="0.35">
      <c r="A2559">
        <v>102558</v>
      </c>
      <c r="B2559" s="3">
        <v>45966</v>
      </c>
      <c r="C2559">
        <v>1042</v>
      </c>
      <c r="D2559" t="s">
        <v>47</v>
      </c>
      <c r="E2559" t="s">
        <v>48</v>
      </c>
      <c r="F2559" t="s">
        <v>41</v>
      </c>
      <c r="G2559" t="s">
        <v>46</v>
      </c>
      <c r="H2559" t="s">
        <v>34</v>
      </c>
      <c r="I2559" t="s">
        <v>35</v>
      </c>
      <c r="J2559" s="4">
        <v>29.22</v>
      </c>
      <c r="K2559" s="4">
        <v>14.97</v>
      </c>
      <c r="L2559">
        <v>0</v>
      </c>
      <c r="M2559" s="4">
        <v>0</v>
      </c>
      <c r="N2559" s="4">
        <v>437.42</v>
      </c>
      <c r="O2559" s="4">
        <v>186.16</v>
      </c>
      <c r="P2559" s="4">
        <v>12.2</v>
      </c>
      <c r="Q2559" s="4">
        <v>3.06</v>
      </c>
      <c r="R2559" s="4">
        <v>12.92</v>
      </c>
      <c r="S2559" s="4">
        <v>0</v>
      </c>
      <c r="T2559" s="4">
        <v>0</v>
      </c>
      <c r="U2559" s="4">
        <v>214.34</v>
      </c>
      <c r="V2559" s="4">
        <v>223.08</v>
      </c>
      <c r="W2559" t="s">
        <v>21</v>
      </c>
      <c r="X2559" t="s">
        <v>36</v>
      </c>
      <c r="Y2559" s="4">
        <v>8</v>
      </c>
      <c r="Z2559" s="4">
        <v>4</v>
      </c>
      <c r="AA2559" t="s">
        <v>37</v>
      </c>
      <c r="AB2559" t="s">
        <v>38</v>
      </c>
      <c r="AC2559" s="7">
        <v>0</v>
      </c>
      <c r="AD2559" t="s">
        <v>39</v>
      </c>
      <c r="AE2559">
        <f t="shared" si="39"/>
        <v>0</v>
      </c>
    </row>
    <row r="2560" spans="1:31" x14ac:dyDescent="0.35">
      <c r="A2560">
        <v>102559</v>
      </c>
      <c r="B2560" s="3">
        <v>45952</v>
      </c>
      <c r="C2560">
        <v>1053</v>
      </c>
      <c r="D2560" t="s">
        <v>59</v>
      </c>
      <c r="E2560" t="s">
        <v>68</v>
      </c>
      <c r="F2560" t="s">
        <v>71</v>
      </c>
      <c r="G2560" t="s">
        <v>63</v>
      </c>
      <c r="H2560" t="s">
        <v>51</v>
      </c>
      <c r="I2560" t="s">
        <v>35</v>
      </c>
      <c r="J2560" s="4">
        <v>16.649999999999999</v>
      </c>
      <c r="K2560" s="4">
        <v>12.69</v>
      </c>
      <c r="L2560">
        <v>0</v>
      </c>
      <c r="M2560" s="4">
        <v>0</v>
      </c>
      <c r="N2560" s="4">
        <v>211.29</v>
      </c>
      <c r="O2560" s="4">
        <v>131.94</v>
      </c>
      <c r="P2560" s="4">
        <v>5.76</v>
      </c>
      <c r="Q2560" s="4">
        <v>1.48</v>
      </c>
      <c r="R2560" s="4">
        <v>9.94</v>
      </c>
      <c r="S2560" s="4">
        <v>75.180000000000007</v>
      </c>
      <c r="T2560" s="4">
        <v>24.49</v>
      </c>
      <c r="U2560" s="4">
        <v>248.79</v>
      </c>
      <c r="V2560" s="4">
        <v>-37.5</v>
      </c>
      <c r="W2560" t="s">
        <v>58</v>
      </c>
      <c r="X2560" t="s">
        <v>55</v>
      </c>
      <c r="Y2560" s="4">
        <v>9</v>
      </c>
      <c r="Z2560" s="4">
        <v>4</v>
      </c>
      <c r="AA2560" t="s">
        <v>37</v>
      </c>
      <c r="AB2560" t="s">
        <v>44</v>
      </c>
      <c r="AC2560" s="7">
        <v>2</v>
      </c>
      <c r="AD2560" t="s">
        <v>45</v>
      </c>
      <c r="AE2560">
        <f t="shared" si="39"/>
        <v>1</v>
      </c>
    </row>
    <row r="2561" spans="1:31" x14ac:dyDescent="0.35">
      <c r="A2561">
        <v>102560</v>
      </c>
      <c r="B2561" s="3">
        <v>45997</v>
      </c>
      <c r="C2561">
        <v>1127</v>
      </c>
      <c r="D2561" t="s">
        <v>59</v>
      </c>
      <c r="E2561" t="s">
        <v>60</v>
      </c>
      <c r="F2561" t="s">
        <v>41</v>
      </c>
      <c r="G2561" t="s">
        <v>33</v>
      </c>
      <c r="H2561" t="s">
        <v>57</v>
      </c>
      <c r="I2561" t="s">
        <v>54</v>
      </c>
      <c r="J2561" s="4">
        <v>17.579999999999998</v>
      </c>
      <c r="K2561" s="4">
        <v>18.68</v>
      </c>
      <c r="L2561">
        <v>10</v>
      </c>
      <c r="M2561" s="4">
        <v>32.840000000000003</v>
      </c>
      <c r="N2561" s="4">
        <v>295.55</v>
      </c>
      <c r="O2561" s="4">
        <v>138.27000000000001</v>
      </c>
      <c r="P2561" s="4">
        <v>12.76</v>
      </c>
      <c r="Q2561" s="4">
        <v>3.94</v>
      </c>
      <c r="R2561" s="4">
        <v>4.07</v>
      </c>
      <c r="S2561" s="4">
        <v>0</v>
      </c>
      <c r="T2561" s="4">
        <v>0</v>
      </c>
      <c r="U2561" s="4">
        <v>159.04</v>
      </c>
      <c r="V2561" s="4">
        <v>136.51</v>
      </c>
      <c r="W2561" t="s">
        <v>21</v>
      </c>
      <c r="X2561" t="s">
        <v>36</v>
      </c>
      <c r="Y2561" s="4">
        <v>17</v>
      </c>
      <c r="Z2561" s="4">
        <v>3</v>
      </c>
      <c r="AA2561" t="s">
        <v>52</v>
      </c>
      <c r="AB2561" t="s">
        <v>38</v>
      </c>
      <c r="AC2561" s="7">
        <v>0</v>
      </c>
      <c r="AD2561" t="s">
        <v>39</v>
      </c>
      <c r="AE2561">
        <f t="shared" si="39"/>
        <v>0</v>
      </c>
    </row>
    <row r="2562" spans="1:31" x14ac:dyDescent="0.35">
      <c r="A2562">
        <v>102561</v>
      </c>
      <c r="B2562" s="3">
        <v>46009</v>
      </c>
      <c r="C2562">
        <v>1029</v>
      </c>
      <c r="D2562" t="s">
        <v>64</v>
      </c>
      <c r="E2562" t="s">
        <v>65</v>
      </c>
      <c r="F2562" t="s">
        <v>71</v>
      </c>
      <c r="G2562" t="s">
        <v>33</v>
      </c>
      <c r="H2562" t="s">
        <v>51</v>
      </c>
      <c r="I2562" t="s">
        <v>35</v>
      </c>
      <c r="J2562" s="4">
        <v>27.84</v>
      </c>
      <c r="K2562" s="4">
        <v>18.75</v>
      </c>
      <c r="L2562">
        <v>5</v>
      </c>
      <c r="M2562" s="4">
        <v>26.1</v>
      </c>
      <c r="N2562" s="4">
        <v>495.9</v>
      </c>
      <c r="O2562" s="4">
        <v>234.16</v>
      </c>
      <c r="P2562" s="4">
        <v>9.48</v>
      </c>
      <c r="Q2562" s="4">
        <v>3.65</v>
      </c>
      <c r="R2562" s="4">
        <v>10.9</v>
      </c>
      <c r="S2562" s="4">
        <v>0</v>
      </c>
      <c r="T2562" s="4">
        <v>0</v>
      </c>
      <c r="U2562" s="4">
        <v>258.19</v>
      </c>
      <c r="V2562" s="4">
        <v>237.71</v>
      </c>
      <c r="W2562" t="s">
        <v>21</v>
      </c>
      <c r="X2562" t="s">
        <v>36</v>
      </c>
      <c r="Y2562" s="4">
        <v>17</v>
      </c>
      <c r="Z2562" s="4">
        <v>44</v>
      </c>
      <c r="AA2562" t="s">
        <v>52</v>
      </c>
      <c r="AB2562" t="s">
        <v>44</v>
      </c>
      <c r="AC2562" s="7">
        <v>1</v>
      </c>
      <c r="AD2562" t="s">
        <v>45</v>
      </c>
      <c r="AE2562">
        <f t="shared" si="39"/>
        <v>1</v>
      </c>
    </row>
    <row r="2563" spans="1:31" x14ac:dyDescent="0.35">
      <c r="A2563">
        <v>102562</v>
      </c>
      <c r="B2563" s="3">
        <v>45998</v>
      </c>
      <c r="C2563">
        <v>1123</v>
      </c>
      <c r="D2563" t="s">
        <v>59</v>
      </c>
      <c r="E2563" t="s">
        <v>60</v>
      </c>
      <c r="F2563" t="s">
        <v>71</v>
      </c>
      <c r="G2563" t="s">
        <v>46</v>
      </c>
      <c r="H2563" t="s">
        <v>34</v>
      </c>
      <c r="I2563" t="s">
        <v>54</v>
      </c>
      <c r="J2563" s="4">
        <v>34.32</v>
      </c>
      <c r="K2563" s="4">
        <v>16.11</v>
      </c>
      <c r="L2563">
        <v>5</v>
      </c>
      <c r="M2563" s="4">
        <v>27.64</v>
      </c>
      <c r="N2563" s="4">
        <v>525.26</v>
      </c>
      <c r="O2563" s="4">
        <v>234.34</v>
      </c>
      <c r="P2563" s="4">
        <v>4.41</v>
      </c>
      <c r="Q2563" s="4">
        <v>6.63</v>
      </c>
      <c r="R2563" s="4">
        <v>4.0999999999999996</v>
      </c>
      <c r="S2563" s="4">
        <v>0</v>
      </c>
      <c r="T2563" s="4">
        <v>0</v>
      </c>
      <c r="U2563" s="4">
        <v>249.48</v>
      </c>
      <c r="V2563" s="4">
        <v>275.77999999999997</v>
      </c>
      <c r="W2563" t="s">
        <v>21</v>
      </c>
      <c r="X2563" t="s">
        <v>36</v>
      </c>
      <c r="Y2563" s="4">
        <v>15</v>
      </c>
      <c r="Z2563" s="4">
        <v>12</v>
      </c>
      <c r="AA2563" t="s">
        <v>37</v>
      </c>
      <c r="AB2563" t="s">
        <v>38</v>
      </c>
      <c r="AC2563" s="7">
        <v>0</v>
      </c>
      <c r="AD2563" t="s">
        <v>39</v>
      </c>
      <c r="AE2563">
        <f t="shared" ref="AE2563:AE2626" si="40">IF(AB2563="Yes",1,0)</f>
        <v>0</v>
      </c>
    </row>
    <row r="2564" spans="1:31" x14ac:dyDescent="0.35">
      <c r="A2564">
        <v>102563</v>
      </c>
      <c r="B2564" s="3">
        <v>45941</v>
      </c>
      <c r="C2564">
        <v>1134</v>
      </c>
      <c r="D2564" t="s">
        <v>59</v>
      </c>
      <c r="E2564" t="s">
        <v>70</v>
      </c>
      <c r="F2564" t="s">
        <v>49</v>
      </c>
      <c r="G2564" t="s">
        <v>63</v>
      </c>
      <c r="H2564" t="s">
        <v>51</v>
      </c>
      <c r="I2564" t="s">
        <v>69</v>
      </c>
      <c r="J2564" s="4">
        <v>22.65</v>
      </c>
      <c r="K2564" s="4">
        <v>14.41</v>
      </c>
      <c r="L2564">
        <v>10</v>
      </c>
      <c r="M2564" s="4">
        <v>32.64</v>
      </c>
      <c r="N2564" s="4">
        <v>293.75</v>
      </c>
      <c r="O2564" s="4">
        <v>134.44999999999999</v>
      </c>
      <c r="P2564" s="4">
        <v>6.09</v>
      </c>
      <c r="Q2564" s="4">
        <v>1.31</v>
      </c>
      <c r="R2564" s="4">
        <v>1.18</v>
      </c>
      <c r="S2564" s="4">
        <v>0</v>
      </c>
      <c r="T2564" s="4">
        <v>0</v>
      </c>
      <c r="U2564" s="4">
        <v>143.03</v>
      </c>
      <c r="V2564" s="4">
        <v>150.72</v>
      </c>
      <c r="W2564" t="s">
        <v>21</v>
      </c>
      <c r="X2564" t="s">
        <v>36</v>
      </c>
      <c r="Y2564" s="4">
        <v>19</v>
      </c>
      <c r="Z2564" s="4">
        <v>3</v>
      </c>
      <c r="AA2564" t="s">
        <v>52</v>
      </c>
      <c r="AB2564" t="s">
        <v>38</v>
      </c>
      <c r="AC2564" s="7">
        <v>0</v>
      </c>
      <c r="AD2564" t="s">
        <v>39</v>
      </c>
      <c r="AE2564">
        <f t="shared" si="40"/>
        <v>0</v>
      </c>
    </row>
    <row r="2565" spans="1:31" x14ac:dyDescent="0.35">
      <c r="A2565">
        <v>102564</v>
      </c>
      <c r="B2565" s="3">
        <v>45946</v>
      </c>
      <c r="C2565">
        <v>1109</v>
      </c>
      <c r="D2565" t="s">
        <v>47</v>
      </c>
      <c r="E2565" t="s">
        <v>48</v>
      </c>
      <c r="F2565" t="s">
        <v>61</v>
      </c>
      <c r="G2565" t="s">
        <v>46</v>
      </c>
      <c r="H2565" t="s">
        <v>34</v>
      </c>
      <c r="I2565" t="s">
        <v>69</v>
      </c>
      <c r="J2565" s="4">
        <v>14.79</v>
      </c>
      <c r="K2565" s="4">
        <v>15.41</v>
      </c>
      <c r="L2565">
        <v>0</v>
      </c>
      <c r="M2565" s="4">
        <v>0</v>
      </c>
      <c r="N2565" s="4">
        <v>227.91</v>
      </c>
      <c r="O2565" s="4">
        <v>108.29</v>
      </c>
      <c r="P2565" s="4">
        <v>10.01</v>
      </c>
      <c r="Q2565" s="4">
        <v>0.91</v>
      </c>
      <c r="R2565" s="4">
        <v>8.1</v>
      </c>
      <c r="S2565" s="4">
        <v>0</v>
      </c>
      <c r="T2565" s="4">
        <v>0</v>
      </c>
      <c r="U2565" s="4">
        <v>127.31</v>
      </c>
      <c r="V2565" s="4">
        <v>100.6</v>
      </c>
      <c r="W2565" t="s">
        <v>21</v>
      </c>
      <c r="X2565" t="s">
        <v>36</v>
      </c>
      <c r="Y2565" s="4">
        <v>25</v>
      </c>
      <c r="Z2565" s="4">
        <v>5</v>
      </c>
      <c r="AA2565" t="s">
        <v>52</v>
      </c>
      <c r="AB2565" t="s">
        <v>44</v>
      </c>
      <c r="AC2565" s="7">
        <v>2</v>
      </c>
      <c r="AD2565" t="s">
        <v>45</v>
      </c>
      <c r="AE2565">
        <f t="shared" si="40"/>
        <v>1</v>
      </c>
    </row>
    <row r="2566" spans="1:31" x14ac:dyDescent="0.35">
      <c r="A2566">
        <v>102565</v>
      </c>
      <c r="B2566" s="3">
        <v>45976</v>
      </c>
      <c r="C2566">
        <v>1123</v>
      </c>
      <c r="D2566" t="s">
        <v>47</v>
      </c>
      <c r="E2566" t="s">
        <v>48</v>
      </c>
      <c r="F2566" t="s">
        <v>61</v>
      </c>
      <c r="G2566" t="s">
        <v>63</v>
      </c>
      <c r="H2566" t="s">
        <v>51</v>
      </c>
      <c r="I2566" t="s">
        <v>35</v>
      </c>
      <c r="J2566" s="4">
        <v>20.2</v>
      </c>
      <c r="K2566" s="4">
        <v>12.28</v>
      </c>
      <c r="L2566">
        <v>0</v>
      </c>
      <c r="M2566" s="4">
        <v>0</v>
      </c>
      <c r="N2566" s="4">
        <v>248.06</v>
      </c>
      <c r="O2566" s="4">
        <v>153.08000000000001</v>
      </c>
      <c r="P2566" s="4">
        <v>8.09</v>
      </c>
      <c r="Q2566" s="4">
        <v>1.74</v>
      </c>
      <c r="R2566" s="4">
        <v>1.81</v>
      </c>
      <c r="S2566" s="4">
        <v>218.82</v>
      </c>
      <c r="T2566" s="4">
        <v>10.41</v>
      </c>
      <c r="U2566" s="4">
        <v>393.95</v>
      </c>
      <c r="V2566" s="4">
        <v>-145.88999999999999</v>
      </c>
      <c r="W2566" t="s">
        <v>58</v>
      </c>
      <c r="X2566" t="s">
        <v>66</v>
      </c>
      <c r="Y2566" s="4">
        <v>1</v>
      </c>
      <c r="Z2566" s="4">
        <v>2</v>
      </c>
      <c r="AA2566" t="s">
        <v>37</v>
      </c>
      <c r="AB2566" t="s">
        <v>38</v>
      </c>
      <c r="AC2566" s="7">
        <v>1</v>
      </c>
      <c r="AD2566" t="s">
        <v>45</v>
      </c>
      <c r="AE2566">
        <f t="shared" si="40"/>
        <v>0</v>
      </c>
    </row>
    <row r="2567" spans="1:31" x14ac:dyDescent="0.35">
      <c r="A2567">
        <v>102566</v>
      </c>
      <c r="B2567" s="3">
        <v>45988</v>
      </c>
      <c r="C2567">
        <v>1024</v>
      </c>
      <c r="D2567" t="s">
        <v>64</v>
      </c>
      <c r="E2567" t="s">
        <v>67</v>
      </c>
      <c r="F2567" t="s">
        <v>32</v>
      </c>
      <c r="G2567" t="s">
        <v>46</v>
      </c>
      <c r="H2567" t="s">
        <v>34</v>
      </c>
      <c r="I2567" t="s">
        <v>42</v>
      </c>
      <c r="J2567" s="4">
        <v>36.159999999999997</v>
      </c>
      <c r="K2567" s="4">
        <v>14.94</v>
      </c>
      <c r="L2567">
        <v>0</v>
      </c>
      <c r="M2567" s="4">
        <v>0</v>
      </c>
      <c r="N2567" s="4">
        <v>540.23</v>
      </c>
      <c r="O2567" s="4">
        <v>266.67</v>
      </c>
      <c r="P2567" s="4">
        <v>8.69</v>
      </c>
      <c r="Q2567" s="4">
        <v>8.1</v>
      </c>
      <c r="R2567" s="4">
        <v>6.08</v>
      </c>
      <c r="S2567" s="4">
        <v>0</v>
      </c>
      <c r="T2567" s="4">
        <v>0</v>
      </c>
      <c r="U2567" s="4">
        <v>289.54000000000002</v>
      </c>
      <c r="V2567" s="4">
        <v>250.69</v>
      </c>
      <c r="W2567" t="s">
        <v>21</v>
      </c>
      <c r="X2567" t="s">
        <v>36</v>
      </c>
      <c r="Y2567" s="4">
        <v>3</v>
      </c>
      <c r="Z2567" s="4">
        <v>1</v>
      </c>
      <c r="AA2567" t="s">
        <v>37</v>
      </c>
      <c r="AB2567" t="s">
        <v>38</v>
      </c>
      <c r="AC2567" s="7">
        <v>0</v>
      </c>
      <c r="AD2567" t="s">
        <v>39</v>
      </c>
      <c r="AE2567">
        <f t="shared" si="40"/>
        <v>0</v>
      </c>
    </row>
    <row r="2568" spans="1:31" x14ac:dyDescent="0.35">
      <c r="A2568">
        <v>102567</v>
      </c>
      <c r="B2568" s="3">
        <v>45953</v>
      </c>
      <c r="C2568">
        <v>1029</v>
      </c>
      <c r="D2568" t="s">
        <v>47</v>
      </c>
      <c r="E2568" t="s">
        <v>74</v>
      </c>
      <c r="F2568" t="s">
        <v>61</v>
      </c>
      <c r="G2568" t="s">
        <v>63</v>
      </c>
      <c r="H2568" t="s">
        <v>34</v>
      </c>
      <c r="I2568" t="s">
        <v>54</v>
      </c>
      <c r="J2568" s="4">
        <v>9.7100000000000009</v>
      </c>
      <c r="K2568" s="4">
        <v>11.96</v>
      </c>
      <c r="L2568">
        <v>0</v>
      </c>
      <c r="M2568" s="4">
        <v>0</v>
      </c>
      <c r="N2568" s="4">
        <v>116.13</v>
      </c>
      <c r="O2568" s="4">
        <v>77.47</v>
      </c>
      <c r="P2568" s="4">
        <v>5.22</v>
      </c>
      <c r="Q2568" s="4">
        <v>1.39</v>
      </c>
      <c r="R2568" s="4">
        <v>8.4700000000000006</v>
      </c>
      <c r="S2568" s="4">
        <v>0</v>
      </c>
      <c r="T2568" s="4">
        <v>0</v>
      </c>
      <c r="U2568" s="4">
        <v>92.55</v>
      </c>
      <c r="V2568" s="4">
        <v>23.58</v>
      </c>
      <c r="W2568" t="s">
        <v>21</v>
      </c>
      <c r="X2568" t="s">
        <v>36</v>
      </c>
      <c r="Y2568" s="4">
        <v>9</v>
      </c>
      <c r="Z2568" s="4">
        <v>7</v>
      </c>
      <c r="AA2568" t="s">
        <v>37</v>
      </c>
      <c r="AB2568" t="s">
        <v>38</v>
      </c>
      <c r="AC2568" s="7">
        <v>0</v>
      </c>
      <c r="AD2568" t="s">
        <v>39</v>
      </c>
      <c r="AE2568">
        <f t="shared" si="40"/>
        <v>0</v>
      </c>
    </row>
    <row r="2569" spans="1:31" x14ac:dyDescent="0.35">
      <c r="A2569">
        <v>102568</v>
      </c>
      <c r="B2569" s="3">
        <v>45997</v>
      </c>
      <c r="C2569">
        <v>1132</v>
      </c>
      <c r="D2569" t="s">
        <v>59</v>
      </c>
      <c r="E2569" t="s">
        <v>70</v>
      </c>
      <c r="F2569" t="s">
        <v>71</v>
      </c>
      <c r="G2569" t="s">
        <v>63</v>
      </c>
      <c r="H2569" t="s">
        <v>34</v>
      </c>
      <c r="I2569" t="s">
        <v>54</v>
      </c>
      <c r="J2569" s="4">
        <v>12.32</v>
      </c>
      <c r="K2569" s="4">
        <v>11.76</v>
      </c>
      <c r="L2569">
        <v>10</v>
      </c>
      <c r="M2569" s="4">
        <v>14.49</v>
      </c>
      <c r="N2569" s="4">
        <v>130.38999999999999</v>
      </c>
      <c r="O2569" s="4">
        <v>78.66</v>
      </c>
      <c r="P2569" s="4">
        <v>1</v>
      </c>
      <c r="Q2569" s="4">
        <v>1.74</v>
      </c>
      <c r="R2569" s="4">
        <v>6.66</v>
      </c>
      <c r="S2569" s="4">
        <v>89.57</v>
      </c>
      <c r="T2569" s="4">
        <v>0</v>
      </c>
      <c r="U2569" s="4">
        <v>177.63</v>
      </c>
      <c r="V2569" s="4">
        <v>-47.24</v>
      </c>
      <c r="W2569" t="s">
        <v>58</v>
      </c>
      <c r="X2569" t="s">
        <v>55</v>
      </c>
      <c r="Y2569" s="4">
        <v>4</v>
      </c>
      <c r="Z2569" s="4">
        <v>7</v>
      </c>
      <c r="AA2569" t="s">
        <v>37</v>
      </c>
      <c r="AB2569" t="s">
        <v>44</v>
      </c>
      <c r="AC2569" s="7">
        <v>1</v>
      </c>
      <c r="AD2569" t="s">
        <v>45</v>
      </c>
      <c r="AE2569">
        <f t="shared" si="40"/>
        <v>1</v>
      </c>
    </row>
    <row r="2570" spans="1:31" x14ac:dyDescent="0.35">
      <c r="A2570">
        <v>102569</v>
      </c>
      <c r="B2570" s="3">
        <v>45938</v>
      </c>
      <c r="C2570">
        <v>1125</v>
      </c>
      <c r="D2570" t="s">
        <v>59</v>
      </c>
      <c r="E2570" t="s">
        <v>60</v>
      </c>
      <c r="F2570" t="s">
        <v>41</v>
      </c>
      <c r="G2570" t="s">
        <v>46</v>
      </c>
      <c r="H2570" t="s">
        <v>57</v>
      </c>
      <c r="I2570" t="s">
        <v>35</v>
      </c>
      <c r="J2570" s="4">
        <v>25.63</v>
      </c>
      <c r="K2570" s="4">
        <v>14.96</v>
      </c>
      <c r="L2570">
        <v>0</v>
      </c>
      <c r="M2570" s="4">
        <v>0</v>
      </c>
      <c r="N2570" s="4">
        <v>383.42</v>
      </c>
      <c r="O2570" s="4">
        <v>179.19</v>
      </c>
      <c r="P2570" s="4">
        <v>8.74</v>
      </c>
      <c r="Q2570" s="4">
        <v>2.68</v>
      </c>
      <c r="R2570" s="4">
        <v>12.35</v>
      </c>
      <c r="S2570" s="4">
        <v>321.82</v>
      </c>
      <c r="T2570" s="4">
        <v>4.22</v>
      </c>
      <c r="U2570" s="4">
        <v>529</v>
      </c>
      <c r="V2570" s="4">
        <v>-145.58000000000001</v>
      </c>
      <c r="W2570" t="s">
        <v>58</v>
      </c>
      <c r="X2570" t="s">
        <v>55</v>
      </c>
      <c r="Y2570" s="4">
        <v>5</v>
      </c>
      <c r="Z2570" s="4">
        <v>12</v>
      </c>
      <c r="AA2570" t="s">
        <v>37</v>
      </c>
      <c r="AB2570" t="s">
        <v>44</v>
      </c>
      <c r="AC2570" s="7">
        <v>1</v>
      </c>
      <c r="AD2570" t="s">
        <v>45</v>
      </c>
      <c r="AE2570">
        <f t="shared" si="40"/>
        <v>1</v>
      </c>
    </row>
    <row r="2571" spans="1:31" x14ac:dyDescent="0.35">
      <c r="A2571">
        <v>102570</v>
      </c>
      <c r="B2571" s="3">
        <v>45976</v>
      </c>
      <c r="C2571">
        <v>1100</v>
      </c>
      <c r="D2571" t="s">
        <v>47</v>
      </c>
      <c r="E2571" t="s">
        <v>56</v>
      </c>
      <c r="F2571" t="s">
        <v>41</v>
      </c>
      <c r="G2571" t="s">
        <v>33</v>
      </c>
      <c r="H2571" t="s">
        <v>51</v>
      </c>
      <c r="I2571" t="s">
        <v>35</v>
      </c>
      <c r="J2571" s="4">
        <v>15.61</v>
      </c>
      <c r="K2571" s="4">
        <v>19.59</v>
      </c>
      <c r="L2571">
        <v>15</v>
      </c>
      <c r="M2571" s="4">
        <v>45.87</v>
      </c>
      <c r="N2571" s="4">
        <v>259.93</v>
      </c>
      <c r="O2571" s="4">
        <v>109.95</v>
      </c>
      <c r="P2571" s="4">
        <v>11.53</v>
      </c>
      <c r="Q2571" s="4">
        <v>2.14</v>
      </c>
      <c r="R2571" s="4">
        <v>11.41</v>
      </c>
      <c r="S2571" s="4">
        <v>0</v>
      </c>
      <c r="T2571" s="4">
        <v>0</v>
      </c>
      <c r="U2571" s="4">
        <v>135.03</v>
      </c>
      <c r="V2571" s="4">
        <v>124.9</v>
      </c>
      <c r="W2571" t="s">
        <v>21</v>
      </c>
      <c r="X2571" t="s">
        <v>36</v>
      </c>
      <c r="Y2571" s="4">
        <v>3</v>
      </c>
      <c r="Z2571" s="4">
        <v>3</v>
      </c>
      <c r="AA2571" t="s">
        <v>37</v>
      </c>
      <c r="AB2571" t="s">
        <v>38</v>
      </c>
      <c r="AC2571" s="7">
        <v>0</v>
      </c>
      <c r="AD2571" t="s">
        <v>39</v>
      </c>
      <c r="AE2571">
        <f t="shared" si="40"/>
        <v>0</v>
      </c>
    </row>
    <row r="2572" spans="1:31" x14ac:dyDescent="0.35">
      <c r="A2572">
        <v>102571</v>
      </c>
      <c r="B2572" s="3">
        <v>45989</v>
      </c>
      <c r="C2572">
        <v>1054</v>
      </c>
      <c r="D2572" t="s">
        <v>30</v>
      </c>
      <c r="E2572" t="s">
        <v>62</v>
      </c>
      <c r="F2572" t="s">
        <v>71</v>
      </c>
      <c r="G2572" t="s">
        <v>46</v>
      </c>
      <c r="H2572" t="s">
        <v>51</v>
      </c>
      <c r="I2572" t="s">
        <v>69</v>
      </c>
      <c r="J2572" s="4">
        <v>27.55</v>
      </c>
      <c r="K2572" s="4">
        <v>15.49</v>
      </c>
      <c r="L2572">
        <v>20</v>
      </c>
      <c r="M2572" s="4">
        <v>85.35</v>
      </c>
      <c r="N2572" s="4">
        <v>341.4</v>
      </c>
      <c r="O2572" s="4">
        <v>231.16</v>
      </c>
      <c r="P2572" s="4">
        <v>12.75</v>
      </c>
      <c r="Q2572" s="4">
        <v>1.71</v>
      </c>
      <c r="R2572" s="4">
        <v>3.98</v>
      </c>
      <c r="S2572" s="4">
        <v>238.33</v>
      </c>
      <c r="T2572" s="4">
        <v>13.85</v>
      </c>
      <c r="U2572" s="4">
        <v>501.78</v>
      </c>
      <c r="V2572" s="4">
        <v>-160.38</v>
      </c>
      <c r="W2572" t="s">
        <v>58</v>
      </c>
      <c r="X2572" t="s">
        <v>55</v>
      </c>
      <c r="Y2572" s="4">
        <v>1</v>
      </c>
      <c r="Z2572" s="4">
        <v>20</v>
      </c>
      <c r="AA2572" t="s">
        <v>37</v>
      </c>
      <c r="AB2572" t="s">
        <v>44</v>
      </c>
      <c r="AC2572" s="7">
        <v>2</v>
      </c>
      <c r="AD2572" t="s">
        <v>45</v>
      </c>
      <c r="AE2572">
        <f t="shared" si="40"/>
        <v>1</v>
      </c>
    </row>
    <row r="2573" spans="1:31" x14ac:dyDescent="0.35">
      <c r="A2573">
        <v>102572</v>
      </c>
      <c r="B2573" s="3">
        <v>45966</v>
      </c>
      <c r="C2573">
        <v>1096</v>
      </c>
      <c r="D2573" t="s">
        <v>59</v>
      </c>
      <c r="E2573" t="s">
        <v>73</v>
      </c>
      <c r="F2573" t="s">
        <v>49</v>
      </c>
      <c r="G2573" t="s">
        <v>46</v>
      </c>
      <c r="H2573" t="s">
        <v>51</v>
      </c>
      <c r="I2573" t="s">
        <v>35</v>
      </c>
      <c r="J2573" s="4">
        <v>38.94</v>
      </c>
      <c r="K2573" s="4">
        <v>15.64</v>
      </c>
      <c r="L2573">
        <v>10</v>
      </c>
      <c r="M2573" s="4">
        <v>60.9</v>
      </c>
      <c r="N2573" s="4">
        <v>548.12</v>
      </c>
      <c r="O2573" s="4">
        <v>338.68</v>
      </c>
      <c r="P2573" s="4">
        <v>8.82</v>
      </c>
      <c r="Q2573" s="4">
        <v>4.26</v>
      </c>
      <c r="R2573" s="4">
        <v>0</v>
      </c>
      <c r="S2573" s="4">
        <v>379.65</v>
      </c>
      <c r="T2573" s="4">
        <v>14.69</v>
      </c>
      <c r="U2573" s="4">
        <v>746.1</v>
      </c>
      <c r="V2573" s="4">
        <v>-197.98</v>
      </c>
      <c r="W2573" t="s">
        <v>58</v>
      </c>
      <c r="X2573" t="s">
        <v>55</v>
      </c>
      <c r="Y2573" s="4">
        <v>18</v>
      </c>
      <c r="Z2573" s="4">
        <v>6</v>
      </c>
      <c r="AA2573" t="s">
        <v>52</v>
      </c>
      <c r="AB2573" t="s">
        <v>44</v>
      </c>
      <c r="AC2573" s="7">
        <v>4</v>
      </c>
      <c r="AD2573" t="s">
        <v>45</v>
      </c>
      <c r="AE2573">
        <f t="shared" si="40"/>
        <v>1</v>
      </c>
    </row>
    <row r="2574" spans="1:31" x14ac:dyDescent="0.35">
      <c r="A2574">
        <v>102573</v>
      </c>
      <c r="B2574" s="3">
        <v>46016</v>
      </c>
      <c r="C2574">
        <v>1121</v>
      </c>
      <c r="D2574" t="s">
        <v>64</v>
      </c>
      <c r="E2574" t="s">
        <v>65</v>
      </c>
      <c r="F2574" t="s">
        <v>32</v>
      </c>
      <c r="G2574" t="s">
        <v>33</v>
      </c>
      <c r="H2574" t="s">
        <v>57</v>
      </c>
      <c r="I2574" t="s">
        <v>35</v>
      </c>
      <c r="J2574" s="4">
        <v>22.34</v>
      </c>
      <c r="K2574" s="4">
        <v>18.71</v>
      </c>
      <c r="L2574">
        <v>5</v>
      </c>
      <c r="M2574" s="4">
        <v>20.9</v>
      </c>
      <c r="N2574" s="4">
        <v>397.08</v>
      </c>
      <c r="O2574" s="4">
        <v>162.6</v>
      </c>
      <c r="P2574" s="4">
        <v>10.83</v>
      </c>
      <c r="Q2574" s="4">
        <v>2.93</v>
      </c>
      <c r="R2574" s="4">
        <v>8.14</v>
      </c>
      <c r="S2574" s="4">
        <v>0</v>
      </c>
      <c r="T2574" s="4">
        <v>0</v>
      </c>
      <c r="U2574" s="4">
        <v>184.5</v>
      </c>
      <c r="V2574" s="4">
        <v>212.58</v>
      </c>
      <c r="W2574" t="s">
        <v>21</v>
      </c>
      <c r="X2574" t="s">
        <v>36</v>
      </c>
      <c r="Y2574" s="4">
        <v>52</v>
      </c>
      <c r="Z2574" s="4">
        <v>1</v>
      </c>
      <c r="AA2574" t="s">
        <v>43</v>
      </c>
      <c r="AB2574" t="s">
        <v>44</v>
      </c>
      <c r="AC2574" s="7">
        <v>3</v>
      </c>
      <c r="AD2574" t="s">
        <v>45</v>
      </c>
      <c r="AE2574">
        <f t="shared" si="40"/>
        <v>1</v>
      </c>
    </row>
    <row r="2575" spans="1:31" x14ac:dyDescent="0.35">
      <c r="A2575">
        <v>102574</v>
      </c>
      <c r="B2575" s="3">
        <v>45970</v>
      </c>
      <c r="C2575">
        <v>1088</v>
      </c>
      <c r="D2575" t="s">
        <v>47</v>
      </c>
      <c r="E2575" t="s">
        <v>53</v>
      </c>
      <c r="F2575" t="s">
        <v>61</v>
      </c>
      <c r="G2575" t="s">
        <v>50</v>
      </c>
      <c r="H2575" t="s">
        <v>34</v>
      </c>
      <c r="I2575" t="s">
        <v>54</v>
      </c>
      <c r="J2575" s="4">
        <v>25.42</v>
      </c>
      <c r="K2575" s="4">
        <v>17.16</v>
      </c>
      <c r="L2575">
        <v>10</v>
      </c>
      <c r="M2575" s="4">
        <v>43.62</v>
      </c>
      <c r="N2575" s="4">
        <v>392.59</v>
      </c>
      <c r="O2575" s="4">
        <v>208</v>
      </c>
      <c r="P2575" s="4">
        <v>10.96</v>
      </c>
      <c r="Q2575" s="4">
        <v>5.23</v>
      </c>
      <c r="R2575" s="4">
        <v>1.36</v>
      </c>
      <c r="S2575" s="4">
        <v>0</v>
      </c>
      <c r="T2575" s="4">
        <v>0</v>
      </c>
      <c r="U2575" s="4">
        <v>225.55</v>
      </c>
      <c r="V2575" s="4">
        <v>167.04</v>
      </c>
      <c r="W2575" t="s">
        <v>21</v>
      </c>
      <c r="X2575" t="s">
        <v>36</v>
      </c>
      <c r="Y2575" s="4">
        <v>15</v>
      </c>
      <c r="Z2575" s="4">
        <v>18</v>
      </c>
      <c r="AA2575" t="s">
        <v>37</v>
      </c>
      <c r="AB2575" t="s">
        <v>44</v>
      </c>
      <c r="AC2575" s="7">
        <v>1</v>
      </c>
      <c r="AD2575" t="s">
        <v>45</v>
      </c>
      <c r="AE2575">
        <f t="shared" si="40"/>
        <v>1</v>
      </c>
    </row>
    <row r="2576" spans="1:31" x14ac:dyDescent="0.35">
      <c r="A2576">
        <v>102575</v>
      </c>
      <c r="B2576" s="3">
        <v>45973</v>
      </c>
      <c r="C2576">
        <v>1136</v>
      </c>
      <c r="D2576" t="s">
        <v>30</v>
      </c>
      <c r="E2576" t="s">
        <v>31</v>
      </c>
      <c r="F2576" t="s">
        <v>71</v>
      </c>
      <c r="G2576" t="s">
        <v>63</v>
      </c>
      <c r="H2576" t="s">
        <v>34</v>
      </c>
      <c r="I2576" t="s">
        <v>54</v>
      </c>
      <c r="J2576" s="4">
        <v>16.059999999999999</v>
      </c>
      <c r="K2576" s="4">
        <v>12.58</v>
      </c>
      <c r="L2576">
        <v>0</v>
      </c>
      <c r="M2576" s="4">
        <v>0</v>
      </c>
      <c r="N2576" s="4">
        <v>202.03</v>
      </c>
      <c r="O2576" s="4">
        <v>105.72</v>
      </c>
      <c r="P2576" s="4">
        <v>9.6199999999999992</v>
      </c>
      <c r="Q2576" s="4">
        <v>2.42</v>
      </c>
      <c r="R2576" s="4">
        <v>0</v>
      </c>
      <c r="S2576" s="4">
        <v>0</v>
      </c>
      <c r="T2576" s="4">
        <v>0</v>
      </c>
      <c r="U2576" s="4">
        <v>117.76</v>
      </c>
      <c r="V2576" s="4">
        <v>84.27</v>
      </c>
      <c r="W2576" t="s">
        <v>21</v>
      </c>
      <c r="X2576" t="s">
        <v>36</v>
      </c>
      <c r="Y2576" s="4">
        <v>10</v>
      </c>
      <c r="Z2576" s="4">
        <v>0</v>
      </c>
      <c r="AA2576" t="s">
        <v>37</v>
      </c>
      <c r="AB2576" t="s">
        <v>38</v>
      </c>
      <c r="AC2576" s="7">
        <v>0</v>
      </c>
      <c r="AD2576" t="s">
        <v>39</v>
      </c>
      <c r="AE2576">
        <f t="shared" si="40"/>
        <v>0</v>
      </c>
    </row>
    <row r="2577" spans="1:31" x14ac:dyDescent="0.35">
      <c r="A2577">
        <v>102576</v>
      </c>
      <c r="B2577" s="3">
        <v>45980</v>
      </c>
      <c r="C2577">
        <v>1088</v>
      </c>
      <c r="D2577" t="s">
        <v>59</v>
      </c>
      <c r="E2577" t="s">
        <v>68</v>
      </c>
      <c r="F2577" t="s">
        <v>41</v>
      </c>
      <c r="G2577" t="s">
        <v>63</v>
      </c>
      <c r="H2577" t="s">
        <v>57</v>
      </c>
      <c r="I2577" t="s">
        <v>35</v>
      </c>
      <c r="J2577" s="4">
        <v>20.36</v>
      </c>
      <c r="K2577" s="4">
        <v>13.17</v>
      </c>
      <c r="L2577">
        <v>5</v>
      </c>
      <c r="M2577" s="4">
        <v>13.41</v>
      </c>
      <c r="N2577" s="4">
        <v>254.73</v>
      </c>
      <c r="O2577" s="4">
        <v>127.18</v>
      </c>
      <c r="P2577" s="4">
        <v>4.34</v>
      </c>
      <c r="Q2577" s="4">
        <v>1.88</v>
      </c>
      <c r="R2577" s="4">
        <v>6.83</v>
      </c>
      <c r="S2577" s="4">
        <v>0</v>
      </c>
      <c r="T2577" s="4">
        <v>0</v>
      </c>
      <c r="U2577" s="4">
        <v>140.22999999999999</v>
      </c>
      <c r="V2577" s="4">
        <v>114.5</v>
      </c>
      <c r="W2577" t="s">
        <v>21</v>
      </c>
      <c r="X2577" t="s">
        <v>36</v>
      </c>
      <c r="Y2577" s="4">
        <v>6</v>
      </c>
      <c r="Z2577" s="4">
        <v>6</v>
      </c>
      <c r="AA2577" t="s">
        <v>37</v>
      </c>
      <c r="AB2577" t="s">
        <v>38</v>
      </c>
      <c r="AC2577" s="7">
        <v>0</v>
      </c>
      <c r="AD2577" t="s">
        <v>39</v>
      </c>
      <c r="AE2577">
        <f t="shared" si="40"/>
        <v>0</v>
      </c>
    </row>
    <row r="2578" spans="1:31" x14ac:dyDescent="0.35">
      <c r="A2578">
        <v>102577</v>
      </c>
      <c r="B2578" s="3">
        <v>45967</v>
      </c>
      <c r="C2578">
        <v>1025</v>
      </c>
      <c r="D2578" t="s">
        <v>64</v>
      </c>
      <c r="E2578" t="s">
        <v>76</v>
      </c>
      <c r="F2578" t="s">
        <v>32</v>
      </c>
      <c r="G2578" t="s">
        <v>50</v>
      </c>
      <c r="H2578" t="s">
        <v>34</v>
      </c>
      <c r="I2578" t="s">
        <v>35</v>
      </c>
      <c r="J2578" s="4">
        <v>28.6</v>
      </c>
      <c r="K2578" s="4">
        <v>18.420000000000002</v>
      </c>
      <c r="L2578">
        <v>0</v>
      </c>
      <c r="M2578" s="4">
        <v>0</v>
      </c>
      <c r="N2578" s="4">
        <v>526.80999999999995</v>
      </c>
      <c r="O2578" s="4">
        <v>193.43</v>
      </c>
      <c r="P2578" s="4">
        <v>15.36</v>
      </c>
      <c r="Q2578" s="4">
        <v>3.69</v>
      </c>
      <c r="R2578" s="4">
        <v>9.61</v>
      </c>
      <c r="S2578" s="4">
        <v>0</v>
      </c>
      <c r="T2578" s="4">
        <v>0</v>
      </c>
      <c r="U2578" s="4">
        <v>222.09</v>
      </c>
      <c r="V2578" s="4">
        <v>304.72000000000003</v>
      </c>
      <c r="W2578" t="s">
        <v>21</v>
      </c>
      <c r="X2578" t="s">
        <v>36</v>
      </c>
      <c r="Y2578" s="4">
        <v>14</v>
      </c>
      <c r="Z2578" s="4">
        <v>3</v>
      </c>
      <c r="AA2578" t="s">
        <v>37</v>
      </c>
      <c r="AB2578" t="s">
        <v>38</v>
      </c>
      <c r="AC2578" s="7">
        <v>0</v>
      </c>
      <c r="AD2578" t="s">
        <v>39</v>
      </c>
      <c r="AE2578">
        <f t="shared" si="40"/>
        <v>0</v>
      </c>
    </row>
    <row r="2579" spans="1:31" x14ac:dyDescent="0.35">
      <c r="A2579">
        <v>102578</v>
      </c>
      <c r="B2579" s="3">
        <v>46005</v>
      </c>
      <c r="C2579">
        <v>1123</v>
      </c>
      <c r="D2579" t="s">
        <v>64</v>
      </c>
      <c r="E2579" t="s">
        <v>67</v>
      </c>
      <c r="F2579" t="s">
        <v>41</v>
      </c>
      <c r="G2579" t="s">
        <v>63</v>
      </c>
      <c r="H2579" t="s">
        <v>51</v>
      </c>
      <c r="I2579" t="s">
        <v>42</v>
      </c>
      <c r="J2579" s="4">
        <v>11.78</v>
      </c>
      <c r="K2579" s="4">
        <v>12.11</v>
      </c>
      <c r="L2579">
        <v>0</v>
      </c>
      <c r="M2579" s="4">
        <v>0</v>
      </c>
      <c r="N2579" s="4">
        <v>142.66</v>
      </c>
      <c r="O2579" s="4">
        <v>83.34</v>
      </c>
      <c r="P2579" s="4">
        <v>5.03</v>
      </c>
      <c r="Q2579" s="4">
        <v>2.14</v>
      </c>
      <c r="R2579" s="4">
        <v>1.43</v>
      </c>
      <c r="S2579" s="4">
        <v>0</v>
      </c>
      <c r="T2579" s="4">
        <v>0</v>
      </c>
      <c r="U2579" s="4">
        <v>91.94</v>
      </c>
      <c r="V2579" s="4">
        <v>50.72</v>
      </c>
      <c r="W2579" t="s">
        <v>21</v>
      </c>
      <c r="X2579" t="s">
        <v>36</v>
      </c>
      <c r="Y2579" s="4">
        <v>27</v>
      </c>
      <c r="Z2579" s="4">
        <v>3</v>
      </c>
      <c r="AA2579" t="s">
        <v>52</v>
      </c>
      <c r="AB2579" t="s">
        <v>44</v>
      </c>
      <c r="AC2579" s="7">
        <v>3</v>
      </c>
      <c r="AD2579" t="s">
        <v>45</v>
      </c>
      <c r="AE2579">
        <f t="shared" si="40"/>
        <v>1</v>
      </c>
    </row>
    <row r="2580" spans="1:31" x14ac:dyDescent="0.35">
      <c r="A2580">
        <v>102579</v>
      </c>
      <c r="B2580" s="3">
        <v>46018</v>
      </c>
      <c r="C2580">
        <v>1036</v>
      </c>
      <c r="D2580" t="s">
        <v>30</v>
      </c>
      <c r="E2580" t="s">
        <v>31</v>
      </c>
      <c r="F2580" t="s">
        <v>32</v>
      </c>
      <c r="G2580" t="s">
        <v>63</v>
      </c>
      <c r="H2580" t="s">
        <v>34</v>
      </c>
      <c r="I2580" t="s">
        <v>35</v>
      </c>
      <c r="J2580" s="4">
        <v>13.38</v>
      </c>
      <c r="K2580" s="4">
        <v>13.29</v>
      </c>
      <c r="L2580">
        <v>5</v>
      </c>
      <c r="M2580" s="4">
        <v>8.89</v>
      </c>
      <c r="N2580" s="4">
        <v>168.93</v>
      </c>
      <c r="O2580" s="4">
        <v>106.92</v>
      </c>
      <c r="P2580" s="4">
        <v>6.97</v>
      </c>
      <c r="Q2580" s="4">
        <v>1.24</v>
      </c>
      <c r="R2580" s="4">
        <v>7.53</v>
      </c>
      <c r="S2580" s="4">
        <v>0</v>
      </c>
      <c r="T2580" s="4">
        <v>0</v>
      </c>
      <c r="U2580" s="4">
        <v>122.66</v>
      </c>
      <c r="V2580" s="4">
        <v>46.27</v>
      </c>
      <c r="W2580" t="s">
        <v>21</v>
      </c>
      <c r="X2580" t="s">
        <v>36</v>
      </c>
      <c r="Y2580" s="4">
        <v>0</v>
      </c>
      <c r="Z2580" s="4">
        <v>23</v>
      </c>
      <c r="AA2580" t="s">
        <v>37</v>
      </c>
      <c r="AB2580" t="s">
        <v>44</v>
      </c>
      <c r="AC2580" s="7">
        <v>1</v>
      </c>
      <c r="AD2580" t="s">
        <v>45</v>
      </c>
      <c r="AE2580">
        <f t="shared" si="40"/>
        <v>1</v>
      </c>
    </row>
    <row r="2581" spans="1:31" x14ac:dyDescent="0.35">
      <c r="A2581">
        <v>102580</v>
      </c>
      <c r="B2581" s="3">
        <v>45991</v>
      </c>
      <c r="C2581">
        <v>1035</v>
      </c>
      <c r="D2581" t="s">
        <v>47</v>
      </c>
      <c r="E2581" t="s">
        <v>74</v>
      </c>
      <c r="F2581" t="s">
        <v>49</v>
      </c>
      <c r="G2581" t="s">
        <v>50</v>
      </c>
      <c r="H2581" t="s">
        <v>34</v>
      </c>
      <c r="I2581" t="s">
        <v>54</v>
      </c>
      <c r="J2581" s="4">
        <v>32.28</v>
      </c>
      <c r="K2581" s="4">
        <v>18.649999999999999</v>
      </c>
      <c r="L2581">
        <v>0</v>
      </c>
      <c r="M2581" s="4">
        <v>0</v>
      </c>
      <c r="N2581" s="4">
        <v>602.02</v>
      </c>
      <c r="O2581" s="4">
        <v>245.33</v>
      </c>
      <c r="P2581" s="4">
        <v>9.4700000000000006</v>
      </c>
      <c r="Q2581" s="4">
        <v>7.22</v>
      </c>
      <c r="R2581" s="4">
        <v>9.2100000000000009</v>
      </c>
      <c r="S2581" s="4">
        <v>0</v>
      </c>
      <c r="T2581" s="4">
        <v>0</v>
      </c>
      <c r="U2581" s="4">
        <v>271.23</v>
      </c>
      <c r="V2581" s="4">
        <v>330.79</v>
      </c>
      <c r="W2581" t="s">
        <v>21</v>
      </c>
      <c r="X2581" t="s">
        <v>36</v>
      </c>
      <c r="Y2581" s="4">
        <v>10</v>
      </c>
      <c r="Z2581" s="4">
        <v>2</v>
      </c>
      <c r="AA2581" t="s">
        <v>37</v>
      </c>
      <c r="AB2581" t="s">
        <v>38</v>
      </c>
      <c r="AC2581" s="7">
        <v>0</v>
      </c>
      <c r="AD2581" t="s">
        <v>39</v>
      </c>
      <c r="AE2581">
        <f t="shared" si="40"/>
        <v>0</v>
      </c>
    </row>
    <row r="2582" spans="1:31" x14ac:dyDescent="0.35">
      <c r="A2582">
        <v>102581</v>
      </c>
      <c r="B2582" s="3">
        <v>45979</v>
      </c>
      <c r="C2582">
        <v>1002</v>
      </c>
      <c r="D2582" t="s">
        <v>64</v>
      </c>
      <c r="E2582" t="s">
        <v>76</v>
      </c>
      <c r="F2582" t="s">
        <v>32</v>
      </c>
      <c r="G2582" t="s">
        <v>46</v>
      </c>
      <c r="H2582" t="s">
        <v>34</v>
      </c>
      <c r="I2582" t="s">
        <v>69</v>
      </c>
      <c r="J2582" s="4">
        <v>16.89</v>
      </c>
      <c r="K2582" s="4">
        <v>16.62</v>
      </c>
      <c r="L2582">
        <v>10</v>
      </c>
      <c r="M2582" s="4">
        <v>28.07</v>
      </c>
      <c r="N2582" s="4">
        <v>252.64</v>
      </c>
      <c r="O2582" s="4">
        <v>129.09</v>
      </c>
      <c r="P2582" s="4">
        <v>3.22</v>
      </c>
      <c r="Q2582" s="4">
        <v>1.1200000000000001</v>
      </c>
      <c r="R2582" s="4">
        <v>1.31</v>
      </c>
      <c r="S2582" s="4">
        <v>0</v>
      </c>
      <c r="T2582" s="4">
        <v>0</v>
      </c>
      <c r="U2582" s="4">
        <v>134.74</v>
      </c>
      <c r="V2582" s="4">
        <v>117.9</v>
      </c>
      <c r="W2582" t="s">
        <v>21</v>
      </c>
      <c r="X2582" t="s">
        <v>36</v>
      </c>
      <c r="Y2582" s="4">
        <v>22</v>
      </c>
      <c r="Z2582" s="4">
        <v>10</v>
      </c>
      <c r="AA2582" t="s">
        <v>52</v>
      </c>
      <c r="AB2582" t="s">
        <v>44</v>
      </c>
      <c r="AC2582" s="7">
        <v>1</v>
      </c>
      <c r="AD2582" t="s">
        <v>45</v>
      </c>
      <c r="AE2582">
        <f t="shared" si="40"/>
        <v>1</v>
      </c>
    </row>
    <row r="2583" spans="1:31" x14ac:dyDescent="0.35">
      <c r="A2583">
        <v>102582</v>
      </c>
      <c r="B2583" s="3">
        <v>45952</v>
      </c>
      <c r="C2583">
        <v>1044</v>
      </c>
      <c r="D2583" t="s">
        <v>59</v>
      </c>
      <c r="E2583" t="s">
        <v>60</v>
      </c>
      <c r="F2583" t="s">
        <v>61</v>
      </c>
      <c r="G2583" t="s">
        <v>63</v>
      </c>
      <c r="H2583" t="s">
        <v>57</v>
      </c>
      <c r="I2583" t="s">
        <v>54</v>
      </c>
      <c r="J2583" s="4">
        <v>20.41</v>
      </c>
      <c r="K2583" s="4">
        <v>12.54</v>
      </c>
      <c r="L2583">
        <v>15</v>
      </c>
      <c r="M2583" s="4">
        <v>38.39</v>
      </c>
      <c r="N2583" s="4">
        <v>217.55</v>
      </c>
      <c r="O2583" s="4">
        <v>141.22</v>
      </c>
      <c r="P2583" s="4">
        <v>6.2</v>
      </c>
      <c r="Q2583" s="4">
        <v>3.07</v>
      </c>
      <c r="R2583" s="4">
        <v>8.0299999999999994</v>
      </c>
      <c r="S2583" s="4">
        <v>0</v>
      </c>
      <c r="T2583" s="4">
        <v>0</v>
      </c>
      <c r="U2583" s="4">
        <v>158.52000000000001</v>
      </c>
      <c r="V2583" s="4">
        <v>59.03</v>
      </c>
      <c r="W2583" t="s">
        <v>21</v>
      </c>
      <c r="X2583" t="s">
        <v>36</v>
      </c>
      <c r="Y2583" s="4">
        <v>7</v>
      </c>
      <c r="Z2583" s="4">
        <v>15</v>
      </c>
      <c r="AA2583" t="s">
        <v>37</v>
      </c>
      <c r="AB2583" t="s">
        <v>38</v>
      </c>
      <c r="AC2583" s="7">
        <v>0</v>
      </c>
      <c r="AD2583" t="s">
        <v>39</v>
      </c>
      <c r="AE2583">
        <f t="shared" si="40"/>
        <v>0</v>
      </c>
    </row>
    <row r="2584" spans="1:31" x14ac:dyDescent="0.35">
      <c r="A2584">
        <v>102583</v>
      </c>
      <c r="B2584" s="3">
        <v>45945</v>
      </c>
      <c r="C2584">
        <v>1027</v>
      </c>
      <c r="D2584" t="s">
        <v>30</v>
      </c>
      <c r="E2584" t="s">
        <v>72</v>
      </c>
      <c r="F2584" t="s">
        <v>61</v>
      </c>
      <c r="G2584" t="s">
        <v>63</v>
      </c>
      <c r="H2584" t="s">
        <v>34</v>
      </c>
      <c r="I2584" t="s">
        <v>35</v>
      </c>
      <c r="J2584" s="4">
        <v>13.89</v>
      </c>
      <c r="K2584" s="4">
        <v>11.65</v>
      </c>
      <c r="L2584">
        <v>15</v>
      </c>
      <c r="M2584" s="4">
        <v>24.27</v>
      </c>
      <c r="N2584" s="4">
        <v>137.55000000000001</v>
      </c>
      <c r="O2584" s="4">
        <v>106.48</v>
      </c>
      <c r="P2584" s="4">
        <v>7.57</v>
      </c>
      <c r="Q2584" s="4">
        <v>1.1299999999999999</v>
      </c>
      <c r="R2584" s="4">
        <v>4.42</v>
      </c>
      <c r="S2584" s="4">
        <v>0</v>
      </c>
      <c r="T2584" s="4">
        <v>0</v>
      </c>
      <c r="U2584" s="4">
        <v>119.6</v>
      </c>
      <c r="V2584" s="4">
        <v>17.95</v>
      </c>
      <c r="W2584" t="s">
        <v>21</v>
      </c>
      <c r="X2584" t="s">
        <v>36</v>
      </c>
      <c r="Y2584" s="4">
        <v>2</v>
      </c>
      <c r="Z2584" s="4">
        <v>22</v>
      </c>
      <c r="AA2584" t="s">
        <v>37</v>
      </c>
      <c r="AB2584" t="s">
        <v>44</v>
      </c>
      <c r="AC2584" s="7">
        <v>2</v>
      </c>
      <c r="AD2584" t="s">
        <v>45</v>
      </c>
      <c r="AE2584">
        <f t="shared" si="40"/>
        <v>1</v>
      </c>
    </row>
    <row r="2585" spans="1:31" x14ac:dyDescent="0.35">
      <c r="A2585">
        <v>102584</v>
      </c>
      <c r="B2585" s="3">
        <v>45942</v>
      </c>
      <c r="C2585">
        <v>1055</v>
      </c>
      <c r="D2585" t="s">
        <v>30</v>
      </c>
      <c r="E2585" t="s">
        <v>40</v>
      </c>
      <c r="F2585" t="s">
        <v>49</v>
      </c>
      <c r="G2585" t="s">
        <v>50</v>
      </c>
      <c r="H2585" t="s">
        <v>34</v>
      </c>
      <c r="I2585" t="s">
        <v>35</v>
      </c>
      <c r="J2585" s="4">
        <v>35.17</v>
      </c>
      <c r="K2585" s="4">
        <v>17.66</v>
      </c>
      <c r="L2585">
        <v>0</v>
      </c>
      <c r="M2585" s="4">
        <v>0</v>
      </c>
      <c r="N2585" s="4">
        <v>621.1</v>
      </c>
      <c r="O2585" s="4">
        <v>250.3</v>
      </c>
      <c r="P2585" s="4">
        <v>4.25</v>
      </c>
      <c r="Q2585" s="4">
        <v>4.3499999999999996</v>
      </c>
      <c r="R2585" s="4">
        <v>7.44</v>
      </c>
      <c r="S2585" s="4">
        <v>257.04000000000002</v>
      </c>
      <c r="T2585" s="4">
        <v>0</v>
      </c>
      <c r="U2585" s="4">
        <v>523.38</v>
      </c>
      <c r="V2585" s="4">
        <v>97.72</v>
      </c>
      <c r="W2585" t="s">
        <v>21</v>
      </c>
      <c r="X2585" t="s">
        <v>55</v>
      </c>
      <c r="Y2585" s="4">
        <v>33</v>
      </c>
      <c r="Z2585" s="4">
        <v>6</v>
      </c>
      <c r="AA2585" t="s">
        <v>43</v>
      </c>
      <c r="AB2585" t="s">
        <v>44</v>
      </c>
      <c r="AC2585" s="7">
        <v>4</v>
      </c>
      <c r="AD2585" t="s">
        <v>45</v>
      </c>
      <c r="AE2585">
        <f t="shared" si="40"/>
        <v>1</v>
      </c>
    </row>
    <row r="2586" spans="1:31" x14ac:dyDescent="0.35">
      <c r="A2586">
        <v>102585</v>
      </c>
      <c r="B2586" s="3">
        <v>45971</v>
      </c>
      <c r="C2586">
        <v>1002</v>
      </c>
      <c r="D2586" t="s">
        <v>59</v>
      </c>
      <c r="E2586" t="s">
        <v>68</v>
      </c>
      <c r="F2586" t="s">
        <v>71</v>
      </c>
      <c r="G2586" t="s">
        <v>63</v>
      </c>
      <c r="H2586" t="s">
        <v>34</v>
      </c>
      <c r="I2586" t="s">
        <v>35</v>
      </c>
      <c r="J2586" s="4">
        <v>18.66</v>
      </c>
      <c r="K2586" s="4">
        <v>12.08</v>
      </c>
      <c r="L2586">
        <v>10</v>
      </c>
      <c r="M2586" s="4">
        <v>22.54</v>
      </c>
      <c r="N2586" s="4">
        <v>202.87</v>
      </c>
      <c r="O2586" s="4">
        <v>115.3</v>
      </c>
      <c r="P2586" s="4">
        <v>8.2200000000000006</v>
      </c>
      <c r="Q2586" s="4">
        <v>1.58</v>
      </c>
      <c r="R2586" s="4">
        <v>8.77</v>
      </c>
      <c r="S2586" s="4">
        <v>0</v>
      </c>
      <c r="T2586" s="4">
        <v>0</v>
      </c>
      <c r="U2586" s="4">
        <v>133.87</v>
      </c>
      <c r="V2586" s="4">
        <v>69</v>
      </c>
      <c r="W2586" t="s">
        <v>21</v>
      </c>
      <c r="X2586" t="s">
        <v>36</v>
      </c>
      <c r="Y2586" s="4">
        <v>6</v>
      </c>
      <c r="Z2586" s="4">
        <v>6</v>
      </c>
      <c r="AA2586" t="s">
        <v>37</v>
      </c>
      <c r="AB2586" t="s">
        <v>38</v>
      </c>
      <c r="AC2586" s="7">
        <v>0</v>
      </c>
      <c r="AD2586" t="s">
        <v>39</v>
      </c>
      <c r="AE2586">
        <f t="shared" si="40"/>
        <v>0</v>
      </c>
    </row>
    <row r="2587" spans="1:31" x14ac:dyDescent="0.35">
      <c r="A2587">
        <v>102586</v>
      </c>
      <c r="B2587" s="3">
        <v>45935</v>
      </c>
      <c r="C2587">
        <v>1104</v>
      </c>
      <c r="D2587" t="s">
        <v>47</v>
      </c>
      <c r="E2587" t="s">
        <v>48</v>
      </c>
      <c r="F2587" t="s">
        <v>61</v>
      </c>
      <c r="G2587" t="s">
        <v>63</v>
      </c>
      <c r="H2587" t="s">
        <v>57</v>
      </c>
      <c r="I2587" t="s">
        <v>35</v>
      </c>
      <c r="J2587" s="4">
        <v>11.61</v>
      </c>
      <c r="K2587" s="4">
        <v>12.31</v>
      </c>
      <c r="L2587">
        <v>20</v>
      </c>
      <c r="M2587" s="4">
        <v>28.58</v>
      </c>
      <c r="N2587" s="4">
        <v>114.34</v>
      </c>
      <c r="O2587" s="4">
        <v>95.52</v>
      </c>
      <c r="P2587" s="4">
        <v>12.67</v>
      </c>
      <c r="Q2587" s="4">
        <v>1</v>
      </c>
      <c r="R2587" s="4">
        <v>9.34</v>
      </c>
      <c r="S2587" s="4">
        <v>107.37</v>
      </c>
      <c r="T2587" s="4">
        <v>17.22</v>
      </c>
      <c r="U2587" s="4">
        <v>243.12</v>
      </c>
      <c r="V2587" s="4">
        <v>-128.78</v>
      </c>
      <c r="W2587" t="s">
        <v>58</v>
      </c>
      <c r="X2587" t="s">
        <v>55</v>
      </c>
      <c r="Y2587" s="4">
        <v>6</v>
      </c>
      <c r="Z2587" s="4">
        <v>0</v>
      </c>
      <c r="AA2587" t="s">
        <v>37</v>
      </c>
      <c r="AB2587" t="s">
        <v>44</v>
      </c>
      <c r="AC2587" s="7">
        <v>2</v>
      </c>
      <c r="AD2587" t="s">
        <v>45</v>
      </c>
      <c r="AE2587">
        <f t="shared" si="40"/>
        <v>1</v>
      </c>
    </row>
    <row r="2588" spans="1:31" x14ac:dyDescent="0.35">
      <c r="A2588">
        <v>102587</v>
      </c>
      <c r="B2588" s="3">
        <v>45999</v>
      </c>
      <c r="C2588">
        <v>1122</v>
      </c>
      <c r="D2588" t="s">
        <v>47</v>
      </c>
      <c r="E2588" t="s">
        <v>53</v>
      </c>
      <c r="F2588" t="s">
        <v>71</v>
      </c>
      <c r="G2588" t="s">
        <v>63</v>
      </c>
      <c r="H2588" t="s">
        <v>57</v>
      </c>
      <c r="I2588" t="s">
        <v>35</v>
      </c>
      <c r="J2588" s="4">
        <v>19.829999999999998</v>
      </c>
      <c r="K2588" s="4">
        <v>12.64</v>
      </c>
      <c r="L2588">
        <v>10</v>
      </c>
      <c r="M2588" s="4">
        <v>25.06</v>
      </c>
      <c r="N2588" s="4">
        <v>225.59</v>
      </c>
      <c r="O2588" s="4">
        <v>162.22</v>
      </c>
      <c r="P2588" s="4">
        <v>13.03</v>
      </c>
      <c r="Q2588" s="4">
        <v>1.75</v>
      </c>
      <c r="R2588" s="4">
        <v>3.54</v>
      </c>
      <c r="S2588" s="4">
        <v>0</v>
      </c>
      <c r="T2588" s="4">
        <v>0</v>
      </c>
      <c r="U2588" s="4">
        <v>180.54</v>
      </c>
      <c r="V2588" s="4">
        <v>45.05</v>
      </c>
      <c r="W2588" t="s">
        <v>21</v>
      </c>
      <c r="X2588" t="s">
        <v>36</v>
      </c>
      <c r="Y2588" s="4">
        <v>45</v>
      </c>
      <c r="Z2588" s="4">
        <v>3</v>
      </c>
      <c r="AA2588" t="s">
        <v>43</v>
      </c>
      <c r="AB2588" t="s">
        <v>44</v>
      </c>
      <c r="AC2588" s="7">
        <v>1</v>
      </c>
      <c r="AD2588" t="s">
        <v>45</v>
      </c>
      <c r="AE2588">
        <f t="shared" si="40"/>
        <v>1</v>
      </c>
    </row>
    <row r="2589" spans="1:31" x14ac:dyDescent="0.35">
      <c r="A2589">
        <v>102588</v>
      </c>
      <c r="B2589" s="3">
        <v>45976</v>
      </c>
      <c r="C2589">
        <v>1007</v>
      </c>
      <c r="D2589" t="s">
        <v>64</v>
      </c>
      <c r="E2589" t="s">
        <v>75</v>
      </c>
      <c r="F2589" t="s">
        <v>49</v>
      </c>
      <c r="G2589" t="s">
        <v>63</v>
      </c>
      <c r="H2589" t="s">
        <v>34</v>
      </c>
      <c r="I2589" t="s">
        <v>42</v>
      </c>
      <c r="J2589" s="4">
        <v>17.829999999999998</v>
      </c>
      <c r="K2589" s="4">
        <v>12.69</v>
      </c>
      <c r="L2589">
        <v>0</v>
      </c>
      <c r="M2589" s="4">
        <v>0</v>
      </c>
      <c r="N2589" s="4">
        <v>226.26</v>
      </c>
      <c r="O2589" s="4">
        <v>140.97999999999999</v>
      </c>
      <c r="P2589" s="4">
        <v>4.0599999999999996</v>
      </c>
      <c r="Q2589" s="4">
        <v>3.39</v>
      </c>
      <c r="R2589" s="4">
        <v>4.8099999999999996</v>
      </c>
      <c r="S2589" s="4">
        <v>0</v>
      </c>
      <c r="T2589" s="4">
        <v>0</v>
      </c>
      <c r="U2589" s="4">
        <v>153.24</v>
      </c>
      <c r="V2589" s="4">
        <v>73.02</v>
      </c>
      <c r="W2589" t="s">
        <v>21</v>
      </c>
      <c r="X2589" t="s">
        <v>36</v>
      </c>
      <c r="Y2589" s="4">
        <v>10</v>
      </c>
      <c r="Z2589" s="4">
        <v>17</v>
      </c>
      <c r="AA2589" t="s">
        <v>37</v>
      </c>
      <c r="AB2589" t="s">
        <v>44</v>
      </c>
      <c r="AC2589" s="7">
        <v>3</v>
      </c>
      <c r="AD2589" t="s">
        <v>45</v>
      </c>
      <c r="AE2589">
        <f t="shared" si="40"/>
        <v>1</v>
      </c>
    </row>
    <row r="2590" spans="1:31" x14ac:dyDescent="0.35">
      <c r="A2590">
        <v>102589</v>
      </c>
      <c r="B2590" s="3">
        <v>45977</v>
      </c>
      <c r="C2590">
        <v>1036</v>
      </c>
      <c r="D2590" t="s">
        <v>30</v>
      </c>
      <c r="E2590" t="s">
        <v>31</v>
      </c>
      <c r="F2590" t="s">
        <v>61</v>
      </c>
      <c r="G2590" t="s">
        <v>46</v>
      </c>
      <c r="H2590" t="s">
        <v>51</v>
      </c>
      <c r="I2590" t="s">
        <v>54</v>
      </c>
      <c r="J2590" s="4">
        <v>29.71</v>
      </c>
      <c r="K2590" s="4">
        <v>15.28</v>
      </c>
      <c r="L2590">
        <v>15</v>
      </c>
      <c r="M2590" s="4">
        <v>68.099999999999994</v>
      </c>
      <c r="N2590" s="4">
        <v>385.87</v>
      </c>
      <c r="O2590" s="4">
        <v>196.73</v>
      </c>
      <c r="P2590" s="4">
        <v>1</v>
      </c>
      <c r="Q2590" s="4">
        <v>5.45</v>
      </c>
      <c r="R2590" s="4">
        <v>15.29</v>
      </c>
      <c r="S2590" s="4">
        <v>0</v>
      </c>
      <c r="T2590" s="4">
        <v>0</v>
      </c>
      <c r="U2590" s="4">
        <v>218.47</v>
      </c>
      <c r="V2590" s="4">
        <v>167.4</v>
      </c>
      <c r="W2590" t="s">
        <v>21</v>
      </c>
      <c r="X2590" t="s">
        <v>36</v>
      </c>
      <c r="Y2590" s="4">
        <v>0</v>
      </c>
      <c r="Z2590" s="4">
        <v>6</v>
      </c>
      <c r="AA2590" t="s">
        <v>37</v>
      </c>
      <c r="AB2590" t="s">
        <v>38</v>
      </c>
      <c r="AC2590" s="7">
        <v>0</v>
      </c>
      <c r="AD2590" t="s">
        <v>39</v>
      </c>
      <c r="AE2590">
        <f t="shared" si="40"/>
        <v>0</v>
      </c>
    </row>
    <row r="2591" spans="1:31" x14ac:dyDescent="0.35">
      <c r="A2591">
        <v>102590</v>
      </c>
      <c r="B2591" s="3">
        <v>45939</v>
      </c>
      <c r="C2591">
        <v>1122</v>
      </c>
      <c r="D2591" t="s">
        <v>64</v>
      </c>
      <c r="E2591" t="s">
        <v>76</v>
      </c>
      <c r="F2591" t="s">
        <v>41</v>
      </c>
      <c r="G2591" t="s">
        <v>63</v>
      </c>
      <c r="H2591" t="s">
        <v>51</v>
      </c>
      <c r="I2591" t="s">
        <v>42</v>
      </c>
      <c r="J2591" s="4">
        <v>22.55</v>
      </c>
      <c r="K2591" s="4">
        <v>13.02</v>
      </c>
      <c r="L2591">
        <v>10</v>
      </c>
      <c r="M2591" s="4">
        <v>29.36</v>
      </c>
      <c r="N2591" s="4">
        <v>264.24</v>
      </c>
      <c r="O2591" s="4">
        <v>177.73</v>
      </c>
      <c r="P2591" s="4">
        <v>4.78</v>
      </c>
      <c r="Q2591" s="4">
        <v>4.4000000000000004</v>
      </c>
      <c r="R2591" s="4">
        <v>2.92</v>
      </c>
      <c r="S2591" s="4">
        <v>0</v>
      </c>
      <c r="T2591" s="4">
        <v>0</v>
      </c>
      <c r="U2591" s="4">
        <v>189.83</v>
      </c>
      <c r="V2591" s="4">
        <v>74.41</v>
      </c>
      <c r="W2591" t="s">
        <v>21</v>
      </c>
      <c r="X2591" t="s">
        <v>36</v>
      </c>
      <c r="Y2591" s="4">
        <v>6</v>
      </c>
      <c r="Z2591" s="4">
        <v>33</v>
      </c>
      <c r="AA2591" t="s">
        <v>37</v>
      </c>
      <c r="AB2591" t="s">
        <v>44</v>
      </c>
      <c r="AC2591" s="7">
        <v>4</v>
      </c>
      <c r="AD2591" t="s">
        <v>45</v>
      </c>
      <c r="AE2591">
        <f t="shared" si="40"/>
        <v>1</v>
      </c>
    </row>
    <row r="2592" spans="1:31" x14ac:dyDescent="0.35">
      <c r="A2592">
        <v>102591</v>
      </c>
      <c r="B2592" s="3">
        <v>45936</v>
      </c>
      <c r="C2592">
        <v>1070</v>
      </c>
      <c r="D2592" t="s">
        <v>30</v>
      </c>
      <c r="E2592" t="s">
        <v>31</v>
      </c>
      <c r="F2592" t="s">
        <v>41</v>
      </c>
      <c r="G2592" t="s">
        <v>33</v>
      </c>
      <c r="H2592" t="s">
        <v>57</v>
      </c>
      <c r="I2592" t="s">
        <v>69</v>
      </c>
      <c r="J2592" s="4">
        <v>32.76</v>
      </c>
      <c r="K2592" s="4">
        <v>19.04</v>
      </c>
      <c r="L2592">
        <v>20</v>
      </c>
      <c r="M2592" s="4">
        <v>124.75</v>
      </c>
      <c r="N2592" s="4">
        <v>499</v>
      </c>
      <c r="O2592" s="4">
        <v>211.32</v>
      </c>
      <c r="P2592" s="4">
        <v>8.2200000000000006</v>
      </c>
      <c r="Q2592" s="4">
        <v>2.5</v>
      </c>
      <c r="R2592" s="4">
        <v>3.52</v>
      </c>
      <c r="S2592" s="4">
        <v>0</v>
      </c>
      <c r="T2592" s="4">
        <v>0</v>
      </c>
      <c r="U2592" s="4">
        <v>225.56</v>
      </c>
      <c r="V2592" s="4">
        <v>273.44</v>
      </c>
      <c r="W2592" t="s">
        <v>21</v>
      </c>
      <c r="X2592" t="s">
        <v>36</v>
      </c>
      <c r="Y2592" s="4">
        <v>42</v>
      </c>
      <c r="Z2592" s="4">
        <v>11</v>
      </c>
      <c r="AA2592" t="s">
        <v>43</v>
      </c>
      <c r="AB2592" t="s">
        <v>44</v>
      </c>
      <c r="AC2592" s="7">
        <v>1</v>
      </c>
      <c r="AD2592" t="s">
        <v>45</v>
      </c>
      <c r="AE2592">
        <f t="shared" si="40"/>
        <v>1</v>
      </c>
    </row>
    <row r="2593" spans="1:31" x14ac:dyDescent="0.35">
      <c r="A2593">
        <v>102592</v>
      </c>
      <c r="B2593" s="3">
        <v>45935</v>
      </c>
      <c r="C2593">
        <v>1079</v>
      </c>
      <c r="D2593" t="s">
        <v>47</v>
      </c>
      <c r="E2593" t="s">
        <v>48</v>
      </c>
      <c r="F2593" t="s">
        <v>49</v>
      </c>
      <c r="G2593" t="s">
        <v>50</v>
      </c>
      <c r="H2593" t="s">
        <v>34</v>
      </c>
      <c r="I2593" t="s">
        <v>35</v>
      </c>
      <c r="J2593" s="4">
        <v>29.2</v>
      </c>
      <c r="K2593" s="4">
        <v>16.84</v>
      </c>
      <c r="L2593">
        <v>0</v>
      </c>
      <c r="M2593" s="4">
        <v>0</v>
      </c>
      <c r="N2593" s="4">
        <v>491.73</v>
      </c>
      <c r="O2593" s="4">
        <v>192.56</v>
      </c>
      <c r="P2593" s="4">
        <v>6.28</v>
      </c>
      <c r="Q2593" s="4">
        <v>3.44</v>
      </c>
      <c r="R2593" s="4">
        <v>11.55</v>
      </c>
      <c r="S2593" s="4">
        <v>0</v>
      </c>
      <c r="T2593" s="4">
        <v>0</v>
      </c>
      <c r="U2593" s="4">
        <v>213.83</v>
      </c>
      <c r="V2593" s="4">
        <v>277.89999999999998</v>
      </c>
      <c r="W2593" t="s">
        <v>21</v>
      </c>
      <c r="X2593" t="s">
        <v>36</v>
      </c>
      <c r="Y2593" s="4">
        <v>15</v>
      </c>
      <c r="Z2593" s="4">
        <v>7</v>
      </c>
      <c r="AA2593" t="s">
        <v>37</v>
      </c>
      <c r="AB2593" t="s">
        <v>38</v>
      </c>
      <c r="AC2593" s="7">
        <v>0</v>
      </c>
      <c r="AD2593" t="s">
        <v>39</v>
      </c>
      <c r="AE2593">
        <f t="shared" si="40"/>
        <v>0</v>
      </c>
    </row>
    <row r="2594" spans="1:31" x14ac:dyDescent="0.35">
      <c r="A2594">
        <v>102593</v>
      </c>
      <c r="B2594" s="3">
        <v>45952</v>
      </c>
      <c r="C2594">
        <v>1102</v>
      </c>
      <c r="D2594" t="s">
        <v>59</v>
      </c>
      <c r="E2594" t="s">
        <v>70</v>
      </c>
      <c r="F2594" t="s">
        <v>32</v>
      </c>
      <c r="G2594" t="s">
        <v>50</v>
      </c>
      <c r="H2594" t="s">
        <v>34</v>
      </c>
      <c r="I2594" t="s">
        <v>35</v>
      </c>
      <c r="J2594" s="4">
        <v>32.33</v>
      </c>
      <c r="K2594" s="4">
        <v>18.170000000000002</v>
      </c>
      <c r="L2594">
        <v>20</v>
      </c>
      <c r="M2594" s="4">
        <v>117.49</v>
      </c>
      <c r="N2594" s="4">
        <v>469.95</v>
      </c>
      <c r="O2594" s="4">
        <v>254.34</v>
      </c>
      <c r="P2594" s="4">
        <v>9.9600000000000009</v>
      </c>
      <c r="Q2594" s="4">
        <v>4.1100000000000003</v>
      </c>
      <c r="R2594" s="4">
        <v>10.48</v>
      </c>
      <c r="S2594" s="4">
        <v>0</v>
      </c>
      <c r="T2594" s="4">
        <v>0</v>
      </c>
      <c r="U2594" s="4">
        <v>278.89</v>
      </c>
      <c r="V2594" s="4">
        <v>191.06</v>
      </c>
      <c r="W2594" t="s">
        <v>21</v>
      </c>
      <c r="X2594" t="s">
        <v>36</v>
      </c>
      <c r="Y2594" s="4">
        <v>9</v>
      </c>
      <c r="Z2594" s="4">
        <v>1</v>
      </c>
      <c r="AA2594" t="s">
        <v>37</v>
      </c>
      <c r="AB2594" t="s">
        <v>38</v>
      </c>
      <c r="AC2594" s="7">
        <v>0</v>
      </c>
      <c r="AD2594" t="s">
        <v>39</v>
      </c>
      <c r="AE2594">
        <f t="shared" si="40"/>
        <v>0</v>
      </c>
    </row>
    <row r="2595" spans="1:31" x14ac:dyDescent="0.35">
      <c r="A2595">
        <v>102594</v>
      </c>
      <c r="B2595" s="3">
        <v>45949</v>
      </c>
      <c r="C2595">
        <v>1107</v>
      </c>
      <c r="D2595" t="s">
        <v>64</v>
      </c>
      <c r="E2595" t="s">
        <v>76</v>
      </c>
      <c r="F2595" t="s">
        <v>41</v>
      </c>
      <c r="G2595" t="s">
        <v>63</v>
      </c>
      <c r="H2595" t="s">
        <v>34</v>
      </c>
      <c r="I2595" t="s">
        <v>54</v>
      </c>
      <c r="J2595" s="4">
        <v>22.79</v>
      </c>
      <c r="K2595" s="4">
        <v>13.82</v>
      </c>
      <c r="L2595">
        <v>0</v>
      </c>
      <c r="M2595" s="4">
        <v>0</v>
      </c>
      <c r="N2595" s="4">
        <v>314.95999999999998</v>
      </c>
      <c r="O2595" s="4">
        <v>169.23</v>
      </c>
      <c r="P2595" s="4">
        <v>12.3</v>
      </c>
      <c r="Q2595" s="4">
        <v>3.78</v>
      </c>
      <c r="R2595" s="4">
        <v>7.3</v>
      </c>
      <c r="S2595" s="4">
        <v>0</v>
      </c>
      <c r="T2595" s="4">
        <v>0</v>
      </c>
      <c r="U2595" s="4">
        <v>192.61</v>
      </c>
      <c r="V2595" s="4">
        <v>122.35</v>
      </c>
      <c r="W2595" t="s">
        <v>21</v>
      </c>
      <c r="X2595" t="s">
        <v>36</v>
      </c>
      <c r="Y2595" s="4">
        <v>7</v>
      </c>
      <c r="Z2595" s="4">
        <v>2</v>
      </c>
      <c r="AA2595" t="s">
        <v>37</v>
      </c>
      <c r="AB2595" t="s">
        <v>38</v>
      </c>
      <c r="AC2595" s="7">
        <v>0</v>
      </c>
      <c r="AD2595" t="s">
        <v>39</v>
      </c>
      <c r="AE2595">
        <f t="shared" si="40"/>
        <v>0</v>
      </c>
    </row>
    <row r="2596" spans="1:31" x14ac:dyDescent="0.35">
      <c r="A2596">
        <v>102595</v>
      </c>
      <c r="B2596" s="3">
        <v>46021</v>
      </c>
      <c r="C2596">
        <v>1110</v>
      </c>
      <c r="D2596" t="s">
        <v>59</v>
      </c>
      <c r="E2596" t="s">
        <v>73</v>
      </c>
      <c r="F2596" t="s">
        <v>41</v>
      </c>
      <c r="G2596" t="s">
        <v>50</v>
      </c>
      <c r="H2596" t="s">
        <v>34</v>
      </c>
      <c r="I2596" t="s">
        <v>35</v>
      </c>
      <c r="J2596" s="4">
        <v>41.62</v>
      </c>
      <c r="K2596" s="4">
        <v>16.86</v>
      </c>
      <c r="L2596">
        <v>0</v>
      </c>
      <c r="M2596" s="4">
        <v>0</v>
      </c>
      <c r="N2596" s="4">
        <v>701.71</v>
      </c>
      <c r="O2596" s="4">
        <v>323.89</v>
      </c>
      <c r="P2596" s="4">
        <v>10.119999999999999</v>
      </c>
      <c r="Q2596" s="4">
        <v>4.91</v>
      </c>
      <c r="R2596" s="4">
        <v>4.46</v>
      </c>
      <c r="S2596" s="4">
        <v>0</v>
      </c>
      <c r="T2596" s="4">
        <v>0</v>
      </c>
      <c r="U2596" s="4">
        <v>343.38</v>
      </c>
      <c r="V2596" s="4">
        <v>358.33</v>
      </c>
      <c r="W2596" t="s">
        <v>21</v>
      </c>
      <c r="X2596" t="s">
        <v>36</v>
      </c>
      <c r="Y2596" s="4">
        <v>10</v>
      </c>
      <c r="Z2596" s="4">
        <v>0</v>
      </c>
      <c r="AA2596" t="s">
        <v>37</v>
      </c>
      <c r="AB2596" t="s">
        <v>38</v>
      </c>
      <c r="AC2596" s="7">
        <v>0</v>
      </c>
      <c r="AD2596" t="s">
        <v>39</v>
      </c>
      <c r="AE2596">
        <f t="shared" si="40"/>
        <v>0</v>
      </c>
    </row>
    <row r="2597" spans="1:31" x14ac:dyDescent="0.35">
      <c r="A2597">
        <v>102596</v>
      </c>
      <c r="B2597" s="3">
        <v>45968</v>
      </c>
      <c r="C2597">
        <v>1001</v>
      </c>
      <c r="D2597" t="s">
        <v>47</v>
      </c>
      <c r="E2597" t="s">
        <v>48</v>
      </c>
      <c r="F2597" t="s">
        <v>32</v>
      </c>
      <c r="G2597" t="s">
        <v>50</v>
      </c>
      <c r="H2597" t="s">
        <v>34</v>
      </c>
      <c r="I2597" t="s">
        <v>35</v>
      </c>
      <c r="J2597" s="4">
        <v>34.049999999999997</v>
      </c>
      <c r="K2597" s="4">
        <v>17.32</v>
      </c>
      <c r="L2597">
        <v>0</v>
      </c>
      <c r="M2597" s="4">
        <v>0</v>
      </c>
      <c r="N2597" s="4">
        <v>589.75</v>
      </c>
      <c r="O2597" s="4">
        <v>238.42</v>
      </c>
      <c r="P2597" s="4">
        <v>8.43</v>
      </c>
      <c r="Q2597" s="4">
        <v>4.13</v>
      </c>
      <c r="R2597" s="4">
        <v>6.45</v>
      </c>
      <c r="S2597" s="4">
        <v>0</v>
      </c>
      <c r="T2597" s="4">
        <v>0</v>
      </c>
      <c r="U2597" s="4">
        <v>257.43</v>
      </c>
      <c r="V2597" s="4">
        <v>332.32</v>
      </c>
      <c r="W2597" t="s">
        <v>21</v>
      </c>
      <c r="X2597" t="s">
        <v>36</v>
      </c>
      <c r="Y2597" s="4">
        <v>1</v>
      </c>
      <c r="Z2597" s="4">
        <v>11</v>
      </c>
      <c r="AA2597" t="s">
        <v>37</v>
      </c>
      <c r="AB2597" t="s">
        <v>38</v>
      </c>
      <c r="AC2597" s="7">
        <v>0</v>
      </c>
      <c r="AD2597" t="s">
        <v>39</v>
      </c>
      <c r="AE2597">
        <f t="shared" si="40"/>
        <v>0</v>
      </c>
    </row>
    <row r="2598" spans="1:31" x14ac:dyDescent="0.35">
      <c r="A2598">
        <v>102597</v>
      </c>
      <c r="B2598" s="3">
        <v>45975</v>
      </c>
      <c r="C2598">
        <v>1120</v>
      </c>
      <c r="D2598" t="s">
        <v>47</v>
      </c>
      <c r="E2598" t="s">
        <v>56</v>
      </c>
      <c r="F2598" t="s">
        <v>61</v>
      </c>
      <c r="G2598" t="s">
        <v>46</v>
      </c>
      <c r="H2598" t="s">
        <v>57</v>
      </c>
      <c r="I2598" t="s">
        <v>35</v>
      </c>
      <c r="J2598" s="4">
        <v>32.659999999999997</v>
      </c>
      <c r="K2598" s="4">
        <v>16.149999999999999</v>
      </c>
      <c r="L2598">
        <v>0</v>
      </c>
      <c r="M2598" s="4">
        <v>0</v>
      </c>
      <c r="N2598" s="4">
        <v>527.46</v>
      </c>
      <c r="O2598" s="4">
        <v>216.5</v>
      </c>
      <c r="P2598" s="4">
        <v>9.84</v>
      </c>
      <c r="Q2598" s="4">
        <v>3.69</v>
      </c>
      <c r="R2598" s="4">
        <v>11</v>
      </c>
      <c r="S2598" s="4">
        <v>0</v>
      </c>
      <c r="T2598" s="4">
        <v>0</v>
      </c>
      <c r="U2598" s="4">
        <v>241.03</v>
      </c>
      <c r="V2598" s="4">
        <v>286.43</v>
      </c>
      <c r="W2598" t="s">
        <v>21</v>
      </c>
      <c r="X2598" t="s">
        <v>36</v>
      </c>
      <c r="Y2598" s="4">
        <v>5</v>
      </c>
      <c r="Z2598" s="4">
        <v>0</v>
      </c>
      <c r="AA2598" t="s">
        <v>37</v>
      </c>
      <c r="AB2598" t="s">
        <v>38</v>
      </c>
      <c r="AC2598" s="7">
        <v>0</v>
      </c>
      <c r="AD2598" t="s">
        <v>39</v>
      </c>
      <c r="AE2598">
        <f t="shared" si="40"/>
        <v>0</v>
      </c>
    </row>
    <row r="2599" spans="1:31" x14ac:dyDescent="0.35">
      <c r="A2599">
        <v>102598</v>
      </c>
      <c r="B2599" s="3">
        <v>46011</v>
      </c>
      <c r="C2599">
        <v>1106</v>
      </c>
      <c r="D2599" t="s">
        <v>47</v>
      </c>
      <c r="E2599" t="s">
        <v>56</v>
      </c>
      <c r="F2599" t="s">
        <v>41</v>
      </c>
      <c r="G2599" t="s">
        <v>63</v>
      </c>
      <c r="H2599" t="s">
        <v>34</v>
      </c>
      <c r="I2599" t="s">
        <v>42</v>
      </c>
      <c r="J2599" s="4">
        <v>10.5</v>
      </c>
      <c r="K2599" s="4">
        <v>13.79</v>
      </c>
      <c r="L2599">
        <v>0</v>
      </c>
      <c r="M2599" s="4">
        <v>0</v>
      </c>
      <c r="N2599" s="4">
        <v>144.79</v>
      </c>
      <c r="O2599" s="4">
        <v>75.5</v>
      </c>
      <c r="P2599" s="4">
        <v>8.0500000000000007</v>
      </c>
      <c r="Q2599" s="4">
        <v>2.17</v>
      </c>
      <c r="R2599" s="4">
        <v>7.51</v>
      </c>
      <c r="S2599" s="4">
        <v>0</v>
      </c>
      <c r="T2599" s="4">
        <v>0</v>
      </c>
      <c r="U2599" s="4">
        <v>93.23</v>
      </c>
      <c r="V2599" s="4">
        <v>51.56</v>
      </c>
      <c r="W2599" t="s">
        <v>21</v>
      </c>
      <c r="X2599" t="s">
        <v>36</v>
      </c>
      <c r="Y2599" s="4">
        <v>1</v>
      </c>
      <c r="Z2599" s="4">
        <v>5</v>
      </c>
      <c r="AA2599" t="s">
        <v>37</v>
      </c>
      <c r="AB2599" t="s">
        <v>38</v>
      </c>
      <c r="AC2599" s="7">
        <v>0</v>
      </c>
      <c r="AD2599" t="s">
        <v>39</v>
      </c>
      <c r="AE2599">
        <f t="shared" si="40"/>
        <v>0</v>
      </c>
    </row>
    <row r="2600" spans="1:31" x14ac:dyDescent="0.35">
      <c r="A2600">
        <v>102599</v>
      </c>
      <c r="B2600" s="3">
        <v>45942</v>
      </c>
      <c r="C2600">
        <v>1128</v>
      </c>
      <c r="D2600" t="s">
        <v>59</v>
      </c>
      <c r="E2600" t="s">
        <v>68</v>
      </c>
      <c r="F2600" t="s">
        <v>32</v>
      </c>
      <c r="G2600" t="s">
        <v>46</v>
      </c>
      <c r="H2600" t="s">
        <v>34</v>
      </c>
      <c r="I2600" t="s">
        <v>42</v>
      </c>
      <c r="J2600" s="4">
        <v>20.92</v>
      </c>
      <c r="K2600" s="4">
        <v>14.95</v>
      </c>
      <c r="L2600">
        <v>0</v>
      </c>
      <c r="M2600" s="4">
        <v>0</v>
      </c>
      <c r="N2600" s="4">
        <v>312.75</v>
      </c>
      <c r="O2600" s="4">
        <v>159.94999999999999</v>
      </c>
      <c r="P2600" s="4">
        <v>11.52</v>
      </c>
      <c r="Q2600" s="4">
        <v>4.6900000000000004</v>
      </c>
      <c r="R2600" s="4">
        <v>5.34</v>
      </c>
      <c r="S2600" s="4">
        <v>0</v>
      </c>
      <c r="T2600" s="4">
        <v>0</v>
      </c>
      <c r="U2600" s="4">
        <v>181.5</v>
      </c>
      <c r="V2600" s="4">
        <v>131.25</v>
      </c>
      <c r="W2600" t="s">
        <v>21</v>
      </c>
      <c r="X2600" t="s">
        <v>36</v>
      </c>
      <c r="Y2600" s="4">
        <v>3</v>
      </c>
      <c r="Z2600" s="4">
        <v>5</v>
      </c>
      <c r="AA2600" t="s">
        <v>37</v>
      </c>
      <c r="AB2600" t="s">
        <v>38</v>
      </c>
      <c r="AC2600" s="7">
        <v>0</v>
      </c>
      <c r="AD2600" t="s">
        <v>39</v>
      </c>
      <c r="AE2600">
        <f t="shared" si="40"/>
        <v>0</v>
      </c>
    </row>
    <row r="2601" spans="1:31" x14ac:dyDescent="0.35">
      <c r="A2601">
        <v>102600</v>
      </c>
      <c r="B2601" s="3">
        <v>45955</v>
      </c>
      <c r="C2601">
        <v>1085</v>
      </c>
      <c r="D2601" t="s">
        <v>59</v>
      </c>
      <c r="E2601" t="s">
        <v>73</v>
      </c>
      <c r="F2601" t="s">
        <v>41</v>
      </c>
      <c r="G2601" t="s">
        <v>63</v>
      </c>
      <c r="H2601" t="s">
        <v>51</v>
      </c>
      <c r="I2601" t="s">
        <v>69</v>
      </c>
      <c r="J2601" s="4">
        <v>28.54</v>
      </c>
      <c r="K2601" s="4">
        <v>12.61</v>
      </c>
      <c r="L2601">
        <v>0</v>
      </c>
      <c r="M2601" s="4">
        <v>0</v>
      </c>
      <c r="N2601" s="4">
        <v>359.89</v>
      </c>
      <c r="O2601" s="4">
        <v>204.24</v>
      </c>
      <c r="P2601" s="4">
        <v>5.01</v>
      </c>
      <c r="Q2601" s="4">
        <v>1.44</v>
      </c>
      <c r="R2601" s="4">
        <v>4.8600000000000003</v>
      </c>
      <c r="S2601" s="4">
        <v>0</v>
      </c>
      <c r="T2601" s="4">
        <v>0</v>
      </c>
      <c r="U2601" s="4">
        <v>215.55</v>
      </c>
      <c r="V2601" s="4">
        <v>144.34</v>
      </c>
      <c r="W2601" t="s">
        <v>21</v>
      </c>
      <c r="X2601" t="s">
        <v>36</v>
      </c>
      <c r="Y2601" s="4">
        <v>3</v>
      </c>
      <c r="Z2601" s="4">
        <v>48</v>
      </c>
      <c r="AA2601" t="s">
        <v>37</v>
      </c>
      <c r="AB2601" t="s">
        <v>44</v>
      </c>
      <c r="AC2601" s="7">
        <v>4</v>
      </c>
      <c r="AD2601" t="s">
        <v>45</v>
      </c>
      <c r="AE2601">
        <f t="shared" si="40"/>
        <v>1</v>
      </c>
    </row>
    <row r="2602" spans="1:31" x14ac:dyDescent="0.35">
      <c r="A2602">
        <v>102601</v>
      </c>
      <c r="B2602" s="3">
        <v>45963</v>
      </c>
      <c r="C2602">
        <v>1122</v>
      </c>
      <c r="D2602" t="s">
        <v>30</v>
      </c>
      <c r="E2602" t="s">
        <v>72</v>
      </c>
      <c r="F2602" t="s">
        <v>61</v>
      </c>
      <c r="G2602" t="s">
        <v>46</v>
      </c>
      <c r="H2602" t="s">
        <v>57</v>
      </c>
      <c r="I2602" t="s">
        <v>42</v>
      </c>
      <c r="J2602" s="4">
        <v>30.27</v>
      </c>
      <c r="K2602" s="4">
        <v>15.46</v>
      </c>
      <c r="L2602">
        <v>0</v>
      </c>
      <c r="M2602" s="4">
        <v>0</v>
      </c>
      <c r="N2602" s="4">
        <v>467.97</v>
      </c>
      <c r="O2602" s="4">
        <v>199.66</v>
      </c>
      <c r="P2602" s="4">
        <v>5.17</v>
      </c>
      <c r="Q2602" s="4">
        <v>7.02</v>
      </c>
      <c r="R2602" s="4">
        <v>4.1399999999999997</v>
      </c>
      <c r="S2602" s="4">
        <v>0</v>
      </c>
      <c r="T2602" s="4">
        <v>0</v>
      </c>
      <c r="U2602" s="4">
        <v>215.99</v>
      </c>
      <c r="V2602" s="4">
        <v>251.98</v>
      </c>
      <c r="W2602" t="s">
        <v>21</v>
      </c>
      <c r="X2602" t="s">
        <v>36</v>
      </c>
      <c r="Y2602" s="4">
        <v>13</v>
      </c>
      <c r="Z2602" s="4">
        <v>7</v>
      </c>
      <c r="AA2602" t="s">
        <v>37</v>
      </c>
      <c r="AB2602" t="s">
        <v>38</v>
      </c>
      <c r="AC2602" s="7">
        <v>0</v>
      </c>
      <c r="AD2602" t="s">
        <v>39</v>
      </c>
      <c r="AE2602">
        <f t="shared" si="40"/>
        <v>0</v>
      </c>
    </row>
    <row r="2603" spans="1:31" x14ac:dyDescent="0.35">
      <c r="A2603">
        <v>102602</v>
      </c>
      <c r="B2603" s="3">
        <v>45974</v>
      </c>
      <c r="C2603">
        <v>1146</v>
      </c>
      <c r="D2603" t="s">
        <v>47</v>
      </c>
      <c r="E2603" t="s">
        <v>53</v>
      </c>
      <c r="F2603" t="s">
        <v>49</v>
      </c>
      <c r="G2603" t="s">
        <v>63</v>
      </c>
      <c r="H2603" t="s">
        <v>57</v>
      </c>
      <c r="I2603" t="s">
        <v>42</v>
      </c>
      <c r="J2603" s="4">
        <v>12.86</v>
      </c>
      <c r="K2603" s="4">
        <v>12.38</v>
      </c>
      <c r="L2603">
        <v>10</v>
      </c>
      <c r="M2603" s="4">
        <v>15.92</v>
      </c>
      <c r="N2603" s="4">
        <v>143.29</v>
      </c>
      <c r="O2603" s="4">
        <v>88.56</v>
      </c>
      <c r="P2603" s="4">
        <v>8.1</v>
      </c>
      <c r="Q2603" s="4">
        <v>2.39</v>
      </c>
      <c r="R2603" s="4">
        <v>5.5</v>
      </c>
      <c r="S2603" s="4">
        <v>0</v>
      </c>
      <c r="T2603" s="4">
        <v>0</v>
      </c>
      <c r="U2603" s="4">
        <v>104.55</v>
      </c>
      <c r="V2603" s="4">
        <v>38.74</v>
      </c>
      <c r="W2603" t="s">
        <v>21</v>
      </c>
      <c r="X2603" t="s">
        <v>36</v>
      </c>
      <c r="Y2603" s="4">
        <v>50</v>
      </c>
      <c r="Z2603" s="4">
        <v>28</v>
      </c>
      <c r="AA2603" t="s">
        <v>43</v>
      </c>
      <c r="AB2603" t="s">
        <v>44</v>
      </c>
      <c r="AC2603" s="7">
        <v>1</v>
      </c>
      <c r="AD2603" t="s">
        <v>45</v>
      </c>
      <c r="AE2603">
        <f t="shared" si="40"/>
        <v>1</v>
      </c>
    </row>
    <row r="2604" spans="1:31" x14ac:dyDescent="0.35">
      <c r="A2604">
        <v>102603</v>
      </c>
      <c r="B2604" s="3">
        <v>45969</v>
      </c>
      <c r="C2604">
        <v>1114</v>
      </c>
      <c r="D2604" t="s">
        <v>30</v>
      </c>
      <c r="E2604" t="s">
        <v>72</v>
      </c>
      <c r="F2604" t="s">
        <v>61</v>
      </c>
      <c r="G2604" t="s">
        <v>46</v>
      </c>
      <c r="H2604" t="s">
        <v>34</v>
      </c>
      <c r="I2604" t="s">
        <v>54</v>
      </c>
      <c r="J2604" s="4">
        <v>19.68</v>
      </c>
      <c r="K2604" s="4">
        <v>15.23</v>
      </c>
      <c r="L2604">
        <v>0</v>
      </c>
      <c r="M2604" s="4">
        <v>0</v>
      </c>
      <c r="N2604" s="4">
        <v>299.73</v>
      </c>
      <c r="O2604" s="4">
        <v>159.16</v>
      </c>
      <c r="P2604" s="4">
        <v>11.87</v>
      </c>
      <c r="Q2604" s="4">
        <v>3.6</v>
      </c>
      <c r="R2604" s="4">
        <v>8.11</v>
      </c>
      <c r="S2604" s="4">
        <v>0</v>
      </c>
      <c r="T2604" s="4">
        <v>0</v>
      </c>
      <c r="U2604" s="4">
        <v>182.74</v>
      </c>
      <c r="V2604" s="4">
        <v>116.99</v>
      </c>
      <c r="W2604" t="s">
        <v>21</v>
      </c>
      <c r="X2604" t="s">
        <v>36</v>
      </c>
      <c r="Y2604" s="4">
        <v>3</v>
      </c>
      <c r="Z2604" s="4">
        <v>1</v>
      </c>
      <c r="AA2604" t="s">
        <v>37</v>
      </c>
      <c r="AB2604" t="s">
        <v>38</v>
      </c>
      <c r="AC2604" s="7">
        <v>0</v>
      </c>
      <c r="AD2604" t="s">
        <v>39</v>
      </c>
      <c r="AE2604">
        <f t="shared" si="40"/>
        <v>0</v>
      </c>
    </row>
    <row r="2605" spans="1:31" x14ac:dyDescent="0.35">
      <c r="A2605">
        <v>102604</v>
      </c>
      <c r="B2605" s="3">
        <v>45932</v>
      </c>
      <c r="C2605">
        <v>1046</v>
      </c>
      <c r="D2605" t="s">
        <v>47</v>
      </c>
      <c r="E2605" t="s">
        <v>53</v>
      </c>
      <c r="F2605" t="s">
        <v>41</v>
      </c>
      <c r="G2605" t="s">
        <v>46</v>
      </c>
      <c r="H2605" t="s">
        <v>34</v>
      </c>
      <c r="I2605" t="s">
        <v>35</v>
      </c>
      <c r="J2605" s="4">
        <v>20.43</v>
      </c>
      <c r="K2605" s="4">
        <v>15.32</v>
      </c>
      <c r="L2605">
        <v>10</v>
      </c>
      <c r="M2605" s="4">
        <v>31.3</v>
      </c>
      <c r="N2605" s="4">
        <v>281.69</v>
      </c>
      <c r="O2605" s="4">
        <v>170.13</v>
      </c>
      <c r="P2605" s="4">
        <v>1.41</v>
      </c>
      <c r="Q2605" s="4">
        <v>2.19</v>
      </c>
      <c r="R2605" s="4">
        <v>4.67</v>
      </c>
      <c r="S2605" s="4">
        <v>0</v>
      </c>
      <c r="T2605" s="4">
        <v>0</v>
      </c>
      <c r="U2605" s="4">
        <v>178.4</v>
      </c>
      <c r="V2605" s="4">
        <v>103.29</v>
      </c>
      <c r="W2605" t="s">
        <v>21</v>
      </c>
      <c r="X2605" t="s">
        <v>36</v>
      </c>
      <c r="Y2605" s="4">
        <v>8</v>
      </c>
      <c r="Z2605" s="4">
        <v>11</v>
      </c>
      <c r="AA2605" t="s">
        <v>37</v>
      </c>
      <c r="AB2605" t="s">
        <v>38</v>
      </c>
      <c r="AC2605" s="7">
        <v>0</v>
      </c>
      <c r="AD2605" t="s">
        <v>39</v>
      </c>
      <c r="AE2605">
        <f t="shared" si="40"/>
        <v>0</v>
      </c>
    </row>
    <row r="2606" spans="1:31" x14ac:dyDescent="0.35">
      <c r="A2606">
        <v>102605</v>
      </c>
      <c r="B2606" s="3">
        <v>46018</v>
      </c>
      <c r="C2606">
        <v>1123</v>
      </c>
      <c r="D2606" t="s">
        <v>59</v>
      </c>
      <c r="E2606" t="s">
        <v>70</v>
      </c>
      <c r="F2606" t="s">
        <v>61</v>
      </c>
      <c r="G2606" t="s">
        <v>46</v>
      </c>
      <c r="H2606" t="s">
        <v>34</v>
      </c>
      <c r="I2606" t="s">
        <v>69</v>
      </c>
      <c r="J2606" s="4">
        <v>29.58</v>
      </c>
      <c r="K2606" s="4">
        <v>18.07</v>
      </c>
      <c r="L2606">
        <v>0</v>
      </c>
      <c r="M2606" s="4">
        <v>0</v>
      </c>
      <c r="N2606" s="4">
        <v>534.51</v>
      </c>
      <c r="O2606" s="4">
        <v>201.12</v>
      </c>
      <c r="P2606" s="4">
        <v>8.94</v>
      </c>
      <c r="Q2606" s="4">
        <v>2.14</v>
      </c>
      <c r="R2606" s="4">
        <v>4.8099999999999996</v>
      </c>
      <c r="S2606" s="4">
        <v>0</v>
      </c>
      <c r="T2606" s="4">
        <v>0</v>
      </c>
      <c r="U2606" s="4">
        <v>217.01</v>
      </c>
      <c r="V2606" s="4">
        <v>317.5</v>
      </c>
      <c r="W2606" t="s">
        <v>21</v>
      </c>
      <c r="X2606" t="s">
        <v>36</v>
      </c>
      <c r="Y2606" s="4">
        <v>19</v>
      </c>
      <c r="Z2606" s="4">
        <v>4</v>
      </c>
      <c r="AA2606" t="s">
        <v>52</v>
      </c>
      <c r="AB2606" t="s">
        <v>38</v>
      </c>
      <c r="AC2606" s="7">
        <v>0</v>
      </c>
      <c r="AD2606" t="s">
        <v>39</v>
      </c>
      <c r="AE2606">
        <f t="shared" si="40"/>
        <v>0</v>
      </c>
    </row>
    <row r="2607" spans="1:31" x14ac:dyDescent="0.35">
      <c r="A2607">
        <v>102606</v>
      </c>
      <c r="B2607" s="3">
        <v>45995</v>
      </c>
      <c r="C2607">
        <v>1025</v>
      </c>
      <c r="D2607" t="s">
        <v>64</v>
      </c>
      <c r="E2607" t="s">
        <v>65</v>
      </c>
      <c r="F2607" t="s">
        <v>61</v>
      </c>
      <c r="G2607" t="s">
        <v>50</v>
      </c>
      <c r="H2607" t="s">
        <v>34</v>
      </c>
      <c r="I2607" t="s">
        <v>69</v>
      </c>
      <c r="J2607" s="4">
        <v>32.22</v>
      </c>
      <c r="K2607" s="4">
        <v>19.690000000000001</v>
      </c>
      <c r="L2607">
        <v>20</v>
      </c>
      <c r="M2607" s="4">
        <v>126.88</v>
      </c>
      <c r="N2607" s="4">
        <v>507.53</v>
      </c>
      <c r="O2607" s="4">
        <v>196.18</v>
      </c>
      <c r="P2607" s="4">
        <v>8.77</v>
      </c>
      <c r="Q2607" s="4">
        <v>2.54</v>
      </c>
      <c r="R2607" s="4">
        <v>8.91</v>
      </c>
      <c r="S2607" s="4">
        <v>0</v>
      </c>
      <c r="T2607" s="4">
        <v>0</v>
      </c>
      <c r="U2607" s="4">
        <v>216.4</v>
      </c>
      <c r="V2607" s="4">
        <v>291.13</v>
      </c>
      <c r="W2607" t="s">
        <v>21</v>
      </c>
      <c r="X2607" t="s">
        <v>36</v>
      </c>
      <c r="Y2607" s="4">
        <v>3</v>
      </c>
      <c r="Z2607" s="4">
        <v>5</v>
      </c>
      <c r="AA2607" t="s">
        <v>37</v>
      </c>
      <c r="AB2607" t="s">
        <v>38</v>
      </c>
      <c r="AC2607" s="7">
        <v>0</v>
      </c>
      <c r="AD2607" t="s">
        <v>39</v>
      </c>
      <c r="AE2607">
        <f t="shared" si="40"/>
        <v>0</v>
      </c>
    </row>
    <row r="2608" spans="1:31" x14ac:dyDescent="0.35">
      <c r="A2608">
        <v>102607</v>
      </c>
      <c r="B2608" s="3">
        <v>45968</v>
      </c>
      <c r="C2608">
        <v>1133</v>
      </c>
      <c r="D2608" t="s">
        <v>47</v>
      </c>
      <c r="E2608" t="s">
        <v>53</v>
      </c>
      <c r="F2608" t="s">
        <v>49</v>
      </c>
      <c r="G2608" t="s">
        <v>63</v>
      </c>
      <c r="H2608" t="s">
        <v>34</v>
      </c>
      <c r="I2608" t="s">
        <v>35</v>
      </c>
      <c r="J2608" s="4">
        <v>13.78</v>
      </c>
      <c r="K2608" s="4">
        <v>11.89</v>
      </c>
      <c r="L2608">
        <v>5</v>
      </c>
      <c r="M2608" s="4">
        <v>8.19</v>
      </c>
      <c r="N2608" s="4">
        <v>155.65</v>
      </c>
      <c r="O2608" s="4">
        <v>108.54</v>
      </c>
      <c r="P2608" s="4">
        <v>10.73</v>
      </c>
      <c r="Q2608" s="4">
        <v>1.1499999999999999</v>
      </c>
      <c r="R2608" s="4">
        <v>8.4600000000000009</v>
      </c>
      <c r="S2608" s="4">
        <v>0</v>
      </c>
      <c r="T2608" s="4">
        <v>0</v>
      </c>
      <c r="U2608" s="4">
        <v>128.88</v>
      </c>
      <c r="V2608" s="4">
        <v>26.77</v>
      </c>
      <c r="W2608" t="s">
        <v>21</v>
      </c>
      <c r="X2608" t="s">
        <v>36</v>
      </c>
      <c r="Y2608" s="4">
        <v>20</v>
      </c>
      <c r="Z2608" s="4">
        <v>9</v>
      </c>
      <c r="AA2608" t="s">
        <v>52</v>
      </c>
      <c r="AB2608" t="s">
        <v>38</v>
      </c>
      <c r="AC2608" s="7">
        <v>0</v>
      </c>
      <c r="AD2608" t="s">
        <v>39</v>
      </c>
      <c r="AE2608">
        <f t="shared" si="40"/>
        <v>0</v>
      </c>
    </row>
    <row r="2609" spans="1:31" x14ac:dyDescent="0.35">
      <c r="A2609">
        <v>102608</v>
      </c>
      <c r="B2609" s="3">
        <v>45992</v>
      </c>
      <c r="C2609">
        <v>1066</v>
      </c>
      <c r="D2609" t="s">
        <v>30</v>
      </c>
      <c r="E2609" t="s">
        <v>62</v>
      </c>
      <c r="F2609" t="s">
        <v>61</v>
      </c>
      <c r="G2609" t="s">
        <v>46</v>
      </c>
      <c r="H2609" t="s">
        <v>57</v>
      </c>
      <c r="I2609" t="s">
        <v>35</v>
      </c>
      <c r="J2609" s="4">
        <v>21.81</v>
      </c>
      <c r="K2609" s="4">
        <v>15.65</v>
      </c>
      <c r="L2609">
        <v>20</v>
      </c>
      <c r="M2609" s="4">
        <v>68.27</v>
      </c>
      <c r="N2609" s="4">
        <v>273.06</v>
      </c>
      <c r="O2609" s="4">
        <v>187.29</v>
      </c>
      <c r="P2609" s="4">
        <v>16.739999999999998</v>
      </c>
      <c r="Q2609" s="4">
        <v>2.39</v>
      </c>
      <c r="R2609" s="4">
        <v>7.92</v>
      </c>
      <c r="S2609" s="4">
        <v>0</v>
      </c>
      <c r="T2609" s="4">
        <v>0</v>
      </c>
      <c r="U2609" s="4">
        <v>214.34</v>
      </c>
      <c r="V2609" s="4">
        <v>58.72</v>
      </c>
      <c r="W2609" t="s">
        <v>21</v>
      </c>
      <c r="X2609" t="s">
        <v>36</v>
      </c>
      <c r="Y2609" s="4">
        <v>2</v>
      </c>
      <c r="Z2609" s="4">
        <v>1</v>
      </c>
      <c r="AA2609" t="s">
        <v>37</v>
      </c>
      <c r="AB2609" t="s">
        <v>38</v>
      </c>
      <c r="AC2609" s="7">
        <v>0</v>
      </c>
      <c r="AD2609" t="s">
        <v>39</v>
      </c>
      <c r="AE2609">
        <f t="shared" si="40"/>
        <v>0</v>
      </c>
    </row>
    <row r="2610" spans="1:31" x14ac:dyDescent="0.35">
      <c r="A2610">
        <v>102609</v>
      </c>
      <c r="B2610" s="3">
        <v>46012</v>
      </c>
      <c r="C2610">
        <v>1127</v>
      </c>
      <c r="D2610" t="s">
        <v>30</v>
      </c>
      <c r="E2610" t="s">
        <v>31</v>
      </c>
      <c r="F2610" t="s">
        <v>41</v>
      </c>
      <c r="G2610" t="s">
        <v>46</v>
      </c>
      <c r="H2610" t="s">
        <v>34</v>
      </c>
      <c r="I2610" t="s">
        <v>54</v>
      </c>
      <c r="J2610" s="4">
        <v>12.17</v>
      </c>
      <c r="K2610" s="4">
        <v>15.32</v>
      </c>
      <c r="L2610">
        <v>10</v>
      </c>
      <c r="M2610" s="4">
        <v>18.64</v>
      </c>
      <c r="N2610" s="4">
        <v>167.8</v>
      </c>
      <c r="O2610" s="4">
        <v>98.64</v>
      </c>
      <c r="P2610" s="4">
        <v>8.07</v>
      </c>
      <c r="Q2610" s="4">
        <v>2.2400000000000002</v>
      </c>
      <c r="R2610" s="4">
        <v>11.07</v>
      </c>
      <c r="S2610" s="4">
        <v>0</v>
      </c>
      <c r="T2610" s="4">
        <v>0</v>
      </c>
      <c r="U2610" s="4">
        <v>120.02</v>
      </c>
      <c r="V2610" s="4">
        <v>47.78</v>
      </c>
      <c r="W2610" t="s">
        <v>21</v>
      </c>
      <c r="X2610" t="s">
        <v>36</v>
      </c>
      <c r="Y2610" s="4">
        <v>9</v>
      </c>
      <c r="Z2610" s="4">
        <v>15</v>
      </c>
      <c r="AA2610" t="s">
        <v>37</v>
      </c>
      <c r="AB2610" t="s">
        <v>38</v>
      </c>
      <c r="AC2610" s="7">
        <v>2</v>
      </c>
      <c r="AD2610" t="s">
        <v>39</v>
      </c>
      <c r="AE2610">
        <f t="shared" si="40"/>
        <v>0</v>
      </c>
    </row>
    <row r="2611" spans="1:31" x14ac:dyDescent="0.35">
      <c r="A2611">
        <v>102610</v>
      </c>
      <c r="B2611" s="3">
        <v>45975</v>
      </c>
      <c r="C2611">
        <v>1096</v>
      </c>
      <c r="D2611" t="s">
        <v>30</v>
      </c>
      <c r="E2611" t="s">
        <v>72</v>
      </c>
      <c r="F2611" t="s">
        <v>71</v>
      </c>
      <c r="G2611" t="s">
        <v>63</v>
      </c>
      <c r="H2611" t="s">
        <v>34</v>
      </c>
      <c r="I2611" t="s">
        <v>35</v>
      </c>
      <c r="J2611" s="4">
        <v>10.39</v>
      </c>
      <c r="K2611" s="4">
        <v>11.99</v>
      </c>
      <c r="L2611">
        <v>5</v>
      </c>
      <c r="M2611" s="4">
        <v>6.23</v>
      </c>
      <c r="N2611" s="4">
        <v>118.35</v>
      </c>
      <c r="O2611" s="4">
        <v>77.02</v>
      </c>
      <c r="P2611" s="4">
        <v>6.06</v>
      </c>
      <c r="Q2611" s="4">
        <v>0.87</v>
      </c>
      <c r="R2611" s="4">
        <v>7.32</v>
      </c>
      <c r="S2611" s="4">
        <v>0</v>
      </c>
      <c r="T2611" s="4">
        <v>0</v>
      </c>
      <c r="U2611" s="4">
        <v>91.27</v>
      </c>
      <c r="V2611" s="4">
        <v>27.08</v>
      </c>
      <c r="W2611" t="s">
        <v>21</v>
      </c>
      <c r="X2611" t="s">
        <v>36</v>
      </c>
      <c r="Y2611" s="4">
        <v>1</v>
      </c>
      <c r="Z2611" s="4">
        <v>6</v>
      </c>
      <c r="AA2611" t="s">
        <v>37</v>
      </c>
      <c r="AB2611" t="s">
        <v>38</v>
      </c>
      <c r="AC2611" s="7">
        <v>0</v>
      </c>
      <c r="AD2611" t="s">
        <v>39</v>
      </c>
      <c r="AE2611">
        <f t="shared" si="40"/>
        <v>0</v>
      </c>
    </row>
    <row r="2612" spans="1:31" x14ac:dyDescent="0.35">
      <c r="A2612">
        <v>102611</v>
      </c>
      <c r="B2612" s="3">
        <v>45995</v>
      </c>
      <c r="C2612">
        <v>1116</v>
      </c>
      <c r="D2612" t="s">
        <v>47</v>
      </c>
      <c r="E2612" t="s">
        <v>53</v>
      </c>
      <c r="F2612" t="s">
        <v>71</v>
      </c>
      <c r="G2612" t="s">
        <v>63</v>
      </c>
      <c r="H2612" t="s">
        <v>57</v>
      </c>
      <c r="I2612" t="s">
        <v>35</v>
      </c>
      <c r="J2612" s="4">
        <v>35.020000000000003</v>
      </c>
      <c r="K2612" s="4">
        <v>14.56</v>
      </c>
      <c r="L2612">
        <v>10</v>
      </c>
      <c r="M2612" s="4">
        <v>50.99</v>
      </c>
      <c r="N2612" s="4">
        <v>458.9</v>
      </c>
      <c r="O2612" s="4">
        <v>226.45</v>
      </c>
      <c r="P2612" s="4">
        <v>8.85</v>
      </c>
      <c r="Q2612" s="4">
        <v>3.57</v>
      </c>
      <c r="R2612" s="4">
        <v>12.09</v>
      </c>
      <c r="S2612" s="4">
        <v>0</v>
      </c>
      <c r="T2612" s="4">
        <v>0</v>
      </c>
      <c r="U2612" s="4">
        <v>250.96</v>
      </c>
      <c r="V2612" s="4">
        <v>207.94</v>
      </c>
      <c r="W2612" t="s">
        <v>21</v>
      </c>
      <c r="X2612" t="s">
        <v>36</v>
      </c>
      <c r="Y2612" s="4">
        <v>2</v>
      </c>
      <c r="Z2612" s="4">
        <v>5</v>
      </c>
      <c r="AA2612" t="s">
        <v>37</v>
      </c>
      <c r="AB2612" t="s">
        <v>38</v>
      </c>
      <c r="AC2612" s="7">
        <v>0</v>
      </c>
      <c r="AD2612" t="s">
        <v>39</v>
      </c>
      <c r="AE2612">
        <f t="shared" si="40"/>
        <v>0</v>
      </c>
    </row>
    <row r="2613" spans="1:31" x14ac:dyDescent="0.35">
      <c r="A2613">
        <v>102612</v>
      </c>
      <c r="B2613" s="3">
        <v>45961</v>
      </c>
      <c r="C2613">
        <v>1033</v>
      </c>
      <c r="D2613" t="s">
        <v>30</v>
      </c>
      <c r="E2613" t="s">
        <v>72</v>
      </c>
      <c r="F2613" t="s">
        <v>61</v>
      </c>
      <c r="G2613" t="s">
        <v>50</v>
      </c>
      <c r="H2613" t="s">
        <v>57</v>
      </c>
      <c r="I2613" t="s">
        <v>42</v>
      </c>
      <c r="J2613" s="4">
        <v>25.35</v>
      </c>
      <c r="K2613" s="4">
        <v>16.64</v>
      </c>
      <c r="L2613">
        <v>0</v>
      </c>
      <c r="M2613" s="4">
        <v>0</v>
      </c>
      <c r="N2613" s="4">
        <v>421.82</v>
      </c>
      <c r="O2613" s="4">
        <v>192.1</v>
      </c>
      <c r="P2613" s="4">
        <v>13.45</v>
      </c>
      <c r="Q2613" s="4">
        <v>6.33</v>
      </c>
      <c r="R2613" s="4">
        <v>8.85</v>
      </c>
      <c r="S2613" s="4">
        <v>273.47000000000003</v>
      </c>
      <c r="T2613" s="4">
        <v>23.79</v>
      </c>
      <c r="U2613" s="4">
        <v>517.99</v>
      </c>
      <c r="V2613" s="4">
        <v>-96.17</v>
      </c>
      <c r="W2613" t="s">
        <v>58</v>
      </c>
      <c r="X2613" t="s">
        <v>55</v>
      </c>
      <c r="Y2613" s="4">
        <v>11</v>
      </c>
      <c r="Z2613" s="4">
        <v>1</v>
      </c>
      <c r="AA2613" t="s">
        <v>37</v>
      </c>
      <c r="AB2613" t="s">
        <v>44</v>
      </c>
      <c r="AC2613" s="7">
        <v>2</v>
      </c>
      <c r="AD2613" t="s">
        <v>45</v>
      </c>
      <c r="AE2613">
        <f t="shared" si="40"/>
        <v>1</v>
      </c>
    </row>
    <row r="2614" spans="1:31" x14ac:dyDescent="0.35">
      <c r="A2614">
        <v>102613</v>
      </c>
      <c r="B2614" s="3">
        <v>45975</v>
      </c>
      <c r="C2614">
        <v>1044</v>
      </c>
      <c r="D2614" t="s">
        <v>47</v>
      </c>
      <c r="E2614" t="s">
        <v>53</v>
      </c>
      <c r="F2614" t="s">
        <v>71</v>
      </c>
      <c r="G2614" t="s">
        <v>63</v>
      </c>
      <c r="H2614" t="s">
        <v>34</v>
      </c>
      <c r="I2614" t="s">
        <v>35</v>
      </c>
      <c r="J2614" s="4">
        <v>9.75</v>
      </c>
      <c r="K2614" s="4">
        <v>14.96</v>
      </c>
      <c r="L2614">
        <v>10</v>
      </c>
      <c r="M2614" s="4">
        <v>14.59</v>
      </c>
      <c r="N2614" s="4">
        <v>131.27000000000001</v>
      </c>
      <c r="O2614" s="4">
        <v>60.62</v>
      </c>
      <c r="P2614" s="4">
        <v>4.32</v>
      </c>
      <c r="Q2614" s="4">
        <v>1.02</v>
      </c>
      <c r="R2614" s="4">
        <v>4.57</v>
      </c>
      <c r="S2614" s="4">
        <v>0</v>
      </c>
      <c r="T2614" s="4">
        <v>0</v>
      </c>
      <c r="U2614" s="4">
        <v>70.53</v>
      </c>
      <c r="V2614" s="4">
        <v>60.74</v>
      </c>
      <c r="W2614" t="s">
        <v>21</v>
      </c>
      <c r="X2614" t="s">
        <v>36</v>
      </c>
      <c r="Y2614" s="4">
        <v>7</v>
      </c>
      <c r="Z2614" s="4">
        <v>13</v>
      </c>
      <c r="AA2614" t="s">
        <v>37</v>
      </c>
      <c r="AB2614" t="s">
        <v>38</v>
      </c>
      <c r="AC2614" s="7">
        <v>0</v>
      </c>
      <c r="AD2614" t="s">
        <v>39</v>
      </c>
      <c r="AE2614">
        <f t="shared" si="40"/>
        <v>0</v>
      </c>
    </row>
    <row r="2615" spans="1:31" x14ac:dyDescent="0.35">
      <c r="A2615">
        <v>102614</v>
      </c>
      <c r="B2615" s="3">
        <v>45951</v>
      </c>
      <c r="C2615">
        <v>1013</v>
      </c>
      <c r="D2615" t="s">
        <v>30</v>
      </c>
      <c r="E2615" t="s">
        <v>40</v>
      </c>
      <c r="F2615" t="s">
        <v>49</v>
      </c>
      <c r="G2615" t="s">
        <v>63</v>
      </c>
      <c r="H2615" t="s">
        <v>34</v>
      </c>
      <c r="I2615" t="s">
        <v>35</v>
      </c>
      <c r="J2615" s="4">
        <v>11.67</v>
      </c>
      <c r="K2615" s="4">
        <v>12.79</v>
      </c>
      <c r="L2615">
        <v>10</v>
      </c>
      <c r="M2615" s="4">
        <v>14.93</v>
      </c>
      <c r="N2615" s="4">
        <v>134.33000000000001</v>
      </c>
      <c r="O2615" s="4">
        <v>84.93</v>
      </c>
      <c r="P2615" s="4">
        <v>11.19</v>
      </c>
      <c r="Q2615" s="4">
        <v>1.04</v>
      </c>
      <c r="R2615" s="4">
        <v>2.48</v>
      </c>
      <c r="S2615" s="4">
        <v>0</v>
      </c>
      <c r="T2615" s="4">
        <v>0</v>
      </c>
      <c r="U2615" s="4">
        <v>99.64</v>
      </c>
      <c r="V2615" s="4">
        <v>34.69</v>
      </c>
      <c r="W2615" t="s">
        <v>21</v>
      </c>
      <c r="X2615" t="s">
        <v>36</v>
      </c>
      <c r="Y2615" s="4">
        <v>4</v>
      </c>
      <c r="Z2615" s="4">
        <v>0</v>
      </c>
      <c r="AA2615" t="s">
        <v>37</v>
      </c>
      <c r="AB2615" t="s">
        <v>38</v>
      </c>
      <c r="AC2615" s="7">
        <v>0</v>
      </c>
      <c r="AD2615" t="s">
        <v>39</v>
      </c>
      <c r="AE2615">
        <f t="shared" si="40"/>
        <v>0</v>
      </c>
    </row>
    <row r="2616" spans="1:31" x14ac:dyDescent="0.35">
      <c r="A2616">
        <v>102615</v>
      </c>
      <c r="B2616" s="3">
        <v>45994</v>
      </c>
      <c r="C2616">
        <v>1078</v>
      </c>
      <c r="D2616" t="s">
        <v>30</v>
      </c>
      <c r="E2616" t="s">
        <v>40</v>
      </c>
      <c r="F2616" t="s">
        <v>61</v>
      </c>
      <c r="G2616" t="s">
        <v>33</v>
      </c>
      <c r="H2616" t="s">
        <v>34</v>
      </c>
      <c r="I2616" t="s">
        <v>54</v>
      </c>
      <c r="J2616" s="4">
        <v>15.16</v>
      </c>
      <c r="K2616" s="4">
        <v>20.149999999999999</v>
      </c>
      <c r="L2616">
        <v>5</v>
      </c>
      <c r="M2616" s="4">
        <v>15.27</v>
      </c>
      <c r="N2616" s="4">
        <v>290.2</v>
      </c>
      <c r="O2616" s="4">
        <v>93.84</v>
      </c>
      <c r="P2616" s="4">
        <v>7.24</v>
      </c>
      <c r="Q2616" s="4">
        <v>3.67</v>
      </c>
      <c r="R2616" s="4">
        <v>4.09</v>
      </c>
      <c r="S2616" s="4">
        <v>0</v>
      </c>
      <c r="T2616" s="4">
        <v>0</v>
      </c>
      <c r="U2616" s="4">
        <v>108.84</v>
      </c>
      <c r="V2616" s="4">
        <v>181.36</v>
      </c>
      <c r="W2616" t="s">
        <v>21</v>
      </c>
      <c r="X2616" t="s">
        <v>36</v>
      </c>
      <c r="Y2616" s="4">
        <v>1</v>
      </c>
      <c r="Z2616" s="4">
        <v>38</v>
      </c>
      <c r="AA2616" t="s">
        <v>37</v>
      </c>
      <c r="AB2616" t="s">
        <v>44</v>
      </c>
      <c r="AC2616" s="7">
        <v>1</v>
      </c>
      <c r="AD2616" t="s">
        <v>45</v>
      </c>
      <c r="AE2616">
        <f t="shared" si="40"/>
        <v>1</v>
      </c>
    </row>
    <row r="2617" spans="1:31" x14ac:dyDescent="0.35">
      <c r="A2617">
        <v>102616</v>
      </c>
      <c r="B2617" s="3">
        <v>45992</v>
      </c>
      <c r="C2617">
        <v>1090</v>
      </c>
      <c r="D2617" t="s">
        <v>59</v>
      </c>
      <c r="E2617" t="s">
        <v>70</v>
      </c>
      <c r="F2617" t="s">
        <v>41</v>
      </c>
      <c r="G2617" t="s">
        <v>50</v>
      </c>
      <c r="H2617" t="s">
        <v>51</v>
      </c>
      <c r="I2617" t="s">
        <v>42</v>
      </c>
      <c r="J2617" s="4">
        <v>20.43</v>
      </c>
      <c r="K2617" s="4">
        <v>18.41</v>
      </c>
      <c r="L2617">
        <v>20</v>
      </c>
      <c r="M2617" s="4">
        <v>75.22</v>
      </c>
      <c r="N2617" s="4">
        <v>300.89999999999998</v>
      </c>
      <c r="O2617" s="4">
        <v>150.69999999999999</v>
      </c>
      <c r="P2617" s="4">
        <v>5.81</v>
      </c>
      <c r="Q2617" s="4">
        <v>5.64</v>
      </c>
      <c r="R2617" s="4">
        <v>5.4</v>
      </c>
      <c r="S2617" s="4">
        <v>0</v>
      </c>
      <c r="T2617" s="4">
        <v>0</v>
      </c>
      <c r="U2617" s="4">
        <v>167.55</v>
      </c>
      <c r="V2617" s="4">
        <v>133.35</v>
      </c>
      <c r="W2617" t="s">
        <v>21</v>
      </c>
      <c r="X2617" t="s">
        <v>36</v>
      </c>
      <c r="Y2617" s="4">
        <v>13</v>
      </c>
      <c r="Z2617" s="4">
        <v>10</v>
      </c>
      <c r="AA2617" t="s">
        <v>37</v>
      </c>
      <c r="AB2617" t="s">
        <v>38</v>
      </c>
      <c r="AC2617" s="7">
        <v>0</v>
      </c>
      <c r="AD2617" t="s">
        <v>39</v>
      </c>
      <c r="AE2617">
        <f t="shared" si="40"/>
        <v>0</v>
      </c>
    </row>
    <row r="2618" spans="1:31" x14ac:dyDescent="0.35">
      <c r="A2618">
        <v>102617</v>
      </c>
      <c r="B2618" s="3">
        <v>46009</v>
      </c>
      <c r="C2618">
        <v>1094</v>
      </c>
      <c r="D2618" t="s">
        <v>47</v>
      </c>
      <c r="E2618" t="s">
        <v>48</v>
      </c>
      <c r="F2618" t="s">
        <v>49</v>
      </c>
      <c r="G2618" t="s">
        <v>63</v>
      </c>
      <c r="H2618" t="s">
        <v>34</v>
      </c>
      <c r="I2618" t="s">
        <v>35</v>
      </c>
      <c r="J2618" s="4">
        <v>19.04</v>
      </c>
      <c r="K2618" s="4">
        <v>13.8</v>
      </c>
      <c r="L2618">
        <v>5</v>
      </c>
      <c r="M2618" s="4">
        <v>13.14</v>
      </c>
      <c r="N2618" s="4">
        <v>249.61</v>
      </c>
      <c r="O2618" s="4">
        <v>112.48</v>
      </c>
      <c r="P2618" s="4">
        <v>7.73</v>
      </c>
      <c r="Q2618" s="4">
        <v>1.84</v>
      </c>
      <c r="R2618" s="4">
        <v>1.28</v>
      </c>
      <c r="S2618" s="4">
        <v>0</v>
      </c>
      <c r="T2618" s="4">
        <v>0</v>
      </c>
      <c r="U2618" s="4">
        <v>123.33</v>
      </c>
      <c r="V2618" s="4">
        <v>126.28</v>
      </c>
      <c r="W2618" t="s">
        <v>21</v>
      </c>
      <c r="X2618" t="s">
        <v>36</v>
      </c>
      <c r="Y2618" s="4">
        <v>8</v>
      </c>
      <c r="Z2618" s="4">
        <v>2</v>
      </c>
      <c r="AA2618" t="s">
        <v>37</v>
      </c>
      <c r="AB2618" t="s">
        <v>38</v>
      </c>
      <c r="AC2618" s="7">
        <v>0</v>
      </c>
      <c r="AD2618" t="s">
        <v>39</v>
      </c>
      <c r="AE2618">
        <f t="shared" si="40"/>
        <v>0</v>
      </c>
    </row>
    <row r="2619" spans="1:31" x14ac:dyDescent="0.35">
      <c r="A2619">
        <v>102618</v>
      </c>
      <c r="B2619" s="3">
        <v>45986</v>
      </c>
      <c r="C2619">
        <v>1057</v>
      </c>
      <c r="D2619" t="s">
        <v>59</v>
      </c>
      <c r="E2619" t="s">
        <v>70</v>
      </c>
      <c r="F2619" t="s">
        <v>61</v>
      </c>
      <c r="G2619" t="s">
        <v>46</v>
      </c>
      <c r="H2619" t="s">
        <v>57</v>
      </c>
      <c r="I2619" t="s">
        <v>35</v>
      </c>
      <c r="J2619" s="4">
        <v>30.74</v>
      </c>
      <c r="K2619" s="4">
        <v>15.43</v>
      </c>
      <c r="L2619">
        <v>0</v>
      </c>
      <c r="M2619" s="4">
        <v>0</v>
      </c>
      <c r="N2619" s="4">
        <v>474.32</v>
      </c>
      <c r="O2619" s="4">
        <v>217.92</v>
      </c>
      <c r="P2619" s="4">
        <v>2.35</v>
      </c>
      <c r="Q2619" s="4">
        <v>3.32</v>
      </c>
      <c r="R2619" s="4">
        <v>7.8</v>
      </c>
      <c r="S2619" s="4">
        <v>375.23</v>
      </c>
      <c r="T2619" s="4">
        <v>7.31</v>
      </c>
      <c r="U2619" s="4">
        <v>613.92999999999995</v>
      </c>
      <c r="V2619" s="4">
        <v>-139.61000000000001</v>
      </c>
      <c r="W2619" t="s">
        <v>58</v>
      </c>
      <c r="X2619" t="s">
        <v>55</v>
      </c>
      <c r="Y2619" s="4">
        <v>1</v>
      </c>
      <c r="Z2619" s="4">
        <v>1</v>
      </c>
      <c r="AA2619" t="s">
        <v>37</v>
      </c>
      <c r="AB2619" t="s">
        <v>44</v>
      </c>
      <c r="AC2619" s="7">
        <v>1</v>
      </c>
      <c r="AD2619" t="s">
        <v>45</v>
      </c>
      <c r="AE2619">
        <f t="shared" si="40"/>
        <v>1</v>
      </c>
    </row>
    <row r="2620" spans="1:31" x14ac:dyDescent="0.35">
      <c r="A2620">
        <v>102619</v>
      </c>
      <c r="B2620" s="3">
        <v>46005</v>
      </c>
      <c r="C2620">
        <v>1133</v>
      </c>
      <c r="D2620" t="s">
        <v>64</v>
      </c>
      <c r="E2620" t="s">
        <v>76</v>
      </c>
      <c r="F2620" t="s">
        <v>71</v>
      </c>
      <c r="G2620" t="s">
        <v>46</v>
      </c>
      <c r="H2620" t="s">
        <v>34</v>
      </c>
      <c r="I2620" t="s">
        <v>35</v>
      </c>
      <c r="J2620" s="4">
        <v>48.08</v>
      </c>
      <c r="K2620" s="4">
        <v>15.48</v>
      </c>
      <c r="L2620">
        <v>5</v>
      </c>
      <c r="M2620" s="4">
        <v>37.21</v>
      </c>
      <c r="N2620" s="4">
        <v>707.07</v>
      </c>
      <c r="O2620" s="4">
        <v>339.57</v>
      </c>
      <c r="P2620" s="4">
        <v>6.45</v>
      </c>
      <c r="Q2620" s="4">
        <v>5.21</v>
      </c>
      <c r="R2620" s="4">
        <v>3.45</v>
      </c>
      <c r="S2620" s="4">
        <v>470.18</v>
      </c>
      <c r="T2620" s="4">
        <v>0</v>
      </c>
      <c r="U2620" s="4">
        <v>824.86</v>
      </c>
      <c r="V2620" s="4">
        <v>-117.79</v>
      </c>
      <c r="W2620" t="s">
        <v>58</v>
      </c>
      <c r="X2620" t="s">
        <v>55</v>
      </c>
      <c r="Y2620" s="4">
        <v>4</v>
      </c>
      <c r="Z2620" s="4">
        <v>10</v>
      </c>
      <c r="AA2620" t="s">
        <v>37</v>
      </c>
      <c r="AB2620" t="s">
        <v>44</v>
      </c>
      <c r="AC2620" s="7">
        <v>1</v>
      </c>
      <c r="AD2620" t="s">
        <v>45</v>
      </c>
      <c r="AE2620">
        <f t="shared" si="40"/>
        <v>1</v>
      </c>
    </row>
    <row r="2621" spans="1:31" x14ac:dyDescent="0.35">
      <c r="A2621">
        <v>102620</v>
      </c>
      <c r="B2621" s="3">
        <v>45998</v>
      </c>
      <c r="C2621">
        <v>1147</v>
      </c>
      <c r="D2621" t="s">
        <v>47</v>
      </c>
      <c r="E2621" t="s">
        <v>56</v>
      </c>
      <c r="F2621" t="s">
        <v>61</v>
      </c>
      <c r="G2621" t="s">
        <v>63</v>
      </c>
      <c r="H2621" t="s">
        <v>57</v>
      </c>
      <c r="I2621" t="s">
        <v>35</v>
      </c>
      <c r="J2621" s="4">
        <v>15.71</v>
      </c>
      <c r="K2621" s="4">
        <v>13.19</v>
      </c>
      <c r="L2621">
        <v>0</v>
      </c>
      <c r="M2621" s="4">
        <v>0</v>
      </c>
      <c r="N2621" s="4">
        <v>207.21</v>
      </c>
      <c r="O2621" s="4">
        <v>131.08000000000001</v>
      </c>
      <c r="P2621" s="4">
        <v>10.59</v>
      </c>
      <c r="Q2621" s="4">
        <v>1.45</v>
      </c>
      <c r="R2621" s="4">
        <v>3.45</v>
      </c>
      <c r="S2621" s="4">
        <v>0</v>
      </c>
      <c r="T2621" s="4">
        <v>0</v>
      </c>
      <c r="U2621" s="4">
        <v>146.57</v>
      </c>
      <c r="V2621" s="4">
        <v>60.64</v>
      </c>
      <c r="W2621" t="s">
        <v>21</v>
      </c>
      <c r="X2621" t="s">
        <v>36</v>
      </c>
      <c r="Y2621" s="4">
        <v>3</v>
      </c>
      <c r="Z2621" s="4">
        <v>2</v>
      </c>
      <c r="AA2621" t="s">
        <v>37</v>
      </c>
      <c r="AB2621" t="s">
        <v>38</v>
      </c>
      <c r="AC2621" s="7">
        <v>0</v>
      </c>
      <c r="AD2621" t="s">
        <v>39</v>
      </c>
      <c r="AE2621">
        <f t="shared" si="40"/>
        <v>0</v>
      </c>
    </row>
    <row r="2622" spans="1:31" x14ac:dyDescent="0.35">
      <c r="A2622">
        <v>102621</v>
      </c>
      <c r="B2622" s="3">
        <v>45987</v>
      </c>
      <c r="C2622">
        <v>1050</v>
      </c>
      <c r="D2622" t="s">
        <v>47</v>
      </c>
      <c r="E2622" t="s">
        <v>48</v>
      </c>
      <c r="F2622" t="s">
        <v>41</v>
      </c>
      <c r="G2622" t="s">
        <v>63</v>
      </c>
      <c r="H2622" t="s">
        <v>34</v>
      </c>
      <c r="I2622" t="s">
        <v>54</v>
      </c>
      <c r="J2622" s="4">
        <v>35.4</v>
      </c>
      <c r="K2622" s="4">
        <v>13.42</v>
      </c>
      <c r="L2622">
        <v>0</v>
      </c>
      <c r="M2622" s="4">
        <v>0</v>
      </c>
      <c r="N2622" s="4">
        <v>475.07</v>
      </c>
      <c r="O2622" s="4">
        <v>198.55</v>
      </c>
      <c r="P2622" s="4">
        <v>6.28</v>
      </c>
      <c r="Q2622" s="4">
        <v>5.7</v>
      </c>
      <c r="R2622" s="4">
        <v>6.77</v>
      </c>
      <c r="S2622" s="4">
        <v>0</v>
      </c>
      <c r="T2622" s="4">
        <v>0</v>
      </c>
      <c r="U2622" s="4">
        <v>217.3</v>
      </c>
      <c r="V2622" s="4">
        <v>257.77</v>
      </c>
      <c r="W2622" t="s">
        <v>21</v>
      </c>
      <c r="X2622" t="s">
        <v>36</v>
      </c>
      <c r="Y2622" s="4">
        <v>6</v>
      </c>
      <c r="Z2622" s="4">
        <v>11</v>
      </c>
      <c r="AA2622" t="s">
        <v>37</v>
      </c>
      <c r="AB2622" t="s">
        <v>38</v>
      </c>
      <c r="AC2622" s="7">
        <v>0</v>
      </c>
      <c r="AD2622" t="s">
        <v>39</v>
      </c>
      <c r="AE2622">
        <f t="shared" si="40"/>
        <v>0</v>
      </c>
    </row>
    <row r="2623" spans="1:31" x14ac:dyDescent="0.35">
      <c r="A2623">
        <v>102622</v>
      </c>
      <c r="B2623" s="3">
        <v>45975</v>
      </c>
      <c r="C2623">
        <v>1075</v>
      </c>
      <c r="D2623" t="s">
        <v>64</v>
      </c>
      <c r="E2623" t="s">
        <v>75</v>
      </c>
      <c r="F2623" t="s">
        <v>32</v>
      </c>
      <c r="G2623" t="s">
        <v>50</v>
      </c>
      <c r="H2623" t="s">
        <v>34</v>
      </c>
      <c r="I2623" t="s">
        <v>42</v>
      </c>
      <c r="J2623" s="4">
        <v>17.190000000000001</v>
      </c>
      <c r="K2623" s="4">
        <v>18.63</v>
      </c>
      <c r="L2623">
        <v>5</v>
      </c>
      <c r="M2623" s="4">
        <v>16.010000000000002</v>
      </c>
      <c r="N2623" s="4">
        <v>304.24</v>
      </c>
      <c r="O2623" s="4">
        <v>136.57</v>
      </c>
      <c r="P2623" s="4">
        <v>4.8600000000000003</v>
      </c>
      <c r="Q2623" s="4">
        <v>4.8</v>
      </c>
      <c r="R2623" s="4">
        <v>5.55</v>
      </c>
      <c r="S2623" s="4">
        <v>0</v>
      </c>
      <c r="T2623" s="4">
        <v>0</v>
      </c>
      <c r="U2623" s="4">
        <v>151.78</v>
      </c>
      <c r="V2623" s="4">
        <v>152.46</v>
      </c>
      <c r="W2623" t="s">
        <v>21</v>
      </c>
      <c r="X2623" t="s">
        <v>36</v>
      </c>
      <c r="Y2623" s="4">
        <v>11</v>
      </c>
      <c r="Z2623" s="4">
        <v>15</v>
      </c>
      <c r="AA2623" t="s">
        <v>37</v>
      </c>
      <c r="AB2623" t="s">
        <v>38</v>
      </c>
      <c r="AC2623" s="7">
        <v>0</v>
      </c>
      <c r="AD2623" t="s">
        <v>39</v>
      </c>
      <c r="AE2623">
        <f t="shared" si="40"/>
        <v>0</v>
      </c>
    </row>
    <row r="2624" spans="1:31" x14ac:dyDescent="0.35">
      <c r="A2624">
        <v>102623</v>
      </c>
      <c r="B2624" s="3">
        <v>46012</v>
      </c>
      <c r="C2624">
        <v>1056</v>
      </c>
      <c r="D2624" t="s">
        <v>47</v>
      </c>
      <c r="E2624" t="s">
        <v>74</v>
      </c>
      <c r="F2624" t="s">
        <v>61</v>
      </c>
      <c r="G2624" t="s">
        <v>46</v>
      </c>
      <c r="H2624" t="s">
        <v>57</v>
      </c>
      <c r="I2624" t="s">
        <v>54</v>
      </c>
      <c r="J2624" s="4">
        <v>27.8</v>
      </c>
      <c r="K2624" s="4">
        <v>14.67</v>
      </c>
      <c r="L2624">
        <v>0</v>
      </c>
      <c r="M2624" s="4">
        <v>0</v>
      </c>
      <c r="N2624" s="4">
        <v>407.83</v>
      </c>
      <c r="O2624" s="4">
        <v>225.75</v>
      </c>
      <c r="P2624" s="4">
        <v>14.26</v>
      </c>
      <c r="Q2624" s="4">
        <v>4.8899999999999997</v>
      </c>
      <c r="R2624" s="4">
        <v>4.58</v>
      </c>
      <c r="S2624" s="4">
        <v>0</v>
      </c>
      <c r="T2624" s="4">
        <v>0</v>
      </c>
      <c r="U2624" s="4">
        <v>249.48</v>
      </c>
      <c r="V2624" s="4">
        <v>158.35</v>
      </c>
      <c r="W2624" t="s">
        <v>21</v>
      </c>
      <c r="X2624" t="s">
        <v>36</v>
      </c>
      <c r="Y2624" s="4">
        <v>33</v>
      </c>
      <c r="Z2624" s="4">
        <v>7</v>
      </c>
      <c r="AA2624" t="s">
        <v>43</v>
      </c>
      <c r="AB2624" t="s">
        <v>44</v>
      </c>
      <c r="AC2624" s="7">
        <v>1</v>
      </c>
      <c r="AD2624" t="s">
        <v>45</v>
      </c>
      <c r="AE2624">
        <f t="shared" si="40"/>
        <v>1</v>
      </c>
    </row>
    <row r="2625" spans="1:31" x14ac:dyDescent="0.35">
      <c r="A2625">
        <v>102624</v>
      </c>
      <c r="B2625" s="3">
        <v>46021</v>
      </c>
      <c r="C2625">
        <v>1107</v>
      </c>
      <c r="D2625" t="s">
        <v>64</v>
      </c>
      <c r="E2625" t="s">
        <v>75</v>
      </c>
      <c r="F2625" t="s">
        <v>49</v>
      </c>
      <c r="G2625" t="s">
        <v>63</v>
      </c>
      <c r="H2625" t="s">
        <v>34</v>
      </c>
      <c r="I2625" t="s">
        <v>42</v>
      </c>
      <c r="J2625" s="4">
        <v>15.92</v>
      </c>
      <c r="K2625" s="4">
        <v>13.09</v>
      </c>
      <c r="L2625">
        <v>5</v>
      </c>
      <c r="M2625" s="4">
        <v>10.42</v>
      </c>
      <c r="N2625" s="4">
        <v>197.97</v>
      </c>
      <c r="O2625" s="4">
        <v>140.05000000000001</v>
      </c>
      <c r="P2625" s="4">
        <v>10.9</v>
      </c>
      <c r="Q2625" s="4">
        <v>3.13</v>
      </c>
      <c r="R2625" s="4">
        <v>2.54</v>
      </c>
      <c r="S2625" s="4">
        <v>0</v>
      </c>
      <c r="T2625" s="4">
        <v>0</v>
      </c>
      <c r="U2625" s="4">
        <v>156.62</v>
      </c>
      <c r="V2625" s="4">
        <v>41.35</v>
      </c>
      <c r="W2625" t="s">
        <v>21</v>
      </c>
      <c r="X2625" t="s">
        <v>36</v>
      </c>
      <c r="Y2625" s="4">
        <v>0</v>
      </c>
      <c r="Z2625" s="4">
        <v>9</v>
      </c>
      <c r="AA2625" t="s">
        <v>37</v>
      </c>
      <c r="AB2625" t="s">
        <v>38</v>
      </c>
      <c r="AC2625" s="7">
        <v>0</v>
      </c>
      <c r="AD2625" t="s">
        <v>39</v>
      </c>
      <c r="AE2625">
        <f t="shared" si="40"/>
        <v>0</v>
      </c>
    </row>
    <row r="2626" spans="1:31" x14ac:dyDescent="0.35">
      <c r="A2626">
        <v>102625</v>
      </c>
      <c r="B2626" s="3">
        <v>45951</v>
      </c>
      <c r="C2626">
        <v>1141</v>
      </c>
      <c r="D2626" t="s">
        <v>47</v>
      </c>
      <c r="E2626" t="s">
        <v>56</v>
      </c>
      <c r="F2626" t="s">
        <v>32</v>
      </c>
      <c r="G2626" t="s">
        <v>63</v>
      </c>
      <c r="H2626" t="s">
        <v>34</v>
      </c>
      <c r="I2626" t="s">
        <v>35</v>
      </c>
      <c r="J2626" s="4">
        <v>26.22</v>
      </c>
      <c r="K2626" s="4">
        <v>11.89</v>
      </c>
      <c r="L2626">
        <v>0</v>
      </c>
      <c r="M2626" s="4">
        <v>0</v>
      </c>
      <c r="N2626" s="4">
        <v>311.76</v>
      </c>
      <c r="O2626" s="4">
        <v>217.51</v>
      </c>
      <c r="P2626" s="4">
        <v>6.95</v>
      </c>
      <c r="Q2626" s="4">
        <v>2.1800000000000002</v>
      </c>
      <c r="R2626" s="4">
        <v>1.74</v>
      </c>
      <c r="S2626" s="4">
        <v>178.76</v>
      </c>
      <c r="T2626" s="4">
        <v>0</v>
      </c>
      <c r="U2626" s="4">
        <v>407.14</v>
      </c>
      <c r="V2626" s="4">
        <v>-95.38</v>
      </c>
      <c r="W2626" t="s">
        <v>58</v>
      </c>
      <c r="X2626" t="s">
        <v>55</v>
      </c>
      <c r="Y2626" s="4">
        <v>2</v>
      </c>
      <c r="Z2626" s="4">
        <v>5</v>
      </c>
      <c r="AA2626" t="s">
        <v>37</v>
      </c>
      <c r="AB2626" t="s">
        <v>44</v>
      </c>
      <c r="AC2626" s="7">
        <v>1</v>
      </c>
      <c r="AD2626" t="s">
        <v>45</v>
      </c>
      <c r="AE2626">
        <f t="shared" si="40"/>
        <v>1</v>
      </c>
    </row>
    <row r="2627" spans="1:31" x14ac:dyDescent="0.35">
      <c r="A2627">
        <v>102626</v>
      </c>
      <c r="B2627" s="3">
        <v>45994</v>
      </c>
      <c r="C2627">
        <v>1111</v>
      </c>
      <c r="D2627" t="s">
        <v>64</v>
      </c>
      <c r="E2627" t="s">
        <v>67</v>
      </c>
      <c r="F2627" t="s">
        <v>71</v>
      </c>
      <c r="G2627" t="s">
        <v>63</v>
      </c>
      <c r="H2627" t="s">
        <v>51</v>
      </c>
      <c r="I2627" t="s">
        <v>35</v>
      </c>
      <c r="J2627" s="4">
        <v>3</v>
      </c>
      <c r="K2627" s="4">
        <v>13.14</v>
      </c>
      <c r="L2627">
        <v>10</v>
      </c>
      <c r="M2627" s="4">
        <v>3.94</v>
      </c>
      <c r="N2627" s="4">
        <v>35.479999999999997</v>
      </c>
      <c r="O2627" s="4">
        <v>20.12</v>
      </c>
      <c r="P2627" s="4">
        <v>11.06</v>
      </c>
      <c r="Q2627" s="4">
        <v>0.28000000000000003</v>
      </c>
      <c r="R2627" s="4">
        <v>0.37</v>
      </c>
      <c r="S2627" s="4">
        <v>0</v>
      </c>
      <c r="T2627" s="4">
        <v>0</v>
      </c>
      <c r="U2627" s="4">
        <v>31.83</v>
      </c>
      <c r="V2627" s="4">
        <v>3.65</v>
      </c>
      <c r="W2627" t="s">
        <v>21</v>
      </c>
      <c r="X2627" t="s">
        <v>36</v>
      </c>
      <c r="Y2627" s="4">
        <v>8</v>
      </c>
      <c r="Z2627" s="4">
        <v>1</v>
      </c>
      <c r="AA2627" t="s">
        <v>37</v>
      </c>
      <c r="AB2627" t="s">
        <v>38</v>
      </c>
      <c r="AC2627" s="7">
        <v>0</v>
      </c>
      <c r="AD2627" t="s">
        <v>39</v>
      </c>
      <c r="AE2627">
        <f t="shared" ref="AE2627:AE2690" si="41">IF(AB2627="Yes",1,0)</f>
        <v>0</v>
      </c>
    </row>
    <row r="2628" spans="1:31" x14ac:dyDescent="0.35">
      <c r="A2628">
        <v>102627</v>
      </c>
      <c r="B2628" s="3">
        <v>45945</v>
      </c>
      <c r="C2628">
        <v>1052</v>
      </c>
      <c r="D2628" t="s">
        <v>59</v>
      </c>
      <c r="E2628" t="s">
        <v>70</v>
      </c>
      <c r="F2628" t="s">
        <v>41</v>
      </c>
      <c r="G2628" t="s">
        <v>63</v>
      </c>
      <c r="H2628" t="s">
        <v>34</v>
      </c>
      <c r="I2628" t="s">
        <v>35</v>
      </c>
      <c r="J2628" s="4">
        <v>12.08</v>
      </c>
      <c r="K2628" s="4">
        <v>12.34</v>
      </c>
      <c r="L2628">
        <v>0</v>
      </c>
      <c r="M2628" s="4">
        <v>0</v>
      </c>
      <c r="N2628" s="4">
        <v>149.07</v>
      </c>
      <c r="O2628" s="4">
        <v>76.89</v>
      </c>
      <c r="P2628" s="4">
        <v>4.01</v>
      </c>
      <c r="Q2628" s="4">
        <v>1.04</v>
      </c>
      <c r="R2628" s="4">
        <v>4.6500000000000004</v>
      </c>
      <c r="S2628" s="4">
        <v>0</v>
      </c>
      <c r="T2628" s="4">
        <v>0</v>
      </c>
      <c r="U2628" s="4">
        <v>86.59</v>
      </c>
      <c r="V2628" s="4">
        <v>62.48</v>
      </c>
      <c r="W2628" t="s">
        <v>21</v>
      </c>
      <c r="X2628" t="s">
        <v>36</v>
      </c>
      <c r="Y2628" s="4">
        <v>2</v>
      </c>
      <c r="Z2628" s="4">
        <v>28</v>
      </c>
      <c r="AA2628" t="s">
        <v>37</v>
      </c>
      <c r="AB2628" t="s">
        <v>44</v>
      </c>
      <c r="AC2628" s="7">
        <v>2</v>
      </c>
      <c r="AD2628" t="s">
        <v>45</v>
      </c>
      <c r="AE2628">
        <f t="shared" si="41"/>
        <v>1</v>
      </c>
    </row>
    <row r="2629" spans="1:31" x14ac:dyDescent="0.35">
      <c r="A2629">
        <v>102628</v>
      </c>
      <c r="B2629" s="3">
        <v>45954</v>
      </c>
      <c r="C2629">
        <v>1004</v>
      </c>
      <c r="D2629" t="s">
        <v>30</v>
      </c>
      <c r="E2629" t="s">
        <v>40</v>
      </c>
      <c r="F2629" t="s">
        <v>49</v>
      </c>
      <c r="G2629" t="s">
        <v>50</v>
      </c>
      <c r="H2629" t="s">
        <v>34</v>
      </c>
      <c r="I2629" t="s">
        <v>54</v>
      </c>
      <c r="J2629" s="4">
        <v>34.39</v>
      </c>
      <c r="K2629" s="4">
        <v>17.53</v>
      </c>
      <c r="L2629">
        <v>0</v>
      </c>
      <c r="M2629" s="4">
        <v>0</v>
      </c>
      <c r="N2629" s="4">
        <v>602.86</v>
      </c>
      <c r="O2629" s="4">
        <v>215.51</v>
      </c>
      <c r="P2629" s="4">
        <v>4.13</v>
      </c>
      <c r="Q2629" s="4">
        <v>7.23</v>
      </c>
      <c r="R2629" s="4">
        <v>12.6</v>
      </c>
      <c r="S2629" s="4">
        <v>0</v>
      </c>
      <c r="T2629" s="4">
        <v>0</v>
      </c>
      <c r="U2629" s="4">
        <v>239.47</v>
      </c>
      <c r="V2629" s="4">
        <v>363.39</v>
      </c>
      <c r="W2629" t="s">
        <v>21</v>
      </c>
      <c r="X2629" t="s">
        <v>36</v>
      </c>
      <c r="Y2629" s="4">
        <v>22</v>
      </c>
      <c r="Z2629" s="4">
        <v>5</v>
      </c>
      <c r="AA2629" t="s">
        <v>52</v>
      </c>
      <c r="AB2629" t="s">
        <v>44</v>
      </c>
      <c r="AC2629" s="7">
        <v>1</v>
      </c>
      <c r="AD2629" t="s">
        <v>45</v>
      </c>
      <c r="AE2629">
        <f t="shared" si="41"/>
        <v>1</v>
      </c>
    </row>
    <row r="2630" spans="1:31" x14ac:dyDescent="0.35">
      <c r="A2630">
        <v>102629</v>
      </c>
      <c r="B2630" s="3">
        <v>46000</v>
      </c>
      <c r="C2630">
        <v>1111</v>
      </c>
      <c r="D2630" t="s">
        <v>47</v>
      </c>
      <c r="E2630" t="s">
        <v>74</v>
      </c>
      <c r="F2630" t="s">
        <v>32</v>
      </c>
      <c r="G2630" t="s">
        <v>46</v>
      </c>
      <c r="H2630" t="s">
        <v>34</v>
      </c>
      <c r="I2630" t="s">
        <v>69</v>
      </c>
      <c r="J2630" s="4">
        <v>27.62</v>
      </c>
      <c r="K2630" s="4">
        <v>14.7</v>
      </c>
      <c r="L2630">
        <v>5</v>
      </c>
      <c r="M2630" s="4">
        <v>20.3</v>
      </c>
      <c r="N2630" s="4">
        <v>385.71</v>
      </c>
      <c r="O2630" s="4">
        <v>243.46</v>
      </c>
      <c r="P2630" s="4">
        <v>9.7200000000000006</v>
      </c>
      <c r="Q2630" s="4">
        <v>1.62</v>
      </c>
      <c r="R2630" s="4">
        <v>11.14</v>
      </c>
      <c r="S2630" s="4">
        <v>356.18</v>
      </c>
      <c r="T2630" s="4">
        <v>0</v>
      </c>
      <c r="U2630" s="4">
        <v>622.12</v>
      </c>
      <c r="V2630" s="4">
        <v>-236.41</v>
      </c>
      <c r="W2630" t="s">
        <v>58</v>
      </c>
      <c r="X2630" t="s">
        <v>55</v>
      </c>
      <c r="Y2630" s="4">
        <v>18</v>
      </c>
      <c r="Z2630" s="4">
        <v>6</v>
      </c>
      <c r="AA2630" t="s">
        <v>52</v>
      </c>
      <c r="AB2630" t="s">
        <v>44</v>
      </c>
      <c r="AC2630" s="7">
        <v>1</v>
      </c>
      <c r="AD2630" t="s">
        <v>45</v>
      </c>
      <c r="AE2630">
        <f t="shared" si="41"/>
        <v>1</v>
      </c>
    </row>
    <row r="2631" spans="1:31" x14ac:dyDescent="0.35">
      <c r="A2631">
        <v>102630</v>
      </c>
      <c r="B2631" s="3">
        <v>45999</v>
      </c>
      <c r="C2631">
        <v>1058</v>
      </c>
      <c r="D2631" t="s">
        <v>47</v>
      </c>
      <c r="E2631" t="s">
        <v>53</v>
      </c>
      <c r="F2631" t="s">
        <v>32</v>
      </c>
      <c r="G2631" t="s">
        <v>46</v>
      </c>
      <c r="H2631" t="s">
        <v>57</v>
      </c>
      <c r="I2631" t="s">
        <v>35</v>
      </c>
      <c r="J2631" s="4">
        <v>23.93</v>
      </c>
      <c r="K2631" s="4">
        <v>16.66</v>
      </c>
      <c r="L2631">
        <v>0</v>
      </c>
      <c r="M2631" s="4">
        <v>0</v>
      </c>
      <c r="N2631" s="4">
        <v>398.67</v>
      </c>
      <c r="O2631" s="4">
        <v>165.38</v>
      </c>
      <c r="P2631" s="4">
        <v>5.86</v>
      </c>
      <c r="Q2631" s="4">
        <v>2.79</v>
      </c>
      <c r="R2631" s="4">
        <v>4.6900000000000004</v>
      </c>
      <c r="S2631" s="4">
        <v>0</v>
      </c>
      <c r="T2631" s="4">
        <v>0</v>
      </c>
      <c r="U2631" s="4">
        <v>178.72</v>
      </c>
      <c r="V2631" s="4">
        <v>219.95</v>
      </c>
      <c r="W2631" t="s">
        <v>21</v>
      </c>
      <c r="X2631" t="s">
        <v>36</v>
      </c>
      <c r="Y2631" s="4">
        <v>3</v>
      </c>
      <c r="Z2631" s="4">
        <v>0</v>
      </c>
      <c r="AA2631" t="s">
        <v>37</v>
      </c>
      <c r="AB2631" t="s">
        <v>38</v>
      </c>
      <c r="AC2631" s="7">
        <v>0</v>
      </c>
      <c r="AD2631" t="s">
        <v>39</v>
      </c>
      <c r="AE2631">
        <f t="shared" si="41"/>
        <v>0</v>
      </c>
    </row>
    <row r="2632" spans="1:31" x14ac:dyDescent="0.35">
      <c r="A2632">
        <v>102631</v>
      </c>
      <c r="B2632" s="3">
        <v>46009</v>
      </c>
      <c r="C2632">
        <v>1045</v>
      </c>
      <c r="D2632" t="s">
        <v>59</v>
      </c>
      <c r="E2632" t="s">
        <v>70</v>
      </c>
      <c r="F2632" t="s">
        <v>71</v>
      </c>
      <c r="G2632" t="s">
        <v>46</v>
      </c>
      <c r="H2632" t="s">
        <v>34</v>
      </c>
      <c r="I2632" t="s">
        <v>35</v>
      </c>
      <c r="J2632" s="4">
        <v>22.14</v>
      </c>
      <c r="K2632" s="4">
        <v>15.6</v>
      </c>
      <c r="L2632">
        <v>5</v>
      </c>
      <c r="M2632" s="4">
        <v>17.27</v>
      </c>
      <c r="N2632" s="4">
        <v>328.11</v>
      </c>
      <c r="O2632" s="4">
        <v>163.77000000000001</v>
      </c>
      <c r="P2632" s="4">
        <v>7.15</v>
      </c>
      <c r="Q2632" s="4">
        <v>2.42</v>
      </c>
      <c r="R2632" s="4">
        <v>5.79</v>
      </c>
      <c r="S2632" s="4">
        <v>0</v>
      </c>
      <c r="T2632" s="4">
        <v>0</v>
      </c>
      <c r="U2632" s="4">
        <v>179.13</v>
      </c>
      <c r="V2632" s="4">
        <v>148.97999999999999</v>
      </c>
      <c r="W2632" t="s">
        <v>21</v>
      </c>
      <c r="X2632" t="s">
        <v>36</v>
      </c>
      <c r="Y2632" s="4">
        <v>10</v>
      </c>
      <c r="Z2632" s="4">
        <v>3</v>
      </c>
      <c r="AA2632" t="s">
        <v>37</v>
      </c>
      <c r="AB2632" t="s">
        <v>38</v>
      </c>
      <c r="AC2632" s="7">
        <v>0</v>
      </c>
      <c r="AD2632" t="s">
        <v>39</v>
      </c>
      <c r="AE2632">
        <f t="shared" si="41"/>
        <v>0</v>
      </c>
    </row>
    <row r="2633" spans="1:31" x14ac:dyDescent="0.35">
      <c r="A2633">
        <v>102632</v>
      </c>
      <c r="B2633" s="3">
        <v>45954</v>
      </c>
      <c r="C2633">
        <v>1048</v>
      </c>
      <c r="D2633" t="s">
        <v>59</v>
      </c>
      <c r="E2633" t="s">
        <v>60</v>
      </c>
      <c r="F2633" t="s">
        <v>61</v>
      </c>
      <c r="G2633" t="s">
        <v>63</v>
      </c>
      <c r="H2633" t="s">
        <v>34</v>
      </c>
      <c r="I2633" t="s">
        <v>54</v>
      </c>
      <c r="J2633" s="4">
        <v>13.75</v>
      </c>
      <c r="K2633" s="4">
        <v>13.04</v>
      </c>
      <c r="L2633">
        <v>20</v>
      </c>
      <c r="M2633" s="4">
        <v>35.86</v>
      </c>
      <c r="N2633" s="4">
        <v>143.44</v>
      </c>
      <c r="O2633" s="4">
        <v>102.55</v>
      </c>
      <c r="P2633" s="4">
        <v>8.85</v>
      </c>
      <c r="Q2633" s="4">
        <v>2.15</v>
      </c>
      <c r="R2633" s="4">
        <v>9.0500000000000007</v>
      </c>
      <c r="S2633" s="4">
        <v>0</v>
      </c>
      <c r="T2633" s="4">
        <v>0</v>
      </c>
      <c r="U2633" s="4">
        <v>122.6</v>
      </c>
      <c r="V2633" s="4">
        <v>20.84</v>
      </c>
      <c r="W2633" t="s">
        <v>21</v>
      </c>
      <c r="X2633" t="s">
        <v>36</v>
      </c>
      <c r="Y2633" s="4">
        <v>15</v>
      </c>
      <c r="Z2633" s="4">
        <v>17</v>
      </c>
      <c r="AA2633" t="s">
        <v>37</v>
      </c>
      <c r="AB2633" t="s">
        <v>44</v>
      </c>
      <c r="AC2633" s="7">
        <v>2</v>
      </c>
      <c r="AD2633" t="s">
        <v>45</v>
      </c>
      <c r="AE2633">
        <f t="shared" si="41"/>
        <v>1</v>
      </c>
    </row>
    <row r="2634" spans="1:31" x14ac:dyDescent="0.35">
      <c r="A2634">
        <v>102633</v>
      </c>
      <c r="B2634" s="3">
        <v>45935</v>
      </c>
      <c r="C2634">
        <v>1088</v>
      </c>
      <c r="D2634" t="s">
        <v>59</v>
      </c>
      <c r="E2634" t="s">
        <v>70</v>
      </c>
      <c r="F2634" t="s">
        <v>61</v>
      </c>
      <c r="G2634" t="s">
        <v>46</v>
      </c>
      <c r="H2634" t="s">
        <v>34</v>
      </c>
      <c r="I2634" t="s">
        <v>35</v>
      </c>
      <c r="J2634" s="4">
        <v>22.87</v>
      </c>
      <c r="K2634" s="4">
        <v>16.16</v>
      </c>
      <c r="L2634">
        <v>20</v>
      </c>
      <c r="M2634" s="4">
        <v>73.92</v>
      </c>
      <c r="N2634" s="4">
        <v>295.66000000000003</v>
      </c>
      <c r="O2634" s="4">
        <v>170.62</v>
      </c>
      <c r="P2634" s="4">
        <v>9.42</v>
      </c>
      <c r="Q2634" s="4">
        <v>2.59</v>
      </c>
      <c r="R2634" s="4">
        <v>8.07</v>
      </c>
      <c r="S2634" s="4">
        <v>0</v>
      </c>
      <c r="T2634" s="4">
        <v>0</v>
      </c>
      <c r="U2634" s="4">
        <v>190.7</v>
      </c>
      <c r="V2634" s="4">
        <v>104.96</v>
      </c>
      <c r="W2634" t="s">
        <v>21</v>
      </c>
      <c r="X2634" t="s">
        <v>36</v>
      </c>
      <c r="Y2634" s="4">
        <v>2</v>
      </c>
      <c r="Z2634" s="4">
        <v>13</v>
      </c>
      <c r="AA2634" t="s">
        <v>37</v>
      </c>
      <c r="AB2634" t="s">
        <v>38</v>
      </c>
      <c r="AC2634" s="7">
        <v>0</v>
      </c>
      <c r="AD2634" t="s">
        <v>39</v>
      </c>
      <c r="AE2634">
        <f t="shared" si="41"/>
        <v>0</v>
      </c>
    </row>
    <row r="2635" spans="1:31" x14ac:dyDescent="0.35">
      <c r="A2635">
        <v>102634</v>
      </c>
      <c r="B2635" s="3">
        <v>45931</v>
      </c>
      <c r="C2635">
        <v>1094</v>
      </c>
      <c r="D2635" t="s">
        <v>64</v>
      </c>
      <c r="E2635" t="s">
        <v>75</v>
      </c>
      <c r="F2635" t="s">
        <v>49</v>
      </c>
      <c r="G2635" t="s">
        <v>63</v>
      </c>
      <c r="H2635" t="s">
        <v>34</v>
      </c>
      <c r="I2635" t="s">
        <v>35</v>
      </c>
      <c r="J2635" s="4">
        <v>14.39</v>
      </c>
      <c r="K2635" s="4">
        <v>12.26</v>
      </c>
      <c r="L2635">
        <v>0</v>
      </c>
      <c r="M2635" s="4">
        <v>0</v>
      </c>
      <c r="N2635" s="4">
        <v>176.42</v>
      </c>
      <c r="O2635" s="4">
        <v>104.75</v>
      </c>
      <c r="P2635" s="4">
        <v>3.96</v>
      </c>
      <c r="Q2635" s="4">
        <v>1.23</v>
      </c>
      <c r="R2635" s="4">
        <v>2.29</v>
      </c>
      <c r="S2635" s="4">
        <v>0</v>
      </c>
      <c r="T2635" s="4">
        <v>0</v>
      </c>
      <c r="U2635" s="4">
        <v>112.23</v>
      </c>
      <c r="V2635" s="4">
        <v>64.19</v>
      </c>
      <c r="W2635" t="s">
        <v>21</v>
      </c>
      <c r="X2635" t="s">
        <v>36</v>
      </c>
      <c r="Y2635" s="4">
        <v>1</v>
      </c>
      <c r="Z2635" s="4">
        <v>33</v>
      </c>
      <c r="AA2635" t="s">
        <v>37</v>
      </c>
      <c r="AB2635" t="s">
        <v>44</v>
      </c>
      <c r="AC2635" s="7">
        <v>1</v>
      </c>
      <c r="AD2635" t="s">
        <v>45</v>
      </c>
      <c r="AE2635">
        <f t="shared" si="41"/>
        <v>1</v>
      </c>
    </row>
    <row r="2636" spans="1:31" x14ac:dyDescent="0.35">
      <c r="A2636">
        <v>102635</v>
      </c>
      <c r="B2636" s="3">
        <v>45971</v>
      </c>
      <c r="C2636">
        <v>1034</v>
      </c>
      <c r="D2636" t="s">
        <v>59</v>
      </c>
      <c r="E2636" t="s">
        <v>73</v>
      </c>
      <c r="F2636" t="s">
        <v>49</v>
      </c>
      <c r="G2636" t="s">
        <v>50</v>
      </c>
      <c r="H2636" t="s">
        <v>34</v>
      </c>
      <c r="I2636" t="s">
        <v>54</v>
      </c>
      <c r="J2636" s="4">
        <v>35.880000000000003</v>
      </c>
      <c r="K2636" s="4">
        <v>17.32</v>
      </c>
      <c r="L2636">
        <v>0</v>
      </c>
      <c r="M2636" s="4">
        <v>0</v>
      </c>
      <c r="N2636" s="4">
        <v>621.44000000000005</v>
      </c>
      <c r="O2636" s="4">
        <v>292.95</v>
      </c>
      <c r="P2636" s="4">
        <v>1.92</v>
      </c>
      <c r="Q2636" s="4">
        <v>7.46</v>
      </c>
      <c r="R2636" s="4">
        <v>4.95</v>
      </c>
      <c r="S2636" s="4">
        <v>375.33</v>
      </c>
      <c r="T2636" s="4">
        <v>0</v>
      </c>
      <c r="U2636" s="4">
        <v>682.61</v>
      </c>
      <c r="V2636" s="4">
        <v>-61.17</v>
      </c>
      <c r="W2636" t="s">
        <v>58</v>
      </c>
      <c r="X2636" t="s">
        <v>66</v>
      </c>
      <c r="Y2636" s="4">
        <v>1</v>
      </c>
      <c r="Z2636" s="4">
        <v>5</v>
      </c>
      <c r="AA2636" t="s">
        <v>37</v>
      </c>
      <c r="AB2636" t="s">
        <v>38</v>
      </c>
      <c r="AC2636" s="7">
        <v>2</v>
      </c>
      <c r="AD2636" t="s">
        <v>45</v>
      </c>
      <c r="AE2636">
        <f t="shared" si="41"/>
        <v>0</v>
      </c>
    </row>
    <row r="2637" spans="1:31" x14ac:dyDescent="0.35">
      <c r="A2637">
        <v>102636</v>
      </c>
      <c r="B2637" s="3">
        <v>46006</v>
      </c>
      <c r="C2637">
        <v>1139</v>
      </c>
      <c r="D2637" t="s">
        <v>47</v>
      </c>
      <c r="E2637" t="s">
        <v>56</v>
      </c>
      <c r="F2637" t="s">
        <v>32</v>
      </c>
      <c r="G2637" t="s">
        <v>46</v>
      </c>
      <c r="H2637" t="s">
        <v>34</v>
      </c>
      <c r="I2637" t="s">
        <v>54</v>
      </c>
      <c r="J2637" s="4">
        <v>30.52</v>
      </c>
      <c r="K2637" s="4">
        <v>14.34</v>
      </c>
      <c r="L2637">
        <v>0</v>
      </c>
      <c r="M2637" s="4">
        <v>0</v>
      </c>
      <c r="N2637" s="4">
        <v>437.66</v>
      </c>
      <c r="O2637" s="4">
        <v>199.11</v>
      </c>
      <c r="P2637" s="4">
        <v>10.07</v>
      </c>
      <c r="Q2637" s="4">
        <v>5.25</v>
      </c>
      <c r="R2637" s="4">
        <v>6.31</v>
      </c>
      <c r="S2637" s="4">
        <v>0</v>
      </c>
      <c r="T2637" s="4">
        <v>0</v>
      </c>
      <c r="U2637" s="4">
        <v>220.74</v>
      </c>
      <c r="V2637" s="4">
        <v>216.92</v>
      </c>
      <c r="W2637" t="s">
        <v>21</v>
      </c>
      <c r="X2637" t="s">
        <v>36</v>
      </c>
      <c r="Y2637" s="4">
        <v>13</v>
      </c>
      <c r="Z2637" s="4">
        <v>10</v>
      </c>
      <c r="AA2637" t="s">
        <v>37</v>
      </c>
      <c r="AB2637" t="s">
        <v>38</v>
      </c>
      <c r="AC2637" s="7">
        <v>0</v>
      </c>
      <c r="AD2637" t="s">
        <v>39</v>
      </c>
      <c r="AE2637">
        <f t="shared" si="41"/>
        <v>0</v>
      </c>
    </row>
    <row r="2638" spans="1:31" x14ac:dyDescent="0.35">
      <c r="A2638">
        <v>102637</v>
      </c>
      <c r="B2638" s="3">
        <v>46008</v>
      </c>
      <c r="C2638">
        <v>1059</v>
      </c>
      <c r="D2638" t="s">
        <v>47</v>
      </c>
      <c r="E2638" t="s">
        <v>74</v>
      </c>
      <c r="F2638" t="s">
        <v>61</v>
      </c>
      <c r="G2638" t="s">
        <v>63</v>
      </c>
      <c r="H2638" t="s">
        <v>34</v>
      </c>
      <c r="I2638" t="s">
        <v>35</v>
      </c>
      <c r="J2638" s="4">
        <v>15.79</v>
      </c>
      <c r="K2638" s="4">
        <v>13.05</v>
      </c>
      <c r="L2638">
        <v>0</v>
      </c>
      <c r="M2638" s="4">
        <v>0</v>
      </c>
      <c r="N2638" s="4">
        <v>206.06</v>
      </c>
      <c r="O2638" s="4">
        <v>101.71</v>
      </c>
      <c r="P2638" s="4">
        <v>7.22</v>
      </c>
      <c r="Q2638" s="4">
        <v>1.44</v>
      </c>
      <c r="R2638" s="4">
        <v>2.15</v>
      </c>
      <c r="S2638" s="4">
        <v>0</v>
      </c>
      <c r="T2638" s="4">
        <v>0</v>
      </c>
      <c r="U2638" s="4">
        <v>112.52</v>
      </c>
      <c r="V2638" s="4">
        <v>93.54</v>
      </c>
      <c r="W2638" t="s">
        <v>21</v>
      </c>
      <c r="X2638" t="s">
        <v>36</v>
      </c>
      <c r="Y2638" s="4">
        <v>0</v>
      </c>
      <c r="Z2638" s="4">
        <v>0</v>
      </c>
      <c r="AA2638" t="s">
        <v>37</v>
      </c>
      <c r="AB2638" t="s">
        <v>38</v>
      </c>
      <c r="AC2638" s="7">
        <v>0</v>
      </c>
      <c r="AD2638" t="s">
        <v>39</v>
      </c>
      <c r="AE2638">
        <f t="shared" si="41"/>
        <v>0</v>
      </c>
    </row>
    <row r="2639" spans="1:31" x14ac:dyDescent="0.35">
      <c r="A2639">
        <v>102638</v>
      </c>
      <c r="B2639" s="3">
        <v>45969</v>
      </c>
      <c r="C2639">
        <v>1077</v>
      </c>
      <c r="D2639" t="s">
        <v>30</v>
      </c>
      <c r="E2639" t="s">
        <v>72</v>
      </c>
      <c r="F2639" t="s">
        <v>61</v>
      </c>
      <c r="G2639" t="s">
        <v>33</v>
      </c>
      <c r="H2639" t="s">
        <v>34</v>
      </c>
      <c r="I2639" t="s">
        <v>35</v>
      </c>
      <c r="J2639" s="4">
        <v>26.35</v>
      </c>
      <c r="K2639" s="4">
        <v>18.55</v>
      </c>
      <c r="L2639">
        <v>0</v>
      </c>
      <c r="M2639" s="4">
        <v>0</v>
      </c>
      <c r="N2639" s="4">
        <v>488.79</v>
      </c>
      <c r="O2639" s="4">
        <v>196.9</v>
      </c>
      <c r="P2639" s="4">
        <v>5.93</v>
      </c>
      <c r="Q2639" s="4">
        <v>3.42</v>
      </c>
      <c r="R2639" s="4">
        <v>7.87</v>
      </c>
      <c r="S2639" s="4">
        <v>0</v>
      </c>
      <c r="T2639" s="4">
        <v>0</v>
      </c>
      <c r="U2639" s="4">
        <v>214.12</v>
      </c>
      <c r="V2639" s="4">
        <v>274.67</v>
      </c>
      <c r="W2639" t="s">
        <v>21</v>
      </c>
      <c r="X2639" t="s">
        <v>36</v>
      </c>
      <c r="Y2639" s="4">
        <v>28</v>
      </c>
      <c r="Z2639" s="4">
        <v>7</v>
      </c>
      <c r="AA2639" t="s">
        <v>52</v>
      </c>
      <c r="AB2639" t="s">
        <v>44</v>
      </c>
      <c r="AC2639" s="7">
        <v>2</v>
      </c>
      <c r="AD2639" t="s">
        <v>45</v>
      </c>
      <c r="AE2639">
        <f t="shared" si="41"/>
        <v>1</v>
      </c>
    </row>
    <row r="2640" spans="1:31" x14ac:dyDescent="0.35">
      <c r="A2640">
        <v>102639</v>
      </c>
      <c r="B2640" s="3">
        <v>45947</v>
      </c>
      <c r="C2640">
        <v>1072</v>
      </c>
      <c r="D2640" t="s">
        <v>47</v>
      </c>
      <c r="E2640" t="s">
        <v>48</v>
      </c>
      <c r="F2640" t="s">
        <v>41</v>
      </c>
      <c r="G2640" t="s">
        <v>46</v>
      </c>
      <c r="H2640" t="s">
        <v>57</v>
      </c>
      <c r="I2640" t="s">
        <v>42</v>
      </c>
      <c r="J2640" s="4">
        <v>42.68</v>
      </c>
      <c r="K2640" s="4">
        <v>15.68</v>
      </c>
      <c r="L2640">
        <v>0</v>
      </c>
      <c r="M2640" s="4">
        <v>0</v>
      </c>
      <c r="N2640" s="4">
        <v>669.22</v>
      </c>
      <c r="O2640" s="4">
        <v>313.39999999999998</v>
      </c>
      <c r="P2640" s="4">
        <v>5.61</v>
      </c>
      <c r="Q2640" s="4">
        <v>10.039999999999999</v>
      </c>
      <c r="R2640" s="4">
        <v>7.24</v>
      </c>
      <c r="S2640" s="4">
        <v>461.47</v>
      </c>
      <c r="T2640" s="4">
        <v>7.53</v>
      </c>
      <c r="U2640" s="4">
        <v>805.29</v>
      </c>
      <c r="V2640" s="4">
        <v>-136.07</v>
      </c>
      <c r="W2640" t="s">
        <v>58</v>
      </c>
      <c r="X2640" t="s">
        <v>55</v>
      </c>
      <c r="Y2640" s="4">
        <v>4</v>
      </c>
      <c r="Z2640" s="4">
        <v>12</v>
      </c>
      <c r="AA2640" t="s">
        <v>37</v>
      </c>
      <c r="AB2640" t="s">
        <v>44</v>
      </c>
      <c r="AC2640" s="7">
        <v>2</v>
      </c>
      <c r="AD2640" t="s">
        <v>45</v>
      </c>
      <c r="AE2640">
        <f t="shared" si="41"/>
        <v>1</v>
      </c>
    </row>
    <row r="2641" spans="1:31" x14ac:dyDescent="0.35">
      <c r="A2641">
        <v>102640</v>
      </c>
      <c r="B2641" s="3">
        <v>45947</v>
      </c>
      <c r="C2641">
        <v>1138</v>
      </c>
      <c r="D2641" t="s">
        <v>47</v>
      </c>
      <c r="E2641" t="s">
        <v>48</v>
      </c>
      <c r="F2641" t="s">
        <v>41</v>
      </c>
      <c r="G2641" t="s">
        <v>46</v>
      </c>
      <c r="H2641" t="s">
        <v>57</v>
      </c>
      <c r="I2641" t="s">
        <v>42</v>
      </c>
      <c r="J2641" s="4">
        <v>21.63</v>
      </c>
      <c r="K2641" s="4">
        <v>15.44</v>
      </c>
      <c r="L2641">
        <v>5</v>
      </c>
      <c r="M2641" s="4">
        <v>16.7</v>
      </c>
      <c r="N2641" s="4">
        <v>317.27</v>
      </c>
      <c r="O2641" s="4">
        <v>133.66</v>
      </c>
      <c r="P2641" s="4">
        <v>10.11</v>
      </c>
      <c r="Q2641" s="4">
        <v>5.01</v>
      </c>
      <c r="R2641" s="4">
        <v>10.68</v>
      </c>
      <c r="S2641" s="4">
        <v>0</v>
      </c>
      <c r="T2641" s="4">
        <v>0</v>
      </c>
      <c r="U2641" s="4">
        <v>159.46</v>
      </c>
      <c r="V2641" s="4">
        <v>157.81</v>
      </c>
      <c r="W2641" t="s">
        <v>21</v>
      </c>
      <c r="X2641" t="s">
        <v>36</v>
      </c>
      <c r="Y2641" s="4">
        <v>7</v>
      </c>
      <c r="Z2641" s="4">
        <v>4</v>
      </c>
      <c r="AA2641" t="s">
        <v>37</v>
      </c>
      <c r="AB2641" t="s">
        <v>38</v>
      </c>
      <c r="AC2641" s="7">
        <v>0</v>
      </c>
      <c r="AD2641" t="s">
        <v>39</v>
      </c>
      <c r="AE2641">
        <f t="shared" si="41"/>
        <v>0</v>
      </c>
    </row>
    <row r="2642" spans="1:31" x14ac:dyDescent="0.35">
      <c r="A2642">
        <v>102641</v>
      </c>
      <c r="B2642" s="3">
        <v>45931</v>
      </c>
      <c r="C2642">
        <v>1037</v>
      </c>
      <c r="D2642" t="s">
        <v>59</v>
      </c>
      <c r="E2642" t="s">
        <v>70</v>
      </c>
      <c r="F2642" t="s">
        <v>32</v>
      </c>
      <c r="G2642" t="s">
        <v>63</v>
      </c>
      <c r="H2642" t="s">
        <v>34</v>
      </c>
      <c r="I2642" t="s">
        <v>69</v>
      </c>
      <c r="J2642" s="4">
        <v>16.95</v>
      </c>
      <c r="K2642" s="4">
        <v>12.99</v>
      </c>
      <c r="L2642">
        <v>15</v>
      </c>
      <c r="M2642" s="4">
        <v>33.03</v>
      </c>
      <c r="N2642" s="4">
        <v>187.15</v>
      </c>
      <c r="O2642" s="4">
        <v>126.99</v>
      </c>
      <c r="P2642" s="4">
        <v>2.1800000000000002</v>
      </c>
      <c r="Q2642" s="4">
        <v>0.88</v>
      </c>
      <c r="R2642" s="4">
        <v>0</v>
      </c>
      <c r="S2642" s="4">
        <v>0</v>
      </c>
      <c r="T2642" s="4">
        <v>0</v>
      </c>
      <c r="U2642" s="4">
        <v>130.05000000000001</v>
      </c>
      <c r="V2642" s="4">
        <v>57.1</v>
      </c>
      <c r="W2642" t="s">
        <v>21</v>
      </c>
      <c r="X2642" t="s">
        <v>36</v>
      </c>
      <c r="Y2642" s="4">
        <v>38</v>
      </c>
      <c r="Z2642" s="4">
        <v>10</v>
      </c>
      <c r="AA2642" t="s">
        <v>43</v>
      </c>
      <c r="AB2642" t="s">
        <v>44</v>
      </c>
      <c r="AC2642" s="7">
        <v>2</v>
      </c>
      <c r="AD2642" t="s">
        <v>45</v>
      </c>
      <c r="AE2642">
        <f t="shared" si="41"/>
        <v>1</v>
      </c>
    </row>
    <row r="2643" spans="1:31" x14ac:dyDescent="0.35">
      <c r="A2643">
        <v>102642</v>
      </c>
      <c r="B2643" s="3">
        <v>45996</v>
      </c>
      <c r="C2643">
        <v>1107</v>
      </c>
      <c r="D2643" t="s">
        <v>59</v>
      </c>
      <c r="E2643" t="s">
        <v>68</v>
      </c>
      <c r="F2643" t="s">
        <v>32</v>
      </c>
      <c r="G2643" t="s">
        <v>63</v>
      </c>
      <c r="H2643" t="s">
        <v>57</v>
      </c>
      <c r="I2643" t="s">
        <v>69</v>
      </c>
      <c r="J2643" s="4">
        <v>27.85</v>
      </c>
      <c r="K2643" s="4">
        <v>12.04</v>
      </c>
      <c r="L2643">
        <v>5</v>
      </c>
      <c r="M2643" s="4">
        <v>16.77</v>
      </c>
      <c r="N2643" s="4">
        <v>318.54000000000002</v>
      </c>
      <c r="O2643" s="4">
        <v>218.88</v>
      </c>
      <c r="P2643" s="4">
        <v>10.119999999999999</v>
      </c>
      <c r="Q2643" s="4">
        <v>1.34</v>
      </c>
      <c r="R2643" s="4">
        <v>7.28</v>
      </c>
      <c r="S2643" s="4">
        <v>0</v>
      </c>
      <c r="T2643" s="4">
        <v>0</v>
      </c>
      <c r="U2643" s="4">
        <v>237.62</v>
      </c>
      <c r="V2643" s="4">
        <v>80.92</v>
      </c>
      <c r="W2643" t="s">
        <v>21</v>
      </c>
      <c r="X2643" t="s">
        <v>36</v>
      </c>
      <c r="Y2643" s="4">
        <v>6</v>
      </c>
      <c r="Z2643" s="4">
        <v>0</v>
      </c>
      <c r="AA2643" t="s">
        <v>37</v>
      </c>
      <c r="AB2643" t="s">
        <v>38</v>
      </c>
      <c r="AC2643" s="7">
        <v>0</v>
      </c>
      <c r="AD2643" t="s">
        <v>39</v>
      </c>
      <c r="AE2643">
        <f t="shared" si="41"/>
        <v>0</v>
      </c>
    </row>
    <row r="2644" spans="1:31" x14ac:dyDescent="0.35">
      <c r="A2644">
        <v>102643</v>
      </c>
      <c r="B2644" s="3">
        <v>45989</v>
      </c>
      <c r="C2644">
        <v>1028</v>
      </c>
      <c r="D2644" t="s">
        <v>64</v>
      </c>
      <c r="E2644" t="s">
        <v>76</v>
      </c>
      <c r="F2644" t="s">
        <v>71</v>
      </c>
      <c r="G2644" t="s">
        <v>46</v>
      </c>
      <c r="H2644" t="s">
        <v>57</v>
      </c>
      <c r="I2644" t="s">
        <v>69</v>
      </c>
      <c r="J2644" s="4">
        <v>27.5</v>
      </c>
      <c r="K2644" s="4">
        <v>15.36</v>
      </c>
      <c r="L2644">
        <v>0</v>
      </c>
      <c r="M2644" s="4">
        <v>0</v>
      </c>
      <c r="N2644" s="4">
        <v>422.4</v>
      </c>
      <c r="O2644" s="4">
        <v>190.62</v>
      </c>
      <c r="P2644" s="4">
        <v>7.68</v>
      </c>
      <c r="Q2644" s="4">
        <v>1.69</v>
      </c>
      <c r="R2644" s="4">
        <v>4.95</v>
      </c>
      <c r="S2644" s="4">
        <v>0</v>
      </c>
      <c r="T2644" s="4">
        <v>0</v>
      </c>
      <c r="U2644" s="4">
        <v>204.94</v>
      </c>
      <c r="V2644" s="4">
        <v>217.46</v>
      </c>
      <c r="W2644" t="s">
        <v>21</v>
      </c>
      <c r="X2644" t="s">
        <v>36</v>
      </c>
      <c r="Y2644" s="4">
        <v>9</v>
      </c>
      <c r="Z2644" s="4">
        <v>3</v>
      </c>
      <c r="AA2644" t="s">
        <v>37</v>
      </c>
      <c r="AB2644" t="s">
        <v>38</v>
      </c>
      <c r="AC2644" s="7">
        <v>0</v>
      </c>
      <c r="AD2644" t="s">
        <v>39</v>
      </c>
      <c r="AE2644">
        <f t="shared" si="41"/>
        <v>0</v>
      </c>
    </row>
    <row r="2645" spans="1:31" x14ac:dyDescent="0.35">
      <c r="A2645">
        <v>102644</v>
      </c>
      <c r="B2645" s="3">
        <v>46005</v>
      </c>
      <c r="C2645">
        <v>1079</v>
      </c>
      <c r="D2645" t="s">
        <v>30</v>
      </c>
      <c r="E2645" t="s">
        <v>62</v>
      </c>
      <c r="F2645" t="s">
        <v>61</v>
      </c>
      <c r="G2645" t="s">
        <v>63</v>
      </c>
      <c r="H2645" t="s">
        <v>34</v>
      </c>
      <c r="I2645" t="s">
        <v>42</v>
      </c>
      <c r="J2645" s="4">
        <v>23.11</v>
      </c>
      <c r="K2645" s="4">
        <v>13.11</v>
      </c>
      <c r="L2645">
        <v>5</v>
      </c>
      <c r="M2645" s="4">
        <v>15.15</v>
      </c>
      <c r="N2645" s="4">
        <v>287.82</v>
      </c>
      <c r="O2645" s="4">
        <v>149.66999999999999</v>
      </c>
      <c r="P2645" s="4">
        <v>9.27</v>
      </c>
      <c r="Q2645" s="4">
        <v>4.54</v>
      </c>
      <c r="R2645" s="4">
        <v>9.81</v>
      </c>
      <c r="S2645" s="4">
        <v>204.41</v>
      </c>
      <c r="T2645" s="4">
        <v>0</v>
      </c>
      <c r="U2645" s="4">
        <v>377.7</v>
      </c>
      <c r="V2645" s="4">
        <v>-89.88</v>
      </c>
      <c r="W2645" t="s">
        <v>58</v>
      </c>
      <c r="X2645" t="s">
        <v>55</v>
      </c>
      <c r="Y2645" s="4">
        <v>3</v>
      </c>
      <c r="Z2645" s="4">
        <v>13</v>
      </c>
      <c r="AA2645" t="s">
        <v>37</v>
      </c>
      <c r="AB2645" t="s">
        <v>44</v>
      </c>
      <c r="AC2645" s="7">
        <v>1</v>
      </c>
      <c r="AD2645" t="s">
        <v>45</v>
      </c>
      <c r="AE2645">
        <f t="shared" si="41"/>
        <v>1</v>
      </c>
    </row>
    <row r="2646" spans="1:31" x14ac:dyDescent="0.35">
      <c r="A2646">
        <v>102645</v>
      </c>
      <c r="B2646" s="3">
        <v>45957</v>
      </c>
      <c r="C2646">
        <v>1138</v>
      </c>
      <c r="D2646" t="s">
        <v>47</v>
      </c>
      <c r="E2646" t="s">
        <v>74</v>
      </c>
      <c r="F2646" t="s">
        <v>41</v>
      </c>
      <c r="G2646" t="s">
        <v>50</v>
      </c>
      <c r="H2646" t="s">
        <v>34</v>
      </c>
      <c r="I2646" t="s">
        <v>69</v>
      </c>
      <c r="J2646" s="4">
        <v>12.86</v>
      </c>
      <c r="K2646" s="4">
        <v>16.89</v>
      </c>
      <c r="L2646">
        <v>0</v>
      </c>
      <c r="M2646" s="4">
        <v>0</v>
      </c>
      <c r="N2646" s="4">
        <v>217.21</v>
      </c>
      <c r="O2646" s="4">
        <v>92.73</v>
      </c>
      <c r="P2646" s="4">
        <v>5.15</v>
      </c>
      <c r="Q2646" s="4">
        <v>0.87</v>
      </c>
      <c r="R2646" s="4">
        <v>4.62</v>
      </c>
      <c r="S2646" s="4">
        <v>0</v>
      </c>
      <c r="T2646" s="4">
        <v>0</v>
      </c>
      <c r="U2646" s="4">
        <v>103.37</v>
      </c>
      <c r="V2646" s="4">
        <v>113.84</v>
      </c>
      <c r="W2646" t="s">
        <v>21</v>
      </c>
      <c r="X2646" t="s">
        <v>36</v>
      </c>
      <c r="Y2646" s="4">
        <v>13</v>
      </c>
      <c r="Z2646" s="4">
        <v>1</v>
      </c>
      <c r="AA2646" t="s">
        <v>37</v>
      </c>
      <c r="AB2646" t="s">
        <v>38</v>
      </c>
      <c r="AC2646" s="7">
        <v>0</v>
      </c>
      <c r="AD2646" t="s">
        <v>39</v>
      </c>
      <c r="AE2646">
        <f t="shared" si="41"/>
        <v>0</v>
      </c>
    </row>
    <row r="2647" spans="1:31" x14ac:dyDescent="0.35">
      <c r="A2647">
        <v>102646</v>
      </c>
      <c r="B2647" s="3">
        <v>45990</v>
      </c>
      <c r="C2647">
        <v>1001</v>
      </c>
      <c r="D2647" t="s">
        <v>59</v>
      </c>
      <c r="E2647" t="s">
        <v>73</v>
      </c>
      <c r="F2647" t="s">
        <v>71</v>
      </c>
      <c r="G2647" t="s">
        <v>63</v>
      </c>
      <c r="H2647" t="s">
        <v>34</v>
      </c>
      <c r="I2647" t="s">
        <v>54</v>
      </c>
      <c r="J2647" s="4">
        <v>23.04</v>
      </c>
      <c r="K2647" s="4">
        <v>12.7</v>
      </c>
      <c r="L2647">
        <v>10</v>
      </c>
      <c r="M2647" s="4">
        <v>29.26</v>
      </c>
      <c r="N2647" s="4">
        <v>263.35000000000002</v>
      </c>
      <c r="O2647" s="4">
        <v>152.08000000000001</v>
      </c>
      <c r="P2647" s="4">
        <v>6.96</v>
      </c>
      <c r="Q2647" s="4">
        <v>3.51</v>
      </c>
      <c r="R2647" s="4">
        <v>0</v>
      </c>
      <c r="S2647" s="4">
        <v>0</v>
      </c>
      <c r="T2647" s="4">
        <v>0</v>
      </c>
      <c r="U2647" s="4">
        <v>162.55000000000001</v>
      </c>
      <c r="V2647" s="4">
        <v>100.8</v>
      </c>
      <c r="W2647" t="s">
        <v>21</v>
      </c>
      <c r="X2647" t="s">
        <v>36</v>
      </c>
      <c r="Y2647" s="4">
        <v>9</v>
      </c>
      <c r="Z2647" s="4">
        <v>4</v>
      </c>
      <c r="AA2647" t="s">
        <v>37</v>
      </c>
      <c r="AB2647" t="s">
        <v>38</v>
      </c>
      <c r="AC2647" s="7">
        <v>0</v>
      </c>
      <c r="AD2647" t="s">
        <v>39</v>
      </c>
      <c r="AE2647">
        <f t="shared" si="41"/>
        <v>0</v>
      </c>
    </row>
    <row r="2648" spans="1:31" x14ac:dyDescent="0.35">
      <c r="A2648">
        <v>102647</v>
      </c>
      <c r="B2648" s="3">
        <v>45977</v>
      </c>
      <c r="C2648">
        <v>1003</v>
      </c>
      <c r="D2648" t="s">
        <v>30</v>
      </c>
      <c r="E2648" t="s">
        <v>40</v>
      </c>
      <c r="F2648" t="s">
        <v>61</v>
      </c>
      <c r="G2648" t="s">
        <v>46</v>
      </c>
      <c r="H2648" t="s">
        <v>57</v>
      </c>
      <c r="I2648" t="s">
        <v>35</v>
      </c>
      <c r="J2648" s="4">
        <v>19.97</v>
      </c>
      <c r="K2648" s="4">
        <v>15.01</v>
      </c>
      <c r="L2648">
        <v>10</v>
      </c>
      <c r="M2648" s="4">
        <v>29.98</v>
      </c>
      <c r="N2648" s="4">
        <v>269.77</v>
      </c>
      <c r="O2648" s="4">
        <v>122.2</v>
      </c>
      <c r="P2648" s="4">
        <v>6.6</v>
      </c>
      <c r="Q2648" s="4">
        <v>2.1</v>
      </c>
      <c r="R2648" s="4">
        <v>8.01</v>
      </c>
      <c r="S2648" s="4">
        <v>0</v>
      </c>
      <c r="T2648" s="4">
        <v>0</v>
      </c>
      <c r="U2648" s="4">
        <v>138.91</v>
      </c>
      <c r="V2648" s="4">
        <v>130.86000000000001</v>
      </c>
      <c r="W2648" t="s">
        <v>21</v>
      </c>
      <c r="X2648" t="s">
        <v>36</v>
      </c>
      <c r="Y2648" s="4">
        <v>0</v>
      </c>
      <c r="Z2648" s="4">
        <v>12</v>
      </c>
      <c r="AA2648" t="s">
        <v>37</v>
      </c>
      <c r="AB2648" t="s">
        <v>38</v>
      </c>
      <c r="AC2648" s="7">
        <v>0</v>
      </c>
      <c r="AD2648" t="s">
        <v>39</v>
      </c>
      <c r="AE2648">
        <f t="shared" si="41"/>
        <v>0</v>
      </c>
    </row>
    <row r="2649" spans="1:31" x14ac:dyDescent="0.35">
      <c r="A2649">
        <v>102648</v>
      </c>
      <c r="B2649" s="3">
        <v>46008</v>
      </c>
      <c r="C2649">
        <v>1040</v>
      </c>
      <c r="D2649" t="s">
        <v>59</v>
      </c>
      <c r="E2649" t="s">
        <v>60</v>
      </c>
      <c r="F2649" t="s">
        <v>32</v>
      </c>
      <c r="G2649" t="s">
        <v>46</v>
      </c>
      <c r="H2649" t="s">
        <v>34</v>
      </c>
      <c r="I2649" t="s">
        <v>35</v>
      </c>
      <c r="J2649" s="4">
        <v>32.74</v>
      </c>
      <c r="K2649" s="4">
        <v>15.88</v>
      </c>
      <c r="L2649">
        <v>20</v>
      </c>
      <c r="M2649" s="4">
        <v>103.98</v>
      </c>
      <c r="N2649" s="4">
        <v>415.93</v>
      </c>
      <c r="O2649" s="4">
        <v>229.83</v>
      </c>
      <c r="P2649" s="4">
        <v>9.18</v>
      </c>
      <c r="Q2649" s="4">
        <v>3.64</v>
      </c>
      <c r="R2649" s="4">
        <v>0</v>
      </c>
      <c r="S2649" s="4">
        <v>0</v>
      </c>
      <c r="T2649" s="4">
        <v>0</v>
      </c>
      <c r="U2649" s="4">
        <v>242.65</v>
      </c>
      <c r="V2649" s="4">
        <v>173.28</v>
      </c>
      <c r="W2649" t="s">
        <v>21</v>
      </c>
      <c r="X2649" t="s">
        <v>36</v>
      </c>
      <c r="Y2649" s="4">
        <v>3</v>
      </c>
      <c r="Z2649" s="4">
        <v>6</v>
      </c>
      <c r="AA2649" t="s">
        <v>37</v>
      </c>
      <c r="AB2649" t="s">
        <v>38</v>
      </c>
      <c r="AC2649" s="7">
        <v>0</v>
      </c>
      <c r="AD2649" t="s">
        <v>39</v>
      </c>
      <c r="AE2649">
        <f t="shared" si="41"/>
        <v>0</v>
      </c>
    </row>
    <row r="2650" spans="1:31" x14ac:dyDescent="0.35">
      <c r="A2650">
        <v>102649</v>
      </c>
      <c r="B2650" s="3">
        <v>46008</v>
      </c>
      <c r="C2650">
        <v>1010</v>
      </c>
      <c r="D2650" t="s">
        <v>64</v>
      </c>
      <c r="E2650" t="s">
        <v>76</v>
      </c>
      <c r="F2650" t="s">
        <v>71</v>
      </c>
      <c r="G2650" t="s">
        <v>46</v>
      </c>
      <c r="H2650" t="s">
        <v>57</v>
      </c>
      <c r="I2650" t="s">
        <v>35</v>
      </c>
      <c r="J2650" s="4">
        <v>9.43</v>
      </c>
      <c r="K2650" s="4">
        <v>15.53</v>
      </c>
      <c r="L2650">
        <v>0</v>
      </c>
      <c r="M2650" s="4">
        <v>0</v>
      </c>
      <c r="N2650" s="4">
        <v>146.44999999999999</v>
      </c>
      <c r="O2650" s="4">
        <v>70.87</v>
      </c>
      <c r="P2650" s="4">
        <v>10.15</v>
      </c>
      <c r="Q2650" s="4">
        <v>1.03</v>
      </c>
      <c r="R2650" s="4">
        <v>8.6999999999999993</v>
      </c>
      <c r="S2650" s="4">
        <v>0</v>
      </c>
      <c r="T2650" s="4">
        <v>0</v>
      </c>
      <c r="U2650" s="4">
        <v>90.75</v>
      </c>
      <c r="V2650" s="4">
        <v>55.7</v>
      </c>
      <c r="W2650" t="s">
        <v>21</v>
      </c>
      <c r="X2650" t="s">
        <v>36</v>
      </c>
      <c r="Y2650" s="4">
        <v>7</v>
      </c>
      <c r="Z2650" s="4">
        <v>30</v>
      </c>
      <c r="AA2650" t="s">
        <v>37</v>
      </c>
      <c r="AB2650" t="s">
        <v>44</v>
      </c>
      <c r="AC2650" s="7">
        <v>3</v>
      </c>
      <c r="AD2650" t="s">
        <v>45</v>
      </c>
      <c r="AE2650">
        <f t="shared" si="41"/>
        <v>1</v>
      </c>
    </row>
    <row r="2651" spans="1:31" x14ac:dyDescent="0.35">
      <c r="A2651">
        <v>102650</v>
      </c>
      <c r="B2651" s="3">
        <v>45959</v>
      </c>
      <c r="C2651">
        <v>1120</v>
      </c>
      <c r="D2651" t="s">
        <v>30</v>
      </c>
      <c r="E2651" t="s">
        <v>72</v>
      </c>
      <c r="F2651" t="s">
        <v>49</v>
      </c>
      <c r="G2651" t="s">
        <v>33</v>
      </c>
      <c r="H2651" t="s">
        <v>34</v>
      </c>
      <c r="I2651" t="s">
        <v>42</v>
      </c>
      <c r="J2651" s="4">
        <v>31.55</v>
      </c>
      <c r="K2651" s="4">
        <v>19.239999999999998</v>
      </c>
      <c r="L2651">
        <v>15</v>
      </c>
      <c r="M2651" s="4">
        <v>91.05</v>
      </c>
      <c r="N2651" s="4">
        <v>515.97</v>
      </c>
      <c r="O2651" s="4">
        <v>245.92</v>
      </c>
      <c r="P2651" s="4">
        <v>10.17</v>
      </c>
      <c r="Q2651" s="4">
        <v>9.11</v>
      </c>
      <c r="R2651" s="4">
        <v>2.99</v>
      </c>
      <c r="S2651" s="4">
        <v>0</v>
      </c>
      <c r="T2651" s="4">
        <v>0</v>
      </c>
      <c r="U2651" s="4">
        <v>268.19</v>
      </c>
      <c r="V2651" s="4">
        <v>247.78</v>
      </c>
      <c r="W2651" t="s">
        <v>21</v>
      </c>
      <c r="X2651" t="s">
        <v>36</v>
      </c>
      <c r="Y2651" s="4">
        <v>9</v>
      </c>
      <c r="Z2651" s="4">
        <v>3</v>
      </c>
      <c r="AA2651" t="s">
        <v>37</v>
      </c>
      <c r="AB2651" t="s">
        <v>38</v>
      </c>
      <c r="AC2651" s="7">
        <v>0</v>
      </c>
      <c r="AD2651" t="s">
        <v>39</v>
      </c>
      <c r="AE2651">
        <f t="shared" si="41"/>
        <v>0</v>
      </c>
    </row>
    <row r="2652" spans="1:31" x14ac:dyDescent="0.35">
      <c r="A2652">
        <v>102651</v>
      </c>
      <c r="B2652" s="3">
        <v>46003</v>
      </c>
      <c r="C2652">
        <v>1023</v>
      </c>
      <c r="D2652" t="s">
        <v>64</v>
      </c>
      <c r="E2652" t="s">
        <v>75</v>
      </c>
      <c r="F2652" t="s">
        <v>71</v>
      </c>
      <c r="G2652" t="s">
        <v>46</v>
      </c>
      <c r="H2652" t="s">
        <v>34</v>
      </c>
      <c r="I2652" t="s">
        <v>69</v>
      </c>
      <c r="J2652" s="4">
        <v>22.33</v>
      </c>
      <c r="K2652" s="4">
        <v>15.41</v>
      </c>
      <c r="L2652">
        <v>15</v>
      </c>
      <c r="M2652" s="4">
        <v>51.62</v>
      </c>
      <c r="N2652" s="4">
        <v>292.49</v>
      </c>
      <c r="O2652" s="4">
        <v>156.69</v>
      </c>
      <c r="P2652" s="4">
        <v>6.89</v>
      </c>
      <c r="Q2652" s="4">
        <v>1.38</v>
      </c>
      <c r="R2652" s="4">
        <v>8.1999999999999993</v>
      </c>
      <c r="S2652" s="4">
        <v>323.26</v>
      </c>
      <c r="T2652" s="4">
        <v>0</v>
      </c>
      <c r="U2652" s="4">
        <v>496.42</v>
      </c>
      <c r="V2652" s="4">
        <v>-203.93</v>
      </c>
      <c r="W2652" t="s">
        <v>58</v>
      </c>
      <c r="X2652" t="s">
        <v>55</v>
      </c>
      <c r="Y2652" s="4">
        <v>2</v>
      </c>
      <c r="Z2652" s="4">
        <v>7</v>
      </c>
      <c r="AA2652" t="s">
        <v>37</v>
      </c>
      <c r="AB2652" t="s">
        <v>44</v>
      </c>
      <c r="AC2652" s="7">
        <v>1</v>
      </c>
      <c r="AD2652" t="s">
        <v>45</v>
      </c>
      <c r="AE2652">
        <f t="shared" si="41"/>
        <v>1</v>
      </c>
    </row>
    <row r="2653" spans="1:31" x14ac:dyDescent="0.35">
      <c r="A2653">
        <v>102652</v>
      </c>
      <c r="B2653" s="3">
        <v>45960</v>
      </c>
      <c r="C2653">
        <v>1021</v>
      </c>
      <c r="D2653" t="s">
        <v>59</v>
      </c>
      <c r="E2653" t="s">
        <v>70</v>
      </c>
      <c r="F2653" t="s">
        <v>41</v>
      </c>
      <c r="G2653" t="s">
        <v>63</v>
      </c>
      <c r="H2653" t="s">
        <v>57</v>
      </c>
      <c r="I2653" t="s">
        <v>35</v>
      </c>
      <c r="J2653" s="4">
        <v>18.5</v>
      </c>
      <c r="K2653" s="4">
        <v>12.21</v>
      </c>
      <c r="L2653">
        <v>10</v>
      </c>
      <c r="M2653" s="4">
        <v>22.59</v>
      </c>
      <c r="N2653" s="4">
        <v>203.3</v>
      </c>
      <c r="O2653" s="4">
        <v>131.81</v>
      </c>
      <c r="P2653" s="4">
        <v>10.35</v>
      </c>
      <c r="Q2653" s="4">
        <v>1.58</v>
      </c>
      <c r="R2653" s="4">
        <v>2.88</v>
      </c>
      <c r="S2653" s="4">
        <v>99.38</v>
      </c>
      <c r="T2653" s="4">
        <v>22.56</v>
      </c>
      <c r="U2653" s="4">
        <v>268.56</v>
      </c>
      <c r="V2653" s="4">
        <v>-65.260000000000005</v>
      </c>
      <c r="W2653" t="s">
        <v>58</v>
      </c>
      <c r="X2653" t="s">
        <v>55</v>
      </c>
      <c r="Y2653" s="4">
        <v>4</v>
      </c>
      <c r="Z2653" s="4">
        <v>4</v>
      </c>
      <c r="AA2653" t="s">
        <v>37</v>
      </c>
      <c r="AB2653" t="s">
        <v>44</v>
      </c>
      <c r="AC2653" s="7">
        <v>3</v>
      </c>
      <c r="AD2653" t="s">
        <v>45</v>
      </c>
      <c r="AE2653">
        <f t="shared" si="41"/>
        <v>1</v>
      </c>
    </row>
    <row r="2654" spans="1:31" x14ac:dyDescent="0.35">
      <c r="A2654">
        <v>102653</v>
      </c>
      <c r="B2654" s="3">
        <v>45982</v>
      </c>
      <c r="C2654">
        <v>1073</v>
      </c>
      <c r="D2654" t="s">
        <v>47</v>
      </c>
      <c r="E2654" t="s">
        <v>56</v>
      </c>
      <c r="F2654" t="s">
        <v>61</v>
      </c>
      <c r="G2654" t="s">
        <v>46</v>
      </c>
      <c r="H2654" t="s">
        <v>34</v>
      </c>
      <c r="I2654" t="s">
        <v>35</v>
      </c>
      <c r="J2654" s="4">
        <v>30</v>
      </c>
      <c r="K2654" s="4">
        <v>16.190000000000001</v>
      </c>
      <c r="L2654">
        <v>5</v>
      </c>
      <c r="M2654" s="4">
        <v>24.28</v>
      </c>
      <c r="N2654" s="4">
        <v>461.42</v>
      </c>
      <c r="O2654" s="4">
        <v>180.26</v>
      </c>
      <c r="P2654" s="4">
        <v>6.63</v>
      </c>
      <c r="Q2654" s="4">
        <v>3.4</v>
      </c>
      <c r="R2654" s="4">
        <v>7.18</v>
      </c>
      <c r="S2654" s="4">
        <v>0</v>
      </c>
      <c r="T2654" s="4">
        <v>0</v>
      </c>
      <c r="U2654" s="4">
        <v>197.47</v>
      </c>
      <c r="V2654" s="4">
        <v>263.95</v>
      </c>
      <c r="W2654" t="s">
        <v>21</v>
      </c>
      <c r="X2654" t="s">
        <v>36</v>
      </c>
      <c r="Y2654" s="4">
        <v>1</v>
      </c>
      <c r="Z2654" s="4">
        <v>5</v>
      </c>
      <c r="AA2654" t="s">
        <v>37</v>
      </c>
      <c r="AB2654" t="s">
        <v>38</v>
      </c>
      <c r="AC2654" s="7">
        <v>0</v>
      </c>
      <c r="AD2654" t="s">
        <v>39</v>
      </c>
      <c r="AE2654">
        <f t="shared" si="41"/>
        <v>0</v>
      </c>
    </row>
    <row r="2655" spans="1:31" x14ac:dyDescent="0.35">
      <c r="A2655">
        <v>102654</v>
      </c>
      <c r="B2655" s="3">
        <v>45936</v>
      </c>
      <c r="C2655">
        <v>1067</v>
      </c>
      <c r="D2655" t="s">
        <v>30</v>
      </c>
      <c r="E2655" t="s">
        <v>31</v>
      </c>
      <c r="F2655" t="s">
        <v>41</v>
      </c>
      <c r="G2655" t="s">
        <v>63</v>
      </c>
      <c r="H2655" t="s">
        <v>34</v>
      </c>
      <c r="I2655" t="s">
        <v>42</v>
      </c>
      <c r="J2655" s="4">
        <v>24.57</v>
      </c>
      <c r="K2655" s="4">
        <v>12.72</v>
      </c>
      <c r="L2655">
        <v>0</v>
      </c>
      <c r="M2655" s="4">
        <v>0</v>
      </c>
      <c r="N2655" s="4">
        <v>312.52999999999997</v>
      </c>
      <c r="O2655" s="4">
        <v>186.78</v>
      </c>
      <c r="P2655" s="4">
        <v>7.98</v>
      </c>
      <c r="Q2655" s="4">
        <v>4.6900000000000004</v>
      </c>
      <c r="R2655" s="4">
        <v>3.85</v>
      </c>
      <c r="S2655" s="4">
        <v>0</v>
      </c>
      <c r="T2655" s="4">
        <v>0</v>
      </c>
      <c r="U2655" s="4">
        <v>203.3</v>
      </c>
      <c r="V2655" s="4">
        <v>109.23</v>
      </c>
      <c r="W2655" t="s">
        <v>21</v>
      </c>
      <c r="X2655" t="s">
        <v>36</v>
      </c>
      <c r="Y2655" s="4">
        <v>6</v>
      </c>
      <c r="Z2655" s="4">
        <v>4</v>
      </c>
      <c r="AA2655" t="s">
        <v>37</v>
      </c>
      <c r="AB2655" t="s">
        <v>38</v>
      </c>
      <c r="AC2655" s="7">
        <v>0</v>
      </c>
      <c r="AD2655" t="s">
        <v>39</v>
      </c>
      <c r="AE2655">
        <f t="shared" si="41"/>
        <v>0</v>
      </c>
    </row>
    <row r="2656" spans="1:31" x14ac:dyDescent="0.35">
      <c r="A2656">
        <v>102655</v>
      </c>
      <c r="B2656" s="3">
        <v>46019</v>
      </c>
      <c r="C2656">
        <v>1134</v>
      </c>
      <c r="D2656" t="s">
        <v>30</v>
      </c>
      <c r="E2656" t="s">
        <v>40</v>
      </c>
      <c r="F2656" t="s">
        <v>41</v>
      </c>
      <c r="G2656" t="s">
        <v>33</v>
      </c>
      <c r="H2656" t="s">
        <v>57</v>
      </c>
      <c r="I2656" t="s">
        <v>35</v>
      </c>
      <c r="J2656" s="4">
        <v>20.55</v>
      </c>
      <c r="K2656" s="4">
        <v>19.23</v>
      </c>
      <c r="L2656">
        <v>0</v>
      </c>
      <c r="M2656" s="4">
        <v>0</v>
      </c>
      <c r="N2656" s="4">
        <v>395.18</v>
      </c>
      <c r="O2656" s="4">
        <v>179.69</v>
      </c>
      <c r="P2656" s="4">
        <v>10.130000000000001</v>
      </c>
      <c r="Q2656" s="4">
        <v>2.77</v>
      </c>
      <c r="R2656" s="4">
        <v>5.78</v>
      </c>
      <c r="S2656" s="4">
        <v>0</v>
      </c>
      <c r="T2656" s="4">
        <v>0</v>
      </c>
      <c r="U2656" s="4">
        <v>198.37</v>
      </c>
      <c r="V2656" s="4">
        <v>196.81</v>
      </c>
      <c r="W2656" t="s">
        <v>21</v>
      </c>
      <c r="X2656" t="s">
        <v>36</v>
      </c>
      <c r="Y2656" s="4">
        <v>8</v>
      </c>
      <c r="Z2656" s="4">
        <v>30</v>
      </c>
      <c r="AA2656" t="s">
        <v>37</v>
      </c>
      <c r="AB2656" t="s">
        <v>44</v>
      </c>
      <c r="AC2656" s="7">
        <v>4</v>
      </c>
      <c r="AD2656" t="s">
        <v>45</v>
      </c>
      <c r="AE2656">
        <f t="shared" si="41"/>
        <v>1</v>
      </c>
    </row>
    <row r="2657" spans="1:31" x14ac:dyDescent="0.35">
      <c r="A2657">
        <v>102656</v>
      </c>
      <c r="B2657" s="3">
        <v>46016</v>
      </c>
      <c r="C2657">
        <v>1129</v>
      </c>
      <c r="D2657" t="s">
        <v>30</v>
      </c>
      <c r="E2657" t="s">
        <v>72</v>
      </c>
      <c r="F2657" t="s">
        <v>49</v>
      </c>
      <c r="G2657" t="s">
        <v>63</v>
      </c>
      <c r="H2657" t="s">
        <v>51</v>
      </c>
      <c r="I2657" t="s">
        <v>35</v>
      </c>
      <c r="J2657" s="4">
        <v>20.350000000000001</v>
      </c>
      <c r="K2657" s="4">
        <v>12.89</v>
      </c>
      <c r="L2657">
        <v>0</v>
      </c>
      <c r="M2657" s="4">
        <v>0</v>
      </c>
      <c r="N2657" s="4">
        <v>262.31</v>
      </c>
      <c r="O2657" s="4">
        <v>141.86000000000001</v>
      </c>
      <c r="P2657" s="4">
        <v>6.31</v>
      </c>
      <c r="Q2657" s="4">
        <v>1.84</v>
      </c>
      <c r="R2657" s="4">
        <v>12.82</v>
      </c>
      <c r="S2657" s="4">
        <v>105.84</v>
      </c>
      <c r="T2657" s="4">
        <v>10.5</v>
      </c>
      <c r="U2657" s="4">
        <v>279.17</v>
      </c>
      <c r="V2657" s="4">
        <v>-16.86</v>
      </c>
      <c r="W2657" t="s">
        <v>58</v>
      </c>
      <c r="X2657" t="s">
        <v>55</v>
      </c>
      <c r="Y2657" s="4">
        <v>1</v>
      </c>
      <c r="Z2657" s="4">
        <v>3</v>
      </c>
      <c r="AA2657" t="s">
        <v>37</v>
      </c>
      <c r="AB2657" t="s">
        <v>44</v>
      </c>
      <c r="AC2657" s="7">
        <v>1</v>
      </c>
      <c r="AD2657" t="s">
        <v>45</v>
      </c>
      <c r="AE2657">
        <f t="shared" si="41"/>
        <v>1</v>
      </c>
    </row>
    <row r="2658" spans="1:31" x14ac:dyDescent="0.35">
      <c r="A2658">
        <v>102657</v>
      </c>
      <c r="B2658" s="3">
        <v>45948</v>
      </c>
      <c r="C2658">
        <v>1051</v>
      </c>
      <c r="D2658" t="s">
        <v>30</v>
      </c>
      <c r="E2658" t="s">
        <v>31</v>
      </c>
      <c r="F2658" t="s">
        <v>71</v>
      </c>
      <c r="G2658" t="s">
        <v>33</v>
      </c>
      <c r="H2658" t="s">
        <v>51</v>
      </c>
      <c r="I2658" t="s">
        <v>35</v>
      </c>
      <c r="J2658" s="4">
        <v>18.600000000000001</v>
      </c>
      <c r="K2658" s="4">
        <v>19.850000000000001</v>
      </c>
      <c r="L2658">
        <v>15</v>
      </c>
      <c r="M2658" s="4">
        <v>55.38</v>
      </c>
      <c r="N2658" s="4">
        <v>313.83</v>
      </c>
      <c r="O2658" s="4">
        <v>152.02000000000001</v>
      </c>
      <c r="P2658" s="4">
        <v>8.31</v>
      </c>
      <c r="Q2658" s="4">
        <v>2.58</v>
      </c>
      <c r="R2658" s="4">
        <v>0</v>
      </c>
      <c r="S2658" s="4">
        <v>0</v>
      </c>
      <c r="T2658" s="4">
        <v>0</v>
      </c>
      <c r="U2658" s="4">
        <v>162.91</v>
      </c>
      <c r="V2658" s="4">
        <v>150.91999999999999</v>
      </c>
      <c r="W2658" t="s">
        <v>21</v>
      </c>
      <c r="X2658" t="s">
        <v>36</v>
      </c>
      <c r="Y2658" s="4">
        <v>22</v>
      </c>
      <c r="Z2658" s="4">
        <v>0</v>
      </c>
      <c r="AA2658" t="s">
        <v>52</v>
      </c>
      <c r="AB2658" t="s">
        <v>44</v>
      </c>
      <c r="AC2658" s="7">
        <v>1</v>
      </c>
      <c r="AD2658" t="s">
        <v>45</v>
      </c>
      <c r="AE2658">
        <f t="shared" si="41"/>
        <v>1</v>
      </c>
    </row>
    <row r="2659" spans="1:31" x14ac:dyDescent="0.35">
      <c r="A2659">
        <v>102658</v>
      </c>
      <c r="B2659" s="3">
        <v>45940</v>
      </c>
      <c r="C2659">
        <v>1081</v>
      </c>
      <c r="D2659" t="s">
        <v>64</v>
      </c>
      <c r="E2659" t="s">
        <v>67</v>
      </c>
      <c r="F2659" t="s">
        <v>32</v>
      </c>
      <c r="G2659" t="s">
        <v>63</v>
      </c>
      <c r="H2659" t="s">
        <v>34</v>
      </c>
      <c r="I2659" t="s">
        <v>35</v>
      </c>
      <c r="J2659" s="4">
        <v>21.61</v>
      </c>
      <c r="K2659" s="4">
        <v>13.54</v>
      </c>
      <c r="L2659">
        <v>0</v>
      </c>
      <c r="M2659" s="4">
        <v>0</v>
      </c>
      <c r="N2659" s="4">
        <v>292.60000000000002</v>
      </c>
      <c r="O2659" s="4">
        <v>168.91</v>
      </c>
      <c r="P2659" s="4">
        <v>6.87</v>
      </c>
      <c r="Q2659" s="4">
        <v>2.0499999999999998</v>
      </c>
      <c r="R2659" s="4">
        <v>2.1</v>
      </c>
      <c r="S2659" s="4">
        <v>0</v>
      </c>
      <c r="T2659" s="4">
        <v>0</v>
      </c>
      <c r="U2659" s="4">
        <v>179.93</v>
      </c>
      <c r="V2659" s="4">
        <v>112.67</v>
      </c>
      <c r="W2659" t="s">
        <v>21</v>
      </c>
      <c r="X2659" t="s">
        <v>36</v>
      </c>
      <c r="Y2659" s="4">
        <v>27</v>
      </c>
      <c r="Z2659" s="4">
        <v>22</v>
      </c>
      <c r="AA2659" t="s">
        <v>52</v>
      </c>
      <c r="AB2659" t="s">
        <v>44</v>
      </c>
      <c r="AC2659" s="7">
        <v>1</v>
      </c>
      <c r="AD2659" t="s">
        <v>45</v>
      </c>
      <c r="AE2659">
        <f t="shared" si="41"/>
        <v>1</v>
      </c>
    </row>
    <row r="2660" spans="1:31" x14ac:dyDescent="0.35">
      <c r="A2660">
        <v>102659</v>
      </c>
      <c r="B2660" s="3">
        <v>45936</v>
      </c>
      <c r="C2660">
        <v>1036</v>
      </c>
      <c r="D2660" t="s">
        <v>59</v>
      </c>
      <c r="E2660" t="s">
        <v>73</v>
      </c>
      <c r="F2660" t="s">
        <v>71</v>
      </c>
      <c r="G2660" t="s">
        <v>33</v>
      </c>
      <c r="H2660" t="s">
        <v>34</v>
      </c>
      <c r="I2660" t="s">
        <v>42</v>
      </c>
      <c r="J2660" s="4">
        <v>21.93</v>
      </c>
      <c r="K2660" s="4">
        <v>18.8</v>
      </c>
      <c r="L2660">
        <v>0</v>
      </c>
      <c r="M2660" s="4">
        <v>0</v>
      </c>
      <c r="N2660" s="4">
        <v>412.28</v>
      </c>
      <c r="O2660" s="4">
        <v>148.9</v>
      </c>
      <c r="P2660" s="4">
        <v>3.93</v>
      </c>
      <c r="Q2660" s="4">
        <v>6.18</v>
      </c>
      <c r="R2660" s="4">
        <v>11.11</v>
      </c>
      <c r="S2660" s="4">
        <v>0</v>
      </c>
      <c r="T2660" s="4">
        <v>0</v>
      </c>
      <c r="U2660" s="4">
        <v>170.12</v>
      </c>
      <c r="V2660" s="4">
        <v>242.16</v>
      </c>
      <c r="W2660" t="s">
        <v>21</v>
      </c>
      <c r="X2660" t="s">
        <v>36</v>
      </c>
      <c r="Y2660" s="4">
        <v>4</v>
      </c>
      <c r="Z2660" s="4">
        <v>5</v>
      </c>
      <c r="AA2660" t="s">
        <v>37</v>
      </c>
      <c r="AB2660" t="s">
        <v>38</v>
      </c>
      <c r="AC2660" s="7">
        <v>0</v>
      </c>
      <c r="AD2660" t="s">
        <v>39</v>
      </c>
      <c r="AE2660">
        <f t="shared" si="41"/>
        <v>0</v>
      </c>
    </row>
    <row r="2661" spans="1:31" x14ac:dyDescent="0.35">
      <c r="A2661">
        <v>102660</v>
      </c>
      <c r="B2661" s="3">
        <v>45952</v>
      </c>
      <c r="C2661">
        <v>1057</v>
      </c>
      <c r="D2661" t="s">
        <v>47</v>
      </c>
      <c r="E2661" t="s">
        <v>74</v>
      </c>
      <c r="F2661" t="s">
        <v>49</v>
      </c>
      <c r="G2661" t="s">
        <v>63</v>
      </c>
      <c r="H2661" t="s">
        <v>34</v>
      </c>
      <c r="I2661" t="s">
        <v>35</v>
      </c>
      <c r="J2661" s="4">
        <v>24.66</v>
      </c>
      <c r="K2661" s="4">
        <v>11.64</v>
      </c>
      <c r="L2661">
        <v>10</v>
      </c>
      <c r="M2661" s="4">
        <v>28.7</v>
      </c>
      <c r="N2661" s="4">
        <v>258.33999999999997</v>
      </c>
      <c r="O2661" s="4">
        <v>190.56</v>
      </c>
      <c r="P2661" s="4">
        <v>9.1300000000000008</v>
      </c>
      <c r="Q2661" s="4">
        <v>2.0099999999999998</v>
      </c>
      <c r="R2661" s="4">
        <v>7.55</v>
      </c>
      <c r="S2661" s="4">
        <v>0</v>
      </c>
      <c r="T2661" s="4">
        <v>0</v>
      </c>
      <c r="U2661" s="4">
        <v>209.25</v>
      </c>
      <c r="V2661" s="4">
        <v>49.09</v>
      </c>
      <c r="W2661" t="s">
        <v>21</v>
      </c>
      <c r="X2661" t="s">
        <v>36</v>
      </c>
      <c r="Y2661" s="4">
        <v>45</v>
      </c>
      <c r="Z2661" s="4">
        <v>22</v>
      </c>
      <c r="AA2661" t="s">
        <v>43</v>
      </c>
      <c r="AB2661" t="s">
        <v>44</v>
      </c>
      <c r="AC2661" s="7">
        <v>2</v>
      </c>
      <c r="AD2661" t="s">
        <v>45</v>
      </c>
      <c r="AE2661">
        <f t="shared" si="41"/>
        <v>1</v>
      </c>
    </row>
    <row r="2662" spans="1:31" x14ac:dyDescent="0.35">
      <c r="A2662">
        <v>102661</v>
      </c>
      <c r="B2662" s="3">
        <v>45949</v>
      </c>
      <c r="C2662">
        <v>1029</v>
      </c>
      <c r="D2662" t="s">
        <v>47</v>
      </c>
      <c r="E2662" t="s">
        <v>48</v>
      </c>
      <c r="F2662" t="s">
        <v>41</v>
      </c>
      <c r="G2662" t="s">
        <v>46</v>
      </c>
      <c r="H2662" t="s">
        <v>51</v>
      </c>
      <c r="I2662" t="s">
        <v>35</v>
      </c>
      <c r="J2662" s="4">
        <v>32.880000000000003</v>
      </c>
      <c r="K2662" s="4">
        <v>14.63</v>
      </c>
      <c r="L2662">
        <v>0</v>
      </c>
      <c r="M2662" s="4">
        <v>0</v>
      </c>
      <c r="N2662" s="4">
        <v>481.03</v>
      </c>
      <c r="O2662" s="4">
        <v>251.88</v>
      </c>
      <c r="P2662" s="4">
        <v>8.9700000000000006</v>
      </c>
      <c r="Q2662" s="4">
        <v>3.37</v>
      </c>
      <c r="R2662" s="4">
        <v>7.98</v>
      </c>
      <c r="S2662" s="4">
        <v>0</v>
      </c>
      <c r="T2662" s="4">
        <v>0</v>
      </c>
      <c r="U2662" s="4">
        <v>272.2</v>
      </c>
      <c r="V2662" s="4">
        <v>208.83</v>
      </c>
      <c r="W2662" t="s">
        <v>21</v>
      </c>
      <c r="X2662" t="s">
        <v>36</v>
      </c>
      <c r="Y2662" s="4">
        <v>1</v>
      </c>
      <c r="Z2662" s="4">
        <v>6</v>
      </c>
      <c r="AA2662" t="s">
        <v>37</v>
      </c>
      <c r="AB2662" t="s">
        <v>38</v>
      </c>
      <c r="AC2662" s="7">
        <v>0</v>
      </c>
      <c r="AD2662" t="s">
        <v>39</v>
      </c>
      <c r="AE2662">
        <f t="shared" si="41"/>
        <v>0</v>
      </c>
    </row>
    <row r="2663" spans="1:31" x14ac:dyDescent="0.35">
      <c r="A2663">
        <v>102662</v>
      </c>
      <c r="B2663" s="3">
        <v>45933</v>
      </c>
      <c r="C2663">
        <v>1091</v>
      </c>
      <c r="D2663" t="s">
        <v>59</v>
      </c>
      <c r="E2663" t="s">
        <v>60</v>
      </c>
      <c r="F2663" t="s">
        <v>71</v>
      </c>
      <c r="G2663" t="s">
        <v>33</v>
      </c>
      <c r="H2663" t="s">
        <v>34</v>
      </c>
      <c r="I2663" t="s">
        <v>35</v>
      </c>
      <c r="J2663" s="4">
        <v>29.84</v>
      </c>
      <c r="K2663" s="4">
        <v>19.12</v>
      </c>
      <c r="L2663">
        <v>15</v>
      </c>
      <c r="M2663" s="4">
        <v>85.58</v>
      </c>
      <c r="N2663" s="4">
        <v>484.96</v>
      </c>
      <c r="O2663" s="4">
        <v>210.56</v>
      </c>
      <c r="P2663" s="4">
        <v>5.36</v>
      </c>
      <c r="Q2663" s="4">
        <v>3.99</v>
      </c>
      <c r="R2663" s="4">
        <v>0</v>
      </c>
      <c r="S2663" s="4">
        <v>0</v>
      </c>
      <c r="T2663" s="4">
        <v>0</v>
      </c>
      <c r="U2663" s="4">
        <v>219.91</v>
      </c>
      <c r="V2663" s="4">
        <v>265.05</v>
      </c>
      <c r="W2663" t="s">
        <v>21</v>
      </c>
      <c r="X2663" t="s">
        <v>36</v>
      </c>
      <c r="Y2663" s="4">
        <v>7</v>
      </c>
      <c r="Z2663" s="4">
        <v>20</v>
      </c>
      <c r="AA2663" t="s">
        <v>37</v>
      </c>
      <c r="AB2663" t="s">
        <v>44</v>
      </c>
      <c r="AC2663" s="7">
        <v>1</v>
      </c>
      <c r="AD2663" t="s">
        <v>45</v>
      </c>
      <c r="AE2663">
        <f t="shared" si="41"/>
        <v>1</v>
      </c>
    </row>
    <row r="2664" spans="1:31" x14ac:dyDescent="0.35">
      <c r="A2664">
        <v>102663</v>
      </c>
      <c r="B2664" s="3">
        <v>45982</v>
      </c>
      <c r="C2664">
        <v>1016</v>
      </c>
      <c r="D2664" t="s">
        <v>59</v>
      </c>
      <c r="E2664" t="s">
        <v>68</v>
      </c>
      <c r="F2664" t="s">
        <v>41</v>
      </c>
      <c r="G2664" t="s">
        <v>33</v>
      </c>
      <c r="H2664" t="s">
        <v>34</v>
      </c>
      <c r="I2664" t="s">
        <v>69</v>
      </c>
      <c r="J2664" s="4">
        <v>13.82</v>
      </c>
      <c r="K2664" s="4">
        <v>19.25</v>
      </c>
      <c r="L2664">
        <v>20</v>
      </c>
      <c r="M2664" s="4">
        <v>53.21</v>
      </c>
      <c r="N2664" s="4">
        <v>212.83</v>
      </c>
      <c r="O2664" s="4">
        <v>87.19</v>
      </c>
      <c r="P2664" s="4">
        <v>9.01</v>
      </c>
      <c r="Q2664" s="4">
        <v>1.06</v>
      </c>
      <c r="R2664" s="4">
        <v>5.49</v>
      </c>
      <c r="S2664" s="4">
        <v>0</v>
      </c>
      <c r="T2664" s="4">
        <v>0</v>
      </c>
      <c r="U2664" s="4">
        <v>102.75</v>
      </c>
      <c r="V2664" s="4">
        <v>110.08</v>
      </c>
      <c r="W2664" t="s">
        <v>21</v>
      </c>
      <c r="X2664" t="s">
        <v>36</v>
      </c>
      <c r="Y2664" s="4">
        <v>25</v>
      </c>
      <c r="Z2664" s="4">
        <v>23</v>
      </c>
      <c r="AA2664" t="s">
        <v>52</v>
      </c>
      <c r="AB2664" t="s">
        <v>44</v>
      </c>
      <c r="AC2664" s="7">
        <v>4</v>
      </c>
      <c r="AD2664" t="s">
        <v>45</v>
      </c>
      <c r="AE2664">
        <f t="shared" si="41"/>
        <v>1</v>
      </c>
    </row>
    <row r="2665" spans="1:31" x14ac:dyDescent="0.35">
      <c r="A2665">
        <v>102664</v>
      </c>
      <c r="B2665" s="3">
        <v>45978</v>
      </c>
      <c r="C2665">
        <v>1106</v>
      </c>
      <c r="D2665" t="s">
        <v>59</v>
      </c>
      <c r="E2665" t="s">
        <v>60</v>
      </c>
      <c r="F2665" t="s">
        <v>61</v>
      </c>
      <c r="G2665" t="s">
        <v>46</v>
      </c>
      <c r="H2665" t="s">
        <v>34</v>
      </c>
      <c r="I2665" t="s">
        <v>69</v>
      </c>
      <c r="J2665" s="4">
        <v>25.41</v>
      </c>
      <c r="K2665" s="4">
        <v>15.2</v>
      </c>
      <c r="L2665">
        <v>15</v>
      </c>
      <c r="M2665" s="4">
        <v>57.93</v>
      </c>
      <c r="N2665" s="4">
        <v>328.3</v>
      </c>
      <c r="O2665" s="4">
        <v>178.93</v>
      </c>
      <c r="P2665" s="4">
        <v>8.06</v>
      </c>
      <c r="Q2665" s="4">
        <v>1.54</v>
      </c>
      <c r="R2665" s="4">
        <v>3.1</v>
      </c>
      <c r="S2665" s="4">
        <v>0</v>
      </c>
      <c r="T2665" s="4">
        <v>0</v>
      </c>
      <c r="U2665" s="4">
        <v>191.63</v>
      </c>
      <c r="V2665" s="4">
        <v>136.66999999999999</v>
      </c>
      <c r="W2665" t="s">
        <v>21</v>
      </c>
      <c r="X2665" t="s">
        <v>36</v>
      </c>
      <c r="Y2665" s="4">
        <v>24</v>
      </c>
      <c r="Z2665" s="4">
        <v>6</v>
      </c>
      <c r="AA2665" t="s">
        <v>52</v>
      </c>
      <c r="AB2665" t="s">
        <v>44</v>
      </c>
      <c r="AC2665" s="7">
        <v>2</v>
      </c>
      <c r="AD2665" t="s">
        <v>45</v>
      </c>
      <c r="AE2665">
        <f t="shared" si="41"/>
        <v>1</v>
      </c>
    </row>
    <row r="2666" spans="1:31" x14ac:dyDescent="0.35">
      <c r="A2666">
        <v>102665</v>
      </c>
      <c r="B2666" s="3">
        <v>45984</v>
      </c>
      <c r="C2666">
        <v>1123</v>
      </c>
      <c r="D2666" t="s">
        <v>64</v>
      </c>
      <c r="E2666" t="s">
        <v>65</v>
      </c>
      <c r="F2666" t="s">
        <v>61</v>
      </c>
      <c r="G2666" t="s">
        <v>50</v>
      </c>
      <c r="H2666" t="s">
        <v>34</v>
      </c>
      <c r="I2666" t="s">
        <v>35</v>
      </c>
      <c r="J2666" s="4">
        <v>43.88</v>
      </c>
      <c r="K2666" s="4">
        <v>18</v>
      </c>
      <c r="L2666">
        <v>0</v>
      </c>
      <c r="M2666" s="4">
        <v>0</v>
      </c>
      <c r="N2666" s="4">
        <v>789.84</v>
      </c>
      <c r="O2666" s="4">
        <v>335.41</v>
      </c>
      <c r="P2666" s="4">
        <v>6.99</v>
      </c>
      <c r="Q2666" s="4">
        <v>5.53</v>
      </c>
      <c r="R2666" s="4">
        <v>9.56</v>
      </c>
      <c r="S2666" s="4">
        <v>0</v>
      </c>
      <c r="T2666" s="4">
        <v>0</v>
      </c>
      <c r="U2666" s="4">
        <v>357.49</v>
      </c>
      <c r="V2666" s="4">
        <v>432.35</v>
      </c>
      <c r="W2666" t="s">
        <v>21</v>
      </c>
      <c r="X2666" t="s">
        <v>36</v>
      </c>
      <c r="Y2666" s="4">
        <v>0</v>
      </c>
      <c r="Z2666" s="4">
        <v>5</v>
      </c>
      <c r="AA2666" t="s">
        <v>37</v>
      </c>
      <c r="AB2666" t="s">
        <v>38</v>
      </c>
      <c r="AC2666" s="7">
        <v>0</v>
      </c>
      <c r="AD2666" t="s">
        <v>39</v>
      </c>
      <c r="AE2666">
        <f t="shared" si="41"/>
        <v>0</v>
      </c>
    </row>
    <row r="2667" spans="1:31" x14ac:dyDescent="0.35">
      <c r="A2667">
        <v>102666</v>
      </c>
      <c r="B2667" s="3">
        <v>46016</v>
      </c>
      <c r="C2667">
        <v>1095</v>
      </c>
      <c r="D2667" t="s">
        <v>30</v>
      </c>
      <c r="E2667" t="s">
        <v>72</v>
      </c>
      <c r="F2667" t="s">
        <v>71</v>
      </c>
      <c r="G2667" t="s">
        <v>46</v>
      </c>
      <c r="H2667" t="s">
        <v>34</v>
      </c>
      <c r="I2667" t="s">
        <v>69</v>
      </c>
      <c r="J2667" s="4">
        <v>20.92</v>
      </c>
      <c r="K2667" s="4">
        <v>15.43</v>
      </c>
      <c r="L2667">
        <v>15</v>
      </c>
      <c r="M2667" s="4">
        <v>48.42</v>
      </c>
      <c r="N2667" s="4">
        <v>274.38</v>
      </c>
      <c r="O2667" s="4">
        <v>127.18</v>
      </c>
      <c r="P2667" s="4">
        <v>2.73</v>
      </c>
      <c r="Q2667" s="4">
        <v>1.29</v>
      </c>
      <c r="R2667" s="4">
        <v>7.78</v>
      </c>
      <c r="S2667" s="4">
        <v>0</v>
      </c>
      <c r="T2667" s="4">
        <v>0</v>
      </c>
      <c r="U2667" s="4">
        <v>138.97999999999999</v>
      </c>
      <c r="V2667" s="4">
        <v>135.4</v>
      </c>
      <c r="W2667" t="s">
        <v>21</v>
      </c>
      <c r="X2667" t="s">
        <v>36</v>
      </c>
      <c r="Y2667" s="4">
        <v>18</v>
      </c>
      <c r="Z2667" s="4">
        <v>13</v>
      </c>
      <c r="AA2667" t="s">
        <v>52</v>
      </c>
      <c r="AB2667" t="s">
        <v>38</v>
      </c>
      <c r="AC2667" s="7">
        <v>0</v>
      </c>
      <c r="AD2667" t="s">
        <v>39</v>
      </c>
      <c r="AE2667">
        <f t="shared" si="41"/>
        <v>0</v>
      </c>
    </row>
    <row r="2668" spans="1:31" x14ac:dyDescent="0.35">
      <c r="A2668">
        <v>102667</v>
      </c>
      <c r="B2668" s="3">
        <v>45933</v>
      </c>
      <c r="C2668">
        <v>1059</v>
      </c>
      <c r="D2668" t="s">
        <v>59</v>
      </c>
      <c r="E2668" t="s">
        <v>73</v>
      </c>
      <c r="F2668" t="s">
        <v>71</v>
      </c>
      <c r="G2668" t="s">
        <v>46</v>
      </c>
      <c r="H2668" t="s">
        <v>34</v>
      </c>
      <c r="I2668" t="s">
        <v>35</v>
      </c>
      <c r="J2668" s="4">
        <v>27.25</v>
      </c>
      <c r="K2668" s="4">
        <v>15.21</v>
      </c>
      <c r="L2668">
        <v>0</v>
      </c>
      <c r="M2668" s="4">
        <v>0</v>
      </c>
      <c r="N2668" s="4">
        <v>414.47</v>
      </c>
      <c r="O2668" s="4">
        <v>230.31</v>
      </c>
      <c r="P2668" s="4">
        <v>7.84</v>
      </c>
      <c r="Q2668" s="4">
        <v>2.9</v>
      </c>
      <c r="R2668" s="4">
        <v>9.08</v>
      </c>
      <c r="S2668" s="4">
        <v>238.89</v>
      </c>
      <c r="T2668" s="4">
        <v>0</v>
      </c>
      <c r="U2668" s="4">
        <v>489.02</v>
      </c>
      <c r="V2668" s="4">
        <v>-74.55</v>
      </c>
      <c r="W2668" t="s">
        <v>58</v>
      </c>
      <c r="X2668" t="s">
        <v>55</v>
      </c>
      <c r="Y2668" s="4">
        <v>4</v>
      </c>
      <c r="Z2668" s="4">
        <v>0</v>
      </c>
      <c r="AA2668" t="s">
        <v>37</v>
      </c>
      <c r="AB2668" t="s">
        <v>44</v>
      </c>
      <c r="AC2668" s="7">
        <v>3</v>
      </c>
      <c r="AD2668" t="s">
        <v>45</v>
      </c>
      <c r="AE2668">
        <f t="shared" si="41"/>
        <v>1</v>
      </c>
    </row>
    <row r="2669" spans="1:31" x14ac:dyDescent="0.35">
      <c r="A2669">
        <v>102668</v>
      </c>
      <c r="B2669" s="3">
        <v>45950</v>
      </c>
      <c r="C2669">
        <v>1038</v>
      </c>
      <c r="D2669" t="s">
        <v>30</v>
      </c>
      <c r="E2669" t="s">
        <v>62</v>
      </c>
      <c r="F2669" t="s">
        <v>32</v>
      </c>
      <c r="G2669" t="s">
        <v>50</v>
      </c>
      <c r="H2669" t="s">
        <v>34</v>
      </c>
      <c r="I2669" t="s">
        <v>54</v>
      </c>
      <c r="J2669" s="4">
        <v>18.399999999999999</v>
      </c>
      <c r="K2669" s="4">
        <v>17.59</v>
      </c>
      <c r="L2669">
        <v>0</v>
      </c>
      <c r="M2669" s="4">
        <v>0</v>
      </c>
      <c r="N2669" s="4">
        <v>323.66000000000003</v>
      </c>
      <c r="O2669" s="4">
        <v>134.22999999999999</v>
      </c>
      <c r="P2669" s="4">
        <v>3.78</v>
      </c>
      <c r="Q2669" s="4">
        <v>3.88</v>
      </c>
      <c r="R2669" s="4">
        <v>0.11</v>
      </c>
      <c r="S2669" s="4">
        <v>0</v>
      </c>
      <c r="T2669" s="4">
        <v>0</v>
      </c>
      <c r="U2669" s="4">
        <v>142</v>
      </c>
      <c r="V2669" s="4">
        <v>181.66</v>
      </c>
      <c r="W2669" t="s">
        <v>21</v>
      </c>
      <c r="X2669" t="s">
        <v>36</v>
      </c>
      <c r="Y2669" s="4">
        <v>5</v>
      </c>
      <c r="Z2669" s="4">
        <v>3</v>
      </c>
      <c r="AA2669" t="s">
        <v>37</v>
      </c>
      <c r="AB2669" t="s">
        <v>38</v>
      </c>
      <c r="AC2669" s="7">
        <v>0</v>
      </c>
      <c r="AD2669" t="s">
        <v>39</v>
      </c>
      <c r="AE2669">
        <f t="shared" si="41"/>
        <v>0</v>
      </c>
    </row>
    <row r="2670" spans="1:31" x14ac:dyDescent="0.35">
      <c r="A2670">
        <v>102669</v>
      </c>
      <c r="B2670" s="3">
        <v>45959</v>
      </c>
      <c r="C2670">
        <v>1011</v>
      </c>
      <c r="D2670" t="s">
        <v>59</v>
      </c>
      <c r="E2670" t="s">
        <v>73</v>
      </c>
      <c r="F2670" t="s">
        <v>41</v>
      </c>
      <c r="G2670" t="s">
        <v>46</v>
      </c>
      <c r="H2670" t="s">
        <v>57</v>
      </c>
      <c r="I2670" t="s">
        <v>54</v>
      </c>
      <c r="J2670" s="4">
        <v>23.18</v>
      </c>
      <c r="K2670" s="4">
        <v>17.489999999999998</v>
      </c>
      <c r="L2670">
        <v>5</v>
      </c>
      <c r="M2670" s="4">
        <v>20.27</v>
      </c>
      <c r="N2670" s="4">
        <v>385.15</v>
      </c>
      <c r="O2670" s="4">
        <v>168.63</v>
      </c>
      <c r="P2670" s="4">
        <v>7.24</v>
      </c>
      <c r="Q2670" s="4">
        <v>4.87</v>
      </c>
      <c r="R2670" s="4">
        <v>8.59</v>
      </c>
      <c r="S2670" s="4">
        <v>0</v>
      </c>
      <c r="T2670" s="4">
        <v>0</v>
      </c>
      <c r="U2670" s="4">
        <v>189.33</v>
      </c>
      <c r="V2670" s="4">
        <v>195.82</v>
      </c>
      <c r="W2670" t="s">
        <v>21</v>
      </c>
      <c r="X2670" t="s">
        <v>36</v>
      </c>
      <c r="Y2670" s="4">
        <v>13</v>
      </c>
      <c r="Z2670" s="4">
        <v>2</v>
      </c>
      <c r="AA2670" t="s">
        <v>37</v>
      </c>
      <c r="AB2670" t="s">
        <v>38</v>
      </c>
      <c r="AC2670" s="7">
        <v>0</v>
      </c>
      <c r="AD2670" t="s">
        <v>39</v>
      </c>
      <c r="AE2670">
        <f t="shared" si="41"/>
        <v>0</v>
      </c>
    </row>
    <row r="2671" spans="1:31" x14ac:dyDescent="0.35">
      <c r="A2671">
        <v>102670</v>
      </c>
      <c r="B2671" s="3">
        <v>45938</v>
      </c>
      <c r="C2671">
        <v>1076</v>
      </c>
      <c r="D2671" t="s">
        <v>30</v>
      </c>
      <c r="E2671" t="s">
        <v>62</v>
      </c>
      <c r="F2671" t="s">
        <v>71</v>
      </c>
      <c r="G2671" t="s">
        <v>63</v>
      </c>
      <c r="H2671" t="s">
        <v>57</v>
      </c>
      <c r="I2671" t="s">
        <v>35</v>
      </c>
      <c r="J2671" s="4">
        <v>8.76</v>
      </c>
      <c r="K2671" s="4">
        <v>11.77</v>
      </c>
      <c r="L2671">
        <v>5</v>
      </c>
      <c r="M2671" s="4">
        <v>5.16</v>
      </c>
      <c r="N2671" s="4">
        <v>97.95</v>
      </c>
      <c r="O2671" s="4">
        <v>74.510000000000005</v>
      </c>
      <c r="P2671" s="4">
        <v>7.78</v>
      </c>
      <c r="Q2671" s="4">
        <v>0.72</v>
      </c>
      <c r="R2671" s="4">
        <v>0</v>
      </c>
      <c r="S2671" s="4">
        <v>89.71</v>
      </c>
      <c r="T2671" s="4">
        <v>24.26</v>
      </c>
      <c r="U2671" s="4">
        <v>196.98</v>
      </c>
      <c r="V2671" s="4">
        <v>-99.03</v>
      </c>
      <c r="W2671" t="s">
        <v>58</v>
      </c>
      <c r="X2671" t="s">
        <v>66</v>
      </c>
      <c r="Y2671" s="4">
        <v>32</v>
      </c>
      <c r="Z2671" s="4">
        <v>6</v>
      </c>
      <c r="AA2671" t="s">
        <v>43</v>
      </c>
      <c r="AB2671" t="s">
        <v>44</v>
      </c>
      <c r="AC2671" s="7">
        <v>3</v>
      </c>
      <c r="AD2671" t="s">
        <v>45</v>
      </c>
      <c r="AE2671">
        <f t="shared" si="41"/>
        <v>1</v>
      </c>
    </row>
    <row r="2672" spans="1:31" x14ac:dyDescent="0.35">
      <c r="A2672">
        <v>102671</v>
      </c>
      <c r="B2672" s="3">
        <v>45937</v>
      </c>
      <c r="C2672">
        <v>1127</v>
      </c>
      <c r="D2672" t="s">
        <v>64</v>
      </c>
      <c r="E2672" t="s">
        <v>75</v>
      </c>
      <c r="F2672" t="s">
        <v>49</v>
      </c>
      <c r="G2672" t="s">
        <v>63</v>
      </c>
      <c r="H2672" t="s">
        <v>34</v>
      </c>
      <c r="I2672" t="s">
        <v>35</v>
      </c>
      <c r="J2672" s="4">
        <v>14.84</v>
      </c>
      <c r="K2672" s="4">
        <v>12.94</v>
      </c>
      <c r="L2672">
        <v>5</v>
      </c>
      <c r="M2672" s="4">
        <v>9.6</v>
      </c>
      <c r="N2672" s="4">
        <v>182.43</v>
      </c>
      <c r="O2672" s="4">
        <v>85.53</v>
      </c>
      <c r="P2672" s="4">
        <v>7.22</v>
      </c>
      <c r="Q2672" s="4">
        <v>1.34</v>
      </c>
      <c r="R2672" s="4">
        <v>1.05</v>
      </c>
      <c r="S2672" s="4">
        <v>0</v>
      </c>
      <c r="T2672" s="4">
        <v>0</v>
      </c>
      <c r="U2672" s="4">
        <v>95.14</v>
      </c>
      <c r="V2672" s="4">
        <v>87.29</v>
      </c>
      <c r="W2672" t="s">
        <v>21</v>
      </c>
      <c r="X2672" t="s">
        <v>36</v>
      </c>
      <c r="Y2672" s="4">
        <v>3</v>
      </c>
      <c r="Z2672" s="4">
        <v>0</v>
      </c>
      <c r="AA2672" t="s">
        <v>37</v>
      </c>
      <c r="AB2672" t="s">
        <v>38</v>
      </c>
      <c r="AC2672" s="7">
        <v>0</v>
      </c>
      <c r="AD2672" t="s">
        <v>39</v>
      </c>
      <c r="AE2672">
        <f t="shared" si="41"/>
        <v>0</v>
      </c>
    </row>
    <row r="2673" spans="1:31" x14ac:dyDescent="0.35">
      <c r="A2673">
        <v>102672</v>
      </c>
      <c r="B2673" s="3">
        <v>45959</v>
      </c>
      <c r="C2673">
        <v>1050</v>
      </c>
      <c r="D2673" t="s">
        <v>59</v>
      </c>
      <c r="E2673" t="s">
        <v>70</v>
      </c>
      <c r="F2673" t="s">
        <v>49</v>
      </c>
      <c r="G2673" t="s">
        <v>46</v>
      </c>
      <c r="H2673" t="s">
        <v>34</v>
      </c>
      <c r="I2673" t="s">
        <v>35</v>
      </c>
      <c r="J2673" s="4">
        <v>28.73</v>
      </c>
      <c r="K2673" s="4">
        <v>14.26</v>
      </c>
      <c r="L2673">
        <v>0</v>
      </c>
      <c r="M2673" s="4">
        <v>0</v>
      </c>
      <c r="N2673" s="4">
        <v>409.69</v>
      </c>
      <c r="O2673" s="4">
        <v>204.65</v>
      </c>
      <c r="P2673" s="4">
        <v>9.4600000000000009</v>
      </c>
      <c r="Q2673" s="4">
        <v>2.87</v>
      </c>
      <c r="R2673" s="4">
        <v>5.45</v>
      </c>
      <c r="S2673" s="4">
        <v>0</v>
      </c>
      <c r="T2673" s="4">
        <v>0</v>
      </c>
      <c r="U2673" s="4">
        <v>222.43</v>
      </c>
      <c r="V2673" s="4">
        <v>187.26</v>
      </c>
      <c r="W2673" t="s">
        <v>21</v>
      </c>
      <c r="X2673" t="s">
        <v>36</v>
      </c>
      <c r="Y2673" s="4">
        <v>3</v>
      </c>
      <c r="Z2673" s="4">
        <v>14</v>
      </c>
      <c r="AA2673" t="s">
        <v>37</v>
      </c>
      <c r="AB2673" t="s">
        <v>38</v>
      </c>
      <c r="AC2673" s="7">
        <v>0</v>
      </c>
      <c r="AD2673" t="s">
        <v>39</v>
      </c>
      <c r="AE2673">
        <f t="shared" si="41"/>
        <v>0</v>
      </c>
    </row>
    <row r="2674" spans="1:31" x14ac:dyDescent="0.35">
      <c r="A2674">
        <v>102673</v>
      </c>
      <c r="B2674" s="3">
        <v>46008</v>
      </c>
      <c r="C2674">
        <v>1035</v>
      </c>
      <c r="D2674" t="s">
        <v>30</v>
      </c>
      <c r="E2674" t="s">
        <v>40</v>
      </c>
      <c r="F2674" t="s">
        <v>61</v>
      </c>
      <c r="G2674" t="s">
        <v>46</v>
      </c>
      <c r="H2674" t="s">
        <v>34</v>
      </c>
      <c r="I2674" t="s">
        <v>42</v>
      </c>
      <c r="J2674" s="4">
        <v>32.270000000000003</v>
      </c>
      <c r="K2674" s="4">
        <v>16.03</v>
      </c>
      <c r="L2674">
        <v>20</v>
      </c>
      <c r="M2674" s="4">
        <v>103.46</v>
      </c>
      <c r="N2674" s="4">
        <v>413.83</v>
      </c>
      <c r="O2674" s="4">
        <v>203.57</v>
      </c>
      <c r="P2674" s="4">
        <v>9.2899999999999991</v>
      </c>
      <c r="Q2674" s="4">
        <v>7.76</v>
      </c>
      <c r="R2674" s="4">
        <v>3.73</v>
      </c>
      <c r="S2674" s="4">
        <v>0</v>
      </c>
      <c r="T2674" s="4">
        <v>0</v>
      </c>
      <c r="U2674" s="4">
        <v>224.35</v>
      </c>
      <c r="V2674" s="4">
        <v>189.48</v>
      </c>
      <c r="W2674" t="s">
        <v>21</v>
      </c>
      <c r="X2674" t="s">
        <v>36</v>
      </c>
      <c r="Y2674" s="4">
        <v>6</v>
      </c>
      <c r="Z2674" s="4">
        <v>24</v>
      </c>
      <c r="AA2674" t="s">
        <v>37</v>
      </c>
      <c r="AB2674" t="s">
        <v>44</v>
      </c>
      <c r="AC2674" s="7">
        <v>3</v>
      </c>
      <c r="AD2674" t="s">
        <v>45</v>
      </c>
      <c r="AE2674">
        <f t="shared" si="41"/>
        <v>1</v>
      </c>
    </row>
    <row r="2675" spans="1:31" x14ac:dyDescent="0.35">
      <c r="A2675">
        <v>102674</v>
      </c>
      <c r="B2675" s="3">
        <v>45983</v>
      </c>
      <c r="C2675">
        <v>1006</v>
      </c>
      <c r="D2675" t="s">
        <v>30</v>
      </c>
      <c r="E2675" t="s">
        <v>40</v>
      </c>
      <c r="F2675" t="s">
        <v>49</v>
      </c>
      <c r="G2675" t="s">
        <v>46</v>
      </c>
      <c r="H2675" t="s">
        <v>34</v>
      </c>
      <c r="I2675" t="s">
        <v>35</v>
      </c>
      <c r="J2675" s="4">
        <v>26.35</v>
      </c>
      <c r="K2675" s="4">
        <v>15.76</v>
      </c>
      <c r="L2675">
        <v>0</v>
      </c>
      <c r="M2675" s="4">
        <v>0</v>
      </c>
      <c r="N2675" s="4">
        <v>415.28</v>
      </c>
      <c r="O2675" s="4">
        <v>171.3</v>
      </c>
      <c r="P2675" s="4">
        <v>7.35</v>
      </c>
      <c r="Q2675" s="4">
        <v>2.91</v>
      </c>
      <c r="R2675" s="4">
        <v>7.85</v>
      </c>
      <c r="S2675" s="4">
        <v>0</v>
      </c>
      <c r="T2675" s="4">
        <v>0</v>
      </c>
      <c r="U2675" s="4">
        <v>189.41</v>
      </c>
      <c r="V2675" s="4">
        <v>225.87</v>
      </c>
      <c r="W2675" t="s">
        <v>21</v>
      </c>
      <c r="X2675" t="s">
        <v>36</v>
      </c>
      <c r="Y2675" s="4">
        <v>53</v>
      </c>
      <c r="Z2675" s="4">
        <v>2</v>
      </c>
      <c r="AA2675" t="s">
        <v>43</v>
      </c>
      <c r="AB2675" t="s">
        <v>44</v>
      </c>
      <c r="AC2675" s="7">
        <v>1</v>
      </c>
      <c r="AD2675" t="s">
        <v>45</v>
      </c>
      <c r="AE2675">
        <f t="shared" si="41"/>
        <v>1</v>
      </c>
    </row>
    <row r="2676" spans="1:31" x14ac:dyDescent="0.35">
      <c r="A2676">
        <v>102675</v>
      </c>
      <c r="B2676" s="3">
        <v>45992</v>
      </c>
      <c r="C2676">
        <v>1147</v>
      </c>
      <c r="D2676" t="s">
        <v>47</v>
      </c>
      <c r="E2676" t="s">
        <v>53</v>
      </c>
      <c r="F2676" t="s">
        <v>49</v>
      </c>
      <c r="G2676" t="s">
        <v>33</v>
      </c>
      <c r="H2676" t="s">
        <v>34</v>
      </c>
      <c r="I2676" t="s">
        <v>35</v>
      </c>
      <c r="J2676" s="4">
        <v>36.46</v>
      </c>
      <c r="K2676" s="4">
        <v>18.14</v>
      </c>
      <c r="L2676">
        <v>5</v>
      </c>
      <c r="M2676" s="4">
        <v>33.07</v>
      </c>
      <c r="N2676" s="4">
        <v>628.30999999999995</v>
      </c>
      <c r="O2676" s="4">
        <v>268.98</v>
      </c>
      <c r="P2676" s="4">
        <v>11.56</v>
      </c>
      <c r="Q2676" s="4">
        <v>4.63</v>
      </c>
      <c r="R2676" s="4">
        <v>6.86</v>
      </c>
      <c r="S2676" s="4">
        <v>0</v>
      </c>
      <c r="T2676" s="4">
        <v>0</v>
      </c>
      <c r="U2676" s="4">
        <v>292.02999999999997</v>
      </c>
      <c r="V2676" s="4">
        <v>336.28</v>
      </c>
      <c r="W2676" t="s">
        <v>21</v>
      </c>
      <c r="X2676" t="s">
        <v>36</v>
      </c>
      <c r="Y2676" s="4">
        <v>1</v>
      </c>
      <c r="Z2676" s="4">
        <v>34</v>
      </c>
      <c r="AA2676" t="s">
        <v>37</v>
      </c>
      <c r="AB2676" t="s">
        <v>44</v>
      </c>
      <c r="AC2676" s="7">
        <v>1</v>
      </c>
      <c r="AD2676" t="s">
        <v>45</v>
      </c>
      <c r="AE2676">
        <f t="shared" si="41"/>
        <v>1</v>
      </c>
    </row>
    <row r="2677" spans="1:31" x14ac:dyDescent="0.35">
      <c r="A2677">
        <v>102676</v>
      </c>
      <c r="B2677" s="3">
        <v>45967</v>
      </c>
      <c r="C2677">
        <v>1107</v>
      </c>
      <c r="D2677" t="s">
        <v>30</v>
      </c>
      <c r="E2677" t="s">
        <v>40</v>
      </c>
      <c r="F2677" t="s">
        <v>71</v>
      </c>
      <c r="G2677" t="s">
        <v>50</v>
      </c>
      <c r="H2677" t="s">
        <v>51</v>
      </c>
      <c r="I2677" t="s">
        <v>54</v>
      </c>
      <c r="J2677" s="4">
        <v>32.950000000000003</v>
      </c>
      <c r="K2677" s="4">
        <v>19.579999999999998</v>
      </c>
      <c r="L2677">
        <v>5</v>
      </c>
      <c r="M2677" s="4">
        <v>32.26</v>
      </c>
      <c r="N2677" s="4">
        <v>612.9</v>
      </c>
      <c r="O2677" s="4">
        <v>215.59</v>
      </c>
      <c r="P2677" s="4">
        <v>8.5500000000000007</v>
      </c>
      <c r="Q2677" s="4">
        <v>7.74</v>
      </c>
      <c r="R2677" s="4">
        <v>4.0199999999999996</v>
      </c>
      <c r="S2677" s="4">
        <v>0</v>
      </c>
      <c r="T2677" s="4">
        <v>0</v>
      </c>
      <c r="U2677" s="4">
        <v>235.9</v>
      </c>
      <c r="V2677" s="4">
        <v>377</v>
      </c>
      <c r="W2677" t="s">
        <v>21</v>
      </c>
      <c r="X2677" t="s">
        <v>36</v>
      </c>
      <c r="Y2677" s="4">
        <v>32</v>
      </c>
      <c r="Z2677" s="4">
        <v>1</v>
      </c>
      <c r="AA2677" t="s">
        <v>43</v>
      </c>
      <c r="AB2677" t="s">
        <v>44</v>
      </c>
      <c r="AC2677" s="7">
        <v>1</v>
      </c>
      <c r="AD2677" t="s">
        <v>45</v>
      </c>
      <c r="AE2677">
        <f t="shared" si="41"/>
        <v>1</v>
      </c>
    </row>
    <row r="2678" spans="1:31" x14ac:dyDescent="0.35">
      <c r="A2678">
        <v>102677</v>
      </c>
      <c r="B2678" s="3">
        <v>45959</v>
      </c>
      <c r="C2678">
        <v>1131</v>
      </c>
      <c r="D2678" t="s">
        <v>64</v>
      </c>
      <c r="E2678" t="s">
        <v>65</v>
      </c>
      <c r="F2678" t="s">
        <v>41</v>
      </c>
      <c r="G2678" t="s">
        <v>63</v>
      </c>
      <c r="H2678" t="s">
        <v>34</v>
      </c>
      <c r="I2678" t="s">
        <v>54</v>
      </c>
      <c r="J2678" s="4">
        <v>18.97</v>
      </c>
      <c r="K2678" s="4">
        <v>11.98</v>
      </c>
      <c r="L2678">
        <v>10</v>
      </c>
      <c r="M2678" s="4">
        <v>22.73</v>
      </c>
      <c r="N2678" s="4">
        <v>204.53</v>
      </c>
      <c r="O2678" s="4">
        <v>155.47999999999999</v>
      </c>
      <c r="P2678" s="4">
        <v>3.66</v>
      </c>
      <c r="Q2678" s="4">
        <v>2.73</v>
      </c>
      <c r="R2678" s="4">
        <v>6.04</v>
      </c>
      <c r="S2678" s="4">
        <v>0</v>
      </c>
      <c r="T2678" s="4">
        <v>0</v>
      </c>
      <c r="U2678" s="4">
        <v>167.91</v>
      </c>
      <c r="V2678" s="4">
        <v>36.619999999999997</v>
      </c>
      <c r="W2678" t="s">
        <v>21</v>
      </c>
      <c r="X2678" t="s">
        <v>36</v>
      </c>
      <c r="Y2678" s="4">
        <v>3</v>
      </c>
      <c r="Z2678" s="4">
        <v>9</v>
      </c>
      <c r="AA2678" t="s">
        <v>37</v>
      </c>
      <c r="AB2678" t="s">
        <v>38</v>
      </c>
      <c r="AC2678" s="7">
        <v>0</v>
      </c>
      <c r="AD2678" t="s">
        <v>39</v>
      </c>
      <c r="AE2678">
        <f t="shared" si="41"/>
        <v>0</v>
      </c>
    </row>
    <row r="2679" spans="1:31" x14ac:dyDescent="0.35">
      <c r="A2679">
        <v>102678</v>
      </c>
      <c r="B2679" s="3">
        <v>45982</v>
      </c>
      <c r="C2679">
        <v>1060</v>
      </c>
      <c r="D2679" t="s">
        <v>64</v>
      </c>
      <c r="E2679" t="s">
        <v>76</v>
      </c>
      <c r="F2679" t="s">
        <v>49</v>
      </c>
      <c r="G2679" t="s">
        <v>63</v>
      </c>
      <c r="H2679" t="s">
        <v>34</v>
      </c>
      <c r="I2679" t="s">
        <v>42</v>
      </c>
      <c r="J2679" s="4">
        <v>18.54</v>
      </c>
      <c r="K2679" s="4">
        <v>12.95</v>
      </c>
      <c r="L2679">
        <v>10</v>
      </c>
      <c r="M2679" s="4">
        <v>24.01</v>
      </c>
      <c r="N2679" s="4">
        <v>216.08</v>
      </c>
      <c r="O2679" s="4">
        <v>128.65</v>
      </c>
      <c r="P2679" s="4">
        <v>8.49</v>
      </c>
      <c r="Q2679" s="4">
        <v>3.6</v>
      </c>
      <c r="R2679" s="4">
        <v>3.94</v>
      </c>
      <c r="S2679" s="4">
        <v>0</v>
      </c>
      <c r="T2679" s="4">
        <v>0</v>
      </c>
      <c r="U2679" s="4">
        <v>144.68</v>
      </c>
      <c r="V2679" s="4">
        <v>71.400000000000006</v>
      </c>
      <c r="W2679" t="s">
        <v>21</v>
      </c>
      <c r="X2679" t="s">
        <v>36</v>
      </c>
      <c r="Y2679" s="4">
        <v>6</v>
      </c>
      <c r="Z2679" s="4">
        <v>34</v>
      </c>
      <c r="AA2679" t="s">
        <v>37</v>
      </c>
      <c r="AB2679" t="s">
        <v>44</v>
      </c>
      <c r="AC2679" s="7">
        <v>3</v>
      </c>
      <c r="AD2679" t="s">
        <v>45</v>
      </c>
      <c r="AE2679">
        <f t="shared" si="41"/>
        <v>1</v>
      </c>
    </row>
    <row r="2680" spans="1:31" x14ac:dyDescent="0.35">
      <c r="A2680">
        <v>102679</v>
      </c>
      <c r="B2680" s="3">
        <v>45945</v>
      </c>
      <c r="C2680">
        <v>1011</v>
      </c>
      <c r="D2680" t="s">
        <v>47</v>
      </c>
      <c r="E2680" t="s">
        <v>74</v>
      </c>
      <c r="F2680" t="s">
        <v>61</v>
      </c>
      <c r="G2680" t="s">
        <v>63</v>
      </c>
      <c r="H2680" t="s">
        <v>57</v>
      </c>
      <c r="I2680" t="s">
        <v>69</v>
      </c>
      <c r="J2680" s="4">
        <v>13.38</v>
      </c>
      <c r="K2680" s="4">
        <v>14.71</v>
      </c>
      <c r="L2680">
        <v>0</v>
      </c>
      <c r="M2680" s="4">
        <v>0</v>
      </c>
      <c r="N2680" s="4">
        <v>196.82</v>
      </c>
      <c r="O2680" s="4">
        <v>90.1</v>
      </c>
      <c r="P2680" s="4">
        <v>5.71</v>
      </c>
      <c r="Q2680" s="4">
        <v>0.79</v>
      </c>
      <c r="R2680" s="4">
        <v>1.43</v>
      </c>
      <c r="S2680" s="4">
        <v>0</v>
      </c>
      <c r="T2680" s="4">
        <v>0</v>
      </c>
      <c r="U2680" s="4">
        <v>98.03</v>
      </c>
      <c r="V2680" s="4">
        <v>98.79</v>
      </c>
      <c r="W2680" t="s">
        <v>21</v>
      </c>
      <c r="X2680" t="s">
        <v>36</v>
      </c>
      <c r="Y2680" s="4">
        <v>2</v>
      </c>
      <c r="Z2680" s="4">
        <v>7</v>
      </c>
      <c r="AA2680" t="s">
        <v>37</v>
      </c>
      <c r="AB2680" t="s">
        <v>38</v>
      </c>
      <c r="AC2680" s="7">
        <v>0</v>
      </c>
      <c r="AD2680" t="s">
        <v>39</v>
      </c>
      <c r="AE2680">
        <f t="shared" si="41"/>
        <v>0</v>
      </c>
    </row>
    <row r="2681" spans="1:31" x14ac:dyDescent="0.35">
      <c r="A2681">
        <v>102680</v>
      </c>
      <c r="B2681" s="3">
        <v>45940</v>
      </c>
      <c r="C2681">
        <v>1098</v>
      </c>
      <c r="D2681" t="s">
        <v>47</v>
      </c>
      <c r="E2681" t="s">
        <v>48</v>
      </c>
      <c r="F2681" t="s">
        <v>41</v>
      </c>
      <c r="G2681" t="s">
        <v>63</v>
      </c>
      <c r="H2681" t="s">
        <v>34</v>
      </c>
      <c r="I2681" t="s">
        <v>35</v>
      </c>
      <c r="J2681" s="4">
        <v>26.63</v>
      </c>
      <c r="K2681" s="4">
        <v>12.48</v>
      </c>
      <c r="L2681">
        <v>0</v>
      </c>
      <c r="M2681" s="4">
        <v>0</v>
      </c>
      <c r="N2681" s="4">
        <v>332.34</v>
      </c>
      <c r="O2681" s="4">
        <v>199.29</v>
      </c>
      <c r="P2681" s="4">
        <v>4.2</v>
      </c>
      <c r="Q2681" s="4">
        <v>2.33</v>
      </c>
      <c r="R2681" s="4">
        <v>4.97</v>
      </c>
      <c r="S2681" s="4">
        <v>0</v>
      </c>
      <c r="T2681" s="4">
        <v>0</v>
      </c>
      <c r="U2681" s="4">
        <v>210.79</v>
      </c>
      <c r="V2681" s="4">
        <v>121.55</v>
      </c>
      <c r="W2681" t="s">
        <v>21</v>
      </c>
      <c r="X2681" t="s">
        <v>36</v>
      </c>
      <c r="Y2681" s="4">
        <v>8</v>
      </c>
      <c r="Z2681" s="4">
        <v>2</v>
      </c>
      <c r="AA2681" t="s">
        <v>37</v>
      </c>
      <c r="AB2681" t="s">
        <v>38</v>
      </c>
      <c r="AC2681" s="7">
        <v>0</v>
      </c>
      <c r="AD2681" t="s">
        <v>39</v>
      </c>
      <c r="AE2681">
        <f t="shared" si="41"/>
        <v>0</v>
      </c>
    </row>
    <row r="2682" spans="1:31" x14ac:dyDescent="0.35">
      <c r="A2682">
        <v>102681</v>
      </c>
      <c r="B2682" s="3">
        <v>46017</v>
      </c>
      <c r="C2682">
        <v>1019</v>
      </c>
      <c r="D2682" t="s">
        <v>59</v>
      </c>
      <c r="E2682" t="s">
        <v>68</v>
      </c>
      <c r="F2682" t="s">
        <v>49</v>
      </c>
      <c r="G2682" t="s">
        <v>46</v>
      </c>
      <c r="H2682" t="s">
        <v>57</v>
      </c>
      <c r="I2682" t="s">
        <v>42</v>
      </c>
      <c r="J2682" s="4">
        <v>21.51</v>
      </c>
      <c r="K2682" s="4">
        <v>14.54</v>
      </c>
      <c r="L2682">
        <v>15</v>
      </c>
      <c r="M2682" s="4">
        <v>46.91</v>
      </c>
      <c r="N2682" s="4">
        <v>265.85000000000002</v>
      </c>
      <c r="O2682" s="4">
        <v>173.09</v>
      </c>
      <c r="P2682" s="4">
        <v>10.51</v>
      </c>
      <c r="Q2682" s="4">
        <v>4.6900000000000004</v>
      </c>
      <c r="R2682" s="4">
        <v>10.99</v>
      </c>
      <c r="S2682" s="4">
        <v>0</v>
      </c>
      <c r="T2682" s="4">
        <v>0</v>
      </c>
      <c r="U2682" s="4">
        <v>199.28</v>
      </c>
      <c r="V2682" s="4">
        <v>66.569999999999993</v>
      </c>
      <c r="W2682" t="s">
        <v>21</v>
      </c>
      <c r="X2682" t="s">
        <v>36</v>
      </c>
      <c r="Y2682" s="4">
        <v>23</v>
      </c>
      <c r="Z2682" s="4">
        <v>9</v>
      </c>
      <c r="AA2682" t="s">
        <v>52</v>
      </c>
      <c r="AB2682" t="s">
        <v>44</v>
      </c>
      <c r="AC2682" s="7">
        <v>1</v>
      </c>
      <c r="AD2682" t="s">
        <v>45</v>
      </c>
      <c r="AE2682">
        <f t="shared" si="41"/>
        <v>1</v>
      </c>
    </row>
    <row r="2683" spans="1:31" x14ac:dyDescent="0.35">
      <c r="A2683">
        <v>102682</v>
      </c>
      <c r="B2683" s="3">
        <v>46008</v>
      </c>
      <c r="C2683">
        <v>1009</v>
      </c>
      <c r="D2683" t="s">
        <v>47</v>
      </c>
      <c r="E2683" t="s">
        <v>56</v>
      </c>
      <c r="F2683" t="s">
        <v>49</v>
      </c>
      <c r="G2683" t="s">
        <v>63</v>
      </c>
      <c r="H2683" t="s">
        <v>34</v>
      </c>
      <c r="I2683" t="s">
        <v>35</v>
      </c>
      <c r="J2683" s="4">
        <v>16.14</v>
      </c>
      <c r="K2683" s="4">
        <v>12.26</v>
      </c>
      <c r="L2683">
        <v>15</v>
      </c>
      <c r="M2683" s="4">
        <v>29.68</v>
      </c>
      <c r="N2683" s="4">
        <v>168.2</v>
      </c>
      <c r="O2683" s="4">
        <v>124.52</v>
      </c>
      <c r="P2683" s="4">
        <v>5.63</v>
      </c>
      <c r="Q2683" s="4">
        <v>1.39</v>
      </c>
      <c r="R2683" s="4">
        <v>4.7699999999999996</v>
      </c>
      <c r="S2683" s="4">
        <v>0</v>
      </c>
      <c r="T2683" s="4">
        <v>0</v>
      </c>
      <c r="U2683" s="4">
        <v>136.31</v>
      </c>
      <c r="V2683" s="4">
        <v>31.89</v>
      </c>
      <c r="W2683" t="s">
        <v>21</v>
      </c>
      <c r="X2683" t="s">
        <v>36</v>
      </c>
      <c r="Y2683" s="4">
        <v>2</v>
      </c>
      <c r="Z2683" s="4">
        <v>6</v>
      </c>
      <c r="AA2683" t="s">
        <v>37</v>
      </c>
      <c r="AB2683" t="s">
        <v>38</v>
      </c>
      <c r="AC2683" s="7">
        <v>0</v>
      </c>
      <c r="AD2683" t="s">
        <v>39</v>
      </c>
      <c r="AE2683">
        <f t="shared" si="41"/>
        <v>0</v>
      </c>
    </row>
    <row r="2684" spans="1:31" x14ac:dyDescent="0.35">
      <c r="A2684">
        <v>102683</v>
      </c>
      <c r="B2684" s="3">
        <v>46019</v>
      </c>
      <c r="C2684">
        <v>1060</v>
      </c>
      <c r="D2684" t="s">
        <v>64</v>
      </c>
      <c r="E2684" t="s">
        <v>76</v>
      </c>
      <c r="F2684" t="s">
        <v>61</v>
      </c>
      <c r="G2684" t="s">
        <v>33</v>
      </c>
      <c r="H2684" t="s">
        <v>57</v>
      </c>
      <c r="I2684" t="s">
        <v>35</v>
      </c>
      <c r="J2684" s="4">
        <v>12.74</v>
      </c>
      <c r="K2684" s="4">
        <v>21.08</v>
      </c>
      <c r="L2684">
        <v>0</v>
      </c>
      <c r="M2684" s="4">
        <v>0</v>
      </c>
      <c r="N2684" s="4">
        <v>268.56</v>
      </c>
      <c r="O2684" s="4">
        <v>88.1</v>
      </c>
      <c r="P2684" s="4">
        <v>9.39</v>
      </c>
      <c r="Q2684" s="4">
        <v>1.88</v>
      </c>
      <c r="R2684" s="4">
        <v>6.47</v>
      </c>
      <c r="S2684" s="4">
        <v>0</v>
      </c>
      <c r="T2684" s="4">
        <v>0</v>
      </c>
      <c r="U2684" s="4">
        <v>105.84</v>
      </c>
      <c r="V2684" s="4">
        <v>162.72</v>
      </c>
      <c r="W2684" t="s">
        <v>21</v>
      </c>
      <c r="X2684" t="s">
        <v>36</v>
      </c>
      <c r="Y2684" s="4">
        <v>21</v>
      </c>
      <c r="Z2684" s="4">
        <v>5</v>
      </c>
      <c r="AA2684" t="s">
        <v>52</v>
      </c>
      <c r="AB2684" t="s">
        <v>44</v>
      </c>
      <c r="AC2684" s="7">
        <v>1</v>
      </c>
      <c r="AD2684" t="s">
        <v>45</v>
      </c>
      <c r="AE2684">
        <f t="shared" si="41"/>
        <v>1</v>
      </c>
    </row>
    <row r="2685" spans="1:31" x14ac:dyDescent="0.35">
      <c r="A2685">
        <v>102684</v>
      </c>
      <c r="B2685" s="3">
        <v>45998</v>
      </c>
      <c r="C2685">
        <v>1091</v>
      </c>
      <c r="D2685" t="s">
        <v>59</v>
      </c>
      <c r="E2685" t="s">
        <v>70</v>
      </c>
      <c r="F2685" t="s">
        <v>32</v>
      </c>
      <c r="G2685" t="s">
        <v>63</v>
      </c>
      <c r="H2685" t="s">
        <v>51</v>
      </c>
      <c r="I2685" t="s">
        <v>42</v>
      </c>
      <c r="J2685" s="4">
        <v>29.71</v>
      </c>
      <c r="K2685" s="4">
        <v>12.04</v>
      </c>
      <c r="L2685">
        <v>0</v>
      </c>
      <c r="M2685" s="4">
        <v>0</v>
      </c>
      <c r="N2685" s="4">
        <v>357.71</v>
      </c>
      <c r="O2685" s="4">
        <v>239.88</v>
      </c>
      <c r="P2685" s="4">
        <v>12.18</v>
      </c>
      <c r="Q2685" s="4">
        <v>5.37</v>
      </c>
      <c r="R2685" s="4">
        <v>4.91</v>
      </c>
      <c r="S2685" s="4">
        <v>315</v>
      </c>
      <c r="T2685" s="4">
        <v>6.44</v>
      </c>
      <c r="U2685" s="4">
        <v>583.78</v>
      </c>
      <c r="V2685" s="4">
        <v>-226.07</v>
      </c>
      <c r="W2685" t="s">
        <v>58</v>
      </c>
      <c r="X2685" t="s">
        <v>66</v>
      </c>
      <c r="Y2685" s="4">
        <v>30</v>
      </c>
      <c r="Z2685" s="4">
        <v>1</v>
      </c>
      <c r="AA2685" t="s">
        <v>52</v>
      </c>
      <c r="AB2685" t="s">
        <v>44</v>
      </c>
      <c r="AC2685" s="7">
        <v>1</v>
      </c>
      <c r="AD2685" t="s">
        <v>45</v>
      </c>
      <c r="AE2685">
        <f t="shared" si="41"/>
        <v>1</v>
      </c>
    </row>
    <row r="2686" spans="1:31" x14ac:dyDescent="0.35">
      <c r="A2686">
        <v>102685</v>
      </c>
      <c r="B2686" s="3">
        <v>45998</v>
      </c>
      <c r="C2686">
        <v>1044</v>
      </c>
      <c r="D2686" t="s">
        <v>30</v>
      </c>
      <c r="E2686" t="s">
        <v>62</v>
      </c>
      <c r="F2686" t="s">
        <v>32</v>
      </c>
      <c r="G2686" t="s">
        <v>63</v>
      </c>
      <c r="H2686" t="s">
        <v>57</v>
      </c>
      <c r="I2686" t="s">
        <v>35</v>
      </c>
      <c r="J2686" s="4">
        <v>18.47</v>
      </c>
      <c r="K2686" s="4">
        <v>13.59</v>
      </c>
      <c r="L2686">
        <v>5</v>
      </c>
      <c r="M2686" s="4">
        <v>12.55</v>
      </c>
      <c r="N2686" s="4">
        <v>238.46</v>
      </c>
      <c r="O2686" s="4">
        <v>133.16</v>
      </c>
      <c r="P2686" s="4">
        <v>7.9</v>
      </c>
      <c r="Q2686" s="4">
        <v>1.76</v>
      </c>
      <c r="R2686" s="4">
        <v>5.32</v>
      </c>
      <c r="S2686" s="4">
        <v>0</v>
      </c>
      <c r="T2686" s="4">
        <v>0</v>
      </c>
      <c r="U2686" s="4">
        <v>148.13999999999999</v>
      </c>
      <c r="V2686" s="4">
        <v>90.32</v>
      </c>
      <c r="W2686" t="s">
        <v>21</v>
      </c>
      <c r="X2686" t="s">
        <v>36</v>
      </c>
      <c r="Y2686" s="4">
        <v>32</v>
      </c>
      <c r="Z2686" s="4">
        <v>4</v>
      </c>
      <c r="AA2686" t="s">
        <v>43</v>
      </c>
      <c r="AB2686" t="s">
        <v>44</v>
      </c>
      <c r="AC2686" s="7">
        <v>4</v>
      </c>
      <c r="AD2686" t="s">
        <v>45</v>
      </c>
      <c r="AE2686">
        <f t="shared" si="41"/>
        <v>1</v>
      </c>
    </row>
    <row r="2687" spans="1:31" x14ac:dyDescent="0.35">
      <c r="A2687">
        <v>102686</v>
      </c>
      <c r="B2687" s="3">
        <v>45936</v>
      </c>
      <c r="C2687">
        <v>1015</v>
      </c>
      <c r="D2687" t="s">
        <v>64</v>
      </c>
      <c r="E2687" t="s">
        <v>65</v>
      </c>
      <c r="F2687" t="s">
        <v>41</v>
      </c>
      <c r="G2687" t="s">
        <v>46</v>
      </c>
      <c r="H2687" t="s">
        <v>34</v>
      </c>
      <c r="I2687" t="s">
        <v>54</v>
      </c>
      <c r="J2687" s="4">
        <v>33.65</v>
      </c>
      <c r="K2687" s="4">
        <v>15.98</v>
      </c>
      <c r="L2687">
        <v>20</v>
      </c>
      <c r="M2687" s="4">
        <v>107.55</v>
      </c>
      <c r="N2687" s="4">
        <v>430.18</v>
      </c>
      <c r="O2687" s="4">
        <v>253.17</v>
      </c>
      <c r="P2687" s="4">
        <v>10.41</v>
      </c>
      <c r="Q2687" s="4">
        <v>6.45</v>
      </c>
      <c r="R2687" s="4">
        <v>0</v>
      </c>
      <c r="S2687" s="4">
        <v>0</v>
      </c>
      <c r="T2687" s="4">
        <v>0</v>
      </c>
      <c r="U2687" s="4">
        <v>270.02999999999997</v>
      </c>
      <c r="V2687" s="4">
        <v>160.15</v>
      </c>
      <c r="W2687" t="s">
        <v>21</v>
      </c>
      <c r="X2687" t="s">
        <v>36</v>
      </c>
      <c r="Y2687" s="4">
        <v>6</v>
      </c>
      <c r="Z2687" s="4">
        <v>5</v>
      </c>
      <c r="AA2687" t="s">
        <v>37</v>
      </c>
      <c r="AB2687" t="s">
        <v>38</v>
      </c>
      <c r="AC2687" s="7">
        <v>0</v>
      </c>
      <c r="AD2687" t="s">
        <v>39</v>
      </c>
      <c r="AE2687">
        <f t="shared" si="41"/>
        <v>0</v>
      </c>
    </row>
    <row r="2688" spans="1:31" x14ac:dyDescent="0.35">
      <c r="A2688">
        <v>102687</v>
      </c>
      <c r="B2688" s="3">
        <v>45968</v>
      </c>
      <c r="C2688">
        <v>1057</v>
      </c>
      <c r="D2688" t="s">
        <v>64</v>
      </c>
      <c r="E2688" t="s">
        <v>65</v>
      </c>
      <c r="F2688" t="s">
        <v>71</v>
      </c>
      <c r="G2688" t="s">
        <v>63</v>
      </c>
      <c r="H2688" t="s">
        <v>34</v>
      </c>
      <c r="I2688" t="s">
        <v>54</v>
      </c>
      <c r="J2688" s="4">
        <v>17.27</v>
      </c>
      <c r="K2688" s="4">
        <v>13.54</v>
      </c>
      <c r="L2688">
        <v>5</v>
      </c>
      <c r="M2688" s="4">
        <v>11.69</v>
      </c>
      <c r="N2688" s="4">
        <v>222.15</v>
      </c>
      <c r="O2688" s="4">
        <v>131.18</v>
      </c>
      <c r="P2688" s="4">
        <v>3.26</v>
      </c>
      <c r="Q2688" s="4">
        <v>2.81</v>
      </c>
      <c r="R2688" s="4">
        <v>4.71</v>
      </c>
      <c r="S2688" s="4">
        <v>0</v>
      </c>
      <c r="T2688" s="4">
        <v>0</v>
      </c>
      <c r="U2688" s="4">
        <v>141.96</v>
      </c>
      <c r="V2688" s="4">
        <v>80.19</v>
      </c>
      <c r="W2688" t="s">
        <v>21</v>
      </c>
      <c r="X2688" t="s">
        <v>36</v>
      </c>
      <c r="Y2688" s="4">
        <v>10</v>
      </c>
      <c r="Z2688" s="4">
        <v>5</v>
      </c>
      <c r="AA2688" t="s">
        <v>37</v>
      </c>
      <c r="AB2688" t="s">
        <v>38</v>
      </c>
      <c r="AC2688" s="7">
        <v>0</v>
      </c>
      <c r="AD2688" t="s">
        <v>39</v>
      </c>
      <c r="AE2688">
        <f t="shared" si="41"/>
        <v>0</v>
      </c>
    </row>
    <row r="2689" spans="1:31" x14ac:dyDescent="0.35">
      <c r="A2689">
        <v>102688</v>
      </c>
      <c r="B2689" s="3">
        <v>45933</v>
      </c>
      <c r="C2689">
        <v>1104</v>
      </c>
      <c r="D2689" t="s">
        <v>47</v>
      </c>
      <c r="E2689" t="s">
        <v>48</v>
      </c>
      <c r="F2689" t="s">
        <v>41</v>
      </c>
      <c r="G2689" t="s">
        <v>46</v>
      </c>
      <c r="H2689" t="s">
        <v>51</v>
      </c>
      <c r="I2689" t="s">
        <v>42</v>
      </c>
      <c r="J2689" s="4">
        <v>21.66</v>
      </c>
      <c r="K2689" s="4">
        <v>15.99</v>
      </c>
      <c r="L2689">
        <v>0</v>
      </c>
      <c r="M2689" s="4">
        <v>0</v>
      </c>
      <c r="N2689" s="4">
        <v>346.34</v>
      </c>
      <c r="O2689" s="4">
        <v>151.1</v>
      </c>
      <c r="P2689" s="4">
        <v>6.8</v>
      </c>
      <c r="Q2689" s="4">
        <v>5.2</v>
      </c>
      <c r="R2689" s="4">
        <v>14.46</v>
      </c>
      <c r="S2689" s="4">
        <v>0</v>
      </c>
      <c r="T2689" s="4">
        <v>0</v>
      </c>
      <c r="U2689" s="4">
        <v>177.56</v>
      </c>
      <c r="V2689" s="4">
        <v>168.78</v>
      </c>
      <c r="W2689" t="s">
        <v>21</v>
      </c>
      <c r="X2689" t="s">
        <v>36</v>
      </c>
      <c r="Y2689" s="4">
        <v>12</v>
      </c>
      <c r="Z2689" s="4">
        <v>38</v>
      </c>
      <c r="AA2689" t="s">
        <v>37</v>
      </c>
      <c r="AB2689" t="s">
        <v>44</v>
      </c>
      <c r="AC2689" s="7">
        <v>3</v>
      </c>
      <c r="AD2689" t="s">
        <v>45</v>
      </c>
      <c r="AE2689">
        <f t="shared" si="41"/>
        <v>1</v>
      </c>
    </row>
    <row r="2690" spans="1:31" x14ac:dyDescent="0.35">
      <c r="A2690">
        <v>102689</v>
      </c>
      <c r="B2690" s="3">
        <v>45961</v>
      </c>
      <c r="C2690">
        <v>1014</v>
      </c>
      <c r="D2690" t="s">
        <v>30</v>
      </c>
      <c r="E2690" t="s">
        <v>31</v>
      </c>
      <c r="F2690" t="s">
        <v>49</v>
      </c>
      <c r="G2690" t="s">
        <v>46</v>
      </c>
      <c r="H2690" t="s">
        <v>34</v>
      </c>
      <c r="I2690" t="s">
        <v>35</v>
      </c>
      <c r="J2690" s="4">
        <v>24.37</v>
      </c>
      <c r="K2690" s="4">
        <v>15.28</v>
      </c>
      <c r="L2690">
        <v>0</v>
      </c>
      <c r="M2690" s="4">
        <v>0</v>
      </c>
      <c r="N2690" s="4">
        <v>372.37</v>
      </c>
      <c r="O2690" s="4">
        <v>149</v>
      </c>
      <c r="P2690" s="4">
        <v>7.94</v>
      </c>
      <c r="Q2690" s="4">
        <v>2.61</v>
      </c>
      <c r="R2690" s="4">
        <v>0.19</v>
      </c>
      <c r="S2690" s="4">
        <v>0</v>
      </c>
      <c r="T2690" s="4">
        <v>0</v>
      </c>
      <c r="U2690" s="4">
        <v>159.74</v>
      </c>
      <c r="V2690" s="4">
        <v>212.63</v>
      </c>
      <c r="W2690" t="s">
        <v>21</v>
      </c>
      <c r="X2690" t="s">
        <v>36</v>
      </c>
      <c r="Y2690" s="4">
        <v>12</v>
      </c>
      <c r="Z2690" s="4">
        <v>27</v>
      </c>
      <c r="AA2690" t="s">
        <v>37</v>
      </c>
      <c r="AB2690" t="s">
        <v>44</v>
      </c>
      <c r="AC2690" s="7">
        <v>1</v>
      </c>
      <c r="AD2690" t="s">
        <v>45</v>
      </c>
      <c r="AE2690">
        <f t="shared" si="41"/>
        <v>1</v>
      </c>
    </row>
    <row r="2691" spans="1:31" x14ac:dyDescent="0.35">
      <c r="A2691">
        <v>102690</v>
      </c>
      <c r="B2691" s="3">
        <v>45945</v>
      </c>
      <c r="C2691">
        <v>1045</v>
      </c>
      <c r="D2691" t="s">
        <v>59</v>
      </c>
      <c r="E2691" t="s">
        <v>70</v>
      </c>
      <c r="F2691" t="s">
        <v>71</v>
      </c>
      <c r="G2691" t="s">
        <v>46</v>
      </c>
      <c r="H2691" t="s">
        <v>57</v>
      </c>
      <c r="I2691" t="s">
        <v>54</v>
      </c>
      <c r="J2691" s="4">
        <v>30.23</v>
      </c>
      <c r="K2691" s="4">
        <v>16.16</v>
      </c>
      <c r="L2691">
        <v>20</v>
      </c>
      <c r="M2691" s="4">
        <v>97.7</v>
      </c>
      <c r="N2691" s="4">
        <v>390.82</v>
      </c>
      <c r="O2691" s="4">
        <v>175.68</v>
      </c>
      <c r="P2691" s="4">
        <v>8.26</v>
      </c>
      <c r="Q2691" s="4">
        <v>5.86</v>
      </c>
      <c r="R2691" s="4">
        <v>7.8</v>
      </c>
      <c r="S2691" s="4">
        <v>0</v>
      </c>
      <c r="T2691" s="4">
        <v>0</v>
      </c>
      <c r="U2691" s="4">
        <v>197.6</v>
      </c>
      <c r="V2691" s="4">
        <v>193.22</v>
      </c>
      <c r="W2691" t="s">
        <v>21</v>
      </c>
      <c r="X2691" t="s">
        <v>36</v>
      </c>
      <c r="Y2691" s="4">
        <v>0</v>
      </c>
      <c r="Z2691" s="4">
        <v>2</v>
      </c>
      <c r="AA2691" t="s">
        <v>37</v>
      </c>
      <c r="AB2691" t="s">
        <v>38</v>
      </c>
      <c r="AC2691" s="7">
        <v>0</v>
      </c>
      <c r="AD2691" t="s">
        <v>39</v>
      </c>
      <c r="AE2691">
        <f t="shared" ref="AE2691:AE2754" si="42">IF(AB2691="Yes",1,0)</f>
        <v>0</v>
      </c>
    </row>
    <row r="2692" spans="1:31" x14ac:dyDescent="0.35">
      <c r="A2692">
        <v>102691</v>
      </c>
      <c r="B2692" s="3">
        <v>46019</v>
      </c>
      <c r="C2692">
        <v>1114</v>
      </c>
      <c r="D2692" t="s">
        <v>59</v>
      </c>
      <c r="E2692" t="s">
        <v>70</v>
      </c>
      <c r="F2692" t="s">
        <v>32</v>
      </c>
      <c r="G2692" t="s">
        <v>50</v>
      </c>
      <c r="H2692" t="s">
        <v>34</v>
      </c>
      <c r="I2692" t="s">
        <v>35</v>
      </c>
      <c r="J2692" s="4">
        <v>19.45</v>
      </c>
      <c r="K2692" s="4">
        <v>17.71</v>
      </c>
      <c r="L2692">
        <v>0</v>
      </c>
      <c r="M2692" s="4">
        <v>0</v>
      </c>
      <c r="N2692" s="4">
        <v>344.46</v>
      </c>
      <c r="O2692" s="4">
        <v>164.36</v>
      </c>
      <c r="P2692" s="4">
        <v>1</v>
      </c>
      <c r="Q2692" s="4">
        <v>2.41</v>
      </c>
      <c r="R2692" s="4">
        <v>9.32</v>
      </c>
      <c r="S2692" s="4">
        <v>0</v>
      </c>
      <c r="T2692" s="4">
        <v>0</v>
      </c>
      <c r="U2692" s="4">
        <v>177.09</v>
      </c>
      <c r="V2692" s="4">
        <v>167.37</v>
      </c>
      <c r="W2692" t="s">
        <v>21</v>
      </c>
      <c r="X2692" t="s">
        <v>36</v>
      </c>
      <c r="Y2692" s="4">
        <v>21</v>
      </c>
      <c r="Z2692" s="4">
        <v>13</v>
      </c>
      <c r="AA2692" t="s">
        <v>52</v>
      </c>
      <c r="AB2692" t="s">
        <v>44</v>
      </c>
      <c r="AC2692" s="7">
        <v>1</v>
      </c>
      <c r="AD2692" t="s">
        <v>45</v>
      </c>
      <c r="AE2692">
        <f t="shared" si="42"/>
        <v>1</v>
      </c>
    </row>
    <row r="2693" spans="1:31" x14ac:dyDescent="0.35">
      <c r="A2693">
        <v>102692</v>
      </c>
      <c r="B2693" s="3">
        <v>46005</v>
      </c>
      <c r="C2693">
        <v>1058</v>
      </c>
      <c r="D2693" t="s">
        <v>47</v>
      </c>
      <c r="E2693" t="s">
        <v>48</v>
      </c>
      <c r="F2693" t="s">
        <v>71</v>
      </c>
      <c r="G2693" t="s">
        <v>63</v>
      </c>
      <c r="H2693" t="s">
        <v>34</v>
      </c>
      <c r="I2693" t="s">
        <v>35</v>
      </c>
      <c r="J2693" s="4">
        <v>13.68</v>
      </c>
      <c r="K2693" s="4">
        <v>11.77</v>
      </c>
      <c r="L2693">
        <v>15</v>
      </c>
      <c r="M2693" s="4">
        <v>24.15</v>
      </c>
      <c r="N2693" s="4">
        <v>136.86000000000001</v>
      </c>
      <c r="O2693" s="4">
        <v>94.73</v>
      </c>
      <c r="P2693" s="4">
        <v>9.5299999999999994</v>
      </c>
      <c r="Q2693" s="4">
        <v>1.1299999999999999</v>
      </c>
      <c r="R2693" s="4">
        <v>4.66</v>
      </c>
      <c r="S2693" s="4">
        <v>0</v>
      </c>
      <c r="T2693" s="4">
        <v>0</v>
      </c>
      <c r="U2693" s="4">
        <v>110.05</v>
      </c>
      <c r="V2693" s="4">
        <v>26.81</v>
      </c>
      <c r="W2693" t="s">
        <v>21</v>
      </c>
      <c r="X2693" t="s">
        <v>36</v>
      </c>
      <c r="Y2693" s="4">
        <v>1</v>
      </c>
      <c r="Z2693" s="4">
        <v>5</v>
      </c>
      <c r="AA2693" t="s">
        <v>37</v>
      </c>
      <c r="AB2693" t="s">
        <v>38</v>
      </c>
      <c r="AC2693" s="7">
        <v>0</v>
      </c>
      <c r="AD2693" t="s">
        <v>39</v>
      </c>
      <c r="AE2693">
        <f t="shared" si="42"/>
        <v>0</v>
      </c>
    </row>
    <row r="2694" spans="1:31" x14ac:dyDescent="0.35">
      <c r="A2694">
        <v>102693</v>
      </c>
      <c r="B2694" s="3">
        <v>45936</v>
      </c>
      <c r="C2694">
        <v>1137</v>
      </c>
      <c r="D2694" t="s">
        <v>30</v>
      </c>
      <c r="E2694" t="s">
        <v>62</v>
      </c>
      <c r="F2694" t="s">
        <v>32</v>
      </c>
      <c r="G2694" t="s">
        <v>46</v>
      </c>
      <c r="H2694" t="s">
        <v>57</v>
      </c>
      <c r="I2694" t="s">
        <v>35</v>
      </c>
      <c r="J2694" s="4">
        <v>24.89</v>
      </c>
      <c r="K2694" s="4">
        <v>16.399999999999999</v>
      </c>
      <c r="L2694">
        <v>0</v>
      </c>
      <c r="M2694" s="4">
        <v>0</v>
      </c>
      <c r="N2694" s="4">
        <v>408.2</v>
      </c>
      <c r="O2694" s="4">
        <v>176.04</v>
      </c>
      <c r="P2694" s="4">
        <v>6.26</v>
      </c>
      <c r="Q2694" s="4">
        <v>2.86</v>
      </c>
      <c r="R2694" s="4">
        <v>6.53</v>
      </c>
      <c r="S2694" s="4">
        <v>0</v>
      </c>
      <c r="T2694" s="4">
        <v>0</v>
      </c>
      <c r="U2694" s="4">
        <v>191.69</v>
      </c>
      <c r="V2694" s="4">
        <v>216.51</v>
      </c>
      <c r="W2694" t="s">
        <v>21</v>
      </c>
      <c r="X2694" t="s">
        <v>36</v>
      </c>
      <c r="Y2694" s="4">
        <v>25</v>
      </c>
      <c r="Z2694" s="4">
        <v>9</v>
      </c>
      <c r="AA2694" t="s">
        <v>52</v>
      </c>
      <c r="AB2694" t="s">
        <v>44</v>
      </c>
      <c r="AC2694" s="7">
        <v>3</v>
      </c>
      <c r="AD2694" t="s">
        <v>45</v>
      </c>
      <c r="AE2694">
        <f t="shared" si="42"/>
        <v>1</v>
      </c>
    </row>
    <row r="2695" spans="1:31" x14ac:dyDescent="0.35">
      <c r="A2695">
        <v>102694</v>
      </c>
      <c r="B2695" s="3">
        <v>45976</v>
      </c>
      <c r="C2695">
        <v>1114</v>
      </c>
      <c r="D2695" t="s">
        <v>59</v>
      </c>
      <c r="E2695" t="s">
        <v>73</v>
      </c>
      <c r="F2695" t="s">
        <v>49</v>
      </c>
      <c r="G2695" t="s">
        <v>50</v>
      </c>
      <c r="H2695" t="s">
        <v>57</v>
      </c>
      <c r="I2695" t="s">
        <v>35</v>
      </c>
      <c r="J2695" s="4">
        <v>19.059999999999999</v>
      </c>
      <c r="K2695" s="4">
        <v>17.14</v>
      </c>
      <c r="L2695">
        <v>10</v>
      </c>
      <c r="M2695" s="4">
        <v>32.67</v>
      </c>
      <c r="N2695" s="4">
        <v>294.02</v>
      </c>
      <c r="O2695" s="4">
        <v>158.78</v>
      </c>
      <c r="P2695" s="4">
        <v>7.68</v>
      </c>
      <c r="Q2695" s="4">
        <v>2.29</v>
      </c>
      <c r="R2695" s="4">
        <v>10.119999999999999</v>
      </c>
      <c r="S2695" s="4">
        <v>0</v>
      </c>
      <c r="T2695" s="4">
        <v>0</v>
      </c>
      <c r="U2695" s="4">
        <v>178.87</v>
      </c>
      <c r="V2695" s="4">
        <v>115.15</v>
      </c>
      <c r="W2695" t="s">
        <v>21</v>
      </c>
      <c r="X2695" t="s">
        <v>36</v>
      </c>
      <c r="Y2695" s="4">
        <v>2</v>
      </c>
      <c r="Z2695" s="4">
        <v>12</v>
      </c>
      <c r="AA2695" t="s">
        <v>37</v>
      </c>
      <c r="AB2695" t="s">
        <v>38</v>
      </c>
      <c r="AC2695" s="7">
        <v>0</v>
      </c>
      <c r="AD2695" t="s">
        <v>39</v>
      </c>
      <c r="AE2695">
        <f t="shared" si="42"/>
        <v>0</v>
      </c>
    </row>
    <row r="2696" spans="1:31" x14ac:dyDescent="0.35">
      <c r="A2696">
        <v>102695</v>
      </c>
      <c r="B2696" s="3">
        <v>45942</v>
      </c>
      <c r="C2696">
        <v>1097</v>
      </c>
      <c r="D2696" t="s">
        <v>47</v>
      </c>
      <c r="E2696" t="s">
        <v>56</v>
      </c>
      <c r="F2696" t="s">
        <v>71</v>
      </c>
      <c r="G2696" t="s">
        <v>33</v>
      </c>
      <c r="H2696" t="s">
        <v>34</v>
      </c>
      <c r="I2696" t="s">
        <v>35</v>
      </c>
      <c r="J2696" s="4">
        <v>14.36</v>
      </c>
      <c r="K2696" s="4">
        <v>20.02</v>
      </c>
      <c r="L2696">
        <v>10</v>
      </c>
      <c r="M2696" s="4">
        <v>28.75</v>
      </c>
      <c r="N2696" s="4">
        <v>258.74</v>
      </c>
      <c r="O2696" s="4">
        <v>96.19</v>
      </c>
      <c r="P2696" s="4">
        <v>10.92</v>
      </c>
      <c r="Q2696" s="4">
        <v>2.0099999999999998</v>
      </c>
      <c r="R2696" s="4">
        <v>6.38</v>
      </c>
      <c r="S2696" s="4">
        <v>0</v>
      </c>
      <c r="T2696" s="4">
        <v>0</v>
      </c>
      <c r="U2696" s="4">
        <v>115.5</v>
      </c>
      <c r="V2696" s="4">
        <v>143.24</v>
      </c>
      <c r="W2696" t="s">
        <v>21</v>
      </c>
      <c r="X2696" t="s">
        <v>36</v>
      </c>
      <c r="Y2696" s="4">
        <v>1</v>
      </c>
      <c r="Z2696" s="4">
        <v>7</v>
      </c>
      <c r="AA2696" t="s">
        <v>37</v>
      </c>
      <c r="AB2696" t="s">
        <v>38</v>
      </c>
      <c r="AC2696" s="7">
        <v>1</v>
      </c>
      <c r="AD2696" t="s">
        <v>39</v>
      </c>
      <c r="AE2696">
        <f t="shared" si="42"/>
        <v>0</v>
      </c>
    </row>
    <row r="2697" spans="1:31" x14ac:dyDescent="0.35">
      <c r="A2697">
        <v>102696</v>
      </c>
      <c r="B2697" s="3">
        <v>46000</v>
      </c>
      <c r="C2697">
        <v>1002</v>
      </c>
      <c r="D2697" t="s">
        <v>47</v>
      </c>
      <c r="E2697" t="s">
        <v>53</v>
      </c>
      <c r="F2697" t="s">
        <v>41</v>
      </c>
      <c r="G2697" t="s">
        <v>46</v>
      </c>
      <c r="H2697" t="s">
        <v>34</v>
      </c>
      <c r="I2697" t="s">
        <v>35</v>
      </c>
      <c r="J2697" s="4">
        <v>19.02</v>
      </c>
      <c r="K2697" s="4">
        <v>15.6</v>
      </c>
      <c r="L2697">
        <v>0</v>
      </c>
      <c r="M2697" s="4">
        <v>0</v>
      </c>
      <c r="N2697" s="4">
        <v>296.70999999999998</v>
      </c>
      <c r="O2697" s="4">
        <v>152.21</v>
      </c>
      <c r="P2697" s="4">
        <v>9.2899999999999991</v>
      </c>
      <c r="Q2697" s="4">
        <v>2.08</v>
      </c>
      <c r="R2697" s="4">
        <v>9.91</v>
      </c>
      <c r="S2697" s="4">
        <v>0</v>
      </c>
      <c r="T2697" s="4">
        <v>0</v>
      </c>
      <c r="U2697" s="4">
        <v>173.49</v>
      </c>
      <c r="V2697" s="4">
        <v>123.22</v>
      </c>
      <c r="W2697" t="s">
        <v>21</v>
      </c>
      <c r="X2697" t="s">
        <v>36</v>
      </c>
      <c r="Y2697" s="4">
        <v>12</v>
      </c>
      <c r="Z2697" s="4">
        <v>3</v>
      </c>
      <c r="AA2697" t="s">
        <v>37</v>
      </c>
      <c r="AB2697" t="s">
        <v>38</v>
      </c>
      <c r="AC2697" s="7">
        <v>0</v>
      </c>
      <c r="AD2697" t="s">
        <v>39</v>
      </c>
      <c r="AE2697">
        <f t="shared" si="42"/>
        <v>0</v>
      </c>
    </row>
    <row r="2698" spans="1:31" x14ac:dyDescent="0.35">
      <c r="A2698">
        <v>102697</v>
      </c>
      <c r="B2698" s="3">
        <v>45947</v>
      </c>
      <c r="C2698">
        <v>1143</v>
      </c>
      <c r="D2698" t="s">
        <v>30</v>
      </c>
      <c r="E2698" t="s">
        <v>62</v>
      </c>
      <c r="F2698" t="s">
        <v>61</v>
      </c>
      <c r="G2698" t="s">
        <v>63</v>
      </c>
      <c r="H2698" t="s">
        <v>57</v>
      </c>
      <c r="I2698" t="s">
        <v>35</v>
      </c>
      <c r="J2698" s="4">
        <v>19.02</v>
      </c>
      <c r="K2698" s="4">
        <v>11.91</v>
      </c>
      <c r="L2698">
        <v>20</v>
      </c>
      <c r="M2698" s="4">
        <v>45.31</v>
      </c>
      <c r="N2698" s="4">
        <v>181.22</v>
      </c>
      <c r="O2698" s="4">
        <v>144.47</v>
      </c>
      <c r="P2698" s="4">
        <v>10.29</v>
      </c>
      <c r="Q2698" s="4">
        <v>1.59</v>
      </c>
      <c r="R2698" s="4">
        <v>4.51</v>
      </c>
      <c r="S2698" s="4">
        <v>0</v>
      </c>
      <c r="T2698" s="4">
        <v>0</v>
      </c>
      <c r="U2698" s="4">
        <v>160.86000000000001</v>
      </c>
      <c r="V2698" s="4">
        <v>20.36</v>
      </c>
      <c r="W2698" t="s">
        <v>21</v>
      </c>
      <c r="X2698" t="s">
        <v>36</v>
      </c>
      <c r="Y2698" s="4">
        <v>40</v>
      </c>
      <c r="Z2698" s="4">
        <v>30</v>
      </c>
      <c r="AA2698" t="s">
        <v>43</v>
      </c>
      <c r="AB2698" t="s">
        <v>44</v>
      </c>
      <c r="AC2698" s="7">
        <v>1</v>
      </c>
      <c r="AD2698" t="s">
        <v>45</v>
      </c>
      <c r="AE2698">
        <f t="shared" si="42"/>
        <v>1</v>
      </c>
    </row>
    <row r="2699" spans="1:31" x14ac:dyDescent="0.35">
      <c r="A2699">
        <v>102698</v>
      </c>
      <c r="B2699" s="3">
        <v>45973</v>
      </c>
      <c r="C2699">
        <v>1025</v>
      </c>
      <c r="D2699" t="s">
        <v>47</v>
      </c>
      <c r="E2699" t="s">
        <v>74</v>
      </c>
      <c r="F2699" t="s">
        <v>61</v>
      </c>
      <c r="G2699" t="s">
        <v>33</v>
      </c>
      <c r="H2699" t="s">
        <v>34</v>
      </c>
      <c r="I2699" t="s">
        <v>42</v>
      </c>
      <c r="J2699" s="4">
        <v>16.86</v>
      </c>
      <c r="K2699" s="4">
        <v>19.28</v>
      </c>
      <c r="L2699">
        <v>5</v>
      </c>
      <c r="M2699" s="4">
        <v>16.25</v>
      </c>
      <c r="N2699" s="4">
        <v>308.81</v>
      </c>
      <c r="O2699" s="4">
        <v>125.67</v>
      </c>
      <c r="P2699" s="4">
        <v>7.95</v>
      </c>
      <c r="Q2699" s="4">
        <v>4.88</v>
      </c>
      <c r="R2699" s="4">
        <v>4.7699999999999996</v>
      </c>
      <c r="S2699" s="4">
        <v>0</v>
      </c>
      <c r="T2699" s="4">
        <v>0</v>
      </c>
      <c r="U2699" s="4">
        <v>143.27000000000001</v>
      </c>
      <c r="V2699" s="4">
        <v>165.54</v>
      </c>
      <c r="W2699" t="s">
        <v>21</v>
      </c>
      <c r="X2699" t="s">
        <v>36</v>
      </c>
      <c r="Y2699" s="4">
        <v>0</v>
      </c>
      <c r="Z2699" s="4">
        <v>10</v>
      </c>
      <c r="AA2699" t="s">
        <v>37</v>
      </c>
      <c r="AB2699" t="s">
        <v>38</v>
      </c>
      <c r="AC2699" s="7">
        <v>0</v>
      </c>
      <c r="AD2699" t="s">
        <v>39</v>
      </c>
      <c r="AE2699">
        <f t="shared" si="42"/>
        <v>0</v>
      </c>
    </row>
    <row r="2700" spans="1:31" x14ac:dyDescent="0.35">
      <c r="A2700">
        <v>102699</v>
      </c>
      <c r="B2700" s="3">
        <v>45958</v>
      </c>
      <c r="C2700">
        <v>1024</v>
      </c>
      <c r="D2700" t="s">
        <v>64</v>
      </c>
      <c r="E2700" t="s">
        <v>65</v>
      </c>
      <c r="F2700" t="s">
        <v>71</v>
      </c>
      <c r="G2700" t="s">
        <v>63</v>
      </c>
      <c r="H2700" t="s">
        <v>34</v>
      </c>
      <c r="I2700" t="s">
        <v>35</v>
      </c>
      <c r="J2700" s="4">
        <v>23.57</v>
      </c>
      <c r="K2700" s="4">
        <v>12.59</v>
      </c>
      <c r="L2700">
        <v>5</v>
      </c>
      <c r="M2700" s="4">
        <v>14.84</v>
      </c>
      <c r="N2700" s="4">
        <v>281.91000000000003</v>
      </c>
      <c r="O2700" s="4">
        <v>179.78</v>
      </c>
      <c r="P2700" s="4">
        <v>10.72</v>
      </c>
      <c r="Q2700" s="4">
        <v>2.08</v>
      </c>
      <c r="R2700" s="4">
        <v>12.87</v>
      </c>
      <c r="S2700" s="4">
        <v>0</v>
      </c>
      <c r="T2700" s="4">
        <v>0</v>
      </c>
      <c r="U2700" s="4">
        <v>205.45</v>
      </c>
      <c r="V2700" s="4">
        <v>76.459999999999994</v>
      </c>
      <c r="W2700" t="s">
        <v>21</v>
      </c>
      <c r="X2700" t="s">
        <v>36</v>
      </c>
      <c r="Y2700" s="4">
        <v>4</v>
      </c>
      <c r="Z2700" s="4">
        <v>3</v>
      </c>
      <c r="AA2700" t="s">
        <v>37</v>
      </c>
      <c r="AB2700" t="s">
        <v>38</v>
      </c>
      <c r="AC2700" s="7">
        <v>0</v>
      </c>
      <c r="AD2700" t="s">
        <v>39</v>
      </c>
      <c r="AE2700">
        <f t="shared" si="42"/>
        <v>0</v>
      </c>
    </row>
    <row r="2701" spans="1:31" x14ac:dyDescent="0.35">
      <c r="A2701">
        <v>102700</v>
      </c>
      <c r="B2701" s="3">
        <v>45942</v>
      </c>
      <c r="C2701">
        <v>1033</v>
      </c>
      <c r="D2701" t="s">
        <v>30</v>
      </c>
      <c r="E2701" t="s">
        <v>72</v>
      </c>
      <c r="F2701" t="s">
        <v>41</v>
      </c>
      <c r="G2701" t="s">
        <v>63</v>
      </c>
      <c r="H2701" t="s">
        <v>51</v>
      </c>
      <c r="I2701" t="s">
        <v>42</v>
      </c>
      <c r="J2701" s="4">
        <v>24.18</v>
      </c>
      <c r="K2701" s="4">
        <v>11.45</v>
      </c>
      <c r="L2701">
        <v>0</v>
      </c>
      <c r="M2701" s="4">
        <v>0</v>
      </c>
      <c r="N2701" s="4">
        <v>276.86</v>
      </c>
      <c r="O2701" s="4">
        <v>150.13999999999999</v>
      </c>
      <c r="P2701" s="4">
        <v>14.5</v>
      </c>
      <c r="Q2701" s="4">
        <v>4.1500000000000004</v>
      </c>
      <c r="R2701" s="4">
        <v>3.45</v>
      </c>
      <c r="S2701" s="4">
        <v>0</v>
      </c>
      <c r="T2701" s="4">
        <v>0</v>
      </c>
      <c r="U2701" s="4">
        <v>172.24</v>
      </c>
      <c r="V2701" s="4">
        <v>104.62</v>
      </c>
      <c r="W2701" t="s">
        <v>21</v>
      </c>
      <c r="X2701" t="s">
        <v>36</v>
      </c>
      <c r="Y2701" s="4">
        <v>16</v>
      </c>
      <c r="Z2701" s="4">
        <v>7</v>
      </c>
      <c r="AA2701" t="s">
        <v>52</v>
      </c>
      <c r="AB2701" t="s">
        <v>38</v>
      </c>
      <c r="AC2701" s="7">
        <v>0</v>
      </c>
      <c r="AD2701" t="s">
        <v>39</v>
      </c>
      <c r="AE2701">
        <f t="shared" si="42"/>
        <v>0</v>
      </c>
    </row>
    <row r="2702" spans="1:31" x14ac:dyDescent="0.35">
      <c r="A2702">
        <v>102701</v>
      </c>
      <c r="B2702" s="3">
        <v>46007</v>
      </c>
      <c r="C2702">
        <v>1049</v>
      </c>
      <c r="D2702" t="s">
        <v>30</v>
      </c>
      <c r="E2702" t="s">
        <v>40</v>
      </c>
      <c r="F2702" t="s">
        <v>32</v>
      </c>
      <c r="G2702" t="s">
        <v>63</v>
      </c>
      <c r="H2702" t="s">
        <v>34</v>
      </c>
      <c r="I2702" t="s">
        <v>69</v>
      </c>
      <c r="J2702" s="4">
        <v>29.18</v>
      </c>
      <c r="K2702" s="4">
        <v>13.12</v>
      </c>
      <c r="L2702">
        <v>15</v>
      </c>
      <c r="M2702" s="4">
        <v>57.43</v>
      </c>
      <c r="N2702" s="4">
        <v>325.41000000000003</v>
      </c>
      <c r="O2702" s="4">
        <v>212.38</v>
      </c>
      <c r="P2702" s="4">
        <v>15.18</v>
      </c>
      <c r="Q2702" s="4">
        <v>1.53</v>
      </c>
      <c r="R2702" s="4">
        <v>7.5</v>
      </c>
      <c r="S2702" s="4">
        <v>0</v>
      </c>
      <c r="T2702" s="4">
        <v>0</v>
      </c>
      <c r="U2702" s="4">
        <v>236.59</v>
      </c>
      <c r="V2702" s="4">
        <v>88.82</v>
      </c>
      <c r="W2702" t="s">
        <v>21</v>
      </c>
      <c r="X2702" t="s">
        <v>36</v>
      </c>
      <c r="Y2702" s="4">
        <v>27</v>
      </c>
      <c r="Z2702" s="4">
        <v>1</v>
      </c>
      <c r="AA2702" t="s">
        <v>52</v>
      </c>
      <c r="AB2702" t="s">
        <v>44</v>
      </c>
      <c r="AC2702" s="7">
        <v>2</v>
      </c>
      <c r="AD2702" t="s">
        <v>45</v>
      </c>
      <c r="AE2702">
        <f t="shared" si="42"/>
        <v>1</v>
      </c>
    </row>
    <row r="2703" spans="1:31" x14ac:dyDescent="0.35">
      <c r="A2703">
        <v>102702</v>
      </c>
      <c r="B2703" s="3">
        <v>46003</v>
      </c>
      <c r="C2703">
        <v>1142</v>
      </c>
      <c r="D2703" t="s">
        <v>30</v>
      </c>
      <c r="E2703" t="s">
        <v>62</v>
      </c>
      <c r="F2703" t="s">
        <v>49</v>
      </c>
      <c r="G2703" t="s">
        <v>46</v>
      </c>
      <c r="H2703" t="s">
        <v>57</v>
      </c>
      <c r="I2703" t="s">
        <v>35</v>
      </c>
      <c r="J2703" s="4">
        <v>26.27</v>
      </c>
      <c r="K2703" s="4">
        <v>16.170000000000002</v>
      </c>
      <c r="L2703">
        <v>5</v>
      </c>
      <c r="M2703" s="4">
        <v>21.24</v>
      </c>
      <c r="N2703" s="4">
        <v>403.55</v>
      </c>
      <c r="O2703" s="4">
        <v>196.02</v>
      </c>
      <c r="P2703" s="4">
        <v>6.64</v>
      </c>
      <c r="Q2703" s="4">
        <v>2.97</v>
      </c>
      <c r="R2703" s="4">
        <v>7.06</v>
      </c>
      <c r="S2703" s="4">
        <v>0</v>
      </c>
      <c r="T2703" s="4">
        <v>0</v>
      </c>
      <c r="U2703" s="4">
        <v>212.69</v>
      </c>
      <c r="V2703" s="4">
        <v>190.86</v>
      </c>
      <c r="W2703" t="s">
        <v>21</v>
      </c>
      <c r="X2703" t="s">
        <v>36</v>
      </c>
      <c r="Y2703" s="4">
        <v>20</v>
      </c>
      <c r="Z2703" s="4">
        <v>14</v>
      </c>
      <c r="AA2703" t="s">
        <v>52</v>
      </c>
      <c r="AB2703" t="s">
        <v>38</v>
      </c>
      <c r="AC2703" s="7">
        <v>0</v>
      </c>
      <c r="AD2703" t="s">
        <v>39</v>
      </c>
      <c r="AE2703">
        <f t="shared" si="42"/>
        <v>0</v>
      </c>
    </row>
    <row r="2704" spans="1:31" x14ac:dyDescent="0.35">
      <c r="A2704">
        <v>102703</v>
      </c>
      <c r="B2704" s="3">
        <v>45991</v>
      </c>
      <c r="C2704">
        <v>1113</v>
      </c>
      <c r="D2704" t="s">
        <v>59</v>
      </c>
      <c r="E2704" t="s">
        <v>68</v>
      </c>
      <c r="F2704" t="s">
        <v>41</v>
      </c>
      <c r="G2704" t="s">
        <v>63</v>
      </c>
      <c r="H2704" t="s">
        <v>34</v>
      </c>
      <c r="I2704" t="s">
        <v>69</v>
      </c>
      <c r="J2704" s="4">
        <v>29.1</v>
      </c>
      <c r="K2704" s="4">
        <v>11.29</v>
      </c>
      <c r="L2704">
        <v>10</v>
      </c>
      <c r="M2704" s="4">
        <v>32.85</v>
      </c>
      <c r="N2704" s="4">
        <v>295.69</v>
      </c>
      <c r="O2704" s="4">
        <v>253.49</v>
      </c>
      <c r="P2704" s="4">
        <v>11.98</v>
      </c>
      <c r="Q2704" s="4">
        <v>1.31</v>
      </c>
      <c r="R2704" s="4">
        <v>3.51</v>
      </c>
      <c r="S2704" s="4">
        <v>0</v>
      </c>
      <c r="T2704" s="4">
        <v>0</v>
      </c>
      <c r="U2704" s="4">
        <v>270.29000000000002</v>
      </c>
      <c r="V2704" s="4">
        <v>25.4</v>
      </c>
      <c r="W2704" t="s">
        <v>21</v>
      </c>
      <c r="X2704" t="s">
        <v>36</v>
      </c>
      <c r="Y2704" s="4">
        <v>6</v>
      </c>
      <c r="Z2704" s="4">
        <v>5</v>
      </c>
      <c r="AA2704" t="s">
        <v>37</v>
      </c>
      <c r="AB2704" t="s">
        <v>38</v>
      </c>
      <c r="AC2704" s="7">
        <v>0</v>
      </c>
      <c r="AD2704" t="s">
        <v>39</v>
      </c>
      <c r="AE2704">
        <f t="shared" si="42"/>
        <v>0</v>
      </c>
    </row>
    <row r="2705" spans="1:31" x14ac:dyDescent="0.35">
      <c r="A2705">
        <v>102704</v>
      </c>
      <c r="B2705" s="3">
        <v>45942</v>
      </c>
      <c r="C2705">
        <v>1086</v>
      </c>
      <c r="D2705" t="s">
        <v>30</v>
      </c>
      <c r="E2705" t="s">
        <v>31</v>
      </c>
      <c r="F2705" t="s">
        <v>61</v>
      </c>
      <c r="G2705" t="s">
        <v>50</v>
      </c>
      <c r="H2705" t="s">
        <v>57</v>
      </c>
      <c r="I2705" t="s">
        <v>35</v>
      </c>
      <c r="J2705" s="4">
        <v>24.75</v>
      </c>
      <c r="K2705" s="4">
        <v>17.55</v>
      </c>
      <c r="L2705">
        <v>10</v>
      </c>
      <c r="M2705" s="4">
        <v>43.44</v>
      </c>
      <c r="N2705" s="4">
        <v>390.92</v>
      </c>
      <c r="O2705" s="4">
        <v>155.66</v>
      </c>
      <c r="P2705" s="4">
        <v>7.55</v>
      </c>
      <c r="Q2705" s="4">
        <v>3.04</v>
      </c>
      <c r="R2705" s="4">
        <v>7</v>
      </c>
      <c r="S2705" s="4">
        <v>0</v>
      </c>
      <c r="T2705" s="4">
        <v>0</v>
      </c>
      <c r="U2705" s="4">
        <v>173.25</v>
      </c>
      <c r="V2705" s="4">
        <v>217.67</v>
      </c>
      <c r="W2705" t="s">
        <v>21</v>
      </c>
      <c r="X2705" t="s">
        <v>36</v>
      </c>
      <c r="Y2705" s="4">
        <v>39</v>
      </c>
      <c r="Z2705" s="4">
        <v>22</v>
      </c>
      <c r="AA2705" t="s">
        <v>43</v>
      </c>
      <c r="AB2705" t="s">
        <v>44</v>
      </c>
      <c r="AC2705" s="7">
        <v>3</v>
      </c>
      <c r="AD2705" t="s">
        <v>45</v>
      </c>
      <c r="AE2705">
        <f t="shared" si="42"/>
        <v>1</v>
      </c>
    </row>
    <row r="2706" spans="1:31" x14ac:dyDescent="0.35">
      <c r="A2706">
        <v>102705</v>
      </c>
      <c r="B2706" s="3">
        <v>46012</v>
      </c>
      <c r="C2706">
        <v>1067</v>
      </c>
      <c r="D2706" t="s">
        <v>59</v>
      </c>
      <c r="E2706" t="s">
        <v>70</v>
      </c>
      <c r="F2706" t="s">
        <v>71</v>
      </c>
      <c r="G2706" t="s">
        <v>46</v>
      </c>
      <c r="H2706" t="s">
        <v>51</v>
      </c>
      <c r="I2706" t="s">
        <v>35</v>
      </c>
      <c r="J2706" s="4">
        <v>29.82</v>
      </c>
      <c r="K2706" s="4">
        <v>14.48</v>
      </c>
      <c r="L2706">
        <v>0</v>
      </c>
      <c r="M2706" s="4">
        <v>0</v>
      </c>
      <c r="N2706" s="4">
        <v>431.79</v>
      </c>
      <c r="O2706" s="4">
        <v>220.69</v>
      </c>
      <c r="P2706" s="4">
        <v>5.7</v>
      </c>
      <c r="Q2706" s="4">
        <v>3.02</v>
      </c>
      <c r="R2706" s="4">
        <v>5.23</v>
      </c>
      <c r="S2706" s="4">
        <v>0</v>
      </c>
      <c r="T2706" s="4">
        <v>0</v>
      </c>
      <c r="U2706" s="4">
        <v>234.64</v>
      </c>
      <c r="V2706" s="4">
        <v>197.15</v>
      </c>
      <c r="W2706" t="s">
        <v>21</v>
      </c>
      <c r="X2706" t="s">
        <v>36</v>
      </c>
      <c r="Y2706" s="4">
        <v>9</v>
      </c>
      <c r="Z2706" s="4">
        <v>1</v>
      </c>
      <c r="AA2706" t="s">
        <v>37</v>
      </c>
      <c r="AB2706" t="s">
        <v>38</v>
      </c>
      <c r="AC2706" s="7">
        <v>0</v>
      </c>
      <c r="AD2706" t="s">
        <v>39</v>
      </c>
      <c r="AE2706">
        <f t="shared" si="42"/>
        <v>0</v>
      </c>
    </row>
    <row r="2707" spans="1:31" x14ac:dyDescent="0.35">
      <c r="A2707">
        <v>102706</v>
      </c>
      <c r="B2707" s="3">
        <v>46007</v>
      </c>
      <c r="C2707">
        <v>1051</v>
      </c>
      <c r="D2707" t="s">
        <v>64</v>
      </c>
      <c r="E2707" t="s">
        <v>76</v>
      </c>
      <c r="F2707" t="s">
        <v>61</v>
      </c>
      <c r="G2707" t="s">
        <v>46</v>
      </c>
      <c r="H2707" t="s">
        <v>34</v>
      </c>
      <c r="I2707" t="s">
        <v>35</v>
      </c>
      <c r="J2707" s="4">
        <v>26.22</v>
      </c>
      <c r="K2707" s="4">
        <v>15.95</v>
      </c>
      <c r="L2707">
        <v>15</v>
      </c>
      <c r="M2707" s="4">
        <v>62.73</v>
      </c>
      <c r="N2707" s="4">
        <v>355.48</v>
      </c>
      <c r="O2707" s="4">
        <v>176.95</v>
      </c>
      <c r="P2707" s="4">
        <v>12.11</v>
      </c>
      <c r="Q2707" s="4">
        <v>2.93</v>
      </c>
      <c r="R2707" s="4">
        <v>7</v>
      </c>
      <c r="S2707" s="4">
        <v>0</v>
      </c>
      <c r="T2707" s="4">
        <v>0</v>
      </c>
      <c r="U2707" s="4">
        <v>198.99</v>
      </c>
      <c r="V2707" s="4">
        <v>156.49</v>
      </c>
      <c r="W2707" t="s">
        <v>21</v>
      </c>
      <c r="X2707" t="s">
        <v>36</v>
      </c>
      <c r="Y2707" s="4">
        <v>14</v>
      </c>
      <c r="Z2707" s="4">
        <v>5</v>
      </c>
      <c r="AA2707" t="s">
        <v>37</v>
      </c>
      <c r="AB2707" t="s">
        <v>38</v>
      </c>
      <c r="AC2707" s="7">
        <v>0</v>
      </c>
      <c r="AD2707" t="s">
        <v>39</v>
      </c>
      <c r="AE2707">
        <f t="shared" si="42"/>
        <v>0</v>
      </c>
    </row>
    <row r="2708" spans="1:31" x14ac:dyDescent="0.35">
      <c r="A2708">
        <v>102707</v>
      </c>
      <c r="B2708" s="3">
        <v>45948</v>
      </c>
      <c r="C2708">
        <v>1088</v>
      </c>
      <c r="D2708" t="s">
        <v>47</v>
      </c>
      <c r="E2708" t="s">
        <v>53</v>
      </c>
      <c r="F2708" t="s">
        <v>41</v>
      </c>
      <c r="G2708" t="s">
        <v>63</v>
      </c>
      <c r="H2708" t="s">
        <v>34</v>
      </c>
      <c r="I2708" t="s">
        <v>35</v>
      </c>
      <c r="J2708" s="4">
        <v>29.23</v>
      </c>
      <c r="K2708" s="4">
        <v>13.14</v>
      </c>
      <c r="L2708">
        <v>15</v>
      </c>
      <c r="M2708" s="4">
        <v>57.61</v>
      </c>
      <c r="N2708" s="4">
        <v>326.47000000000003</v>
      </c>
      <c r="O2708" s="4">
        <v>189.13</v>
      </c>
      <c r="P2708" s="4">
        <v>5.18</v>
      </c>
      <c r="Q2708" s="4">
        <v>2.69</v>
      </c>
      <c r="R2708" s="4">
        <v>1.87</v>
      </c>
      <c r="S2708" s="4">
        <v>0</v>
      </c>
      <c r="T2708" s="4">
        <v>0</v>
      </c>
      <c r="U2708" s="4">
        <v>198.87</v>
      </c>
      <c r="V2708" s="4">
        <v>127.6</v>
      </c>
      <c r="W2708" t="s">
        <v>21</v>
      </c>
      <c r="X2708" t="s">
        <v>36</v>
      </c>
      <c r="Y2708" s="4">
        <v>21</v>
      </c>
      <c r="Z2708" s="4">
        <v>0</v>
      </c>
      <c r="AA2708" t="s">
        <v>52</v>
      </c>
      <c r="AB2708" t="s">
        <v>44</v>
      </c>
      <c r="AC2708" s="7">
        <v>1</v>
      </c>
      <c r="AD2708" t="s">
        <v>45</v>
      </c>
      <c r="AE2708">
        <f t="shared" si="42"/>
        <v>1</v>
      </c>
    </row>
    <row r="2709" spans="1:31" x14ac:dyDescent="0.35">
      <c r="A2709">
        <v>102708</v>
      </c>
      <c r="B2709" s="3">
        <v>45977</v>
      </c>
      <c r="C2709">
        <v>1098</v>
      </c>
      <c r="D2709" t="s">
        <v>64</v>
      </c>
      <c r="E2709" t="s">
        <v>65</v>
      </c>
      <c r="F2709" t="s">
        <v>71</v>
      </c>
      <c r="G2709" t="s">
        <v>63</v>
      </c>
      <c r="H2709" t="s">
        <v>34</v>
      </c>
      <c r="I2709" t="s">
        <v>35</v>
      </c>
      <c r="J2709" s="4">
        <v>14.05</v>
      </c>
      <c r="K2709" s="4">
        <v>12.13</v>
      </c>
      <c r="L2709">
        <v>10</v>
      </c>
      <c r="M2709" s="4">
        <v>17.04</v>
      </c>
      <c r="N2709" s="4">
        <v>153.38999999999999</v>
      </c>
      <c r="O2709" s="4">
        <v>92.96</v>
      </c>
      <c r="P2709" s="4">
        <v>5.33</v>
      </c>
      <c r="Q2709" s="4">
        <v>1.19</v>
      </c>
      <c r="R2709" s="4">
        <v>8.56</v>
      </c>
      <c r="S2709" s="4">
        <v>0</v>
      </c>
      <c r="T2709" s="4">
        <v>0</v>
      </c>
      <c r="U2709" s="4">
        <v>108.04</v>
      </c>
      <c r="V2709" s="4">
        <v>45.35</v>
      </c>
      <c r="W2709" t="s">
        <v>21</v>
      </c>
      <c r="X2709" t="s">
        <v>36</v>
      </c>
      <c r="Y2709" s="4">
        <v>3</v>
      </c>
      <c r="Z2709" s="4">
        <v>15</v>
      </c>
      <c r="AA2709" t="s">
        <v>37</v>
      </c>
      <c r="AB2709" t="s">
        <v>38</v>
      </c>
      <c r="AC2709" s="7">
        <v>0</v>
      </c>
      <c r="AD2709" t="s">
        <v>39</v>
      </c>
      <c r="AE2709">
        <f t="shared" si="42"/>
        <v>0</v>
      </c>
    </row>
    <row r="2710" spans="1:31" x14ac:dyDescent="0.35">
      <c r="A2710">
        <v>102709</v>
      </c>
      <c r="B2710" s="3">
        <v>45959</v>
      </c>
      <c r="C2710">
        <v>1112</v>
      </c>
      <c r="D2710" t="s">
        <v>47</v>
      </c>
      <c r="E2710" t="s">
        <v>74</v>
      </c>
      <c r="F2710" t="s">
        <v>41</v>
      </c>
      <c r="G2710" t="s">
        <v>46</v>
      </c>
      <c r="H2710" t="s">
        <v>34</v>
      </c>
      <c r="I2710" t="s">
        <v>54</v>
      </c>
      <c r="J2710" s="4">
        <v>27.37</v>
      </c>
      <c r="K2710" s="4">
        <v>14.49</v>
      </c>
      <c r="L2710">
        <v>5</v>
      </c>
      <c r="M2710" s="4">
        <v>19.829999999999998</v>
      </c>
      <c r="N2710" s="4">
        <v>376.76</v>
      </c>
      <c r="O2710" s="4">
        <v>223.25</v>
      </c>
      <c r="P2710" s="4">
        <v>5.24</v>
      </c>
      <c r="Q2710" s="4">
        <v>4.76</v>
      </c>
      <c r="R2710" s="4">
        <v>6.95</v>
      </c>
      <c r="S2710" s="4">
        <v>0</v>
      </c>
      <c r="T2710" s="4">
        <v>0</v>
      </c>
      <c r="U2710" s="4">
        <v>240.2</v>
      </c>
      <c r="V2710" s="4">
        <v>136.56</v>
      </c>
      <c r="W2710" t="s">
        <v>21</v>
      </c>
      <c r="X2710" t="s">
        <v>36</v>
      </c>
      <c r="Y2710" s="4">
        <v>22</v>
      </c>
      <c r="Z2710" s="4">
        <v>6</v>
      </c>
      <c r="AA2710" t="s">
        <v>52</v>
      </c>
      <c r="AB2710" t="s">
        <v>44</v>
      </c>
      <c r="AC2710" s="7">
        <v>2</v>
      </c>
      <c r="AD2710" t="s">
        <v>45</v>
      </c>
      <c r="AE2710">
        <f t="shared" si="42"/>
        <v>1</v>
      </c>
    </row>
    <row r="2711" spans="1:31" x14ac:dyDescent="0.35">
      <c r="A2711">
        <v>102710</v>
      </c>
      <c r="B2711" s="3">
        <v>46007</v>
      </c>
      <c r="C2711">
        <v>1079</v>
      </c>
      <c r="D2711" t="s">
        <v>47</v>
      </c>
      <c r="E2711" t="s">
        <v>48</v>
      </c>
      <c r="F2711" t="s">
        <v>49</v>
      </c>
      <c r="G2711" t="s">
        <v>50</v>
      </c>
      <c r="H2711" t="s">
        <v>51</v>
      </c>
      <c r="I2711" t="s">
        <v>35</v>
      </c>
      <c r="J2711" s="4">
        <v>33.22</v>
      </c>
      <c r="K2711" s="4">
        <v>17.46</v>
      </c>
      <c r="L2711">
        <v>5</v>
      </c>
      <c r="M2711" s="4">
        <v>29</v>
      </c>
      <c r="N2711" s="4">
        <v>551.02</v>
      </c>
      <c r="O2711" s="4">
        <v>235.5</v>
      </c>
      <c r="P2711" s="4">
        <v>7.52</v>
      </c>
      <c r="Q2711" s="4">
        <v>4.0599999999999996</v>
      </c>
      <c r="R2711" s="4">
        <v>4.05</v>
      </c>
      <c r="S2711" s="4">
        <v>0</v>
      </c>
      <c r="T2711" s="4">
        <v>0</v>
      </c>
      <c r="U2711" s="4">
        <v>251.13</v>
      </c>
      <c r="V2711" s="4">
        <v>299.89</v>
      </c>
      <c r="W2711" t="s">
        <v>21</v>
      </c>
      <c r="X2711" t="s">
        <v>36</v>
      </c>
      <c r="Y2711" s="4">
        <v>11</v>
      </c>
      <c r="Z2711" s="4">
        <v>14</v>
      </c>
      <c r="AA2711" t="s">
        <v>37</v>
      </c>
      <c r="AB2711" t="s">
        <v>38</v>
      </c>
      <c r="AC2711" s="7">
        <v>0</v>
      </c>
      <c r="AD2711" t="s">
        <v>39</v>
      </c>
      <c r="AE2711">
        <f t="shared" si="42"/>
        <v>0</v>
      </c>
    </row>
    <row r="2712" spans="1:31" x14ac:dyDescent="0.35">
      <c r="A2712">
        <v>102711</v>
      </c>
      <c r="B2712" s="3">
        <v>45987</v>
      </c>
      <c r="C2712">
        <v>1067</v>
      </c>
      <c r="D2712" t="s">
        <v>64</v>
      </c>
      <c r="E2712" t="s">
        <v>75</v>
      </c>
      <c r="F2712" t="s">
        <v>32</v>
      </c>
      <c r="G2712" t="s">
        <v>63</v>
      </c>
      <c r="H2712" t="s">
        <v>34</v>
      </c>
      <c r="I2712" t="s">
        <v>35</v>
      </c>
      <c r="J2712" s="4">
        <v>13.46</v>
      </c>
      <c r="K2712" s="4">
        <v>13.53</v>
      </c>
      <c r="L2712">
        <v>0</v>
      </c>
      <c r="M2712" s="4">
        <v>0</v>
      </c>
      <c r="N2712" s="4">
        <v>182.11</v>
      </c>
      <c r="O2712" s="4">
        <v>104.28</v>
      </c>
      <c r="P2712" s="4">
        <v>8.86</v>
      </c>
      <c r="Q2712" s="4">
        <v>1.27</v>
      </c>
      <c r="R2712" s="4">
        <v>3.19</v>
      </c>
      <c r="S2712" s="4">
        <v>0</v>
      </c>
      <c r="T2712" s="4">
        <v>0</v>
      </c>
      <c r="U2712" s="4">
        <v>117.6</v>
      </c>
      <c r="V2712" s="4">
        <v>64.510000000000005</v>
      </c>
      <c r="W2712" t="s">
        <v>21</v>
      </c>
      <c r="X2712" t="s">
        <v>36</v>
      </c>
      <c r="Y2712" s="4">
        <v>2</v>
      </c>
      <c r="Z2712" s="4">
        <v>10</v>
      </c>
      <c r="AA2712" t="s">
        <v>37</v>
      </c>
      <c r="AB2712" t="s">
        <v>38</v>
      </c>
      <c r="AC2712" s="7">
        <v>0</v>
      </c>
      <c r="AD2712" t="s">
        <v>39</v>
      </c>
      <c r="AE2712">
        <f t="shared" si="42"/>
        <v>0</v>
      </c>
    </row>
    <row r="2713" spans="1:31" x14ac:dyDescent="0.35">
      <c r="A2713">
        <v>102712</v>
      </c>
      <c r="B2713" s="3">
        <v>45998</v>
      </c>
      <c r="C2713">
        <v>1010</v>
      </c>
      <c r="D2713" t="s">
        <v>47</v>
      </c>
      <c r="E2713" t="s">
        <v>74</v>
      </c>
      <c r="F2713" t="s">
        <v>61</v>
      </c>
      <c r="G2713" t="s">
        <v>63</v>
      </c>
      <c r="H2713" t="s">
        <v>34</v>
      </c>
      <c r="I2713" t="s">
        <v>35</v>
      </c>
      <c r="J2713" s="4">
        <v>16.670000000000002</v>
      </c>
      <c r="K2713" s="4">
        <v>12.83</v>
      </c>
      <c r="L2713">
        <v>20</v>
      </c>
      <c r="M2713" s="4">
        <v>42.78</v>
      </c>
      <c r="N2713" s="4">
        <v>171.1</v>
      </c>
      <c r="O2713" s="4">
        <v>96.21</v>
      </c>
      <c r="P2713" s="4">
        <v>9.3699999999999992</v>
      </c>
      <c r="Q2713" s="4">
        <v>1.5</v>
      </c>
      <c r="R2713" s="4">
        <v>5.98</v>
      </c>
      <c r="S2713" s="4">
        <v>0</v>
      </c>
      <c r="T2713" s="4">
        <v>0</v>
      </c>
      <c r="U2713" s="4">
        <v>113.06</v>
      </c>
      <c r="V2713" s="4">
        <v>58.04</v>
      </c>
      <c r="W2713" t="s">
        <v>21</v>
      </c>
      <c r="X2713" t="s">
        <v>36</v>
      </c>
      <c r="Y2713" s="4">
        <v>4</v>
      </c>
      <c r="Z2713" s="4">
        <v>4</v>
      </c>
      <c r="AA2713" t="s">
        <v>37</v>
      </c>
      <c r="AB2713" t="s">
        <v>38</v>
      </c>
      <c r="AC2713" s="7">
        <v>0</v>
      </c>
      <c r="AD2713" t="s">
        <v>39</v>
      </c>
      <c r="AE2713">
        <f t="shared" si="42"/>
        <v>0</v>
      </c>
    </row>
    <row r="2714" spans="1:31" x14ac:dyDescent="0.35">
      <c r="A2714">
        <v>102713</v>
      </c>
      <c r="B2714" s="3">
        <v>45999</v>
      </c>
      <c r="C2714">
        <v>1024</v>
      </c>
      <c r="D2714" t="s">
        <v>64</v>
      </c>
      <c r="E2714" t="s">
        <v>76</v>
      </c>
      <c r="F2714" t="s">
        <v>61</v>
      </c>
      <c r="G2714" t="s">
        <v>46</v>
      </c>
      <c r="H2714" t="s">
        <v>34</v>
      </c>
      <c r="I2714" t="s">
        <v>42</v>
      </c>
      <c r="J2714" s="4">
        <v>23.41</v>
      </c>
      <c r="K2714" s="4">
        <v>16.09</v>
      </c>
      <c r="L2714">
        <v>0</v>
      </c>
      <c r="M2714" s="4">
        <v>0</v>
      </c>
      <c r="N2714" s="4">
        <v>376.67</v>
      </c>
      <c r="O2714" s="4">
        <v>193.5</v>
      </c>
      <c r="P2714" s="4">
        <v>6.19</v>
      </c>
      <c r="Q2714" s="4">
        <v>5.65</v>
      </c>
      <c r="R2714" s="4">
        <v>11.3</v>
      </c>
      <c r="S2714" s="4">
        <v>0</v>
      </c>
      <c r="T2714" s="4">
        <v>0</v>
      </c>
      <c r="U2714" s="4">
        <v>216.64</v>
      </c>
      <c r="V2714" s="4">
        <v>160.03</v>
      </c>
      <c r="W2714" t="s">
        <v>21</v>
      </c>
      <c r="X2714" t="s">
        <v>36</v>
      </c>
      <c r="Y2714" s="4">
        <v>7</v>
      </c>
      <c r="Z2714" s="4">
        <v>2</v>
      </c>
      <c r="AA2714" t="s">
        <v>37</v>
      </c>
      <c r="AB2714" t="s">
        <v>38</v>
      </c>
      <c r="AC2714" s="7">
        <v>0</v>
      </c>
      <c r="AD2714" t="s">
        <v>39</v>
      </c>
      <c r="AE2714">
        <f t="shared" si="42"/>
        <v>0</v>
      </c>
    </row>
    <row r="2715" spans="1:31" x14ac:dyDescent="0.35">
      <c r="A2715">
        <v>102714</v>
      </c>
      <c r="B2715" s="3">
        <v>46017</v>
      </c>
      <c r="C2715">
        <v>1036</v>
      </c>
      <c r="D2715" t="s">
        <v>64</v>
      </c>
      <c r="E2715" t="s">
        <v>67</v>
      </c>
      <c r="F2715" t="s">
        <v>71</v>
      </c>
      <c r="G2715" t="s">
        <v>46</v>
      </c>
      <c r="H2715" t="s">
        <v>34</v>
      </c>
      <c r="I2715" t="s">
        <v>54</v>
      </c>
      <c r="J2715" s="4">
        <v>17.649999999999999</v>
      </c>
      <c r="K2715" s="4">
        <v>16.739999999999998</v>
      </c>
      <c r="L2715">
        <v>0</v>
      </c>
      <c r="M2715" s="4">
        <v>0</v>
      </c>
      <c r="N2715" s="4">
        <v>295.45999999999998</v>
      </c>
      <c r="O2715" s="4">
        <v>139.11000000000001</v>
      </c>
      <c r="P2715" s="4">
        <v>7.74</v>
      </c>
      <c r="Q2715" s="4">
        <v>3.55</v>
      </c>
      <c r="R2715" s="4">
        <v>0</v>
      </c>
      <c r="S2715" s="4">
        <v>154.72999999999999</v>
      </c>
      <c r="T2715" s="4">
        <v>0</v>
      </c>
      <c r="U2715" s="4">
        <v>305.13</v>
      </c>
      <c r="V2715" s="4">
        <v>-9.67</v>
      </c>
      <c r="W2715" t="s">
        <v>58</v>
      </c>
      <c r="X2715" t="s">
        <v>66</v>
      </c>
      <c r="Y2715" s="4">
        <v>21</v>
      </c>
      <c r="Z2715" s="4">
        <v>6</v>
      </c>
      <c r="AA2715" t="s">
        <v>52</v>
      </c>
      <c r="AB2715" t="s">
        <v>44</v>
      </c>
      <c r="AC2715" s="7">
        <v>2</v>
      </c>
      <c r="AD2715" t="s">
        <v>45</v>
      </c>
      <c r="AE2715">
        <f t="shared" si="42"/>
        <v>1</v>
      </c>
    </row>
    <row r="2716" spans="1:31" x14ac:dyDescent="0.35">
      <c r="A2716">
        <v>102715</v>
      </c>
      <c r="B2716" s="3">
        <v>45952</v>
      </c>
      <c r="C2716">
        <v>1133</v>
      </c>
      <c r="D2716" t="s">
        <v>59</v>
      </c>
      <c r="E2716" t="s">
        <v>70</v>
      </c>
      <c r="F2716" t="s">
        <v>61</v>
      </c>
      <c r="G2716" t="s">
        <v>46</v>
      </c>
      <c r="H2716" t="s">
        <v>34</v>
      </c>
      <c r="I2716" t="s">
        <v>42</v>
      </c>
      <c r="J2716" s="4">
        <v>27.34</v>
      </c>
      <c r="K2716" s="4">
        <v>15.39</v>
      </c>
      <c r="L2716">
        <v>0</v>
      </c>
      <c r="M2716" s="4">
        <v>0</v>
      </c>
      <c r="N2716" s="4">
        <v>420.76</v>
      </c>
      <c r="O2716" s="4">
        <v>160.11000000000001</v>
      </c>
      <c r="P2716" s="4">
        <v>7.7</v>
      </c>
      <c r="Q2716" s="4">
        <v>6.31</v>
      </c>
      <c r="R2716" s="4">
        <v>10.16</v>
      </c>
      <c r="S2716" s="4">
        <v>0</v>
      </c>
      <c r="T2716" s="4">
        <v>0</v>
      </c>
      <c r="U2716" s="4">
        <v>184.28</v>
      </c>
      <c r="V2716" s="4">
        <v>236.48</v>
      </c>
      <c r="W2716" t="s">
        <v>21</v>
      </c>
      <c r="X2716" t="s">
        <v>36</v>
      </c>
      <c r="Y2716" s="4">
        <v>9</v>
      </c>
      <c r="Z2716" s="4">
        <v>8</v>
      </c>
      <c r="AA2716" t="s">
        <v>37</v>
      </c>
      <c r="AB2716" t="s">
        <v>38</v>
      </c>
      <c r="AC2716" s="7">
        <v>1</v>
      </c>
      <c r="AD2716" t="s">
        <v>39</v>
      </c>
      <c r="AE2716">
        <f t="shared" si="42"/>
        <v>0</v>
      </c>
    </row>
    <row r="2717" spans="1:31" x14ac:dyDescent="0.35">
      <c r="A2717">
        <v>102716</v>
      </c>
      <c r="B2717" s="3">
        <v>45961</v>
      </c>
      <c r="C2717">
        <v>1059</v>
      </c>
      <c r="D2717" t="s">
        <v>30</v>
      </c>
      <c r="E2717" t="s">
        <v>31</v>
      </c>
      <c r="F2717" t="s">
        <v>71</v>
      </c>
      <c r="G2717" t="s">
        <v>50</v>
      </c>
      <c r="H2717" t="s">
        <v>34</v>
      </c>
      <c r="I2717" t="s">
        <v>35</v>
      </c>
      <c r="J2717" s="4">
        <v>22.83</v>
      </c>
      <c r="K2717" s="4">
        <v>17.420000000000002</v>
      </c>
      <c r="L2717">
        <v>0</v>
      </c>
      <c r="M2717" s="4">
        <v>0</v>
      </c>
      <c r="N2717" s="4">
        <v>397.7</v>
      </c>
      <c r="O2717" s="4">
        <v>170.27</v>
      </c>
      <c r="P2717" s="4">
        <v>4.17</v>
      </c>
      <c r="Q2717" s="4">
        <v>2.78</v>
      </c>
      <c r="R2717" s="4">
        <v>3.66</v>
      </c>
      <c r="S2717" s="4">
        <v>0</v>
      </c>
      <c r="T2717" s="4">
        <v>0</v>
      </c>
      <c r="U2717" s="4">
        <v>180.88</v>
      </c>
      <c r="V2717" s="4">
        <v>216.82</v>
      </c>
      <c r="W2717" t="s">
        <v>21</v>
      </c>
      <c r="X2717" t="s">
        <v>36</v>
      </c>
      <c r="Y2717" s="4">
        <v>24</v>
      </c>
      <c r="Z2717" s="4">
        <v>3</v>
      </c>
      <c r="AA2717" t="s">
        <v>52</v>
      </c>
      <c r="AB2717" t="s">
        <v>44</v>
      </c>
      <c r="AC2717" s="7">
        <v>3</v>
      </c>
      <c r="AD2717" t="s">
        <v>45</v>
      </c>
      <c r="AE2717">
        <f t="shared" si="42"/>
        <v>1</v>
      </c>
    </row>
    <row r="2718" spans="1:31" x14ac:dyDescent="0.35">
      <c r="A2718">
        <v>102717</v>
      </c>
      <c r="B2718" s="3">
        <v>45959</v>
      </c>
      <c r="C2718">
        <v>1021</v>
      </c>
      <c r="D2718" t="s">
        <v>47</v>
      </c>
      <c r="E2718" t="s">
        <v>74</v>
      </c>
      <c r="F2718" t="s">
        <v>71</v>
      </c>
      <c r="G2718" t="s">
        <v>33</v>
      </c>
      <c r="H2718" t="s">
        <v>34</v>
      </c>
      <c r="I2718" t="s">
        <v>69</v>
      </c>
      <c r="J2718" s="4">
        <v>31.56</v>
      </c>
      <c r="K2718" s="4">
        <v>19.989999999999998</v>
      </c>
      <c r="L2718">
        <v>0</v>
      </c>
      <c r="M2718" s="4">
        <v>0</v>
      </c>
      <c r="N2718" s="4">
        <v>630.88</v>
      </c>
      <c r="O2718" s="4">
        <v>213</v>
      </c>
      <c r="P2718" s="4">
        <v>12.16</v>
      </c>
      <c r="Q2718" s="4">
        <v>2.52</v>
      </c>
      <c r="R2718" s="4">
        <v>10.11</v>
      </c>
      <c r="S2718" s="4">
        <v>0</v>
      </c>
      <c r="T2718" s="4">
        <v>0</v>
      </c>
      <c r="U2718" s="4">
        <v>237.79</v>
      </c>
      <c r="V2718" s="4">
        <v>393.09</v>
      </c>
      <c r="W2718" t="s">
        <v>21</v>
      </c>
      <c r="X2718" t="s">
        <v>36</v>
      </c>
      <c r="Y2718" s="4">
        <v>4</v>
      </c>
      <c r="Z2718" s="4">
        <v>5</v>
      </c>
      <c r="AA2718" t="s">
        <v>37</v>
      </c>
      <c r="AB2718" t="s">
        <v>38</v>
      </c>
      <c r="AC2718" s="7">
        <v>0</v>
      </c>
      <c r="AD2718" t="s">
        <v>39</v>
      </c>
      <c r="AE2718">
        <f t="shared" si="42"/>
        <v>0</v>
      </c>
    </row>
    <row r="2719" spans="1:31" x14ac:dyDescent="0.35">
      <c r="A2719">
        <v>102718</v>
      </c>
      <c r="B2719" s="3">
        <v>45960</v>
      </c>
      <c r="C2719">
        <v>1014</v>
      </c>
      <c r="D2719" t="s">
        <v>64</v>
      </c>
      <c r="E2719" t="s">
        <v>67</v>
      </c>
      <c r="F2719" t="s">
        <v>41</v>
      </c>
      <c r="G2719" t="s">
        <v>46</v>
      </c>
      <c r="H2719" t="s">
        <v>57</v>
      </c>
      <c r="I2719" t="s">
        <v>35</v>
      </c>
      <c r="J2719" s="4">
        <v>29.36</v>
      </c>
      <c r="K2719" s="4">
        <v>16.61</v>
      </c>
      <c r="L2719">
        <v>10</v>
      </c>
      <c r="M2719" s="4">
        <v>48.77</v>
      </c>
      <c r="N2719" s="4">
        <v>438.9</v>
      </c>
      <c r="O2719" s="4">
        <v>194.91</v>
      </c>
      <c r="P2719" s="4">
        <v>9.42</v>
      </c>
      <c r="Q2719" s="4">
        <v>3.41</v>
      </c>
      <c r="R2719" s="4">
        <v>4.93</v>
      </c>
      <c r="S2719" s="4">
        <v>0</v>
      </c>
      <c r="T2719" s="4">
        <v>0</v>
      </c>
      <c r="U2719" s="4">
        <v>212.67</v>
      </c>
      <c r="V2719" s="4">
        <v>226.23</v>
      </c>
      <c r="W2719" t="s">
        <v>21</v>
      </c>
      <c r="X2719" t="s">
        <v>36</v>
      </c>
      <c r="Y2719" s="4">
        <v>5</v>
      </c>
      <c r="Z2719" s="4">
        <v>1</v>
      </c>
      <c r="AA2719" t="s">
        <v>37</v>
      </c>
      <c r="AB2719" t="s">
        <v>38</v>
      </c>
      <c r="AC2719" s="7">
        <v>0</v>
      </c>
      <c r="AD2719" t="s">
        <v>39</v>
      </c>
      <c r="AE2719">
        <f t="shared" si="42"/>
        <v>0</v>
      </c>
    </row>
    <row r="2720" spans="1:31" x14ac:dyDescent="0.35">
      <c r="A2720">
        <v>102719</v>
      </c>
      <c r="B2720" s="3">
        <v>45975</v>
      </c>
      <c r="C2720">
        <v>1108</v>
      </c>
      <c r="D2720" t="s">
        <v>59</v>
      </c>
      <c r="E2720" t="s">
        <v>60</v>
      </c>
      <c r="F2720" t="s">
        <v>49</v>
      </c>
      <c r="G2720" t="s">
        <v>46</v>
      </c>
      <c r="H2720" t="s">
        <v>34</v>
      </c>
      <c r="I2720" t="s">
        <v>35</v>
      </c>
      <c r="J2720" s="4">
        <v>25.58</v>
      </c>
      <c r="K2720" s="4">
        <v>15.65</v>
      </c>
      <c r="L2720">
        <v>0</v>
      </c>
      <c r="M2720" s="4">
        <v>0</v>
      </c>
      <c r="N2720" s="4">
        <v>400.33</v>
      </c>
      <c r="O2720" s="4">
        <v>182.87</v>
      </c>
      <c r="P2720" s="4">
        <v>9.15</v>
      </c>
      <c r="Q2720" s="4">
        <v>2.8</v>
      </c>
      <c r="R2720" s="4">
        <v>10.55</v>
      </c>
      <c r="S2720" s="4">
        <v>0</v>
      </c>
      <c r="T2720" s="4">
        <v>0</v>
      </c>
      <c r="U2720" s="4">
        <v>205.37</v>
      </c>
      <c r="V2720" s="4">
        <v>194.96</v>
      </c>
      <c r="W2720" t="s">
        <v>21</v>
      </c>
      <c r="X2720" t="s">
        <v>36</v>
      </c>
      <c r="Y2720" s="4">
        <v>2</v>
      </c>
      <c r="Z2720" s="4">
        <v>4</v>
      </c>
      <c r="AA2720" t="s">
        <v>37</v>
      </c>
      <c r="AB2720" t="s">
        <v>38</v>
      </c>
      <c r="AC2720" s="7">
        <v>0</v>
      </c>
      <c r="AD2720" t="s">
        <v>39</v>
      </c>
      <c r="AE2720">
        <f t="shared" si="42"/>
        <v>0</v>
      </c>
    </row>
    <row r="2721" spans="1:31" x14ac:dyDescent="0.35">
      <c r="A2721">
        <v>102720</v>
      </c>
      <c r="B2721" s="3">
        <v>46016</v>
      </c>
      <c r="C2721">
        <v>1117</v>
      </c>
      <c r="D2721" t="s">
        <v>47</v>
      </c>
      <c r="E2721" t="s">
        <v>53</v>
      </c>
      <c r="F2721" t="s">
        <v>71</v>
      </c>
      <c r="G2721" t="s">
        <v>33</v>
      </c>
      <c r="H2721" t="s">
        <v>57</v>
      </c>
      <c r="I2721" t="s">
        <v>42</v>
      </c>
      <c r="J2721" s="4">
        <v>30.5</v>
      </c>
      <c r="K2721" s="4">
        <v>19.309999999999999</v>
      </c>
      <c r="L2721">
        <v>15</v>
      </c>
      <c r="M2721" s="4">
        <v>88.34</v>
      </c>
      <c r="N2721" s="4">
        <v>500.61</v>
      </c>
      <c r="O2721" s="4">
        <v>221.1</v>
      </c>
      <c r="P2721" s="4">
        <v>10.1</v>
      </c>
      <c r="Q2721" s="4">
        <v>8.83</v>
      </c>
      <c r="R2721" s="4">
        <v>3.74</v>
      </c>
      <c r="S2721" s="4">
        <v>0</v>
      </c>
      <c r="T2721" s="4">
        <v>0</v>
      </c>
      <c r="U2721" s="4">
        <v>243.77</v>
      </c>
      <c r="V2721" s="4">
        <v>256.83999999999997</v>
      </c>
      <c r="W2721" t="s">
        <v>21</v>
      </c>
      <c r="X2721" t="s">
        <v>36</v>
      </c>
      <c r="Y2721" s="4">
        <v>5</v>
      </c>
      <c r="Z2721" s="4">
        <v>13</v>
      </c>
      <c r="AA2721" t="s">
        <v>37</v>
      </c>
      <c r="AB2721" t="s">
        <v>38</v>
      </c>
      <c r="AC2721" s="7">
        <v>0</v>
      </c>
      <c r="AD2721" t="s">
        <v>39</v>
      </c>
      <c r="AE2721">
        <f t="shared" si="42"/>
        <v>0</v>
      </c>
    </row>
    <row r="2722" spans="1:31" x14ac:dyDescent="0.35">
      <c r="A2722">
        <v>102721</v>
      </c>
      <c r="B2722" s="3">
        <v>45988</v>
      </c>
      <c r="C2722">
        <v>1080</v>
      </c>
      <c r="D2722" t="s">
        <v>59</v>
      </c>
      <c r="E2722" t="s">
        <v>70</v>
      </c>
      <c r="F2722" t="s">
        <v>71</v>
      </c>
      <c r="G2722" t="s">
        <v>50</v>
      </c>
      <c r="H2722" t="s">
        <v>34</v>
      </c>
      <c r="I2722" t="s">
        <v>35</v>
      </c>
      <c r="J2722" s="4">
        <v>18.86</v>
      </c>
      <c r="K2722" s="4">
        <v>17.54</v>
      </c>
      <c r="L2722">
        <v>5</v>
      </c>
      <c r="M2722" s="4">
        <v>16.54</v>
      </c>
      <c r="N2722" s="4">
        <v>314.26</v>
      </c>
      <c r="O2722" s="4">
        <v>134.08000000000001</v>
      </c>
      <c r="P2722" s="4">
        <v>11.8</v>
      </c>
      <c r="Q2722" s="4">
        <v>2.3199999999999998</v>
      </c>
      <c r="R2722" s="4">
        <v>0.31</v>
      </c>
      <c r="S2722" s="4">
        <v>0</v>
      </c>
      <c r="T2722" s="4">
        <v>0</v>
      </c>
      <c r="U2722" s="4">
        <v>148.51</v>
      </c>
      <c r="V2722" s="4">
        <v>165.75</v>
      </c>
      <c r="W2722" t="s">
        <v>21</v>
      </c>
      <c r="X2722" t="s">
        <v>36</v>
      </c>
      <c r="Y2722" s="4">
        <v>9</v>
      </c>
      <c r="Z2722" s="4">
        <v>0</v>
      </c>
      <c r="AA2722" t="s">
        <v>37</v>
      </c>
      <c r="AB2722" t="s">
        <v>38</v>
      </c>
      <c r="AC2722" s="7">
        <v>0</v>
      </c>
      <c r="AD2722" t="s">
        <v>39</v>
      </c>
      <c r="AE2722">
        <f t="shared" si="42"/>
        <v>0</v>
      </c>
    </row>
    <row r="2723" spans="1:31" x14ac:dyDescent="0.35">
      <c r="A2723">
        <v>102722</v>
      </c>
      <c r="B2723" s="3">
        <v>46022</v>
      </c>
      <c r="C2723">
        <v>1004</v>
      </c>
      <c r="D2723" t="s">
        <v>30</v>
      </c>
      <c r="E2723" t="s">
        <v>31</v>
      </c>
      <c r="F2723" t="s">
        <v>32</v>
      </c>
      <c r="G2723" t="s">
        <v>50</v>
      </c>
      <c r="H2723" t="s">
        <v>34</v>
      </c>
      <c r="I2723" t="s">
        <v>69</v>
      </c>
      <c r="J2723" s="4">
        <v>20.77</v>
      </c>
      <c r="K2723" s="4">
        <v>17.27</v>
      </c>
      <c r="L2723">
        <v>15</v>
      </c>
      <c r="M2723" s="4">
        <v>53.8</v>
      </c>
      <c r="N2723" s="4">
        <v>304.89999999999998</v>
      </c>
      <c r="O2723" s="4">
        <v>163.54</v>
      </c>
      <c r="P2723" s="4">
        <v>9.77</v>
      </c>
      <c r="Q2723" s="4">
        <v>1.43</v>
      </c>
      <c r="R2723" s="4">
        <v>6.13</v>
      </c>
      <c r="S2723" s="4">
        <v>0</v>
      </c>
      <c r="T2723" s="4">
        <v>0</v>
      </c>
      <c r="U2723" s="4">
        <v>180.87</v>
      </c>
      <c r="V2723" s="4">
        <v>124.03</v>
      </c>
      <c r="W2723" t="s">
        <v>21</v>
      </c>
      <c r="X2723" t="s">
        <v>36</v>
      </c>
      <c r="Y2723" s="4">
        <v>13</v>
      </c>
      <c r="Z2723" s="4">
        <v>1</v>
      </c>
      <c r="AA2723" t="s">
        <v>37</v>
      </c>
      <c r="AB2723" t="s">
        <v>38</v>
      </c>
      <c r="AC2723" s="7">
        <v>0</v>
      </c>
      <c r="AD2723" t="s">
        <v>39</v>
      </c>
      <c r="AE2723">
        <f t="shared" si="42"/>
        <v>0</v>
      </c>
    </row>
    <row r="2724" spans="1:31" x14ac:dyDescent="0.35">
      <c r="A2724">
        <v>102723</v>
      </c>
      <c r="B2724" s="3">
        <v>46001</v>
      </c>
      <c r="C2724">
        <v>1023</v>
      </c>
      <c r="D2724" t="s">
        <v>30</v>
      </c>
      <c r="E2724" t="s">
        <v>72</v>
      </c>
      <c r="F2724" t="s">
        <v>41</v>
      </c>
      <c r="G2724" t="s">
        <v>46</v>
      </c>
      <c r="H2724" t="s">
        <v>34</v>
      </c>
      <c r="I2724" t="s">
        <v>35</v>
      </c>
      <c r="J2724" s="4">
        <v>28.22</v>
      </c>
      <c r="K2724" s="4">
        <v>15.64</v>
      </c>
      <c r="L2724">
        <v>0</v>
      </c>
      <c r="M2724" s="4">
        <v>0</v>
      </c>
      <c r="N2724" s="4">
        <v>441.36</v>
      </c>
      <c r="O2724" s="4">
        <v>236.98</v>
      </c>
      <c r="P2724" s="4">
        <v>7.1</v>
      </c>
      <c r="Q2724" s="4">
        <v>3.09</v>
      </c>
      <c r="R2724" s="4">
        <v>7.79</v>
      </c>
      <c r="S2724" s="4">
        <v>0</v>
      </c>
      <c r="T2724" s="4">
        <v>0</v>
      </c>
      <c r="U2724" s="4">
        <v>254.96</v>
      </c>
      <c r="V2724" s="4">
        <v>186.4</v>
      </c>
      <c r="W2724" t="s">
        <v>21</v>
      </c>
      <c r="X2724" t="s">
        <v>36</v>
      </c>
      <c r="Y2724" s="4">
        <v>5</v>
      </c>
      <c r="Z2724" s="4">
        <v>4</v>
      </c>
      <c r="AA2724" t="s">
        <v>37</v>
      </c>
      <c r="AB2724" t="s">
        <v>38</v>
      </c>
      <c r="AC2724" s="7">
        <v>0</v>
      </c>
      <c r="AD2724" t="s">
        <v>39</v>
      </c>
      <c r="AE2724">
        <f t="shared" si="42"/>
        <v>0</v>
      </c>
    </row>
    <row r="2725" spans="1:31" x14ac:dyDescent="0.35">
      <c r="A2725">
        <v>102724</v>
      </c>
      <c r="B2725" s="3">
        <v>46007</v>
      </c>
      <c r="C2725">
        <v>1036</v>
      </c>
      <c r="D2725" t="s">
        <v>59</v>
      </c>
      <c r="E2725" t="s">
        <v>73</v>
      </c>
      <c r="F2725" t="s">
        <v>49</v>
      </c>
      <c r="G2725" t="s">
        <v>63</v>
      </c>
      <c r="H2725" t="s">
        <v>34</v>
      </c>
      <c r="I2725" t="s">
        <v>35</v>
      </c>
      <c r="J2725" s="4">
        <v>6.92</v>
      </c>
      <c r="K2725" s="4">
        <v>13.7</v>
      </c>
      <c r="L2725">
        <v>10</v>
      </c>
      <c r="M2725" s="4">
        <v>9.48</v>
      </c>
      <c r="N2725" s="4">
        <v>85.32</v>
      </c>
      <c r="O2725" s="4">
        <v>44.43</v>
      </c>
      <c r="P2725" s="4">
        <v>5.8</v>
      </c>
      <c r="Q2725" s="4">
        <v>0.66</v>
      </c>
      <c r="R2725" s="4">
        <v>7.64</v>
      </c>
      <c r="S2725" s="4">
        <v>0</v>
      </c>
      <c r="T2725" s="4">
        <v>0</v>
      </c>
      <c r="U2725" s="4">
        <v>58.53</v>
      </c>
      <c r="V2725" s="4">
        <v>26.79</v>
      </c>
      <c r="W2725" t="s">
        <v>21</v>
      </c>
      <c r="X2725" t="s">
        <v>36</v>
      </c>
      <c r="Y2725" s="4">
        <v>14</v>
      </c>
      <c r="Z2725" s="4">
        <v>1</v>
      </c>
      <c r="AA2725" t="s">
        <v>37</v>
      </c>
      <c r="AB2725" t="s">
        <v>38</v>
      </c>
      <c r="AC2725" s="7">
        <v>0</v>
      </c>
      <c r="AD2725" t="s">
        <v>39</v>
      </c>
      <c r="AE2725">
        <f t="shared" si="42"/>
        <v>0</v>
      </c>
    </row>
    <row r="2726" spans="1:31" x14ac:dyDescent="0.35">
      <c r="A2726">
        <v>102725</v>
      </c>
      <c r="B2726" s="3">
        <v>45943</v>
      </c>
      <c r="C2726">
        <v>1142</v>
      </c>
      <c r="D2726" t="s">
        <v>47</v>
      </c>
      <c r="E2726" t="s">
        <v>48</v>
      </c>
      <c r="F2726" t="s">
        <v>61</v>
      </c>
      <c r="G2726" t="s">
        <v>50</v>
      </c>
      <c r="H2726" t="s">
        <v>34</v>
      </c>
      <c r="I2726" t="s">
        <v>35</v>
      </c>
      <c r="J2726" s="4">
        <v>33.39</v>
      </c>
      <c r="K2726" s="4">
        <v>16.989999999999998</v>
      </c>
      <c r="L2726">
        <v>0</v>
      </c>
      <c r="M2726" s="4">
        <v>0</v>
      </c>
      <c r="N2726" s="4">
        <v>567.29999999999995</v>
      </c>
      <c r="O2726" s="4">
        <v>255.51</v>
      </c>
      <c r="P2726" s="4">
        <v>7.94</v>
      </c>
      <c r="Q2726" s="4">
        <v>3.97</v>
      </c>
      <c r="R2726" s="4">
        <v>0</v>
      </c>
      <c r="S2726" s="4">
        <v>0</v>
      </c>
      <c r="T2726" s="4">
        <v>0</v>
      </c>
      <c r="U2726" s="4">
        <v>267.42</v>
      </c>
      <c r="V2726" s="4">
        <v>299.88</v>
      </c>
      <c r="W2726" t="s">
        <v>21</v>
      </c>
      <c r="X2726" t="s">
        <v>36</v>
      </c>
      <c r="Y2726" s="4">
        <v>3</v>
      </c>
      <c r="Z2726" s="4">
        <v>8</v>
      </c>
      <c r="AA2726" t="s">
        <v>37</v>
      </c>
      <c r="AB2726" t="s">
        <v>38</v>
      </c>
      <c r="AC2726" s="7">
        <v>0</v>
      </c>
      <c r="AD2726" t="s">
        <v>39</v>
      </c>
      <c r="AE2726">
        <f t="shared" si="42"/>
        <v>0</v>
      </c>
    </row>
    <row r="2727" spans="1:31" x14ac:dyDescent="0.35">
      <c r="A2727">
        <v>102726</v>
      </c>
      <c r="B2727" s="3">
        <v>45981</v>
      </c>
      <c r="C2727">
        <v>1064</v>
      </c>
      <c r="D2727" t="s">
        <v>59</v>
      </c>
      <c r="E2727" t="s">
        <v>73</v>
      </c>
      <c r="F2727" t="s">
        <v>32</v>
      </c>
      <c r="G2727" t="s">
        <v>63</v>
      </c>
      <c r="H2727" t="s">
        <v>34</v>
      </c>
      <c r="I2727" t="s">
        <v>69</v>
      </c>
      <c r="J2727" s="4">
        <v>22.36</v>
      </c>
      <c r="K2727" s="4">
        <v>12.59</v>
      </c>
      <c r="L2727">
        <v>5</v>
      </c>
      <c r="M2727" s="4">
        <v>14.08</v>
      </c>
      <c r="N2727" s="4">
        <v>267.43</v>
      </c>
      <c r="O2727" s="4">
        <v>156.38999999999999</v>
      </c>
      <c r="P2727" s="4">
        <v>13.5</v>
      </c>
      <c r="Q2727" s="4">
        <v>1.1299999999999999</v>
      </c>
      <c r="R2727" s="4">
        <v>10.95</v>
      </c>
      <c r="S2727" s="4">
        <v>0</v>
      </c>
      <c r="T2727" s="4">
        <v>0</v>
      </c>
      <c r="U2727" s="4">
        <v>181.97</v>
      </c>
      <c r="V2727" s="4">
        <v>85.46</v>
      </c>
      <c r="W2727" t="s">
        <v>21</v>
      </c>
      <c r="X2727" t="s">
        <v>36</v>
      </c>
      <c r="Y2727" s="4">
        <v>4</v>
      </c>
      <c r="Z2727" s="4">
        <v>19</v>
      </c>
      <c r="AA2727" t="s">
        <v>37</v>
      </c>
      <c r="AB2727" t="s">
        <v>44</v>
      </c>
      <c r="AC2727" s="7">
        <v>3</v>
      </c>
      <c r="AD2727" t="s">
        <v>45</v>
      </c>
      <c r="AE2727">
        <f t="shared" si="42"/>
        <v>1</v>
      </c>
    </row>
    <row r="2728" spans="1:31" x14ac:dyDescent="0.35">
      <c r="A2728">
        <v>102727</v>
      </c>
      <c r="B2728" s="3">
        <v>45931</v>
      </c>
      <c r="C2728">
        <v>1046</v>
      </c>
      <c r="D2728" t="s">
        <v>30</v>
      </c>
      <c r="E2728" t="s">
        <v>40</v>
      </c>
      <c r="F2728" t="s">
        <v>41</v>
      </c>
      <c r="G2728" t="s">
        <v>50</v>
      </c>
      <c r="H2728" t="s">
        <v>34</v>
      </c>
      <c r="I2728" t="s">
        <v>35</v>
      </c>
      <c r="J2728" s="4">
        <v>23.38</v>
      </c>
      <c r="K2728" s="4">
        <v>16.45</v>
      </c>
      <c r="L2728">
        <v>0</v>
      </c>
      <c r="M2728" s="4">
        <v>0</v>
      </c>
      <c r="N2728" s="4">
        <v>384.6</v>
      </c>
      <c r="O2728" s="4">
        <v>164.03</v>
      </c>
      <c r="P2728" s="4">
        <v>1.91</v>
      </c>
      <c r="Q2728" s="4">
        <v>2.69</v>
      </c>
      <c r="R2728" s="4">
        <v>1.86</v>
      </c>
      <c r="S2728" s="4">
        <v>0</v>
      </c>
      <c r="T2728" s="4">
        <v>0</v>
      </c>
      <c r="U2728" s="4">
        <v>170.49</v>
      </c>
      <c r="V2728" s="4">
        <v>214.11</v>
      </c>
      <c r="W2728" t="s">
        <v>21</v>
      </c>
      <c r="X2728" t="s">
        <v>36</v>
      </c>
      <c r="Y2728" s="4">
        <v>12</v>
      </c>
      <c r="Z2728" s="4">
        <v>5</v>
      </c>
      <c r="AA2728" t="s">
        <v>37</v>
      </c>
      <c r="AB2728" t="s">
        <v>38</v>
      </c>
      <c r="AC2728" s="7">
        <v>0</v>
      </c>
      <c r="AD2728" t="s">
        <v>39</v>
      </c>
      <c r="AE2728">
        <f t="shared" si="42"/>
        <v>0</v>
      </c>
    </row>
    <row r="2729" spans="1:31" x14ac:dyDescent="0.35">
      <c r="A2729">
        <v>102728</v>
      </c>
      <c r="B2729" s="3">
        <v>46018</v>
      </c>
      <c r="C2729">
        <v>1120</v>
      </c>
      <c r="D2729" t="s">
        <v>30</v>
      </c>
      <c r="E2729" t="s">
        <v>31</v>
      </c>
      <c r="F2729" t="s">
        <v>41</v>
      </c>
      <c r="G2729" t="s">
        <v>63</v>
      </c>
      <c r="H2729" t="s">
        <v>51</v>
      </c>
      <c r="I2729" t="s">
        <v>35</v>
      </c>
      <c r="J2729" s="4">
        <v>22.7</v>
      </c>
      <c r="K2729" s="4">
        <v>11.46</v>
      </c>
      <c r="L2729">
        <v>0</v>
      </c>
      <c r="M2729" s="4">
        <v>0</v>
      </c>
      <c r="N2729" s="4">
        <v>260.14</v>
      </c>
      <c r="O2729" s="4">
        <v>134.91</v>
      </c>
      <c r="P2729" s="4">
        <v>9.23</v>
      </c>
      <c r="Q2729" s="4">
        <v>1.82</v>
      </c>
      <c r="R2729" s="4">
        <v>7.84</v>
      </c>
      <c r="S2729" s="4">
        <v>0</v>
      </c>
      <c r="T2729" s="4">
        <v>0</v>
      </c>
      <c r="U2729" s="4">
        <v>153.80000000000001</v>
      </c>
      <c r="V2729" s="4">
        <v>106.34</v>
      </c>
      <c r="W2729" t="s">
        <v>21</v>
      </c>
      <c r="X2729" t="s">
        <v>36</v>
      </c>
      <c r="Y2729" s="4">
        <v>29</v>
      </c>
      <c r="Z2729" s="4">
        <v>11</v>
      </c>
      <c r="AA2729" t="s">
        <v>52</v>
      </c>
      <c r="AB2729" t="s">
        <v>44</v>
      </c>
      <c r="AC2729" s="7">
        <v>1</v>
      </c>
      <c r="AD2729" t="s">
        <v>45</v>
      </c>
      <c r="AE2729">
        <f t="shared" si="42"/>
        <v>1</v>
      </c>
    </row>
    <row r="2730" spans="1:31" x14ac:dyDescent="0.35">
      <c r="A2730">
        <v>102729</v>
      </c>
      <c r="B2730" s="3">
        <v>46009</v>
      </c>
      <c r="C2730">
        <v>1147</v>
      </c>
      <c r="D2730" t="s">
        <v>30</v>
      </c>
      <c r="E2730" t="s">
        <v>40</v>
      </c>
      <c r="F2730" t="s">
        <v>32</v>
      </c>
      <c r="G2730" t="s">
        <v>46</v>
      </c>
      <c r="H2730" t="s">
        <v>34</v>
      </c>
      <c r="I2730" t="s">
        <v>35</v>
      </c>
      <c r="J2730" s="4">
        <v>33.71</v>
      </c>
      <c r="K2730" s="4">
        <v>15.45</v>
      </c>
      <c r="L2730">
        <v>0</v>
      </c>
      <c r="M2730" s="4">
        <v>0</v>
      </c>
      <c r="N2730" s="4">
        <v>520.82000000000005</v>
      </c>
      <c r="O2730" s="4">
        <v>239.82</v>
      </c>
      <c r="P2730" s="4">
        <v>11.64</v>
      </c>
      <c r="Q2730" s="4">
        <v>3.65</v>
      </c>
      <c r="R2730" s="4">
        <v>7.83</v>
      </c>
      <c r="S2730" s="4">
        <v>0</v>
      </c>
      <c r="T2730" s="4">
        <v>0</v>
      </c>
      <c r="U2730" s="4">
        <v>262.94</v>
      </c>
      <c r="V2730" s="4">
        <v>257.88</v>
      </c>
      <c r="W2730" t="s">
        <v>21</v>
      </c>
      <c r="X2730" t="s">
        <v>36</v>
      </c>
      <c r="Y2730" s="4">
        <v>8</v>
      </c>
      <c r="Z2730" s="4">
        <v>8</v>
      </c>
      <c r="AA2730" t="s">
        <v>37</v>
      </c>
      <c r="AB2730" t="s">
        <v>38</v>
      </c>
      <c r="AC2730" s="7">
        <v>0</v>
      </c>
      <c r="AD2730" t="s">
        <v>39</v>
      </c>
      <c r="AE2730">
        <f t="shared" si="42"/>
        <v>0</v>
      </c>
    </row>
    <row r="2731" spans="1:31" x14ac:dyDescent="0.35">
      <c r="A2731">
        <v>102730</v>
      </c>
      <c r="B2731" s="3">
        <v>46015</v>
      </c>
      <c r="C2731">
        <v>1041</v>
      </c>
      <c r="D2731" t="s">
        <v>30</v>
      </c>
      <c r="E2731" t="s">
        <v>31</v>
      </c>
      <c r="F2731" t="s">
        <v>41</v>
      </c>
      <c r="G2731" t="s">
        <v>50</v>
      </c>
      <c r="H2731" t="s">
        <v>51</v>
      </c>
      <c r="I2731" t="s">
        <v>35</v>
      </c>
      <c r="J2731" s="4">
        <v>22.09</v>
      </c>
      <c r="K2731" s="4">
        <v>16.96</v>
      </c>
      <c r="L2731">
        <v>0</v>
      </c>
      <c r="M2731" s="4">
        <v>0</v>
      </c>
      <c r="N2731" s="4">
        <v>374.65</v>
      </c>
      <c r="O2731" s="4">
        <v>178.82</v>
      </c>
      <c r="P2731" s="4">
        <v>7.35</v>
      </c>
      <c r="Q2731" s="4">
        <v>2.62</v>
      </c>
      <c r="R2731" s="4">
        <v>8.9700000000000006</v>
      </c>
      <c r="S2731" s="4">
        <v>0</v>
      </c>
      <c r="T2731" s="4">
        <v>0</v>
      </c>
      <c r="U2731" s="4">
        <v>197.76</v>
      </c>
      <c r="V2731" s="4">
        <v>176.89</v>
      </c>
      <c r="W2731" t="s">
        <v>21</v>
      </c>
      <c r="X2731" t="s">
        <v>36</v>
      </c>
      <c r="Y2731" s="4">
        <v>0</v>
      </c>
      <c r="Z2731" s="4">
        <v>32</v>
      </c>
      <c r="AA2731" t="s">
        <v>37</v>
      </c>
      <c r="AB2731" t="s">
        <v>44</v>
      </c>
      <c r="AC2731" s="7">
        <v>2</v>
      </c>
      <c r="AD2731" t="s">
        <v>45</v>
      </c>
      <c r="AE2731">
        <f t="shared" si="42"/>
        <v>1</v>
      </c>
    </row>
    <row r="2732" spans="1:31" x14ac:dyDescent="0.35">
      <c r="A2732">
        <v>102731</v>
      </c>
      <c r="B2732" s="3">
        <v>45961</v>
      </c>
      <c r="C2732">
        <v>1057</v>
      </c>
      <c r="D2732" t="s">
        <v>59</v>
      </c>
      <c r="E2732" t="s">
        <v>70</v>
      </c>
      <c r="F2732" t="s">
        <v>61</v>
      </c>
      <c r="G2732" t="s">
        <v>50</v>
      </c>
      <c r="H2732" t="s">
        <v>34</v>
      </c>
      <c r="I2732" t="s">
        <v>35</v>
      </c>
      <c r="J2732" s="4">
        <v>33.46</v>
      </c>
      <c r="K2732" s="4">
        <v>16.98</v>
      </c>
      <c r="L2732">
        <v>15</v>
      </c>
      <c r="M2732" s="4">
        <v>85.22</v>
      </c>
      <c r="N2732" s="4">
        <v>482.93</v>
      </c>
      <c r="O2732" s="4">
        <v>271.35000000000002</v>
      </c>
      <c r="P2732" s="4">
        <v>9.35</v>
      </c>
      <c r="Q2732" s="4">
        <v>3.98</v>
      </c>
      <c r="R2732" s="4">
        <v>8.5399999999999991</v>
      </c>
      <c r="S2732" s="4">
        <v>0</v>
      </c>
      <c r="T2732" s="4">
        <v>0</v>
      </c>
      <c r="U2732" s="4">
        <v>293.22000000000003</v>
      </c>
      <c r="V2732" s="4">
        <v>189.71</v>
      </c>
      <c r="W2732" t="s">
        <v>21</v>
      </c>
      <c r="X2732" t="s">
        <v>36</v>
      </c>
      <c r="Y2732" s="4">
        <v>43</v>
      </c>
      <c r="Z2732" s="4">
        <v>17</v>
      </c>
      <c r="AA2732" t="s">
        <v>43</v>
      </c>
      <c r="AB2732" t="s">
        <v>44</v>
      </c>
      <c r="AC2732" s="7">
        <v>2</v>
      </c>
      <c r="AD2732" t="s">
        <v>45</v>
      </c>
      <c r="AE2732">
        <f t="shared" si="42"/>
        <v>1</v>
      </c>
    </row>
    <row r="2733" spans="1:31" x14ac:dyDescent="0.35">
      <c r="A2733">
        <v>102732</v>
      </c>
      <c r="B2733" s="3">
        <v>45957</v>
      </c>
      <c r="C2733">
        <v>1014</v>
      </c>
      <c r="D2733" t="s">
        <v>47</v>
      </c>
      <c r="E2733" t="s">
        <v>48</v>
      </c>
      <c r="F2733" t="s">
        <v>41</v>
      </c>
      <c r="G2733" t="s">
        <v>63</v>
      </c>
      <c r="H2733" t="s">
        <v>34</v>
      </c>
      <c r="I2733" t="s">
        <v>54</v>
      </c>
      <c r="J2733" s="4">
        <v>6.38</v>
      </c>
      <c r="K2733" s="4">
        <v>12.47</v>
      </c>
      <c r="L2733">
        <v>10</v>
      </c>
      <c r="M2733" s="4">
        <v>7.96</v>
      </c>
      <c r="N2733" s="4">
        <v>71.599999999999994</v>
      </c>
      <c r="O2733" s="4">
        <v>34.9</v>
      </c>
      <c r="P2733" s="4">
        <v>5.99</v>
      </c>
      <c r="Q2733" s="4">
        <v>0.95</v>
      </c>
      <c r="R2733" s="4">
        <v>3.52</v>
      </c>
      <c r="S2733" s="4">
        <v>0</v>
      </c>
      <c r="T2733" s="4">
        <v>0</v>
      </c>
      <c r="U2733" s="4">
        <v>45.36</v>
      </c>
      <c r="V2733" s="4">
        <v>26.24</v>
      </c>
      <c r="W2733" t="s">
        <v>21</v>
      </c>
      <c r="X2733" t="s">
        <v>36</v>
      </c>
      <c r="Y2733" s="4">
        <v>7</v>
      </c>
      <c r="Z2733" s="4">
        <v>0</v>
      </c>
      <c r="AA2733" t="s">
        <v>37</v>
      </c>
      <c r="AB2733" t="s">
        <v>38</v>
      </c>
      <c r="AC2733" s="7">
        <v>0</v>
      </c>
      <c r="AD2733" t="s">
        <v>39</v>
      </c>
      <c r="AE2733">
        <f t="shared" si="42"/>
        <v>0</v>
      </c>
    </row>
    <row r="2734" spans="1:31" x14ac:dyDescent="0.35">
      <c r="A2734">
        <v>102733</v>
      </c>
      <c r="B2734" s="3">
        <v>45976</v>
      </c>
      <c r="C2734">
        <v>1027</v>
      </c>
      <c r="D2734" t="s">
        <v>47</v>
      </c>
      <c r="E2734" t="s">
        <v>48</v>
      </c>
      <c r="F2734" t="s">
        <v>32</v>
      </c>
      <c r="G2734" t="s">
        <v>50</v>
      </c>
      <c r="H2734" t="s">
        <v>57</v>
      </c>
      <c r="I2734" t="s">
        <v>54</v>
      </c>
      <c r="J2734" s="4">
        <v>10.65</v>
      </c>
      <c r="K2734" s="4">
        <v>16.2</v>
      </c>
      <c r="L2734">
        <v>15</v>
      </c>
      <c r="M2734" s="4">
        <v>25.88</v>
      </c>
      <c r="N2734" s="4">
        <v>146.65</v>
      </c>
      <c r="O2734" s="4">
        <v>69.790000000000006</v>
      </c>
      <c r="P2734" s="4">
        <v>3.45</v>
      </c>
      <c r="Q2734" s="4">
        <v>2.0699999999999998</v>
      </c>
      <c r="R2734" s="4">
        <v>13.92</v>
      </c>
      <c r="S2734" s="4">
        <v>0</v>
      </c>
      <c r="T2734" s="4">
        <v>0</v>
      </c>
      <c r="U2734" s="4">
        <v>89.23</v>
      </c>
      <c r="V2734" s="4">
        <v>57.42</v>
      </c>
      <c r="W2734" t="s">
        <v>21</v>
      </c>
      <c r="X2734" t="s">
        <v>36</v>
      </c>
      <c r="Y2734" s="4">
        <v>5</v>
      </c>
      <c r="Z2734" s="4">
        <v>2</v>
      </c>
      <c r="AA2734" t="s">
        <v>37</v>
      </c>
      <c r="AB2734" t="s">
        <v>38</v>
      </c>
      <c r="AC2734" s="7">
        <v>0</v>
      </c>
      <c r="AD2734" t="s">
        <v>39</v>
      </c>
      <c r="AE2734">
        <f t="shared" si="42"/>
        <v>0</v>
      </c>
    </row>
    <row r="2735" spans="1:31" x14ac:dyDescent="0.35">
      <c r="A2735">
        <v>102734</v>
      </c>
      <c r="B2735" s="3">
        <v>46020</v>
      </c>
      <c r="C2735">
        <v>1009</v>
      </c>
      <c r="D2735" t="s">
        <v>47</v>
      </c>
      <c r="E2735" t="s">
        <v>48</v>
      </c>
      <c r="F2735" t="s">
        <v>61</v>
      </c>
      <c r="G2735" t="s">
        <v>63</v>
      </c>
      <c r="H2735" t="s">
        <v>57</v>
      </c>
      <c r="I2735" t="s">
        <v>35</v>
      </c>
      <c r="J2735" s="4">
        <v>19.87</v>
      </c>
      <c r="K2735" s="4">
        <v>12.86</v>
      </c>
      <c r="L2735">
        <v>0</v>
      </c>
      <c r="M2735" s="4">
        <v>0</v>
      </c>
      <c r="N2735" s="4">
        <v>255.53</v>
      </c>
      <c r="O2735" s="4">
        <v>126.9</v>
      </c>
      <c r="P2735" s="4">
        <v>10.1</v>
      </c>
      <c r="Q2735" s="4">
        <v>1.79</v>
      </c>
      <c r="R2735" s="4">
        <v>6.42</v>
      </c>
      <c r="S2735" s="4">
        <v>0</v>
      </c>
      <c r="T2735" s="4">
        <v>0</v>
      </c>
      <c r="U2735" s="4">
        <v>145.21</v>
      </c>
      <c r="V2735" s="4">
        <v>110.32</v>
      </c>
      <c r="W2735" t="s">
        <v>21</v>
      </c>
      <c r="X2735" t="s">
        <v>36</v>
      </c>
      <c r="Y2735" s="4">
        <v>2</v>
      </c>
      <c r="Z2735" s="4">
        <v>3</v>
      </c>
      <c r="AA2735" t="s">
        <v>37</v>
      </c>
      <c r="AB2735" t="s">
        <v>38</v>
      </c>
      <c r="AC2735" s="7">
        <v>0</v>
      </c>
      <c r="AD2735" t="s">
        <v>39</v>
      </c>
      <c r="AE2735">
        <f t="shared" si="42"/>
        <v>0</v>
      </c>
    </row>
    <row r="2736" spans="1:31" x14ac:dyDescent="0.35">
      <c r="A2736">
        <v>102735</v>
      </c>
      <c r="B2736" s="3">
        <v>45934</v>
      </c>
      <c r="C2736">
        <v>1077</v>
      </c>
      <c r="D2736" t="s">
        <v>59</v>
      </c>
      <c r="E2736" t="s">
        <v>68</v>
      </c>
      <c r="F2736" t="s">
        <v>32</v>
      </c>
      <c r="G2736" t="s">
        <v>46</v>
      </c>
      <c r="H2736" t="s">
        <v>57</v>
      </c>
      <c r="I2736" t="s">
        <v>54</v>
      </c>
      <c r="J2736" s="4">
        <v>22.42</v>
      </c>
      <c r="K2736" s="4">
        <v>16.63</v>
      </c>
      <c r="L2736">
        <v>10</v>
      </c>
      <c r="M2736" s="4">
        <v>37.28</v>
      </c>
      <c r="N2736" s="4">
        <v>335.56</v>
      </c>
      <c r="O2736" s="4">
        <v>168.73</v>
      </c>
      <c r="P2736" s="4">
        <v>9.4</v>
      </c>
      <c r="Q2736" s="4">
        <v>4.47</v>
      </c>
      <c r="R2736" s="4">
        <v>5.15</v>
      </c>
      <c r="S2736" s="4">
        <v>0</v>
      </c>
      <c r="T2736" s="4">
        <v>0</v>
      </c>
      <c r="U2736" s="4">
        <v>187.75</v>
      </c>
      <c r="V2736" s="4">
        <v>147.81</v>
      </c>
      <c r="W2736" t="s">
        <v>21</v>
      </c>
      <c r="X2736" t="s">
        <v>36</v>
      </c>
      <c r="Y2736" s="4">
        <v>8</v>
      </c>
      <c r="Z2736" s="4">
        <v>11</v>
      </c>
      <c r="AA2736" t="s">
        <v>37</v>
      </c>
      <c r="AB2736" t="s">
        <v>38</v>
      </c>
      <c r="AC2736" s="7">
        <v>2</v>
      </c>
      <c r="AD2736" t="s">
        <v>39</v>
      </c>
      <c r="AE2736">
        <f t="shared" si="42"/>
        <v>0</v>
      </c>
    </row>
    <row r="2737" spans="1:31" x14ac:dyDescent="0.35">
      <c r="A2737">
        <v>102736</v>
      </c>
      <c r="B2737" s="3">
        <v>45970</v>
      </c>
      <c r="C2737">
        <v>1068</v>
      </c>
      <c r="D2737" t="s">
        <v>47</v>
      </c>
      <c r="E2737" t="s">
        <v>74</v>
      </c>
      <c r="F2737" t="s">
        <v>71</v>
      </c>
      <c r="G2737" t="s">
        <v>63</v>
      </c>
      <c r="H2737" t="s">
        <v>51</v>
      </c>
      <c r="I2737" t="s">
        <v>42</v>
      </c>
      <c r="J2737" s="4">
        <v>4.6100000000000003</v>
      </c>
      <c r="K2737" s="4">
        <v>12.24</v>
      </c>
      <c r="L2737">
        <v>5</v>
      </c>
      <c r="M2737" s="4">
        <v>2.82</v>
      </c>
      <c r="N2737" s="4">
        <v>53.61</v>
      </c>
      <c r="O2737" s="4">
        <v>33.18</v>
      </c>
      <c r="P2737" s="4">
        <v>7.16</v>
      </c>
      <c r="Q2737" s="4">
        <v>0.85</v>
      </c>
      <c r="R2737" s="4">
        <v>9.15</v>
      </c>
      <c r="S2737" s="4">
        <v>0</v>
      </c>
      <c r="T2737" s="4">
        <v>0</v>
      </c>
      <c r="U2737" s="4">
        <v>50.34</v>
      </c>
      <c r="V2737" s="4">
        <v>3.27</v>
      </c>
      <c r="W2737" t="s">
        <v>21</v>
      </c>
      <c r="X2737" t="s">
        <v>36</v>
      </c>
      <c r="Y2737" s="4">
        <v>2</v>
      </c>
      <c r="Z2737" s="4">
        <v>9</v>
      </c>
      <c r="AA2737" t="s">
        <v>37</v>
      </c>
      <c r="AB2737" t="s">
        <v>38</v>
      </c>
      <c r="AC2737" s="7">
        <v>0</v>
      </c>
      <c r="AD2737" t="s">
        <v>39</v>
      </c>
      <c r="AE2737">
        <f t="shared" si="42"/>
        <v>0</v>
      </c>
    </row>
    <row r="2738" spans="1:31" x14ac:dyDescent="0.35">
      <c r="A2738">
        <v>102737</v>
      </c>
      <c r="B2738" s="3">
        <v>45981</v>
      </c>
      <c r="C2738">
        <v>1093</v>
      </c>
      <c r="D2738" t="s">
        <v>64</v>
      </c>
      <c r="E2738" t="s">
        <v>65</v>
      </c>
      <c r="F2738" t="s">
        <v>61</v>
      </c>
      <c r="G2738" t="s">
        <v>50</v>
      </c>
      <c r="H2738" t="s">
        <v>34</v>
      </c>
      <c r="I2738" t="s">
        <v>35</v>
      </c>
      <c r="J2738" s="4">
        <v>21.17</v>
      </c>
      <c r="K2738" s="4">
        <v>17.670000000000002</v>
      </c>
      <c r="L2738">
        <v>0</v>
      </c>
      <c r="M2738" s="4">
        <v>0</v>
      </c>
      <c r="N2738" s="4">
        <v>374.07</v>
      </c>
      <c r="O2738" s="4">
        <v>144.04</v>
      </c>
      <c r="P2738" s="4">
        <v>5.42</v>
      </c>
      <c r="Q2738" s="4">
        <v>2.62</v>
      </c>
      <c r="R2738" s="4">
        <v>12.33</v>
      </c>
      <c r="S2738" s="4">
        <v>0</v>
      </c>
      <c r="T2738" s="4">
        <v>0</v>
      </c>
      <c r="U2738" s="4">
        <v>164.41</v>
      </c>
      <c r="V2738" s="4">
        <v>209.66</v>
      </c>
      <c r="W2738" t="s">
        <v>21</v>
      </c>
      <c r="X2738" t="s">
        <v>36</v>
      </c>
      <c r="Y2738" s="4">
        <v>6</v>
      </c>
      <c r="Z2738" s="4">
        <v>25</v>
      </c>
      <c r="AA2738" t="s">
        <v>37</v>
      </c>
      <c r="AB2738" t="s">
        <v>44</v>
      </c>
      <c r="AC2738" s="7">
        <v>2</v>
      </c>
      <c r="AD2738" t="s">
        <v>45</v>
      </c>
      <c r="AE2738">
        <f t="shared" si="42"/>
        <v>1</v>
      </c>
    </row>
    <row r="2739" spans="1:31" x14ac:dyDescent="0.35">
      <c r="A2739">
        <v>102738</v>
      </c>
      <c r="B2739" s="3">
        <v>45963</v>
      </c>
      <c r="C2739">
        <v>1024</v>
      </c>
      <c r="D2739" t="s">
        <v>47</v>
      </c>
      <c r="E2739" t="s">
        <v>53</v>
      </c>
      <c r="F2739" t="s">
        <v>71</v>
      </c>
      <c r="G2739" t="s">
        <v>63</v>
      </c>
      <c r="H2739" t="s">
        <v>34</v>
      </c>
      <c r="I2739" t="s">
        <v>35</v>
      </c>
      <c r="J2739" s="4">
        <v>23.42</v>
      </c>
      <c r="K2739" s="4">
        <v>12.4</v>
      </c>
      <c r="L2739">
        <v>10</v>
      </c>
      <c r="M2739" s="4">
        <v>29.04</v>
      </c>
      <c r="N2739" s="4">
        <v>261.37</v>
      </c>
      <c r="O2739" s="4">
        <v>192.82</v>
      </c>
      <c r="P2739" s="4">
        <v>9.23</v>
      </c>
      <c r="Q2739" s="4">
        <v>2.0299999999999998</v>
      </c>
      <c r="R2739" s="4">
        <v>11.07</v>
      </c>
      <c r="S2739" s="4">
        <v>0</v>
      </c>
      <c r="T2739" s="4">
        <v>0</v>
      </c>
      <c r="U2739" s="4">
        <v>215.15</v>
      </c>
      <c r="V2739" s="4">
        <v>46.22</v>
      </c>
      <c r="W2739" t="s">
        <v>21</v>
      </c>
      <c r="X2739" t="s">
        <v>36</v>
      </c>
      <c r="Y2739" s="4">
        <v>25</v>
      </c>
      <c r="Z2739" s="4">
        <v>5</v>
      </c>
      <c r="AA2739" t="s">
        <v>52</v>
      </c>
      <c r="AB2739" t="s">
        <v>44</v>
      </c>
      <c r="AC2739" s="7">
        <v>1</v>
      </c>
      <c r="AD2739" t="s">
        <v>45</v>
      </c>
      <c r="AE2739">
        <f t="shared" si="42"/>
        <v>1</v>
      </c>
    </row>
    <row r="2740" spans="1:31" x14ac:dyDescent="0.35">
      <c r="A2740">
        <v>102739</v>
      </c>
      <c r="B2740" s="3">
        <v>45986</v>
      </c>
      <c r="C2740">
        <v>1093</v>
      </c>
      <c r="D2740" t="s">
        <v>47</v>
      </c>
      <c r="E2740" t="s">
        <v>53</v>
      </c>
      <c r="F2740" t="s">
        <v>41</v>
      </c>
      <c r="G2740" t="s">
        <v>63</v>
      </c>
      <c r="H2740" t="s">
        <v>57</v>
      </c>
      <c r="I2740" t="s">
        <v>42</v>
      </c>
      <c r="J2740" s="4">
        <v>13.4</v>
      </c>
      <c r="K2740" s="4">
        <v>11.8</v>
      </c>
      <c r="L2740">
        <v>10</v>
      </c>
      <c r="M2740" s="4">
        <v>15.81</v>
      </c>
      <c r="N2740" s="4">
        <v>142.31</v>
      </c>
      <c r="O2740" s="4">
        <v>115.34</v>
      </c>
      <c r="P2740" s="4">
        <v>13.13</v>
      </c>
      <c r="Q2740" s="4">
        <v>2.37</v>
      </c>
      <c r="R2740" s="4">
        <v>3.49</v>
      </c>
      <c r="S2740" s="4">
        <v>137.47999999999999</v>
      </c>
      <c r="T2740" s="4">
        <v>2.38</v>
      </c>
      <c r="U2740" s="4">
        <v>274.19</v>
      </c>
      <c r="V2740" s="4">
        <v>-131.88</v>
      </c>
      <c r="W2740" t="s">
        <v>58</v>
      </c>
      <c r="X2740" t="s">
        <v>66</v>
      </c>
      <c r="Y2740" s="4">
        <v>10</v>
      </c>
      <c r="Z2740" s="4">
        <v>3</v>
      </c>
      <c r="AA2740" t="s">
        <v>37</v>
      </c>
      <c r="AB2740" t="s">
        <v>38</v>
      </c>
      <c r="AC2740" s="7">
        <v>2</v>
      </c>
      <c r="AD2740" t="s">
        <v>45</v>
      </c>
      <c r="AE2740">
        <f t="shared" si="42"/>
        <v>0</v>
      </c>
    </row>
    <row r="2741" spans="1:31" x14ac:dyDescent="0.35">
      <c r="A2741">
        <v>102740</v>
      </c>
      <c r="B2741" s="3">
        <v>45953</v>
      </c>
      <c r="C2741">
        <v>1037</v>
      </c>
      <c r="D2741" t="s">
        <v>64</v>
      </c>
      <c r="E2741" t="s">
        <v>76</v>
      </c>
      <c r="F2741" t="s">
        <v>32</v>
      </c>
      <c r="G2741" t="s">
        <v>46</v>
      </c>
      <c r="H2741" t="s">
        <v>57</v>
      </c>
      <c r="I2741" t="s">
        <v>35</v>
      </c>
      <c r="J2741" s="4">
        <v>39.93</v>
      </c>
      <c r="K2741" s="4">
        <v>15.56</v>
      </c>
      <c r="L2741">
        <v>10</v>
      </c>
      <c r="M2741" s="4">
        <v>62.13</v>
      </c>
      <c r="N2741" s="4">
        <v>559.17999999999995</v>
      </c>
      <c r="O2741" s="4">
        <v>289.16000000000003</v>
      </c>
      <c r="P2741" s="4">
        <v>12.85</v>
      </c>
      <c r="Q2741" s="4">
        <v>4.3499999999999996</v>
      </c>
      <c r="R2741" s="4">
        <v>8.56</v>
      </c>
      <c r="S2741" s="4">
        <v>0</v>
      </c>
      <c r="T2741" s="4">
        <v>0</v>
      </c>
      <c r="U2741" s="4">
        <v>314.92</v>
      </c>
      <c r="V2741" s="4">
        <v>244.26</v>
      </c>
      <c r="W2741" t="s">
        <v>21</v>
      </c>
      <c r="X2741" t="s">
        <v>36</v>
      </c>
      <c r="Y2741" s="4">
        <v>13</v>
      </c>
      <c r="Z2741" s="4">
        <v>6</v>
      </c>
      <c r="AA2741" t="s">
        <v>37</v>
      </c>
      <c r="AB2741" t="s">
        <v>38</v>
      </c>
      <c r="AC2741" s="7">
        <v>0</v>
      </c>
      <c r="AD2741" t="s">
        <v>39</v>
      </c>
      <c r="AE2741">
        <f t="shared" si="42"/>
        <v>0</v>
      </c>
    </row>
    <row r="2742" spans="1:31" x14ac:dyDescent="0.35">
      <c r="A2742">
        <v>102741</v>
      </c>
      <c r="B2742" s="3">
        <v>45975</v>
      </c>
      <c r="C2742">
        <v>1046</v>
      </c>
      <c r="D2742" t="s">
        <v>47</v>
      </c>
      <c r="E2742" t="s">
        <v>53</v>
      </c>
      <c r="F2742" t="s">
        <v>32</v>
      </c>
      <c r="G2742" t="s">
        <v>50</v>
      </c>
      <c r="H2742" t="s">
        <v>57</v>
      </c>
      <c r="I2742" t="s">
        <v>35</v>
      </c>
      <c r="J2742" s="4">
        <v>39.82</v>
      </c>
      <c r="K2742" s="4">
        <v>17.059999999999999</v>
      </c>
      <c r="L2742">
        <v>10</v>
      </c>
      <c r="M2742" s="4">
        <v>67.930000000000007</v>
      </c>
      <c r="N2742" s="4">
        <v>611.4</v>
      </c>
      <c r="O2742" s="4">
        <v>275.67</v>
      </c>
      <c r="P2742" s="4">
        <v>12.91</v>
      </c>
      <c r="Q2742" s="4">
        <v>4.76</v>
      </c>
      <c r="R2742" s="4">
        <v>4.16</v>
      </c>
      <c r="S2742" s="4">
        <v>0</v>
      </c>
      <c r="T2742" s="4">
        <v>0</v>
      </c>
      <c r="U2742" s="4">
        <v>297.5</v>
      </c>
      <c r="V2742" s="4">
        <v>313.89999999999998</v>
      </c>
      <c r="W2742" t="s">
        <v>21</v>
      </c>
      <c r="X2742" t="s">
        <v>36</v>
      </c>
      <c r="Y2742" s="4">
        <v>0</v>
      </c>
      <c r="Z2742" s="4">
        <v>9</v>
      </c>
      <c r="AA2742" t="s">
        <v>37</v>
      </c>
      <c r="AB2742" t="s">
        <v>38</v>
      </c>
      <c r="AC2742" s="7">
        <v>2</v>
      </c>
      <c r="AD2742" t="s">
        <v>39</v>
      </c>
      <c r="AE2742">
        <f t="shared" si="42"/>
        <v>0</v>
      </c>
    </row>
    <row r="2743" spans="1:31" x14ac:dyDescent="0.35">
      <c r="A2743">
        <v>102742</v>
      </c>
      <c r="B2743" s="3">
        <v>46011</v>
      </c>
      <c r="C2743">
        <v>1029</v>
      </c>
      <c r="D2743" t="s">
        <v>47</v>
      </c>
      <c r="E2743" t="s">
        <v>53</v>
      </c>
      <c r="F2743" t="s">
        <v>32</v>
      </c>
      <c r="G2743" t="s">
        <v>33</v>
      </c>
      <c r="H2743" t="s">
        <v>51</v>
      </c>
      <c r="I2743" t="s">
        <v>35</v>
      </c>
      <c r="J2743" s="4">
        <v>24.92</v>
      </c>
      <c r="K2743" s="4">
        <v>18.68</v>
      </c>
      <c r="L2743">
        <v>5</v>
      </c>
      <c r="M2743" s="4">
        <v>23.28</v>
      </c>
      <c r="N2743" s="4">
        <v>442.23</v>
      </c>
      <c r="O2743" s="4">
        <v>177.25</v>
      </c>
      <c r="P2743" s="4">
        <v>9.65</v>
      </c>
      <c r="Q2743" s="4">
        <v>3.26</v>
      </c>
      <c r="R2743" s="4">
        <v>5.87</v>
      </c>
      <c r="S2743" s="4">
        <v>227.65</v>
      </c>
      <c r="T2743" s="4">
        <v>18.98</v>
      </c>
      <c r="U2743" s="4">
        <v>442.66</v>
      </c>
      <c r="V2743" s="4">
        <v>-0.43</v>
      </c>
      <c r="W2743" t="s">
        <v>58</v>
      </c>
      <c r="X2743" t="s">
        <v>66</v>
      </c>
      <c r="Y2743" s="4">
        <v>18</v>
      </c>
      <c r="Z2743" s="4">
        <v>14</v>
      </c>
      <c r="AA2743" t="s">
        <v>52</v>
      </c>
      <c r="AB2743" t="s">
        <v>38</v>
      </c>
      <c r="AC2743" s="7">
        <v>1</v>
      </c>
      <c r="AD2743" t="s">
        <v>45</v>
      </c>
      <c r="AE2743">
        <f t="shared" si="42"/>
        <v>0</v>
      </c>
    </row>
    <row r="2744" spans="1:31" x14ac:dyDescent="0.35">
      <c r="A2744">
        <v>102743</v>
      </c>
      <c r="B2744" s="3">
        <v>45946</v>
      </c>
      <c r="C2744">
        <v>1055</v>
      </c>
      <c r="D2744" t="s">
        <v>30</v>
      </c>
      <c r="E2744" t="s">
        <v>72</v>
      </c>
      <c r="F2744" t="s">
        <v>49</v>
      </c>
      <c r="G2744" t="s">
        <v>63</v>
      </c>
      <c r="H2744" t="s">
        <v>34</v>
      </c>
      <c r="I2744" t="s">
        <v>35</v>
      </c>
      <c r="J2744" s="4">
        <v>7.92</v>
      </c>
      <c r="K2744" s="4">
        <v>12.35</v>
      </c>
      <c r="L2744">
        <v>0</v>
      </c>
      <c r="M2744" s="4">
        <v>0</v>
      </c>
      <c r="N2744" s="4">
        <v>97.81</v>
      </c>
      <c r="O2744" s="4">
        <v>49.78</v>
      </c>
      <c r="P2744" s="4">
        <v>8.4700000000000006</v>
      </c>
      <c r="Q2744" s="4">
        <v>0.68</v>
      </c>
      <c r="R2744" s="4">
        <v>10.18</v>
      </c>
      <c r="S2744" s="4">
        <v>0</v>
      </c>
      <c r="T2744" s="4">
        <v>0</v>
      </c>
      <c r="U2744" s="4">
        <v>69.11</v>
      </c>
      <c r="V2744" s="4">
        <v>28.7</v>
      </c>
      <c r="W2744" t="s">
        <v>21</v>
      </c>
      <c r="X2744" t="s">
        <v>36</v>
      </c>
      <c r="Y2744" s="4">
        <v>20</v>
      </c>
      <c r="Z2744" s="4">
        <v>4</v>
      </c>
      <c r="AA2744" t="s">
        <v>52</v>
      </c>
      <c r="AB2744" t="s">
        <v>38</v>
      </c>
      <c r="AC2744" s="7">
        <v>1</v>
      </c>
      <c r="AD2744" t="s">
        <v>39</v>
      </c>
      <c r="AE2744">
        <f t="shared" si="42"/>
        <v>0</v>
      </c>
    </row>
    <row r="2745" spans="1:31" x14ac:dyDescent="0.35">
      <c r="A2745">
        <v>102744</v>
      </c>
      <c r="B2745" s="3">
        <v>45936</v>
      </c>
      <c r="C2745">
        <v>1015</v>
      </c>
      <c r="D2745" t="s">
        <v>64</v>
      </c>
      <c r="E2745" t="s">
        <v>67</v>
      </c>
      <c r="F2745" t="s">
        <v>41</v>
      </c>
      <c r="G2745" t="s">
        <v>46</v>
      </c>
      <c r="H2745" t="s">
        <v>34</v>
      </c>
      <c r="I2745" t="s">
        <v>35</v>
      </c>
      <c r="J2745" s="4">
        <v>42.03</v>
      </c>
      <c r="K2745" s="4">
        <v>15.02</v>
      </c>
      <c r="L2745">
        <v>5</v>
      </c>
      <c r="M2745" s="4">
        <v>31.56</v>
      </c>
      <c r="N2745" s="4">
        <v>599.73</v>
      </c>
      <c r="O2745" s="4">
        <v>317.20999999999998</v>
      </c>
      <c r="P2745" s="4">
        <v>8.11</v>
      </c>
      <c r="Q2745" s="4">
        <v>4.42</v>
      </c>
      <c r="R2745" s="4">
        <v>7.58</v>
      </c>
      <c r="S2745" s="4">
        <v>0</v>
      </c>
      <c r="T2745" s="4">
        <v>0</v>
      </c>
      <c r="U2745" s="4">
        <v>337.32</v>
      </c>
      <c r="V2745" s="4">
        <v>262.41000000000003</v>
      </c>
      <c r="W2745" t="s">
        <v>21</v>
      </c>
      <c r="X2745" t="s">
        <v>36</v>
      </c>
      <c r="Y2745" s="4">
        <v>5</v>
      </c>
      <c r="Z2745" s="4">
        <v>5</v>
      </c>
      <c r="AA2745" t="s">
        <v>37</v>
      </c>
      <c r="AB2745" t="s">
        <v>38</v>
      </c>
      <c r="AC2745" s="7">
        <v>0</v>
      </c>
      <c r="AD2745" t="s">
        <v>39</v>
      </c>
      <c r="AE2745">
        <f t="shared" si="42"/>
        <v>0</v>
      </c>
    </row>
    <row r="2746" spans="1:31" x14ac:dyDescent="0.35">
      <c r="A2746">
        <v>102745</v>
      </c>
      <c r="B2746" s="3">
        <v>46001</v>
      </c>
      <c r="C2746">
        <v>1142</v>
      </c>
      <c r="D2746" t="s">
        <v>47</v>
      </c>
      <c r="E2746" t="s">
        <v>56</v>
      </c>
      <c r="F2746" t="s">
        <v>32</v>
      </c>
      <c r="G2746" t="s">
        <v>63</v>
      </c>
      <c r="H2746" t="s">
        <v>34</v>
      </c>
      <c r="I2746" t="s">
        <v>35</v>
      </c>
      <c r="J2746" s="4">
        <v>24.62</v>
      </c>
      <c r="K2746" s="4">
        <v>12.86</v>
      </c>
      <c r="L2746">
        <v>15</v>
      </c>
      <c r="M2746" s="4">
        <v>47.49</v>
      </c>
      <c r="N2746" s="4">
        <v>269.12</v>
      </c>
      <c r="O2746" s="4">
        <v>201.39</v>
      </c>
      <c r="P2746" s="4">
        <v>2.21</v>
      </c>
      <c r="Q2746" s="4">
        <v>2.2200000000000002</v>
      </c>
      <c r="R2746" s="4">
        <v>7.04</v>
      </c>
      <c r="S2746" s="4">
        <v>204.1</v>
      </c>
      <c r="T2746" s="4">
        <v>0</v>
      </c>
      <c r="U2746" s="4">
        <v>416.96</v>
      </c>
      <c r="V2746" s="4">
        <v>-147.84</v>
      </c>
      <c r="W2746" t="s">
        <v>58</v>
      </c>
      <c r="X2746" t="s">
        <v>55</v>
      </c>
      <c r="Y2746" s="4">
        <v>9</v>
      </c>
      <c r="Z2746" s="4">
        <v>5</v>
      </c>
      <c r="AA2746" t="s">
        <v>37</v>
      </c>
      <c r="AB2746" t="s">
        <v>44</v>
      </c>
      <c r="AC2746" s="7">
        <v>1</v>
      </c>
      <c r="AD2746" t="s">
        <v>45</v>
      </c>
      <c r="AE2746">
        <f t="shared" si="42"/>
        <v>1</v>
      </c>
    </row>
    <row r="2747" spans="1:31" x14ac:dyDescent="0.35">
      <c r="A2747">
        <v>102746</v>
      </c>
      <c r="B2747" s="3">
        <v>46002</v>
      </c>
      <c r="C2747">
        <v>1148</v>
      </c>
      <c r="D2747" t="s">
        <v>59</v>
      </c>
      <c r="E2747" t="s">
        <v>68</v>
      </c>
      <c r="F2747" t="s">
        <v>71</v>
      </c>
      <c r="G2747" t="s">
        <v>50</v>
      </c>
      <c r="H2747" t="s">
        <v>34</v>
      </c>
      <c r="I2747" t="s">
        <v>35</v>
      </c>
      <c r="J2747" s="4">
        <v>31.19</v>
      </c>
      <c r="K2747" s="4">
        <v>17.239999999999998</v>
      </c>
      <c r="L2747">
        <v>5</v>
      </c>
      <c r="M2747" s="4">
        <v>26.89</v>
      </c>
      <c r="N2747" s="4">
        <v>510.83</v>
      </c>
      <c r="O2747" s="4">
        <v>151.49</v>
      </c>
      <c r="P2747" s="4">
        <v>8.3000000000000007</v>
      </c>
      <c r="Q2747" s="4">
        <v>3.76</v>
      </c>
      <c r="R2747" s="4">
        <v>13.03</v>
      </c>
      <c r="S2747" s="4">
        <v>0</v>
      </c>
      <c r="T2747" s="4">
        <v>0</v>
      </c>
      <c r="U2747" s="4">
        <v>176.58</v>
      </c>
      <c r="V2747" s="4">
        <v>334.25</v>
      </c>
      <c r="W2747" t="s">
        <v>21</v>
      </c>
      <c r="X2747" t="s">
        <v>36</v>
      </c>
      <c r="Y2747" s="4">
        <v>9</v>
      </c>
      <c r="Z2747" s="4">
        <v>2</v>
      </c>
      <c r="AA2747" t="s">
        <v>37</v>
      </c>
      <c r="AB2747" t="s">
        <v>38</v>
      </c>
      <c r="AC2747" s="7">
        <v>0</v>
      </c>
      <c r="AD2747" t="s">
        <v>39</v>
      </c>
      <c r="AE2747">
        <f t="shared" si="42"/>
        <v>0</v>
      </c>
    </row>
    <row r="2748" spans="1:31" x14ac:dyDescent="0.35">
      <c r="A2748">
        <v>102747</v>
      </c>
      <c r="B2748" s="3">
        <v>46005</v>
      </c>
      <c r="C2748">
        <v>1078</v>
      </c>
      <c r="D2748" t="s">
        <v>30</v>
      </c>
      <c r="E2748" t="s">
        <v>40</v>
      </c>
      <c r="F2748" t="s">
        <v>71</v>
      </c>
      <c r="G2748" t="s">
        <v>50</v>
      </c>
      <c r="H2748" t="s">
        <v>34</v>
      </c>
      <c r="I2748" t="s">
        <v>35</v>
      </c>
      <c r="J2748" s="4">
        <v>27.2</v>
      </c>
      <c r="K2748" s="4">
        <v>17.39</v>
      </c>
      <c r="L2748">
        <v>0</v>
      </c>
      <c r="M2748" s="4">
        <v>0</v>
      </c>
      <c r="N2748" s="4">
        <v>473.01</v>
      </c>
      <c r="O2748" s="4">
        <v>194.36</v>
      </c>
      <c r="P2748" s="4">
        <v>6.6</v>
      </c>
      <c r="Q2748" s="4">
        <v>3.31</v>
      </c>
      <c r="R2748" s="4">
        <v>5.18</v>
      </c>
      <c r="S2748" s="4">
        <v>0</v>
      </c>
      <c r="T2748" s="4">
        <v>0</v>
      </c>
      <c r="U2748" s="4">
        <v>209.45</v>
      </c>
      <c r="V2748" s="4">
        <v>263.56</v>
      </c>
      <c r="W2748" t="s">
        <v>21</v>
      </c>
      <c r="X2748" t="s">
        <v>36</v>
      </c>
      <c r="Y2748" s="4">
        <v>16</v>
      </c>
      <c r="Z2748" s="4">
        <v>2</v>
      </c>
      <c r="AA2748" t="s">
        <v>52</v>
      </c>
      <c r="AB2748" t="s">
        <v>38</v>
      </c>
      <c r="AC2748" s="7">
        <v>0</v>
      </c>
      <c r="AD2748" t="s">
        <v>39</v>
      </c>
      <c r="AE2748">
        <f t="shared" si="42"/>
        <v>0</v>
      </c>
    </row>
    <row r="2749" spans="1:31" x14ac:dyDescent="0.35">
      <c r="A2749">
        <v>102748</v>
      </c>
      <c r="B2749" s="3">
        <v>46018</v>
      </c>
      <c r="C2749">
        <v>1005</v>
      </c>
      <c r="D2749" t="s">
        <v>30</v>
      </c>
      <c r="E2749" t="s">
        <v>40</v>
      </c>
      <c r="F2749" t="s">
        <v>32</v>
      </c>
      <c r="G2749" t="s">
        <v>33</v>
      </c>
      <c r="H2749" t="s">
        <v>57</v>
      </c>
      <c r="I2749" t="s">
        <v>35</v>
      </c>
      <c r="J2749" s="4">
        <v>19.48</v>
      </c>
      <c r="K2749" s="4">
        <v>18.93</v>
      </c>
      <c r="L2749">
        <v>5</v>
      </c>
      <c r="M2749" s="4">
        <v>18.440000000000001</v>
      </c>
      <c r="N2749" s="4">
        <v>350.32</v>
      </c>
      <c r="O2749" s="4">
        <v>155.54</v>
      </c>
      <c r="P2749" s="4">
        <v>8.9700000000000006</v>
      </c>
      <c r="Q2749" s="4">
        <v>2.58</v>
      </c>
      <c r="R2749" s="4">
        <v>9.01</v>
      </c>
      <c r="S2749" s="4">
        <v>302.54000000000002</v>
      </c>
      <c r="T2749" s="4">
        <v>11.93</v>
      </c>
      <c r="U2749" s="4">
        <v>490.57</v>
      </c>
      <c r="V2749" s="4">
        <v>-140.25</v>
      </c>
      <c r="W2749" t="s">
        <v>58</v>
      </c>
      <c r="X2749" t="s">
        <v>55</v>
      </c>
      <c r="Y2749" s="4">
        <v>17</v>
      </c>
      <c r="Z2749" s="4">
        <v>10</v>
      </c>
      <c r="AA2749" t="s">
        <v>52</v>
      </c>
      <c r="AB2749" t="s">
        <v>44</v>
      </c>
      <c r="AC2749" s="7">
        <v>1</v>
      </c>
      <c r="AD2749" t="s">
        <v>45</v>
      </c>
      <c r="AE2749">
        <f t="shared" si="42"/>
        <v>1</v>
      </c>
    </row>
    <row r="2750" spans="1:31" x14ac:dyDescent="0.35">
      <c r="A2750">
        <v>102749</v>
      </c>
      <c r="B2750" s="3">
        <v>45990</v>
      </c>
      <c r="C2750">
        <v>1061</v>
      </c>
      <c r="D2750" t="s">
        <v>59</v>
      </c>
      <c r="E2750" t="s">
        <v>70</v>
      </c>
      <c r="F2750" t="s">
        <v>49</v>
      </c>
      <c r="G2750" t="s">
        <v>50</v>
      </c>
      <c r="H2750" t="s">
        <v>57</v>
      </c>
      <c r="I2750" t="s">
        <v>69</v>
      </c>
      <c r="J2750" s="4">
        <v>32.08</v>
      </c>
      <c r="K2750" s="4">
        <v>18.29</v>
      </c>
      <c r="L2750">
        <v>10</v>
      </c>
      <c r="M2750" s="4">
        <v>58.67</v>
      </c>
      <c r="N2750" s="4">
        <v>528.07000000000005</v>
      </c>
      <c r="O2750" s="4">
        <v>240.43</v>
      </c>
      <c r="P2750" s="4">
        <v>12.81</v>
      </c>
      <c r="Q2750" s="4">
        <v>2.35</v>
      </c>
      <c r="R2750" s="4">
        <v>5.37</v>
      </c>
      <c r="S2750" s="4">
        <v>0</v>
      </c>
      <c r="T2750" s="4">
        <v>0</v>
      </c>
      <c r="U2750" s="4">
        <v>260.95999999999998</v>
      </c>
      <c r="V2750" s="4">
        <v>267.11</v>
      </c>
      <c r="W2750" t="s">
        <v>21</v>
      </c>
      <c r="X2750" t="s">
        <v>36</v>
      </c>
      <c r="Y2750" s="4">
        <v>26</v>
      </c>
      <c r="Z2750" s="4">
        <v>2</v>
      </c>
      <c r="AA2750" t="s">
        <v>52</v>
      </c>
      <c r="AB2750" t="s">
        <v>44</v>
      </c>
      <c r="AC2750" s="7">
        <v>1</v>
      </c>
      <c r="AD2750" t="s">
        <v>45</v>
      </c>
      <c r="AE2750">
        <f t="shared" si="42"/>
        <v>1</v>
      </c>
    </row>
    <row r="2751" spans="1:31" x14ac:dyDescent="0.35">
      <c r="A2751">
        <v>102750</v>
      </c>
      <c r="B2751" s="3">
        <v>46022</v>
      </c>
      <c r="C2751">
        <v>1140</v>
      </c>
      <c r="D2751" t="s">
        <v>30</v>
      </c>
      <c r="E2751" t="s">
        <v>31</v>
      </c>
      <c r="F2751" t="s">
        <v>49</v>
      </c>
      <c r="G2751" t="s">
        <v>50</v>
      </c>
      <c r="H2751" t="s">
        <v>57</v>
      </c>
      <c r="I2751" t="s">
        <v>54</v>
      </c>
      <c r="J2751" s="4">
        <v>33.99</v>
      </c>
      <c r="K2751" s="4">
        <v>17.2</v>
      </c>
      <c r="L2751">
        <v>15</v>
      </c>
      <c r="M2751" s="4">
        <v>87.69</v>
      </c>
      <c r="N2751" s="4">
        <v>496.94</v>
      </c>
      <c r="O2751" s="4">
        <v>298.02999999999997</v>
      </c>
      <c r="P2751" s="4">
        <v>10.44</v>
      </c>
      <c r="Q2751" s="4">
        <v>7.02</v>
      </c>
      <c r="R2751" s="4">
        <v>10.039999999999999</v>
      </c>
      <c r="S2751" s="4">
        <v>0</v>
      </c>
      <c r="T2751" s="4">
        <v>0</v>
      </c>
      <c r="U2751" s="4">
        <v>325.52999999999997</v>
      </c>
      <c r="V2751" s="4">
        <v>171.41</v>
      </c>
      <c r="W2751" t="s">
        <v>21</v>
      </c>
      <c r="X2751" t="s">
        <v>36</v>
      </c>
      <c r="Y2751" s="4">
        <v>11</v>
      </c>
      <c r="Z2751" s="4">
        <v>11</v>
      </c>
      <c r="AA2751" t="s">
        <v>37</v>
      </c>
      <c r="AB2751" t="s">
        <v>38</v>
      </c>
      <c r="AC2751" s="7">
        <v>0</v>
      </c>
      <c r="AD2751" t="s">
        <v>39</v>
      </c>
      <c r="AE2751">
        <f t="shared" si="42"/>
        <v>0</v>
      </c>
    </row>
    <row r="2752" spans="1:31" x14ac:dyDescent="0.35">
      <c r="A2752">
        <v>102751</v>
      </c>
      <c r="B2752" s="3">
        <v>45946</v>
      </c>
      <c r="C2752">
        <v>1120</v>
      </c>
      <c r="D2752" t="s">
        <v>59</v>
      </c>
      <c r="E2752" t="s">
        <v>73</v>
      </c>
      <c r="F2752" t="s">
        <v>41</v>
      </c>
      <c r="G2752" t="s">
        <v>46</v>
      </c>
      <c r="H2752" t="s">
        <v>57</v>
      </c>
      <c r="I2752" t="s">
        <v>54</v>
      </c>
      <c r="J2752" s="4">
        <v>31.87</v>
      </c>
      <c r="K2752" s="4">
        <v>15.17</v>
      </c>
      <c r="L2752">
        <v>0</v>
      </c>
      <c r="M2752" s="4">
        <v>0</v>
      </c>
      <c r="N2752" s="4">
        <v>483.47</v>
      </c>
      <c r="O2752" s="4">
        <v>233.59</v>
      </c>
      <c r="P2752" s="4">
        <v>11.18</v>
      </c>
      <c r="Q2752" s="4">
        <v>5.8</v>
      </c>
      <c r="R2752" s="4">
        <v>10.35</v>
      </c>
      <c r="S2752" s="4">
        <v>0</v>
      </c>
      <c r="T2752" s="4">
        <v>0</v>
      </c>
      <c r="U2752" s="4">
        <v>260.92</v>
      </c>
      <c r="V2752" s="4">
        <v>222.55</v>
      </c>
      <c r="W2752" t="s">
        <v>21</v>
      </c>
      <c r="X2752" t="s">
        <v>36</v>
      </c>
      <c r="Y2752" s="4">
        <v>5</v>
      </c>
      <c r="Z2752" s="4">
        <v>18</v>
      </c>
      <c r="AA2752" t="s">
        <v>37</v>
      </c>
      <c r="AB2752" t="s">
        <v>44</v>
      </c>
      <c r="AC2752" s="7">
        <v>2</v>
      </c>
      <c r="AD2752" t="s">
        <v>45</v>
      </c>
      <c r="AE2752">
        <f t="shared" si="42"/>
        <v>1</v>
      </c>
    </row>
    <row r="2753" spans="1:31" x14ac:dyDescent="0.35">
      <c r="A2753">
        <v>102752</v>
      </c>
      <c r="B2753" s="3">
        <v>46020</v>
      </c>
      <c r="C2753">
        <v>1123</v>
      </c>
      <c r="D2753" t="s">
        <v>64</v>
      </c>
      <c r="E2753" t="s">
        <v>75</v>
      </c>
      <c r="F2753" t="s">
        <v>61</v>
      </c>
      <c r="G2753" t="s">
        <v>46</v>
      </c>
      <c r="H2753" t="s">
        <v>34</v>
      </c>
      <c r="I2753" t="s">
        <v>42</v>
      </c>
      <c r="J2753" s="4">
        <v>27.5</v>
      </c>
      <c r="K2753" s="4">
        <v>15.18</v>
      </c>
      <c r="L2753">
        <v>0</v>
      </c>
      <c r="M2753" s="4">
        <v>0</v>
      </c>
      <c r="N2753" s="4">
        <v>417.45</v>
      </c>
      <c r="O2753" s="4">
        <v>215.67</v>
      </c>
      <c r="P2753" s="4">
        <v>6.95</v>
      </c>
      <c r="Q2753" s="4">
        <v>6.26</v>
      </c>
      <c r="R2753" s="4">
        <v>7.33</v>
      </c>
      <c r="S2753" s="4">
        <v>0</v>
      </c>
      <c r="T2753" s="4">
        <v>0</v>
      </c>
      <c r="U2753" s="4">
        <v>236.21</v>
      </c>
      <c r="V2753" s="4">
        <v>181.24</v>
      </c>
      <c r="W2753" t="s">
        <v>21</v>
      </c>
      <c r="X2753" t="s">
        <v>36</v>
      </c>
      <c r="Y2753" s="4">
        <v>21</v>
      </c>
      <c r="Z2753" s="4">
        <v>3</v>
      </c>
      <c r="AA2753" t="s">
        <v>52</v>
      </c>
      <c r="AB2753" t="s">
        <v>44</v>
      </c>
      <c r="AC2753" s="7">
        <v>2</v>
      </c>
      <c r="AD2753" t="s">
        <v>45</v>
      </c>
      <c r="AE2753">
        <f t="shared" si="42"/>
        <v>1</v>
      </c>
    </row>
    <row r="2754" spans="1:31" x14ac:dyDescent="0.35">
      <c r="A2754">
        <v>102753</v>
      </c>
      <c r="B2754" s="3">
        <v>46006</v>
      </c>
      <c r="C2754">
        <v>1038</v>
      </c>
      <c r="D2754" t="s">
        <v>59</v>
      </c>
      <c r="E2754" t="s">
        <v>73</v>
      </c>
      <c r="F2754" t="s">
        <v>61</v>
      </c>
      <c r="G2754" t="s">
        <v>46</v>
      </c>
      <c r="H2754" t="s">
        <v>34</v>
      </c>
      <c r="I2754" t="s">
        <v>35</v>
      </c>
      <c r="J2754" s="4">
        <v>31.38</v>
      </c>
      <c r="K2754" s="4">
        <v>15.32</v>
      </c>
      <c r="L2754">
        <v>5</v>
      </c>
      <c r="M2754" s="4">
        <v>24.04</v>
      </c>
      <c r="N2754" s="4">
        <v>456.7</v>
      </c>
      <c r="O2754" s="4">
        <v>236.03</v>
      </c>
      <c r="P2754" s="4">
        <v>10.52</v>
      </c>
      <c r="Q2754" s="4">
        <v>3.37</v>
      </c>
      <c r="R2754" s="4">
        <v>9.01</v>
      </c>
      <c r="S2754" s="4">
        <v>0</v>
      </c>
      <c r="T2754" s="4">
        <v>0</v>
      </c>
      <c r="U2754" s="4">
        <v>258.93</v>
      </c>
      <c r="V2754" s="4">
        <v>197.77</v>
      </c>
      <c r="W2754" t="s">
        <v>21</v>
      </c>
      <c r="X2754" t="s">
        <v>36</v>
      </c>
      <c r="Y2754" s="4">
        <v>62</v>
      </c>
      <c r="Z2754" s="4">
        <v>6</v>
      </c>
      <c r="AA2754" t="s">
        <v>43</v>
      </c>
      <c r="AB2754" t="s">
        <v>44</v>
      </c>
      <c r="AC2754" s="7">
        <v>3</v>
      </c>
      <c r="AD2754" t="s">
        <v>45</v>
      </c>
      <c r="AE2754">
        <f t="shared" si="42"/>
        <v>1</v>
      </c>
    </row>
    <row r="2755" spans="1:31" x14ac:dyDescent="0.35">
      <c r="A2755">
        <v>102754</v>
      </c>
      <c r="B2755" s="3">
        <v>46002</v>
      </c>
      <c r="C2755">
        <v>1103</v>
      </c>
      <c r="D2755" t="s">
        <v>47</v>
      </c>
      <c r="E2755" t="s">
        <v>53</v>
      </c>
      <c r="F2755" t="s">
        <v>71</v>
      </c>
      <c r="G2755" t="s">
        <v>63</v>
      </c>
      <c r="H2755" t="s">
        <v>57</v>
      </c>
      <c r="I2755" t="s">
        <v>35</v>
      </c>
      <c r="J2755" s="4">
        <v>15.86</v>
      </c>
      <c r="K2755" s="4">
        <v>12.72</v>
      </c>
      <c r="L2755">
        <v>10</v>
      </c>
      <c r="M2755" s="4">
        <v>20.170000000000002</v>
      </c>
      <c r="N2755" s="4">
        <v>181.57</v>
      </c>
      <c r="O2755" s="4">
        <v>109.12</v>
      </c>
      <c r="P2755" s="4">
        <v>6.41</v>
      </c>
      <c r="Q2755" s="4">
        <v>1.41</v>
      </c>
      <c r="R2755" s="4">
        <v>13.91</v>
      </c>
      <c r="S2755" s="4">
        <v>177.98</v>
      </c>
      <c r="T2755" s="4">
        <v>17.7</v>
      </c>
      <c r="U2755" s="4">
        <v>326.52999999999997</v>
      </c>
      <c r="V2755" s="4">
        <v>-144.96</v>
      </c>
      <c r="W2755" t="s">
        <v>58</v>
      </c>
      <c r="X2755" t="s">
        <v>55</v>
      </c>
      <c r="Y2755" s="4">
        <v>1</v>
      </c>
      <c r="Z2755" s="4">
        <v>26</v>
      </c>
      <c r="AA2755" t="s">
        <v>37</v>
      </c>
      <c r="AB2755" t="s">
        <v>44</v>
      </c>
      <c r="AC2755" s="7">
        <v>1</v>
      </c>
      <c r="AD2755" t="s">
        <v>45</v>
      </c>
      <c r="AE2755">
        <f t="shared" ref="AE2755:AE2818" si="43">IF(AB2755="Yes",1,0)</f>
        <v>1</v>
      </c>
    </row>
    <row r="2756" spans="1:31" x14ac:dyDescent="0.35">
      <c r="A2756">
        <v>102755</v>
      </c>
      <c r="B2756" s="3">
        <v>45979</v>
      </c>
      <c r="C2756">
        <v>1074</v>
      </c>
      <c r="D2756" t="s">
        <v>30</v>
      </c>
      <c r="E2756" t="s">
        <v>31</v>
      </c>
      <c r="F2756" t="s">
        <v>49</v>
      </c>
      <c r="G2756" t="s">
        <v>50</v>
      </c>
      <c r="H2756" t="s">
        <v>57</v>
      </c>
      <c r="I2756" t="s">
        <v>35</v>
      </c>
      <c r="J2756" s="4">
        <v>23.67</v>
      </c>
      <c r="K2756" s="4">
        <v>18.010000000000002</v>
      </c>
      <c r="L2756">
        <v>10</v>
      </c>
      <c r="M2756" s="4">
        <v>42.63</v>
      </c>
      <c r="N2756" s="4">
        <v>383.67</v>
      </c>
      <c r="O2756" s="4">
        <v>182.89</v>
      </c>
      <c r="P2756" s="4">
        <v>10.52</v>
      </c>
      <c r="Q2756" s="4">
        <v>2.98</v>
      </c>
      <c r="R2756" s="4">
        <v>7.32</v>
      </c>
      <c r="S2756" s="4">
        <v>0</v>
      </c>
      <c r="T2756" s="4">
        <v>0</v>
      </c>
      <c r="U2756" s="4">
        <v>203.71</v>
      </c>
      <c r="V2756" s="4">
        <v>179.96</v>
      </c>
      <c r="W2756" t="s">
        <v>21</v>
      </c>
      <c r="X2756" t="s">
        <v>36</v>
      </c>
      <c r="Y2756" s="4">
        <v>17</v>
      </c>
      <c r="Z2756" s="4">
        <v>4</v>
      </c>
      <c r="AA2756" t="s">
        <v>52</v>
      </c>
      <c r="AB2756" t="s">
        <v>38</v>
      </c>
      <c r="AC2756" s="7">
        <v>1</v>
      </c>
      <c r="AD2756" t="s">
        <v>39</v>
      </c>
      <c r="AE2756">
        <f t="shared" si="43"/>
        <v>0</v>
      </c>
    </row>
    <row r="2757" spans="1:31" x14ac:dyDescent="0.35">
      <c r="A2757">
        <v>102756</v>
      </c>
      <c r="B2757" s="3">
        <v>45982</v>
      </c>
      <c r="C2757">
        <v>1137</v>
      </c>
      <c r="D2757" t="s">
        <v>59</v>
      </c>
      <c r="E2757" t="s">
        <v>60</v>
      </c>
      <c r="F2757" t="s">
        <v>61</v>
      </c>
      <c r="G2757" t="s">
        <v>50</v>
      </c>
      <c r="H2757" t="s">
        <v>34</v>
      </c>
      <c r="I2757" t="s">
        <v>35</v>
      </c>
      <c r="J2757" s="4">
        <v>46.58</v>
      </c>
      <c r="K2757" s="4">
        <v>17.100000000000001</v>
      </c>
      <c r="L2757">
        <v>5</v>
      </c>
      <c r="M2757" s="4">
        <v>39.83</v>
      </c>
      <c r="N2757" s="4">
        <v>756.69</v>
      </c>
      <c r="O2757" s="4">
        <v>368.51</v>
      </c>
      <c r="P2757" s="4">
        <v>1</v>
      </c>
      <c r="Q2757" s="4">
        <v>5.58</v>
      </c>
      <c r="R2757" s="4">
        <v>6.79</v>
      </c>
      <c r="S2757" s="4">
        <v>0</v>
      </c>
      <c r="T2757" s="4">
        <v>0</v>
      </c>
      <c r="U2757" s="4">
        <v>381.88</v>
      </c>
      <c r="V2757" s="4">
        <v>374.81</v>
      </c>
      <c r="W2757" t="s">
        <v>21</v>
      </c>
      <c r="X2757" t="s">
        <v>36</v>
      </c>
      <c r="Y2757" s="4">
        <v>11</v>
      </c>
      <c r="Z2757" s="4">
        <v>6</v>
      </c>
      <c r="AA2757" t="s">
        <v>37</v>
      </c>
      <c r="AB2757" t="s">
        <v>38</v>
      </c>
      <c r="AC2757" s="7">
        <v>0</v>
      </c>
      <c r="AD2757" t="s">
        <v>39</v>
      </c>
      <c r="AE2757">
        <f t="shared" si="43"/>
        <v>0</v>
      </c>
    </row>
    <row r="2758" spans="1:31" x14ac:dyDescent="0.35">
      <c r="A2758">
        <v>102757</v>
      </c>
      <c r="B2758" s="3">
        <v>45964</v>
      </c>
      <c r="C2758">
        <v>1139</v>
      </c>
      <c r="D2758" t="s">
        <v>64</v>
      </c>
      <c r="E2758" t="s">
        <v>76</v>
      </c>
      <c r="F2758" t="s">
        <v>61</v>
      </c>
      <c r="G2758" t="s">
        <v>46</v>
      </c>
      <c r="H2758" t="s">
        <v>34</v>
      </c>
      <c r="I2758" t="s">
        <v>42</v>
      </c>
      <c r="J2758" s="4">
        <v>22.88</v>
      </c>
      <c r="K2758" s="4">
        <v>15.03</v>
      </c>
      <c r="L2758">
        <v>10</v>
      </c>
      <c r="M2758" s="4">
        <v>34.39</v>
      </c>
      <c r="N2758" s="4">
        <v>309.5</v>
      </c>
      <c r="O2758" s="4">
        <v>167.74</v>
      </c>
      <c r="P2758" s="4">
        <v>8.7100000000000009</v>
      </c>
      <c r="Q2758" s="4">
        <v>5.16</v>
      </c>
      <c r="R2758" s="4">
        <v>9.18</v>
      </c>
      <c r="S2758" s="4">
        <v>0</v>
      </c>
      <c r="T2758" s="4">
        <v>0</v>
      </c>
      <c r="U2758" s="4">
        <v>190.79</v>
      </c>
      <c r="V2758" s="4">
        <v>118.71</v>
      </c>
      <c r="W2758" t="s">
        <v>21</v>
      </c>
      <c r="X2758" t="s">
        <v>36</v>
      </c>
      <c r="Y2758" s="4">
        <v>21</v>
      </c>
      <c r="Z2758" s="4">
        <v>1</v>
      </c>
      <c r="AA2758" t="s">
        <v>52</v>
      </c>
      <c r="AB2758" t="s">
        <v>44</v>
      </c>
      <c r="AC2758" s="7">
        <v>1</v>
      </c>
      <c r="AD2758" t="s">
        <v>45</v>
      </c>
      <c r="AE2758">
        <f t="shared" si="43"/>
        <v>1</v>
      </c>
    </row>
    <row r="2759" spans="1:31" x14ac:dyDescent="0.35">
      <c r="A2759">
        <v>102758</v>
      </c>
      <c r="B2759" s="3">
        <v>45973</v>
      </c>
      <c r="C2759">
        <v>1133</v>
      </c>
      <c r="D2759" t="s">
        <v>30</v>
      </c>
      <c r="E2759" t="s">
        <v>31</v>
      </c>
      <c r="F2759" t="s">
        <v>71</v>
      </c>
      <c r="G2759" t="s">
        <v>50</v>
      </c>
      <c r="H2759" t="s">
        <v>34</v>
      </c>
      <c r="I2759" t="s">
        <v>54</v>
      </c>
      <c r="J2759" s="4">
        <v>32.25</v>
      </c>
      <c r="K2759" s="4">
        <v>18.690000000000001</v>
      </c>
      <c r="L2759">
        <v>15</v>
      </c>
      <c r="M2759" s="4">
        <v>90.41</v>
      </c>
      <c r="N2759" s="4">
        <v>512.34</v>
      </c>
      <c r="O2759" s="4">
        <v>215.41</v>
      </c>
      <c r="P2759" s="4">
        <v>3.39</v>
      </c>
      <c r="Q2759" s="4">
        <v>7.23</v>
      </c>
      <c r="R2759" s="4">
        <v>5.69</v>
      </c>
      <c r="S2759" s="4">
        <v>0</v>
      </c>
      <c r="T2759" s="4">
        <v>0</v>
      </c>
      <c r="U2759" s="4">
        <v>231.72</v>
      </c>
      <c r="V2759" s="4">
        <v>280.62</v>
      </c>
      <c r="W2759" t="s">
        <v>21</v>
      </c>
      <c r="X2759" t="s">
        <v>36</v>
      </c>
      <c r="Y2759" s="4">
        <v>7</v>
      </c>
      <c r="Z2759" s="4">
        <v>3</v>
      </c>
      <c r="AA2759" t="s">
        <v>37</v>
      </c>
      <c r="AB2759" t="s">
        <v>38</v>
      </c>
      <c r="AC2759" s="7">
        <v>0</v>
      </c>
      <c r="AD2759" t="s">
        <v>39</v>
      </c>
      <c r="AE2759">
        <f t="shared" si="43"/>
        <v>0</v>
      </c>
    </row>
    <row r="2760" spans="1:31" x14ac:dyDescent="0.35">
      <c r="A2760">
        <v>102759</v>
      </c>
      <c r="B2760" s="3">
        <v>45953</v>
      </c>
      <c r="C2760">
        <v>1104</v>
      </c>
      <c r="D2760" t="s">
        <v>47</v>
      </c>
      <c r="E2760" t="s">
        <v>74</v>
      </c>
      <c r="F2760" t="s">
        <v>32</v>
      </c>
      <c r="G2760" t="s">
        <v>33</v>
      </c>
      <c r="H2760" t="s">
        <v>34</v>
      </c>
      <c r="I2760" t="s">
        <v>35</v>
      </c>
      <c r="J2760" s="4">
        <v>37.130000000000003</v>
      </c>
      <c r="K2760" s="4">
        <v>20.399999999999999</v>
      </c>
      <c r="L2760">
        <v>0</v>
      </c>
      <c r="M2760" s="4">
        <v>0</v>
      </c>
      <c r="N2760" s="4">
        <v>757.45</v>
      </c>
      <c r="O2760" s="4">
        <v>295.86</v>
      </c>
      <c r="P2760" s="4">
        <v>6.56</v>
      </c>
      <c r="Q2760" s="4">
        <v>5.3</v>
      </c>
      <c r="R2760" s="4">
        <v>11.82</v>
      </c>
      <c r="S2760" s="4">
        <v>0</v>
      </c>
      <c r="T2760" s="4">
        <v>0</v>
      </c>
      <c r="U2760" s="4">
        <v>319.54000000000002</v>
      </c>
      <c r="V2760" s="4">
        <v>437.91</v>
      </c>
      <c r="W2760" t="s">
        <v>21</v>
      </c>
      <c r="X2760" t="s">
        <v>36</v>
      </c>
      <c r="Y2760" s="4">
        <v>34</v>
      </c>
      <c r="Z2760" s="4">
        <v>10</v>
      </c>
      <c r="AA2760" t="s">
        <v>43</v>
      </c>
      <c r="AB2760" t="s">
        <v>44</v>
      </c>
      <c r="AC2760" s="7">
        <v>4</v>
      </c>
      <c r="AD2760" t="s">
        <v>45</v>
      </c>
      <c r="AE2760">
        <f t="shared" si="43"/>
        <v>1</v>
      </c>
    </row>
    <row r="2761" spans="1:31" x14ac:dyDescent="0.35">
      <c r="A2761">
        <v>102760</v>
      </c>
      <c r="B2761" s="3">
        <v>46009</v>
      </c>
      <c r="C2761">
        <v>1117</v>
      </c>
      <c r="D2761" t="s">
        <v>64</v>
      </c>
      <c r="E2761" t="s">
        <v>76</v>
      </c>
      <c r="F2761" t="s">
        <v>41</v>
      </c>
      <c r="G2761" t="s">
        <v>63</v>
      </c>
      <c r="H2761" t="s">
        <v>57</v>
      </c>
      <c r="I2761" t="s">
        <v>35</v>
      </c>
      <c r="J2761" s="4">
        <v>15.21</v>
      </c>
      <c r="K2761" s="4">
        <v>11.54</v>
      </c>
      <c r="L2761">
        <v>0</v>
      </c>
      <c r="M2761" s="4">
        <v>0</v>
      </c>
      <c r="N2761" s="4">
        <v>175.52</v>
      </c>
      <c r="O2761" s="4">
        <v>90.05</v>
      </c>
      <c r="P2761" s="4">
        <v>9.67</v>
      </c>
      <c r="Q2761" s="4">
        <v>1.23</v>
      </c>
      <c r="R2761" s="4">
        <v>5.42</v>
      </c>
      <c r="S2761" s="4">
        <v>0</v>
      </c>
      <c r="T2761" s="4">
        <v>0</v>
      </c>
      <c r="U2761" s="4">
        <v>106.37</v>
      </c>
      <c r="V2761" s="4">
        <v>69.150000000000006</v>
      </c>
      <c r="W2761" t="s">
        <v>21</v>
      </c>
      <c r="X2761" t="s">
        <v>36</v>
      </c>
      <c r="Y2761" s="4">
        <v>11</v>
      </c>
      <c r="Z2761" s="4">
        <v>27</v>
      </c>
      <c r="AA2761" t="s">
        <v>37</v>
      </c>
      <c r="AB2761" t="s">
        <v>44</v>
      </c>
      <c r="AC2761" s="7">
        <v>2</v>
      </c>
      <c r="AD2761" t="s">
        <v>45</v>
      </c>
      <c r="AE2761">
        <f t="shared" si="43"/>
        <v>1</v>
      </c>
    </row>
    <row r="2762" spans="1:31" x14ac:dyDescent="0.35">
      <c r="A2762">
        <v>102761</v>
      </c>
      <c r="B2762" s="3">
        <v>45983</v>
      </c>
      <c r="C2762">
        <v>1140</v>
      </c>
      <c r="D2762" t="s">
        <v>30</v>
      </c>
      <c r="E2762" t="s">
        <v>62</v>
      </c>
      <c r="F2762" t="s">
        <v>71</v>
      </c>
      <c r="G2762" t="s">
        <v>50</v>
      </c>
      <c r="H2762" t="s">
        <v>34</v>
      </c>
      <c r="I2762" t="s">
        <v>35</v>
      </c>
      <c r="J2762" s="4">
        <v>22.12</v>
      </c>
      <c r="K2762" s="4">
        <v>17.46</v>
      </c>
      <c r="L2762">
        <v>5</v>
      </c>
      <c r="M2762" s="4">
        <v>19.309999999999999</v>
      </c>
      <c r="N2762" s="4">
        <v>366.91</v>
      </c>
      <c r="O2762" s="4">
        <v>173.7</v>
      </c>
      <c r="P2762" s="4">
        <v>10.27</v>
      </c>
      <c r="Q2762" s="4">
        <v>2.7</v>
      </c>
      <c r="R2762" s="4">
        <v>7.73</v>
      </c>
      <c r="S2762" s="4">
        <v>0</v>
      </c>
      <c r="T2762" s="4">
        <v>0</v>
      </c>
      <c r="U2762" s="4">
        <v>194.4</v>
      </c>
      <c r="V2762" s="4">
        <v>172.51</v>
      </c>
      <c r="W2762" t="s">
        <v>21</v>
      </c>
      <c r="X2762" t="s">
        <v>36</v>
      </c>
      <c r="Y2762" s="4">
        <v>23</v>
      </c>
      <c r="Z2762" s="4">
        <v>1</v>
      </c>
      <c r="AA2762" t="s">
        <v>52</v>
      </c>
      <c r="AB2762" t="s">
        <v>44</v>
      </c>
      <c r="AC2762" s="7">
        <v>2</v>
      </c>
      <c r="AD2762" t="s">
        <v>45</v>
      </c>
      <c r="AE2762">
        <f t="shared" si="43"/>
        <v>1</v>
      </c>
    </row>
    <row r="2763" spans="1:31" x14ac:dyDescent="0.35">
      <c r="A2763">
        <v>102762</v>
      </c>
      <c r="B2763" s="3">
        <v>45952</v>
      </c>
      <c r="C2763">
        <v>1101</v>
      </c>
      <c r="D2763" t="s">
        <v>59</v>
      </c>
      <c r="E2763" t="s">
        <v>70</v>
      </c>
      <c r="F2763" t="s">
        <v>61</v>
      </c>
      <c r="G2763" t="s">
        <v>63</v>
      </c>
      <c r="H2763" t="s">
        <v>57</v>
      </c>
      <c r="I2763" t="s">
        <v>54</v>
      </c>
      <c r="J2763" s="4">
        <v>24.57</v>
      </c>
      <c r="K2763" s="4">
        <v>12.59</v>
      </c>
      <c r="L2763">
        <v>10</v>
      </c>
      <c r="M2763" s="4">
        <v>30.93</v>
      </c>
      <c r="N2763" s="4">
        <v>278.41000000000003</v>
      </c>
      <c r="O2763" s="4">
        <v>173.47</v>
      </c>
      <c r="P2763" s="4">
        <v>7.98</v>
      </c>
      <c r="Q2763" s="4">
        <v>3.71</v>
      </c>
      <c r="R2763" s="4">
        <v>4.47</v>
      </c>
      <c r="S2763" s="4">
        <v>0</v>
      </c>
      <c r="T2763" s="4">
        <v>0</v>
      </c>
      <c r="U2763" s="4">
        <v>189.63</v>
      </c>
      <c r="V2763" s="4">
        <v>88.78</v>
      </c>
      <c r="W2763" t="s">
        <v>21</v>
      </c>
      <c r="X2763" t="s">
        <v>36</v>
      </c>
      <c r="Y2763" s="4">
        <v>4</v>
      </c>
      <c r="Z2763" s="4">
        <v>0</v>
      </c>
      <c r="AA2763" t="s">
        <v>37</v>
      </c>
      <c r="AB2763" t="s">
        <v>38</v>
      </c>
      <c r="AC2763" s="7">
        <v>0</v>
      </c>
      <c r="AD2763" t="s">
        <v>39</v>
      </c>
      <c r="AE2763">
        <f t="shared" si="43"/>
        <v>0</v>
      </c>
    </row>
    <row r="2764" spans="1:31" x14ac:dyDescent="0.35">
      <c r="A2764">
        <v>102763</v>
      </c>
      <c r="B2764" s="3">
        <v>45976</v>
      </c>
      <c r="C2764">
        <v>1086</v>
      </c>
      <c r="D2764" t="s">
        <v>64</v>
      </c>
      <c r="E2764" t="s">
        <v>75</v>
      </c>
      <c r="F2764" t="s">
        <v>41</v>
      </c>
      <c r="G2764" t="s">
        <v>46</v>
      </c>
      <c r="H2764" t="s">
        <v>34</v>
      </c>
      <c r="I2764" t="s">
        <v>69</v>
      </c>
      <c r="J2764" s="4">
        <v>32.18</v>
      </c>
      <c r="K2764" s="4">
        <v>17.940000000000001</v>
      </c>
      <c r="L2764">
        <v>20</v>
      </c>
      <c r="M2764" s="4">
        <v>115.46</v>
      </c>
      <c r="N2764" s="4">
        <v>461.85</v>
      </c>
      <c r="O2764" s="4">
        <v>167.1</v>
      </c>
      <c r="P2764" s="4">
        <v>5.0999999999999996</v>
      </c>
      <c r="Q2764" s="4">
        <v>2.31</v>
      </c>
      <c r="R2764" s="4">
        <v>3.08</v>
      </c>
      <c r="S2764" s="4">
        <v>0</v>
      </c>
      <c r="T2764" s="4">
        <v>0</v>
      </c>
      <c r="U2764" s="4">
        <v>177.59</v>
      </c>
      <c r="V2764" s="4">
        <v>284.26</v>
      </c>
      <c r="W2764" t="s">
        <v>21</v>
      </c>
      <c r="X2764" t="s">
        <v>36</v>
      </c>
      <c r="Y2764" s="4">
        <v>34</v>
      </c>
      <c r="Z2764" s="4">
        <v>1</v>
      </c>
      <c r="AA2764" t="s">
        <v>43</v>
      </c>
      <c r="AB2764" t="s">
        <v>44</v>
      </c>
      <c r="AC2764" s="7">
        <v>1</v>
      </c>
      <c r="AD2764" t="s">
        <v>45</v>
      </c>
      <c r="AE2764">
        <f t="shared" si="43"/>
        <v>1</v>
      </c>
    </row>
    <row r="2765" spans="1:31" x14ac:dyDescent="0.35">
      <c r="A2765">
        <v>102764</v>
      </c>
      <c r="B2765" s="3">
        <v>45946</v>
      </c>
      <c r="C2765">
        <v>1086</v>
      </c>
      <c r="D2765" t="s">
        <v>30</v>
      </c>
      <c r="E2765" t="s">
        <v>40</v>
      </c>
      <c r="F2765" t="s">
        <v>71</v>
      </c>
      <c r="G2765" t="s">
        <v>63</v>
      </c>
      <c r="H2765" t="s">
        <v>34</v>
      </c>
      <c r="I2765" t="s">
        <v>42</v>
      </c>
      <c r="J2765" s="4">
        <v>29.54</v>
      </c>
      <c r="K2765" s="4">
        <v>12.4</v>
      </c>
      <c r="L2765">
        <v>0</v>
      </c>
      <c r="M2765" s="4">
        <v>0</v>
      </c>
      <c r="N2765" s="4">
        <v>366.3</v>
      </c>
      <c r="O2765" s="4">
        <v>159.99</v>
      </c>
      <c r="P2765" s="4">
        <v>10.68</v>
      </c>
      <c r="Q2765" s="4">
        <v>5.49</v>
      </c>
      <c r="R2765" s="4">
        <v>1.02</v>
      </c>
      <c r="S2765" s="4">
        <v>165.47</v>
      </c>
      <c r="T2765" s="4">
        <v>0</v>
      </c>
      <c r="U2765" s="4">
        <v>342.65</v>
      </c>
      <c r="V2765" s="4">
        <v>23.65</v>
      </c>
      <c r="W2765" t="s">
        <v>21</v>
      </c>
      <c r="X2765" t="s">
        <v>66</v>
      </c>
      <c r="Y2765" s="4">
        <v>8</v>
      </c>
      <c r="Z2765" s="4">
        <v>13</v>
      </c>
      <c r="AA2765" t="s">
        <v>37</v>
      </c>
      <c r="AB2765" t="s">
        <v>38</v>
      </c>
      <c r="AC2765" s="7">
        <v>1</v>
      </c>
      <c r="AD2765" t="s">
        <v>45</v>
      </c>
      <c r="AE2765">
        <f t="shared" si="43"/>
        <v>0</v>
      </c>
    </row>
    <row r="2766" spans="1:31" x14ac:dyDescent="0.35">
      <c r="A2766">
        <v>102765</v>
      </c>
      <c r="B2766" s="3">
        <v>46005</v>
      </c>
      <c r="C2766">
        <v>1096</v>
      </c>
      <c r="D2766" t="s">
        <v>64</v>
      </c>
      <c r="E2766" t="s">
        <v>65</v>
      </c>
      <c r="F2766" t="s">
        <v>41</v>
      </c>
      <c r="G2766" t="s">
        <v>50</v>
      </c>
      <c r="H2766" t="s">
        <v>51</v>
      </c>
      <c r="I2766" t="s">
        <v>42</v>
      </c>
      <c r="J2766" s="4">
        <v>36.15</v>
      </c>
      <c r="K2766" s="4">
        <v>17.47</v>
      </c>
      <c r="L2766">
        <v>5</v>
      </c>
      <c r="M2766" s="4">
        <v>31.58</v>
      </c>
      <c r="N2766" s="4">
        <v>599.96</v>
      </c>
      <c r="O2766" s="4">
        <v>232.42</v>
      </c>
      <c r="P2766" s="4">
        <v>3.99</v>
      </c>
      <c r="Q2766" s="4">
        <v>9.4700000000000006</v>
      </c>
      <c r="R2766" s="4">
        <v>5.82</v>
      </c>
      <c r="S2766" s="4">
        <v>0</v>
      </c>
      <c r="T2766" s="4">
        <v>0</v>
      </c>
      <c r="U2766" s="4">
        <v>251.7</v>
      </c>
      <c r="V2766" s="4">
        <v>348.26</v>
      </c>
      <c r="W2766" t="s">
        <v>21</v>
      </c>
      <c r="X2766" t="s">
        <v>36</v>
      </c>
      <c r="Y2766" s="4">
        <v>4</v>
      </c>
      <c r="Z2766" s="4">
        <v>10</v>
      </c>
      <c r="AA2766" t="s">
        <v>37</v>
      </c>
      <c r="AB2766" t="s">
        <v>38</v>
      </c>
      <c r="AC2766" s="7">
        <v>0</v>
      </c>
      <c r="AD2766" t="s">
        <v>39</v>
      </c>
      <c r="AE2766">
        <f t="shared" si="43"/>
        <v>0</v>
      </c>
    </row>
    <row r="2767" spans="1:31" x14ac:dyDescent="0.35">
      <c r="A2767">
        <v>102766</v>
      </c>
      <c r="B2767" s="3">
        <v>46006</v>
      </c>
      <c r="C2767">
        <v>1055</v>
      </c>
      <c r="D2767" t="s">
        <v>47</v>
      </c>
      <c r="E2767" t="s">
        <v>74</v>
      </c>
      <c r="F2767" t="s">
        <v>71</v>
      </c>
      <c r="G2767" t="s">
        <v>63</v>
      </c>
      <c r="H2767" t="s">
        <v>34</v>
      </c>
      <c r="I2767" t="s">
        <v>35</v>
      </c>
      <c r="J2767" s="4">
        <v>20.48</v>
      </c>
      <c r="K2767" s="4">
        <v>13.18</v>
      </c>
      <c r="L2767">
        <v>5</v>
      </c>
      <c r="M2767" s="4">
        <v>13.5</v>
      </c>
      <c r="N2767" s="4">
        <v>256.43</v>
      </c>
      <c r="O2767" s="4">
        <v>162.46</v>
      </c>
      <c r="P2767" s="4">
        <v>7.46</v>
      </c>
      <c r="Q2767" s="4">
        <v>1.89</v>
      </c>
      <c r="R2767" s="4">
        <v>1.66</v>
      </c>
      <c r="S2767" s="4">
        <v>0</v>
      </c>
      <c r="T2767" s="4">
        <v>0</v>
      </c>
      <c r="U2767" s="4">
        <v>173.47</v>
      </c>
      <c r="V2767" s="4">
        <v>82.96</v>
      </c>
      <c r="W2767" t="s">
        <v>21</v>
      </c>
      <c r="X2767" t="s">
        <v>36</v>
      </c>
      <c r="Y2767" s="4">
        <v>3</v>
      </c>
      <c r="Z2767" s="4">
        <v>7</v>
      </c>
      <c r="AA2767" t="s">
        <v>37</v>
      </c>
      <c r="AB2767" t="s">
        <v>38</v>
      </c>
      <c r="AC2767" s="7">
        <v>0</v>
      </c>
      <c r="AD2767" t="s">
        <v>39</v>
      </c>
      <c r="AE2767">
        <f t="shared" si="43"/>
        <v>0</v>
      </c>
    </row>
    <row r="2768" spans="1:31" x14ac:dyDescent="0.35">
      <c r="A2768">
        <v>102767</v>
      </c>
      <c r="B2768" s="3">
        <v>46009</v>
      </c>
      <c r="C2768">
        <v>1059</v>
      </c>
      <c r="D2768" t="s">
        <v>47</v>
      </c>
      <c r="E2768" t="s">
        <v>48</v>
      </c>
      <c r="F2768" t="s">
        <v>71</v>
      </c>
      <c r="G2768" t="s">
        <v>63</v>
      </c>
      <c r="H2768" t="s">
        <v>34</v>
      </c>
      <c r="I2768" t="s">
        <v>69</v>
      </c>
      <c r="J2768" s="4">
        <v>8.85</v>
      </c>
      <c r="K2768" s="4">
        <v>14.55</v>
      </c>
      <c r="L2768">
        <v>15</v>
      </c>
      <c r="M2768" s="4">
        <v>19.32</v>
      </c>
      <c r="N2768" s="4">
        <v>109.45</v>
      </c>
      <c r="O2768" s="4">
        <v>56.72</v>
      </c>
      <c r="P2768" s="4">
        <v>15.72</v>
      </c>
      <c r="Q2768" s="4">
        <v>0.52</v>
      </c>
      <c r="R2768" s="4">
        <v>4.51</v>
      </c>
      <c r="S2768" s="4">
        <v>0</v>
      </c>
      <c r="T2768" s="4">
        <v>0</v>
      </c>
      <c r="U2768" s="4">
        <v>77.47</v>
      </c>
      <c r="V2768" s="4">
        <v>31.98</v>
      </c>
      <c r="W2768" t="s">
        <v>21</v>
      </c>
      <c r="X2768" t="s">
        <v>36</v>
      </c>
      <c r="Y2768" s="4">
        <v>15</v>
      </c>
      <c r="Z2768" s="4">
        <v>2</v>
      </c>
      <c r="AA2768" t="s">
        <v>37</v>
      </c>
      <c r="AB2768" t="s">
        <v>38</v>
      </c>
      <c r="AC2768" s="7">
        <v>2</v>
      </c>
      <c r="AD2768" t="s">
        <v>39</v>
      </c>
      <c r="AE2768">
        <f t="shared" si="43"/>
        <v>0</v>
      </c>
    </row>
    <row r="2769" spans="1:31" x14ac:dyDescent="0.35">
      <c r="A2769">
        <v>102768</v>
      </c>
      <c r="B2769" s="3">
        <v>45995</v>
      </c>
      <c r="C2769">
        <v>1007</v>
      </c>
      <c r="D2769" t="s">
        <v>59</v>
      </c>
      <c r="E2769" t="s">
        <v>73</v>
      </c>
      <c r="F2769" t="s">
        <v>32</v>
      </c>
      <c r="G2769" t="s">
        <v>46</v>
      </c>
      <c r="H2769" t="s">
        <v>34</v>
      </c>
      <c r="I2769" t="s">
        <v>35</v>
      </c>
      <c r="J2769" s="4">
        <v>27.71</v>
      </c>
      <c r="K2769" s="4">
        <v>15.9</v>
      </c>
      <c r="L2769">
        <v>0</v>
      </c>
      <c r="M2769" s="4">
        <v>0</v>
      </c>
      <c r="N2769" s="4">
        <v>440.59</v>
      </c>
      <c r="O2769" s="4">
        <v>176.89</v>
      </c>
      <c r="P2769" s="4">
        <v>4.1100000000000003</v>
      </c>
      <c r="Q2769" s="4">
        <v>3.08</v>
      </c>
      <c r="R2769" s="4">
        <v>12.27</v>
      </c>
      <c r="S2769" s="4">
        <v>0</v>
      </c>
      <c r="T2769" s="4">
        <v>0</v>
      </c>
      <c r="U2769" s="4">
        <v>196.35</v>
      </c>
      <c r="V2769" s="4">
        <v>244.24</v>
      </c>
      <c r="W2769" t="s">
        <v>21</v>
      </c>
      <c r="X2769" t="s">
        <v>36</v>
      </c>
      <c r="Y2769" s="4">
        <v>4</v>
      </c>
      <c r="Z2769" s="4">
        <v>1</v>
      </c>
      <c r="AA2769" t="s">
        <v>37</v>
      </c>
      <c r="AB2769" t="s">
        <v>38</v>
      </c>
      <c r="AC2769" s="7">
        <v>0</v>
      </c>
      <c r="AD2769" t="s">
        <v>39</v>
      </c>
      <c r="AE2769">
        <f t="shared" si="43"/>
        <v>0</v>
      </c>
    </row>
    <row r="2770" spans="1:31" x14ac:dyDescent="0.35">
      <c r="A2770">
        <v>102769</v>
      </c>
      <c r="B2770" s="3">
        <v>45954</v>
      </c>
      <c r="C2770">
        <v>1140</v>
      </c>
      <c r="D2770" t="s">
        <v>30</v>
      </c>
      <c r="E2770" t="s">
        <v>31</v>
      </c>
      <c r="F2770" t="s">
        <v>71</v>
      </c>
      <c r="G2770" t="s">
        <v>63</v>
      </c>
      <c r="H2770" t="s">
        <v>34</v>
      </c>
      <c r="I2770" t="s">
        <v>69</v>
      </c>
      <c r="J2770" s="4">
        <v>9.8699999999999992</v>
      </c>
      <c r="K2770" s="4">
        <v>13.59</v>
      </c>
      <c r="L2770">
        <v>10</v>
      </c>
      <c r="M2770" s="4">
        <v>13.41</v>
      </c>
      <c r="N2770" s="4">
        <v>120.72</v>
      </c>
      <c r="O2770" s="4">
        <v>59.69</v>
      </c>
      <c r="P2770" s="4">
        <v>10.37</v>
      </c>
      <c r="Q2770" s="4">
        <v>0.54</v>
      </c>
      <c r="R2770" s="4">
        <v>4.46</v>
      </c>
      <c r="S2770" s="4">
        <v>0</v>
      </c>
      <c r="T2770" s="4">
        <v>0</v>
      </c>
      <c r="U2770" s="4">
        <v>75.06</v>
      </c>
      <c r="V2770" s="4">
        <v>45.66</v>
      </c>
      <c r="W2770" t="s">
        <v>21</v>
      </c>
      <c r="X2770" t="s">
        <v>36</v>
      </c>
      <c r="Y2770" s="4">
        <v>4</v>
      </c>
      <c r="Z2770" s="4">
        <v>4</v>
      </c>
      <c r="AA2770" t="s">
        <v>37</v>
      </c>
      <c r="AB2770" t="s">
        <v>38</v>
      </c>
      <c r="AC2770" s="7">
        <v>0</v>
      </c>
      <c r="AD2770" t="s">
        <v>39</v>
      </c>
      <c r="AE2770">
        <f t="shared" si="43"/>
        <v>0</v>
      </c>
    </row>
    <row r="2771" spans="1:31" x14ac:dyDescent="0.35">
      <c r="A2771">
        <v>102770</v>
      </c>
      <c r="B2771" s="3">
        <v>45941</v>
      </c>
      <c r="C2771">
        <v>1057</v>
      </c>
      <c r="D2771" t="s">
        <v>30</v>
      </c>
      <c r="E2771" t="s">
        <v>62</v>
      </c>
      <c r="F2771" t="s">
        <v>32</v>
      </c>
      <c r="G2771" t="s">
        <v>46</v>
      </c>
      <c r="H2771" t="s">
        <v>57</v>
      </c>
      <c r="I2771" t="s">
        <v>54</v>
      </c>
      <c r="J2771" s="4">
        <v>26.88</v>
      </c>
      <c r="K2771" s="4">
        <v>16.010000000000002</v>
      </c>
      <c r="L2771">
        <v>5</v>
      </c>
      <c r="M2771" s="4">
        <v>21.52</v>
      </c>
      <c r="N2771" s="4">
        <v>408.83</v>
      </c>
      <c r="O2771" s="4">
        <v>192.15</v>
      </c>
      <c r="P2771" s="4">
        <v>10.75</v>
      </c>
      <c r="Q2771" s="4">
        <v>5.16</v>
      </c>
      <c r="R2771" s="4">
        <v>4.3899999999999997</v>
      </c>
      <c r="S2771" s="4">
        <v>0</v>
      </c>
      <c r="T2771" s="4">
        <v>0</v>
      </c>
      <c r="U2771" s="4">
        <v>212.45</v>
      </c>
      <c r="V2771" s="4">
        <v>196.38</v>
      </c>
      <c r="W2771" t="s">
        <v>21</v>
      </c>
      <c r="X2771" t="s">
        <v>36</v>
      </c>
      <c r="Y2771" s="4">
        <v>27</v>
      </c>
      <c r="Z2771" s="4">
        <v>32</v>
      </c>
      <c r="AA2771" t="s">
        <v>52</v>
      </c>
      <c r="AB2771" t="s">
        <v>44</v>
      </c>
      <c r="AC2771" s="7">
        <v>1</v>
      </c>
      <c r="AD2771" t="s">
        <v>45</v>
      </c>
      <c r="AE2771">
        <f t="shared" si="43"/>
        <v>1</v>
      </c>
    </row>
    <row r="2772" spans="1:31" x14ac:dyDescent="0.35">
      <c r="A2772">
        <v>102771</v>
      </c>
      <c r="B2772" s="3">
        <v>45941</v>
      </c>
      <c r="C2772">
        <v>1144</v>
      </c>
      <c r="D2772" t="s">
        <v>47</v>
      </c>
      <c r="E2772" t="s">
        <v>53</v>
      </c>
      <c r="F2772" t="s">
        <v>41</v>
      </c>
      <c r="G2772" t="s">
        <v>63</v>
      </c>
      <c r="H2772" t="s">
        <v>34</v>
      </c>
      <c r="I2772" t="s">
        <v>35</v>
      </c>
      <c r="J2772" s="4">
        <v>14</v>
      </c>
      <c r="K2772" s="4">
        <v>13.21</v>
      </c>
      <c r="L2772">
        <v>15</v>
      </c>
      <c r="M2772" s="4">
        <v>27.74</v>
      </c>
      <c r="N2772" s="4">
        <v>157.19999999999999</v>
      </c>
      <c r="O2772" s="4">
        <v>92.6</v>
      </c>
      <c r="P2772" s="4">
        <v>9.6300000000000008</v>
      </c>
      <c r="Q2772" s="4">
        <v>1.29</v>
      </c>
      <c r="R2772" s="4">
        <v>4.78</v>
      </c>
      <c r="S2772" s="4">
        <v>0</v>
      </c>
      <c r="T2772" s="4">
        <v>0</v>
      </c>
      <c r="U2772" s="4">
        <v>108.3</v>
      </c>
      <c r="V2772" s="4">
        <v>48.9</v>
      </c>
      <c r="W2772" t="s">
        <v>21</v>
      </c>
      <c r="X2772" t="s">
        <v>36</v>
      </c>
      <c r="Y2772" s="4">
        <v>9</v>
      </c>
      <c r="Z2772" s="4">
        <v>5</v>
      </c>
      <c r="AA2772" t="s">
        <v>37</v>
      </c>
      <c r="AB2772" t="s">
        <v>38</v>
      </c>
      <c r="AC2772" s="7">
        <v>0</v>
      </c>
      <c r="AD2772" t="s">
        <v>39</v>
      </c>
      <c r="AE2772">
        <f t="shared" si="43"/>
        <v>0</v>
      </c>
    </row>
    <row r="2773" spans="1:31" x14ac:dyDescent="0.35">
      <c r="A2773">
        <v>102772</v>
      </c>
      <c r="B2773" s="3">
        <v>45963</v>
      </c>
      <c r="C2773">
        <v>1119</v>
      </c>
      <c r="D2773" t="s">
        <v>47</v>
      </c>
      <c r="E2773" t="s">
        <v>48</v>
      </c>
      <c r="F2773" t="s">
        <v>41</v>
      </c>
      <c r="G2773" t="s">
        <v>63</v>
      </c>
      <c r="H2773" t="s">
        <v>34</v>
      </c>
      <c r="I2773" t="s">
        <v>35</v>
      </c>
      <c r="J2773" s="4">
        <v>26.81</v>
      </c>
      <c r="K2773" s="4">
        <v>12.48</v>
      </c>
      <c r="L2773">
        <v>0</v>
      </c>
      <c r="M2773" s="4">
        <v>0</v>
      </c>
      <c r="N2773" s="4">
        <v>334.59</v>
      </c>
      <c r="O2773" s="4">
        <v>193.5</v>
      </c>
      <c r="P2773" s="4">
        <v>8.86</v>
      </c>
      <c r="Q2773" s="4">
        <v>2.34</v>
      </c>
      <c r="R2773" s="4">
        <v>11.8</v>
      </c>
      <c r="S2773" s="4">
        <v>0</v>
      </c>
      <c r="T2773" s="4">
        <v>0</v>
      </c>
      <c r="U2773" s="4">
        <v>216.5</v>
      </c>
      <c r="V2773" s="4">
        <v>118.09</v>
      </c>
      <c r="W2773" t="s">
        <v>21</v>
      </c>
      <c r="X2773" t="s">
        <v>36</v>
      </c>
      <c r="Y2773" s="4">
        <v>2</v>
      </c>
      <c r="Z2773" s="4">
        <v>3</v>
      </c>
      <c r="AA2773" t="s">
        <v>37</v>
      </c>
      <c r="AB2773" t="s">
        <v>38</v>
      </c>
      <c r="AC2773" s="7">
        <v>0</v>
      </c>
      <c r="AD2773" t="s">
        <v>39</v>
      </c>
      <c r="AE2773">
        <f t="shared" si="43"/>
        <v>0</v>
      </c>
    </row>
    <row r="2774" spans="1:31" x14ac:dyDescent="0.35">
      <c r="A2774">
        <v>102773</v>
      </c>
      <c r="B2774" s="3">
        <v>45973</v>
      </c>
      <c r="C2774">
        <v>1043</v>
      </c>
      <c r="D2774" t="s">
        <v>47</v>
      </c>
      <c r="E2774" t="s">
        <v>56</v>
      </c>
      <c r="F2774" t="s">
        <v>32</v>
      </c>
      <c r="G2774" t="s">
        <v>50</v>
      </c>
      <c r="H2774" t="s">
        <v>34</v>
      </c>
      <c r="I2774" t="s">
        <v>35</v>
      </c>
      <c r="J2774" s="4">
        <v>23.4</v>
      </c>
      <c r="K2774" s="4">
        <v>17.59</v>
      </c>
      <c r="L2774">
        <v>0</v>
      </c>
      <c r="M2774" s="4">
        <v>0</v>
      </c>
      <c r="N2774" s="4">
        <v>411.61</v>
      </c>
      <c r="O2774" s="4">
        <v>186.15</v>
      </c>
      <c r="P2774" s="4">
        <v>9.32</v>
      </c>
      <c r="Q2774" s="4">
        <v>2.88</v>
      </c>
      <c r="R2774" s="4">
        <v>12.39</v>
      </c>
      <c r="S2774" s="4">
        <v>0</v>
      </c>
      <c r="T2774" s="4">
        <v>0</v>
      </c>
      <c r="U2774" s="4">
        <v>210.74</v>
      </c>
      <c r="V2774" s="4">
        <v>200.87</v>
      </c>
      <c r="W2774" t="s">
        <v>21</v>
      </c>
      <c r="X2774" t="s">
        <v>36</v>
      </c>
      <c r="Y2774" s="4">
        <v>5</v>
      </c>
      <c r="Z2774" s="4">
        <v>7</v>
      </c>
      <c r="AA2774" t="s">
        <v>37</v>
      </c>
      <c r="AB2774" t="s">
        <v>38</v>
      </c>
      <c r="AC2774" s="7">
        <v>0</v>
      </c>
      <c r="AD2774" t="s">
        <v>39</v>
      </c>
      <c r="AE2774">
        <f t="shared" si="43"/>
        <v>0</v>
      </c>
    </row>
    <row r="2775" spans="1:31" x14ac:dyDescent="0.35">
      <c r="A2775">
        <v>102774</v>
      </c>
      <c r="B2775" s="3">
        <v>45973</v>
      </c>
      <c r="C2775">
        <v>1040</v>
      </c>
      <c r="D2775" t="s">
        <v>47</v>
      </c>
      <c r="E2775" t="s">
        <v>56</v>
      </c>
      <c r="F2775" t="s">
        <v>71</v>
      </c>
      <c r="G2775" t="s">
        <v>46</v>
      </c>
      <c r="H2775" t="s">
        <v>34</v>
      </c>
      <c r="I2775" t="s">
        <v>42</v>
      </c>
      <c r="J2775" s="4">
        <v>28.48</v>
      </c>
      <c r="K2775" s="4">
        <v>17.28</v>
      </c>
      <c r="L2775">
        <v>0</v>
      </c>
      <c r="M2775" s="4">
        <v>0</v>
      </c>
      <c r="N2775" s="4">
        <v>492.13</v>
      </c>
      <c r="O2775" s="4">
        <v>220.8</v>
      </c>
      <c r="P2775" s="4">
        <v>4.38</v>
      </c>
      <c r="Q2775" s="4">
        <v>7.38</v>
      </c>
      <c r="R2775" s="4">
        <v>13.03</v>
      </c>
      <c r="S2775" s="4">
        <v>0</v>
      </c>
      <c r="T2775" s="4">
        <v>0</v>
      </c>
      <c r="U2775" s="4">
        <v>245.59</v>
      </c>
      <c r="V2775" s="4">
        <v>246.54</v>
      </c>
      <c r="W2775" t="s">
        <v>21</v>
      </c>
      <c r="X2775" t="s">
        <v>36</v>
      </c>
      <c r="Y2775" s="4">
        <v>6</v>
      </c>
      <c r="Z2775" s="4">
        <v>9</v>
      </c>
      <c r="AA2775" t="s">
        <v>37</v>
      </c>
      <c r="AB2775" t="s">
        <v>38</v>
      </c>
      <c r="AC2775" s="7">
        <v>0</v>
      </c>
      <c r="AD2775" t="s">
        <v>39</v>
      </c>
      <c r="AE2775">
        <f t="shared" si="43"/>
        <v>0</v>
      </c>
    </row>
    <row r="2776" spans="1:31" x14ac:dyDescent="0.35">
      <c r="A2776">
        <v>102775</v>
      </c>
      <c r="B2776" s="3">
        <v>45950</v>
      </c>
      <c r="C2776">
        <v>1112</v>
      </c>
      <c r="D2776" t="s">
        <v>30</v>
      </c>
      <c r="E2776" t="s">
        <v>31</v>
      </c>
      <c r="F2776" t="s">
        <v>49</v>
      </c>
      <c r="G2776" t="s">
        <v>33</v>
      </c>
      <c r="H2776" t="s">
        <v>34</v>
      </c>
      <c r="I2776" t="s">
        <v>35</v>
      </c>
      <c r="J2776" s="4">
        <v>35.119999999999997</v>
      </c>
      <c r="K2776" s="4">
        <v>18.329999999999998</v>
      </c>
      <c r="L2776">
        <v>10</v>
      </c>
      <c r="M2776" s="4">
        <v>64.38</v>
      </c>
      <c r="N2776" s="4">
        <v>579.37</v>
      </c>
      <c r="O2776" s="4">
        <v>229.96</v>
      </c>
      <c r="P2776" s="4">
        <v>8.1999999999999993</v>
      </c>
      <c r="Q2776" s="4">
        <v>4.51</v>
      </c>
      <c r="R2776" s="4">
        <v>5.74</v>
      </c>
      <c r="S2776" s="4">
        <v>0</v>
      </c>
      <c r="T2776" s="4">
        <v>0</v>
      </c>
      <c r="U2776" s="4">
        <v>248.41</v>
      </c>
      <c r="V2776" s="4">
        <v>330.96</v>
      </c>
      <c r="W2776" t="s">
        <v>21</v>
      </c>
      <c r="X2776" t="s">
        <v>36</v>
      </c>
      <c r="Y2776" s="4">
        <v>3</v>
      </c>
      <c r="Z2776" s="4">
        <v>1</v>
      </c>
      <c r="AA2776" t="s">
        <v>37</v>
      </c>
      <c r="AB2776" t="s">
        <v>38</v>
      </c>
      <c r="AC2776" s="7">
        <v>0</v>
      </c>
      <c r="AD2776" t="s">
        <v>39</v>
      </c>
      <c r="AE2776">
        <f t="shared" si="43"/>
        <v>0</v>
      </c>
    </row>
    <row r="2777" spans="1:31" x14ac:dyDescent="0.35">
      <c r="A2777">
        <v>102776</v>
      </c>
      <c r="B2777" s="3">
        <v>45936</v>
      </c>
      <c r="C2777">
        <v>1075</v>
      </c>
      <c r="D2777" t="s">
        <v>47</v>
      </c>
      <c r="E2777" t="s">
        <v>53</v>
      </c>
      <c r="F2777" t="s">
        <v>71</v>
      </c>
      <c r="G2777" t="s">
        <v>63</v>
      </c>
      <c r="H2777" t="s">
        <v>34</v>
      </c>
      <c r="I2777" t="s">
        <v>35</v>
      </c>
      <c r="J2777" s="4">
        <v>14.39</v>
      </c>
      <c r="K2777" s="4">
        <v>12.73</v>
      </c>
      <c r="L2777">
        <v>0</v>
      </c>
      <c r="M2777" s="4">
        <v>0</v>
      </c>
      <c r="N2777" s="4">
        <v>183.18</v>
      </c>
      <c r="O2777" s="4">
        <v>112.87</v>
      </c>
      <c r="P2777" s="4">
        <v>12.42</v>
      </c>
      <c r="Q2777" s="4">
        <v>1.28</v>
      </c>
      <c r="R2777" s="4">
        <v>10.84</v>
      </c>
      <c r="S2777" s="4">
        <v>0</v>
      </c>
      <c r="T2777" s="4">
        <v>0</v>
      </c>
      <c r="U2777" s="4">
        <v>137.41</v>
      </c>
      <c r="V2777" s="4">
        <v>45.77</v>
      </c>
      <c r="W2777" t="s">
        <v>21</v>
      </c>
      <c r="X2777" t="s">
        <v>36</v>
      </c>
      <c r="Y2777" s="4">
        <v>4</v>
      </c>
      <c r="Z2777" s="4">
        <v>8</v>
      </c>
      <c r="AA2777" t="s">
        <v>37</v>
      </c>
      <c r="AB2777" t="s">
        <v>38</v>
      </c>
      <c r="AC2777" s="7">
        <v>0</v>
      </c>
      <c r="AD2777" t="s">
        <v>39</v>
      </c>
      <c r="AE2777">
        <f t="shared" si="43"/>
        <v>0</v>
      </c>
    </row>
    <row r="2778" spans="1:31" x14ac:dyDescent="0.35">
      <c r="A2778">
        <v>102777</v>
      </c>
      <c r="B2778" s="3">
        <v>46012</v>
      </c>
      <c r="C2778">
        <v>1014</v>
      </c>
      <c r="D2778" t="s">
        <v>64</v>
      </c>
      <c r="E2778" t="s">
        <v>75</v>
      </c>
      <c r="F2778" t="s">
        <v>41</v>
      </c>
      <c r="G2778" t="s">
        <v>46</v>
      </c>
      <c r="H2778" t="s">
        <v>51</v>
      </c>
      <c r="I2778" t="s">
        <v>69</v>
      </c>
      <c r="J2778" s="4">
        <v>12.31</v>
      </c>
      <c r="K2778" s="4">
        <v>15.04</v>
      </c>
      <c r="L2778">
        <v>20</v>
      </c>
      <c r="M2778" s="4">
        <v>37.03</v>
      </c>
      <c r="N2778" s="4">
        <v>148.11000000000001</v>
      </c>
      <c r="O2778" s="4">
        <v>75.42</v>
      </c>
      <c r="P2778" s="4">
        <v>8.6</v>
      </c>
      <c r="Q2778" s="4">
        <v>0.74</v>
      </c>
      <c r="R2778" s="4">
        <v>11.93</v>
      </c>
      <c r="S2778" s="4">
        <v>0</v>
      </c>
      <c r="T2778" s="4">
        <v>0</v>
      </c>
      <c r="U2778" s="4">
        <v>96.69</v>
      </c>
      <c r="V2778" s="4">
        <v>51.42</v>
      </c>
      <c r="W2778" t="s">
        <v>21</v>
      </c>
      <c r="X2778" t="s">
        <v>36</v>
      </c>
      <c r="Y2778" s="4">
        <v>3</v>
      </c>
      <c r="Z2778" s="4">
        <v>23</v>
      </c>
      <c r="AA2778" t="s">
        <v>37</v>
      </c>
      <c r="AB2778" t="s">
        <v>44</v>
      </c>
      <c r="AC2778" s="7">
        <v>2</v>
      </c>
      <c r="AD2778" t="s">
        <v>45</v>
      </c>
      <c r="AE2778">
        <f t="shared" si="43"/>
        <v>1</v>
      </c>
    </row>
    <row r="2779" spans="1:31" x14ac:dyDescent="0.35">
      <c r="A2779">
        <v>102778</v>
      </c>
      <c r="B2779" s="3">
        <v>45949</v>
      </c>
      <c r="C2779">
        <v>1128</v>
      </c>
      <c r="D2779" t="s">
        <v>59</v>
      </c>
      <c r="E2779" t="s">
        <v>73</v>
      </c>
      <c r="F2779" t="s">
        <v>41</v>
      </c>
      <c r="G2779" t="s">
        <v>33</v>
      </c>
      <c r="H2779" t="s">
        <v>57</v>
      </c>
      <c r="I2779" t="s">
        <v>35</v>
      </c>
      <c r="J2779" s="4">
        <v>35.96</v>
      </c>
      <c r="K2779" s="4">
        <v>19.239999999999998</v>
      </c>
      <c r="L2779">
        <v>5</v>
      </c>
      <c r="M2779" s="4">
        <v>34.590000000000003</v>
      </c>
      <c r="N2779" s="4">
        <v>657.28</v>
      </c>
      <c r="O2779" s="4">
        <v>231.14</v>
      </c>
      <c r="P2779" s="4">
        <v>6.51</v>
      </c>
      <c r="Q2779" s="4">
        <v>4.84</v>
      </c>
      <c r="R2779" s="4">
        <v>4.71</v>
      </c>
      <c r="S2779" s="4">
        <v>0</v>
      </c>
      <c r="T2779" s="4">
        <v>0</v>
      </c>
      <c r="U2779" s="4">
        <v>247.2</v>
      </c>
      <c r="V2779" s="4">
        <v>410.08</v>
      </c>
      <c r="W2779" t="s">
        <v>21</v>
      </c>
      <c r="X2779" t="s">
        <v>36</v>
      </c>
      <c r="Y2779" s="4">
        <v>9</v>
      </c>
      <c r="Z2779" s="4">
        <v>1</v>
      </c>
      <c r="AA2779" t="s">
        <v>37</v>
      </c>
      <c r="AB2779" t="s">
        <v>38</v>
      </c>
      <c r="AC2779" s="7">
        <v>0</v>
      </c>
      <c r="AD2779" t="s">
        <v>39</v>
      </c>
      <c r="AE2779">
        <f t="shared" si="43"/>
        <v>0</v>
      </c>
    </row>
    <row r="2780" spans="1:31" x14ac:dyDescent="0.35">
      <c r="A2780">
        <v>102779</v>
      </c>
      <c r="B2780" s="3">
        <v>45972</v>
      </c>
      <c r="C2780">
        <v>1019</v>
      </c>
      <c r="D2780" t="s">
        <v>47</v>
      </c>
      <c r="E2780" t="s">
        <v>53</v>
      </c>
      <c r="F2780" t="s">
        <v>41</v>
      </c>
      <c r="G2780" t="s">
        <v>46</v>
      </c>
      <c r="H2780" t="s">
        <v>34</v>
      </c>
      <c r="I2780" t="s">
        <v>42</v>
      </c>
      <c r="J2780" s="4">
        <v>26.61</v>
      </c>
      <c r="K2780" s="4">
        <v>15.71</v>
      </c>
      <c r="L2780">
        <v>0</v>
      </c>
      <c r="M2780" s="4">
        <v>0</v>
      </c>
      <c r="N2780" s="4">
        <v>418.04</v>
      </c>
      <c r="O2780" s="4">
        <v>199.48</v>
      </c>
      <c r="P2780" s="4">
        <v>8.82</v>
      </c>
      <c r="Q2780" s="4">
        <v>6.27</v>
      </c>
      <c r="R2780" s="4">
        <v>8.26</v>
      </c>
      <c r="S2780" s="4">
        <v>0</v>
      </c>
      <c r="T2780" s="4">
        <v>0</v>
      </c>
      <c r="U2780" s="4">
        <v>222.83</v>
      </c>
      <c r="V2780" s="4">
        <v>195.21</v>
      </c>
      <c r="W2780" t="s">
        <v>21</v>
      </c>
      <c r="X2780" t="s">
        <v>36</v>
      </c>
      <c r="Y2780" s="4">
        <v>38</v>
      </c>
      <c r="Z2780" s="4">
        <v>11</v>
      </c>
      <c r="AA2780" t="s">
        <v>43</v>
      </c>
      <c r="AB2780" t="s">
        <v>44</v>
      </c>
      <c r="AC2780" s="7">
        <v>3</v>
      </c>
      <c r="AD2780" t="s">
        <v>45</v>
      </c>
      <c r="AE2780">
        <f t="shared" si="43"/>
        <v>1</v>
      </c>
    </row>
    <row r="2781" spans="1:31" x14ac:dyDescent="0.35">
      <c r="A2781">
        <v>102780</v>
      </c>
      <c r="B2781" s="3">
        <v>45938</v>
      </c>
      <c r="C2781">
        <v>1075</v>
      </c>
      <c r="D2781" t="s">
        <v>47</v>
      </c>
      <c r="E2781" t="s">
        <v>74</v>
      </c>
      <c r="F2781" t="s">
        <v>71</v>
      </c>
      <c r="G2781" t="s">
        <v>63</v>
      </c>
      <c r="H2781" t="s">
        <v>34</v>
      </c>
      <c r="I2781" t="s">
        <v>35</v>
      </c>
      <c r="J2781" s="4">
        <v>24.96</v>
      </c>
      <c r="K2781" s="4">
        <v>12.05</v>
      </c>
      <c r="L2781">
        <v>0</v>
      </c>
      <c r="M2781" s="4">
        <v>0</v>
      </c>
      <c r="N2781" s="4">
        <v>300.77</v>
      </c>
      <c r="O2781" s="4">
        <v>202.84</v>
      </c>
      <c r="P2781" s="4">
        <v>9.9600000000000009</v>
      </c>
      <c r="Q2781" s="4">
        <v>2.11</v>
      </c>
      <c r="R2781" s="4">
        <v>1.72</v>
      </c>
      <c r="S2781" s="4">
        <v>106.3</v>
      </c>
      <c r="T2781" s="4">
        <v>0</v>
      </c>
      <c r="U2781" s="4">
        <v>322.93</v>
      </c>
      <c r="V2781" s="4">
        <v>-22.16</v>
      </c>
      <c r="W2781" t="s">
        <v>58</v>
      </c>
      <c r="X2781" t="s">
        <v>55</v>
      </c>
      <c r="Y2781" s="4">
        <v>4</v>
      </c>
      <c r="Z2781" s="4">
        <v>20</v>
      </c>
      <c r="AA2781" t="s">
        <v>37</v>
      </c>
      <c r="AB2781" t="s">
        <v>44</v>
      </c>
      <c r="AC2781" s="7">
        <v>1</v>
      </c>
      <c r="AD2781" t="s">
        <v>45</v>
      </c>
      <c r="AE2781">
        <f t="shared" si="43"/>
        <v>1</v>
      </c>
    </row>
    <row r="2782" spans="1:31" x14ac:dyDescent="0.35">
      <c r="A2782">
        <v>102781</v>
      </c>
      <c r="B2782" s="3">
        <v>45980</v>
      </c>
      <c r="C2782">
        <v>1143</v>
      </c>
      <c r="D2782" t="s">
        <v>64</v>
      </c>
      <c r="E2782" t="s">
        <v>76</v>
      </c>
      <c r="F2782" t="s">
        <v>32</v>
      </c>
      <c r="G2782" t="s">
        <v>46</v>
      </c>
      <c r="H2782" t="s">
        <v>34</v>
      </c>
      <c r="I2782" t="s">
        <v>35</v>
      </c>
      <c r="J2782" s="4">
        <v>48.98</v>
      </c>
      <c r="K2782" s="4">
        <v>16.98</v>
      </c>
      <c r="L2782">
        <v>0</v>
      </c>
      <c r="M2782" s="4">
        <v>0</v>
      </c>
      <c r="N2782" s="4">
        <v>831.68</v>
      </c>
      <c r="O2782" s="4">
        <v>340.02</v>
      </c>
      <c r="P2782" s="4">
        <v>5.52</v>
      </c>
      <c r="Q2782" s="4">
        <v>5.82</v>
      </c>
      <c r="R2782" s="4">
        <v>9.09</v>
      </c>
      <c r="S2782" s="4">
        <v>0</v>
      </c>
      <c r="T2782" s="4">
        <v>0</v>
      </c>
      <c r="U2782" s="4">
        <v>360.45</v>
      </c>
      <c r="V2782" s="4">
        <v>471.23</v>
      </c>
      <c r="W2782" t="s">
        <v>21</v>
      </c>
      <c r="X2782" t="s">
        <v>36</v>
      </c>
      <c r="Y2782" s="4">
        <v>3</v>
      </c>
      <c r="Z2782" s="4">
        <v>12</v>
      </c>
      <c r="AA2782" t="s">
        <v>37</v>
      </c>
      <c r="AB2782" t="s">
        <v>38</v>
      </c>
      <c r="AC2782" s="7">
        <v>0</v>
      </c>
      <c r="AD2782" t="s">
        <v>39</v>
      </c>
      <c r="AE2782">
        <f t="shared" si="43"/>
        <v>0</v>
      </c>
    </row>
    <row r="2783" spans="1:31" x14ac:dyDescent="0.35">
      <c r="A2783">
        <v>102782</v>
      </c>
      <c r="B2783" s="3">
        <v>45978</v>
      </c>
      <c r="C2783">
        <v>1039</v>
      </c>
      <c r="D2783" t="s">
        <v>30</v>
      </c>
      <c r="E2783" t="s">
        <v>62</v>
      </c>
      <c r="F2783" t="s">
        <v>49</v>
      </c>
      <c r="G2783" t="s">
        <v>46</v>
      </c>
      <c r="H2783" t="s">
        <v>51</v>
      </c>
      <c r="I2783" t="s">
        <v>54</v>
      </c>
      <c r="J2783" s="4">
        <v>37.03</v>
      </c>
      <c r="K2783" s="4">
        <v>16.98</v>
      </c>
      <c r="L2783">
        <v>10</v>
      </c>
      <c r="M2783" s="4">
        <v>62.88</v>
      </c>
      <c r="N2783" s="4">
        <v>565.89</v>
      </c>
      <c r="O2783" s="4">
        <v>278.51</v>
      </c>
      <c r="P2783" s="4">
        <v>6.87</v>
      </c>
      <c r="Q2783" s="4">
        <v>7.55</v>
      </c>
      <c r="R2783" s="4">
        <v>1.56</v>
      </c>
      <c r="S2783" s="4">
        <v>0</v>
      </c>
      <c r="T2783" s="4">
        <v>0</v>
      </c>
      <c r="U2783" s="4">
        <v>294.49</v>
      </c>
      <c r="V2783" s="4">
        <v>271.39999999999998</v>
      </c>
      <c r="W2783" t="s">
        <v>21</v>
      </c>
      <c r="X2783" t="s">
        <v>36</v>
      </c>
      <c r="Y2783" s="4">
        <v>16</v>
      </c>
      <c r="Z2783" s="4">
        <v>10</v>
      </c>
      <c r="AA2783" t="s">
        <v>52</v>
      </c>
      <c r="AB2783" t="s">
        <v>38</v>
      </c>
      <c r="AC2783" s="7">
        <v>2</v>
      </c>
      <c r="AD2783" t="s">
        <v>39</v>
      </c>
      <c r="AE2783">
        <f t="shared" si="43"/>
        <v>0</v>
      </c>
    </row>
    <row r="2784" spans="1:31" x14ac:dyDescent="0.35">
      <c r="A2784">
        <v>102783</v>
      </c>
      <c r="B2784" s="3">
        <v>45944</v>
      </c>
      <c r="C2784">
        <v>1078</v>
      </c>
      <c r="D2784" t="s">
        <v>30</v>
      </c>
      <c r="E2784" t="s">
        <v>40</v>
      </c>
      <c r="F2784" t="s">
        <v>41</v>
      </c>
      <c r="G2784" t="s">
        <v>50</v>
      </c>
      <c r="H2784" t="s">
        <v>34</v>
      </c>
      <c r="I2784" t="s">
        <v>35</v>
      </c>
      <c r="J2784" s="4">
        <v>31.01</v>
      </c>
      <c r="K2784" s="4">
        <v>16.79</v>
      </c>
      <c r="L2784">
        <v>5</v>
      </c>
      <c r="M2784" s="4">
        <v>26.03</v>
      </c>
      <c r="N2784" s="4">
        <v>494.63</v>
      </c>
      <c r="O2784" s="4">
        <v>289.27</v>
      </c>
      <c r="P2784" s="4">
        <v>10.36</v>
      </c>
      <c r="Q2784" s="4">
        <v>3.64</v>
      </c>
      <c r="R2784" s="4">
        <v>3.24</v>
      </c>
      <c r="S2784" s="4">
        <v>0</v>
      </c>
      <c r="T2784" s="4">
        <v>0</v>
      </c>
      <c r="U2784" s="4">
        <v>306.51</v>
      </c>
      <c r="V2784" s="4">
        <v>188.12</v>
      </c>
      <c r="W2784" t="s">
        <v>21</v>
      </c>
      <c r="X2784" t="s">
        <v>36</v>
      </c>
      <c r="Y2784" s="4">
        <v>5</v>
      </c>
      <c r="Z2784" s="4">
        <v>9</v>
      </c>
      <c r="AA2784" t="s">
        <v>37</v>
      </c>
      <c r="AB2784" t="s">
        <v>38</v>
      </c>
      <c r="AC2784" s="7">
        <v>0</v>
      </c>
      <c r="AD2784" t="s">
        <v>39</v>
      </c>
      <c r="AE2784">
        <f t="shared" si="43"/>
        <v>0</v>
      </c>
    </row>
    <row r="2785" spans="1:31" x14ac:dyDescent="0.35">
      <c r="A2785">
        <v>102784</v>
      </c>
      <c r="B2785" s="3">
        <v>45962</v>
      </c>
      <c r="C2785">
        <v>1107</v>
      </c>
      <c r="D2785" t="s">
        <v>30</v>
      </c>
      <c r="E2785" t="s">
        <v>72</v>
      </c>
      <c r="F2785" t="s">
        <v>49</v>
      </c>
      <c r="G2785" t="s">
        <v>63</v>
      </c>
      <c r="H2785" t="s">
        <v>34</v>
      </c>
      <c r="I2785" t="s">
        <v>35</v>
      </c>
      <c r="J2785" s="4">
        <v>20.97</v>
      </c>
      <c r="K2785" s="4">
        <v>11.61</v>
      </c>
      <c r="L2785">
        <v>0</v>
      </c>
      <c r="M2785" s="4">
        <v>0</v>
      </c>
      <c r="N2785" s="4">
        <v>243.46</v>
      </c>
      <c r="O2785" s="4">
        <v>138.94</v>
      </c>
      <c r="P2785" s="4">
        <v>3.37</v>
      </c>
      <c r="Q2785" s="4">
        <v>1.7</v>
      </c>
      <c r="R2785" s="4">
        <v>9.94</v>
      </c>
      <c r="S2785" s="4">
        <v>0</v>
      </c>
      <c r="T2785" s="4">
        <v>0</v>
      </c>
      <c r="U2785" s="4">
        <v>153.94999999999999</v>
      </c>
      <c r="V2785" s="4">
        <v>89.51</v>
      </c>
      <c r="W2785" t="s">
        <v>21</v>
      </c>
      <c r="X2785" t="s">
        <v>36</v>
      </c>
      <c r="Y2785" s="4">
        <v>0</v>
      </c>
      <c r="Z2785" s="4">
        <v>9</v>
      </c>
      <c r="AA2785" t="s">
        <v>37</v>
      </c>
      <c r="AB2785" t="s">
        <v>38</v>
      </c>
      <c r="AC2785" s="7">
        <v>0</v>
      </c>
      <c r="AD2785" t="s">
        <v>39</v>
      </c>
      <c r="AE2785">
        <f t="shared" si="43"/>
        <v>0</v>
      </c>
    </row>
    <row r="2786" spans="1:31" x14ac:dyDescent="0.35">
      <c r="A2786">
        <v>102785</v>
      </c>
      <c r="B2786" s="3">
        <v>45956</v>
      </c>
      <c r="C2786">
        <v>1039</v>
      </c>
      <c r="D2786" t="s">
        <v>30</v>
      </c>
      <c r="E2786" t="s">
        <v>31</v>
      </c>
      <c r="F2786" t="s">
        <v>71</v>
      </c>
      <c r="G2786" t="s">
        <v>46</v>
      </c>
      <c r="H2786" t="s">
        <v>34</v>
      </c>
      <c r="I2786" t="s">
        <v>35</v>
      </c>
      <c r="J2786" s="4">
        <v>32.54</v>
      </c>
      <c r="K2786" s="4">
        <v>16.23</v>
      </c>
      <c r="L2786">
        <v>0</v>
      </c>
      <c r="M2786" s="4">
        <v>0</v>
      </c>
      <c r="N2786" s="4">
        <v>528.12</v>
      </c>
      <c r="O2786" s="4">
        <v>234.5</v>
      </c>
      <c r="P2786" s="4">
        <v>4.96</v>
      </c>
      <c r="Q2786" s="4">
        <v>3.7</v>
      </c>
      <c r="R2786" s="4">
        <v>10.1</v>
      </c>
      <c r="S2786" s="4">
        <v>0</v>
      </c>
      <c r="T2786" s="4">
        <v>0</v>
      </c>
      <c r="U2786" s="4">
        <v>253.26</v>
      </c>
      <c r="V2786" s="4">
        <v>274.86</v>
      </c>
      <c r="W2786" t="s">
        <v>21</v>
      </c>
      <c r="X2786" t="s">
        <v>36</v>
      </c>
      <c r="Y2786" s="4">
        <v>25</v>
      </c>
      <c r="Z2786" s="4">
        <v>3</v>
      </c>
      <c r="AA2786" t="s">
        <v>52</v>
      </c>
      <c r="AB2786" t="s">
        <v>44</v>
      </c>
      <c r="AC2786" s="7">
        <v>3</v>
      </c>
      <c r="AD2786" t="s">
        <v>45</v>
      </c>
      <c r="AE2786">
        <f t="shared" si="43"/>
        <v>1</v>
      </c>
    </row>
    <row r="2787" spans="1:31" x14ac:dyDescent="0.35">
      <c r="A2787">
        <v>102786</v>
      </c>
      <c r="B2787" s="3">
        <v>45992</v>
      </c>
      <c r="C2787">
        <v>1133</v>
      </c>
      <c r="D2787" t="s">
        <v>47</v>
      </c>
      <c r="E2787" t="s">
        <v>48</v>
      </c>
      <c r="F2787" t="s">
        <v>41</v>
      </c>
      <c r="G2787" t="s">
        <v>63</v>
      </c>
      <c r="H2787" t="s">
        <v>34</v>
      </c>
      <c r="I2787" t="s">
        <v>69</v>
      </c>
      <c r="J2787" s="4">
        <v>15.77</v>
      </c>
      <c r="K2787" s="4">
        <v>12.27</v>
      </c>
      <c r="L2787">
        <v>15</v>
      </c>
      <c r="M2787" s="4">
        <v>29.02</v>
      </c>
      <c r="N2787" s="4">
        <v>164.48</v>
      </c>
      <c r="O2787" s="4">
        <v>126.68</v>
      </c>
      <c r="P2787" s="4">
        <v>9.91</v>
      </c>
      <c r="Q2787" s="4">
        <v>0.77</v>
      </c>
      <c r="R2787" s="4">
        <v>3.78</v>
      </c>
      <c r="S2787" s="4">
        <v>0</v>
      </c>
      <c r="T2787" s="4">
        <v>0</v>
      </c>
      <c r="U2787" s="4">
        <v>141.13999999999999</v>
      </c>
      <c r="V2787" s="4">
        <v>23.34</v>
      </c>
      <c r="W2787" t="s">
        <v>21</v>
      </c>
      <c r="X2787" t="s">
        <v>36</v>
      </c>
      <c r="Y2787" s="4">
        <v>4</v>
      </c>
      <c r="Z2787" s="4">
        <v>6</v>
      </c>
      <c r="AA2787" t="s">
        <v>37</v>
      </c>
      <c r="AB2787" t="s">
        <v>38</v>
      </c>
      <c r="AC2787" s="7">
        <v>0</v>
      </c>
      <c r="AD2787" t="s">
        <v>39</v>
      </c>
      <c r="AE2787">
        <f t="shared" si="43"/>
        <v>0</v>
      </c>
    </row>
    <row r="2788" spans="1:31" x14ac:dyDescent="0.35">
      <c r="A2788">
        <v>102787</v>
      </c>
      <c r="B2788" s="3">
        <v>46010</v>
      </c>
      <c r="C2788">
        <v>1002</v>
      </c>
      <c r="D2788" t="s">
        <v>47</v>
      </c>
      <c r="E2788" t="s">
        <v>53</v>
      </c>
      <c r="F2788" t="s">
        <v>49</v>
      </c>
      <c r="G2788" t="s">
        <v>63</v>
      </c>
      <c r="H2788" t="s">
        <v>34</v>
      </c>
      <c r="I2788" t="s">
        <v>54</v>
      </c>
      <c r="J2788" s="4">
        <v>21.65</v>
      </c>
      <c r="K2788" s="4">
        <v>12.13</v>
      </c>
      <c r="L2788">
        <v>0</v>
      </c>
      <c r="M2788" s="4">
        <v>0</v>
      </c>
      <c r="N2788" s="4">
        <v>262.61</v>
      </c>
      <c r="O2788" s="4">
        <v>161.04</v>
      </c>
      <c r="P2788" s="4">
        <v>11.3</v>
      </c>
      <c r="Q2788" s="4">
        <v>3.15</v>
      </c>
      <c r="R2788" s="4">
        <v>2.71</v>
      </c>
      <c r="S2788" s="4">
        <v>0</v>
      </c>
      <c r="T2788" s="4">
        <v>0</v>
      </c>
      <c r="U2788" s="4">
        <v>178.2</v>
      </c>
      <c r="V2788" s="4">
        <v>84.41</v>
      </c>
      <c r="W2788" t="s">
        <v>21</v>
      </c>
      <c r="X2788" t="s">
        <v>36</v>
      </c>
      <c r="Y2788" s="4">
        <v>11</v>
      </c>
      <c r="Z2788" s="4">
        <v>3</v>
      </c>
      <c r="AA2788" t="s">
        <v>37</v>
      </c>
      <c r="AB2788" t="s">
        <v>38</v>
      </c>
      <c r="AC2788" s="7">
        <v>2</v>
      </c>
      <c r="AD2788" t="s">
        <v>39</v>
      </c>
      <c r="AE2788">
        <f t="shared" si="43"/>
        <v>0</v>
      </c>
    </row>
    <row r="2789" spans="1:31" x14ac:dyDescent="0.35">
      <c r="A2789">
        <v>102788</v>
      </c>
      <c r="B2789" s="3">
        <v>45952</v>
      </c>
      <c r="C2789">
        <v>1146</v>
      </c>
      <c r="D2789" t="s">
        <v>47</v>
      </c>
      <c r="E2789" t="s">
        <v>74</v>
      </c>
      <c r="F2789" t="s">
        <v>61</v>
      </c>
      <c r="G2789" t="s">
        <v>46</v>
      </c>
      <c r="H2789" t="s">
        <v>57</v>
      </c>
      <c r="I2789" t="s">
        <v>42</v>
      </c>
      <c r="J2789" s="4">
        <v>29.46</v>
      </c>
      <c r="K2789" s="4">
        <v>15.2</v>
      </c>
      <c r="L2789">
        <v>20</v>
      </c>
      <c r="M2789" s="4">
        <v>89.56</v>
      </c>
      <c r="N2789" s="4">
        <v>358.23</v>
      </c>
      <c r="O2789" s="4">
        <v>234.15</v>
      </c>
      <c r="P2789" s="4">
        <v>4.91</v>
      </c>
      <c r="Q2789" s="4">
        <v>6.72</v>
      </c>
      <c r="R2789" s="4">
        <v>0.4</v>
      </c>
      <c r="S2789" s="4">
        <v>0</v>
      </c>
      <c r="T2789" s="4">
        <v>0</v>
      </c>
      <c r="U2789" s="4">
        <v>246.18</v>
      </c>
      <c r="V2789" s="4">
        <v>112.05</v>
      </c>
      <c r="W2789" t="s">
        <v>21</v>
      </c>
      <c r="X2789" t="s">
        <v>36</v>
      </c>
      <c r="Y2789" s="4">
        <v>2</v>
      </c>
      <c r="Z2789" s="4">
        <v>8</v>
      </c>
      <c r="AA2789" t="s">
        <v>37</v>
      </c>
      <c r="AB2789" t="s">
        <v>38</v>
      </c>
      <c r="AC2789" s="7">
        <v>0</v>
      </c>
      <c r="AD2789" t="s">
        <v>39</v>
      </c>
      <c r="AE2789">
        <f t="shared" si="43"/>
        <v>0</v>
      </c>
    </row>
    <row r="2790" spans="1:31" x14ac:dyDescent="0.35">
      <c r="A2790">
        <v>102789</v>
      </c>
      <c r="B2790" s="3">
        <v>46010</v>
      </c>
      <c r="C2790">
        <v>1149</v>
      </c>
      <c r="D2790" t="s">
        <v>59</v>
      </c>
      <c r="E2790" t="s">
        <v>68</v>
      </c>
      <c r="F2790" t="s">
        <v>61</v>
      </c>
      <c r="G2790" t="s">
        <v>63</v>
      </c>
      <c r="H2790" t="s">
        <v>51</v>
      </c>
      <c r="I2790" t="s">
        <v>35</v>
      </c>
      <c r="J2790" s="4">
        <v>12.23</v>
      </c>
      <c r="K2790" s="4">
        <v>12.77</v>
      </c>
      <c r="L2790">
        <v>20</v>
      </c>
      <c r="M2790" s="4">
        <v>31.24</v>
      </c>
      <c r="N2790" s="4">
        <v>124.94</v>
      </c>
      <c r="O2790" s="4">
        <v>85.33</v>
      </c>
      <c r="P2790" s="4">
        <v>14.69</v>
      </c>
      <c r="Q2790" s="4">
        <v>1.0900000000000001</v>
      </c>
      <c r="R2790" s="4">
        <v>9.57</v>
      </c>
      <c r="S2790" s="4">
        <v>72.739999999999995</v>
      </c>
      <c r="T2790" s="4">
        <v>20.85</v>
      </c>
      <c r="U2790" s="4">
        <v>204.27</v>
      </c>
      <c r="V2790" s="4">
        <v>-79.33</v>
      </c>
      <c r="W2790" t="s">
        <v>58</v>
      </c>
      <c r="X2790" t="s">
        <v>55</v>
      </c>
      <c r="Y2790" s="4">
        <v>17</v>
      </c>
      <c r="Z2790" s="4">
        <v>8</v>
      </c>
      <c r="AA2790" t="s">
        <v>52</v>
      </c>
      <c r="AB2790" t="s">
        <v>44</v>
      </c>
      <c r="AC2790" s="7">
        <v>2</v>
      </c>
      <c r="AD2790" t="s">
        <v>45</v>
      </c>
      <c r="AE2790">
        <f t="shared" si="43"/>
        <v>1</v>
      </c>
    </row>
    <row r="2791" spans="1:31" x14ac:dyDescent="0.35">
      <c r="A2791">
        <v>102790</v>
      </c>
      <c r="B2791" s="3">
        <v>45981</v>
      </c>
      <c r="C2791">
        <v>1069</v>
      </c>
      <c r="D2791" t="s">
        <v>64</v>
      </c>
      <c r="E2791" t="s">
        <v>65</v>
      </c>
      <c r="F2791" t="s">
        <v>49</v>
      </c>
      <c r="G2791" t="s">
        <v>63</v>
      </c>
      <c r="H2791" t="s">
        <v>57</v>
      </c>
      <c r="I2791" t="s">
        <v>69</v>
      </c>
      <c r="J2791" s="4">
        <v>16.34</v>
      </c>
      <c r="K2791" s="4">
        <v>13.64</v>
      </c>
      <c r="L2791">
        <v>5</v>
      </c>
      <c r="M2791" s="4">
        <v>11.14</v>
      </c>
      <c r="N2791" s="4">
        <v>211.74</v>
      </c>
      <c r="O2791" s="4">
        <v>126.26</v>
      </c>
      <c r="P2791" s="4">
        <v>5.31</v>
      </c>
      <c r="Q2791" s="4">
        <v>0.89</v>
      </c>
      <c r="R2791" s="4">
        <v>8.91</v>
      </c>
      <c r="S2791" s="4">
        <v>193.8</v>
      </c>
      <c r="T2791" s="4">
        <v>18.88</v>
      </c>
      <c r="U2791" s="4">
        <v>354.05</v>
      </c>
      <c r="V2791" s="4">
        <v>-142.31</v>
      </c>
      <c r="W2791" t="s">
        <v>58</v>
      </c>
      <c r="X2791" t="s">
        <v>55</v>
      </c>
      <c r="Y2791" s="4">
        <v>2</v>
      </c>
      <c r="Z2791" s="4">
        <v>17</v>
      </c>
      <c r="AA2791" t="s">
        <v>37</v>
      </c>
      <c r="AB2791" t="s">
        <v>44</v>
      </c>
      <c r="AC2791" s="7">
        <v>2</v>
      </c>
      <c r="AD2791" t="s">
        <v>45</v>
      </c>
      <c r="AE2791">
        <f t="shared" si="43"/>
        <v>1</v>
      </c>
    </row>
    <row r="2792" spans="1:31" x14ac:dyDescent="0.35">
      <c r="A2792">
        <v>102791</v>
      </c>
      <c r="B2792" s="3">
        <v>45939</v>
      </c>
      <c r="C2792">
        <v>1069</v>
      </c>
      <c r="D2792" t="s">
        <v>59</v>
      </c>
      <c r="E2792" t="s">
        <v>68</v>
      </c>
      <c r="F2792" t="s">
        <v>32</v>
      </c>
      <c r="G2792" t="s">
        <v>63</v>
      </c>
      <c r="H2792" t="s">
        <v>34</v>
      </c>
      <c r="I2792" t="s">
        <v>42</v>
      </c>
      <c r="J2792" s="4">
        <v>12.82</v>
      </c>
      <c r="K2792" s="4">
        <v>13.16</v>
      </c>
      <c r="L2792">
        <v>15</v>
      </c>
      <c r="M2792" s="4">
        <v>25.31</v>
      </c>
      <c r="N2792" s="4">
        <v>143.4</v>
      </c>
      <c r="O2792" s="4">
        <v>77.97</v>
      </c>
      <c r="P2792" s="4">
        <v>8.11</v>
      </c>
      <c r="Q2792" s="4">
        <v>2.5299999999999998</v>
      </c>
      <c r="R2792" s="4">
        <v>9.74</v>
      </c>
      <c r="S2792" s="4">
        <v>108.65</v>
      </c>
      <c r="T2792" s="4">
        <v>0</v>
      </c>
      <c r="U2792" s="4">
        <v>207</v>
      </c>
      <c r="V2792" s="4">
        <v>-63.6</v>
      </c>
      <c r="W2792" t="s">
        <v>58</v>
      </c>
      <c r="X2792" t="s">
        <v>55</v>
      </c>
      <c r="Y2792" s="4">
        <v>1</v>
      </c>
      <c r="Z2792" s="4">
        <v>20</v>
      </c>
      <c r="AA2792" t="s">
        <v>37</v>
      </c>
      <c r="AB2792" t="s">
        <v>44</v>
      </c>
      <c r="AC2792" s="7">
        <v>1</v>
      </c>
      <c r="AD2792" t="s">
        <v>45</v>
      </c>
      <c r="AE2792">
        <f t="shared" si="43"/>
        <v>1</v>
      </c>
    </row>
    <row r="2793" spans="1:31" x14ac:dyDescent="0.35">
      <c r="A2793">
        <v>102792</v>
      </c>
      <c r="B2793" s="3">
        <v>45938</v>
      </c>
      <c r="C2793">
        <v>1078</v>
      </c>
      <c r="D2793" t="s">
        <v>59</v>
      </c>
      <c r="E2793" t="s">
        <v>68</v>
      </c>
      <c r="F2793" t="s">
        <v>49</v>
      </c>
      <c r="G2793" t="s">
        <v>33</v>
      </c>
      <c r="H2793" t="s">
        <v>34</v>
      </c>
      <c r="I2793" t="s">
        <v>42</v>
      </c>
      <c r="J2793" s="4">
        <v>25.31</v>
      </c>
      <c r="K2793" s="4">
        <v>20.32</v>
      </c>
      <c r="L2793">
        <v>5</v>
      </c>
      <c r="M2793" s="4">
        <v>25.72</v>
      </c>
      <c r="N2793" s="4">
        <v>488.58</v>
      </c>
      <c r="O2793" s="4">
        <v>152.88999999999999</v>
      </c>
      <c r="P2793" s="4">
        <v>5.41</v>
      </c>
      <c r="Q2793" s="4">
        <v>7.71</v>
      </c>
      <c r="R2793" s="4">
        <v>13.98</v>
      </c>
      <c r="S2793" s="4">
        <v>0</v>
      </c>
      <c r="T2793" s="4">
        <v>0</v>
      </c>
      <c r="U2793" s="4">
        <v>179.99</v>
      </c>
      <c r="V2793" s="4">
        <v>308.58999999999997</v>
      </c>
      <c r="W2793" t="s">
        <v>21</v>
      </c>
      <c r="X2793" t="s">
        <v>36</v>
      </c>
      <c r="Y2793" s="4">
        <v>24</v>
      </c>
      <c r="Z2793" s="4">
        <v>0</v>
      </c>
      <c r="AA2793" t="s">
        <v>52</v>
      </c>
      <c r="AB2793" t="s">
        <v>44</v>
      </c>
      <c r="AC2793" s="7">
        <v>1</v>
      </c>
      <c r="AD2793" t="s">
        <v>45</v>
      </c>
      <c r="AE2793">
        <f t="shared" si="43"/>
        <v>1</v>
      </c>
    </row>
    <row r="2794" spans="1:31" x14ac:dyDescent="0.35">
      <c r="A2794">
        <v>102793</v>
      </c>
      <c r="B2794" s="3">
        <v>45932</v>
      </c>
      <c r="C2794">
        <v>1062</v>
      </c>
      <c r="D2794" t="s">
        <v>47</v>
      </c>
      <c r="E2794" t="s">
        <v>56</v>
      </c>
      <c r="F2794" t="s">
        <v>41</v>
      </c>
      <c r="G2794" t="s">
        <v>50</v>
      </c>
      <c r="H2794" t="s">
        <v>34</v>
      </c>
      <c r="I2794" t="s">
        <v>35</v>
      </c>
      <c r="J2794" s="4">
        <v>24.37</v>
      </c>
      <c r="K2794" s="4">
        <v>16.600000000000001</v>
      </c>
      <c r="L2794">
        <v>0</v>
      </c>
      <c r="M2794" s="4">
        <v>0</v>
      </c>
      <c r="N2794" s="4">
        <v>404.54</v>
      </c>
      <c r="O2794" s="4">
        <v>142.66</v>
      </c>
      <c r="P2794" s="4">
        <v>2.08</v>
      </c>
      <c r="Q2794" s="4">
        <v>2.83</v>
      </c>
      <c r="R2794" s="4">
        <v>11.77</v>
      </c>
      <c r="S2794" s="4">
        <v>0</v>
      </c>
      <c r="T2794" s="4">
        <v>0</v>
      </c>
      <c r="U2794" s="4">
        <v>159.34</v>
      </c>
      <c r="V2794" s="4">
        <v>245.2</v>
      </c>
      <c r="W2794" t="s">
        <v>21</v>
      </c>
      <c r="X2794" t="s">
        <v>36</v>
      </c>
      <c r="Y2794" s="4">
        <v>0</v>
      </c>
      <c r="Z2794" s="4">
        <v>11</v>
      </c>
      <c r="AA2794" t="s">
        <v>37</v>
      </c>
      <c r="AB2794" t="s">
        <v>38</v>
      </c>
      <c r="AC2794" s="7">
        <v>0</v>
      </c>
      <c r="AD2794" t="s">
        <v>39</v>
      </c>
      <c r="AE2794">
        <f t="shared" si="43"/>
        <v>0</v>
      </c>
    </row>
    <row r="2795" spans="1:31" x14ac:dyDescent="0.35">
      <c r="A2795">
        <v>102794</v>
      </c>
      <c r="B2795" s="3">
        <v>45971</v>
      </c>
      <c r="C2795">
        <v>1047</v>
      </c>
      <c r="D2795" t="s">
        <v>47</v>
      </c>
      <c r="E2795" t="s">
        <v>74</v>
      </c>
      <c r="F2795" t="s">
        <v>61</v>
      </c>
      <c r="G2795" t="s">
        <v>63</v>
      </c>
      <c r="H2795" t="s">
        <v>57</v>
      </c>
      <c r="I2795" t="s">
        <v>42</v>
      </c>
      <c r="J2795" s="4">
        <v>15.37</v>
      </c>
      <c r="K2795" s="4">
        <v>12.28</v>
      </c>
      <c r="L2795">
        <v>0</v>
      </c>
      <c r="M2795" s="4">
        <v>0</v>
      </c>
      <c r="N2795" s="4">
        <v>188.74</v>
      </c>
      <c r="O2795" s="4">
        <v>105.09</v>
      </c>
      <c r="P2795" s="4">
        <v>9.0299999999999994</v>
      </c>
      <c r="Q2795" s="4">
        <v>2.83</v>
      </c>
      <c r="R2795" s="4">
        <v>3.34</v>
      </c>
      <c r="S2795" s="4">
        <v>0</v>
      </c>
      <c r="T2795" s="4">
        <v>0</v>
      </c>
      <c r="U2795" s="4">
        <v>120.29</v>
      </c>
      <c r="V2795" s="4">
        <v>68.45</v>
      </c>
      <c r="W2795" t="s">
        <v>21</v>
      </c>
      <c r="X2795" t="s">
        <v>36</v>
      </c>
      <c r="Y2795" s="4">
        <v>2</v>
      </c>
      <c r="Z2795" s="4">
        <v>10</v>
      </c>
      <c r="AA2795" t="s">
        <v>37</v>
      </c>
      <c r="AB2795" t="s">
        <v>38</v>
      </c>
      <c r="AC2795" s="7">
        <v>0</v>
      </c>
      <c r="AD2795" t="s">
        <v>39</v>
      </c>
      <c r="AE2795">
        <f t="shared" si="43"/>
        <v>0</v>
      </c>
    </row>
    <row r="2796" spans="1:31" x14ac:dyDescent="0.35">
      <c r="A2796">
        <v>102795</v>
      </c>
      <c r="B2796" s="3">
        <v>45955</v>
      </c>
      <c r="C2796">
        <v>1083</v>
      </c>
      <c r="D2796" t="s">
        <v>30</v>
      </c>
      <c r="E2796" t="s">
        <v>31</v>
      </c>
      <c r="F2796" t="s">
        <v>71</v>
      </c>
      <c r="G2796" t="s">
        <v>46</v>
      </c>
      <c r="H2796" t="s">
        <v>34</v>
      </c>
      <c r="I2796" t="s">
        <v>35</v>
      </c>
      <c r="J2796" s="4">
        <v>28.38</v>
      </c>
      <c r="K2796" s="4">
        <v>14.99</v>
      </c>
      <c r="L2796">
        <v>10</v>
      </c>
      <c r="M2796" s="4">
        <v>42.54</v>
      </c>
      <c r="N2796" s="4">
        <v>382.88</v>
      </c>
      <c r="O2796" s="4">
        <v>187.34</v>
      </c>
      <c r="P2796" s="4">
        <v>7.99</v>
      </c>
      <c r="Q2796" s="4">
        <v>2.98</v>
      </c>
      <c r="R2796" s="4">
        <v>4.67</v>
      </c>
      <c r="S2796" s="4">
        <v>0</v>
      </c>
      <c r="T2796" s="4">
        <v>0</v>
      </c>
      <c r="U2796" s="4">
        <v>202.98</v>
      </c>
      <c r="V2796" s="4">
        <v>179.9</v>
      </c>
      <c r="W2796" t="s">
        <v>21</v>
      </c>
      <c r="X2796" t="s">
        <v>36</v>
      </c>
      <c r="Y2796" s="4">
        <v>9</v>
      </c>
      <c r="Z2796" s="4">
        <v>0</v>
      </c>
      <c r="AA2796" t="s">
        <v>37</v>
      </c>
      <c r="AB2796" t="s">
        <v>38</v>
      </c>
      <c r="AC2796" s="7">
        <v>0</v>
      </c>
      <c r="AD2796" t="s">
        <v>39</v>
      </c>
      <c r="AE2796">
        <f t="shared" si="43"/>
        <v>0</v>
      </c>
    </row>
    <row r="2797" spans="1:31" x14ac:dyDescent="0.35">
      <c r="A2797">
        <v>102796</v>
      </c>
      <c r="B2797" s="3">
        <v>45965</v>
      </c>
      <c r="C2797">
        <v>1051</v>
      </c>
      <c r="D2797" t="s">
        <v>30</v>
      </c>
      <c r="E2797" t="s">
        <v>72</v>
      </c>
      <c r="F2797" t="s">
        <v>61</v>
      </c>
      <c r="G2797" t="s">
        <v>50</v>
      </c>
      <c r="H2797" t="s">
        <v>34</v>
      </c>
      <c r="I2797" t="s">
        <v>35</v>
      </c>
      <c r="J2797" s="4">
        <v>27.54</v>
      </c>
      <c r="K2797" s="4">
        <v>16.63</v>
      </c>
      <c r="L2797">
        <v>10</v>
      </c>
      <c r="M2797" s="4">
        <v>45.8</v>
      </c>
      <c r="N2797" s="4">
        <v>412.19</v>
      </c>
      <c r="O2797" s="4">
        <v>174.67</v>
      </c>
      <c r="P2797" s="4">
        <v>10.32</v>
      </c>
      <c r="Q2797" s="4">
        <v>3.21</v>
      </c>
      <c r="R2797" s="4">
        <v>1.33</v>
      </c>
      <c r="S2797" s="4">
        <v>0</v>
      </c>
      <c r="T2797" s="4">
        <v>0</v>
      </c>
      <c r="U2797" s="4">
        <v>189.53</v>
      </c>
      <c r="V2797" s="4">
        <v>222.66</v>
      </c>
      <c r="W2797" t="s">
        <v>21</v>
      </c>
      <c r="X2797" t="s">
        <v>36</v>
      </c>
      <c r="Y2797" s="4">
        <v>7</v>
      </c>
      <c r="Z2797" s="4">
        <v>3</v>
      </c>
      <c r="AA2797" t="s">
        <v>37</v>
      </c>
      <c r="AB2797" t="s">
        <v>38</v>
      </c>
      <c r="AC2797" s="7">
        <v>0</v>
      </c>
      <c r="AD2797" t="s">
        <v>39</v>
      </c>
      <c r="AE2797">
        <f t="shared" si="43"/>
        <v>0</v>
      </c>
    </row>
    <row r="2798" spans="1:31" x14ac:dyDescent="0.35">
      <c r="A2798">
        <v>102797</v>
      </c>
      <c r="B2798" s="3">
        <v>45997</v>
      </c>
      <c r="C2798">
        <v>1112</v>
      </c>
      <c r="D2798" t="s">
        <v>30</v>
      </c>
      <c r="E2798" t="s">
        <v>72</v>
      </c>
      <c r="F2798" t="s">
        <v>32</v>
      </c>
      <c r="G2798" t="s">
        <v>46</v>
      </c>
      <c r="H2798" t="s">
        <v>34</v>
      </c>
      <c r="I2798" t="s">
        <v>42</v>
      </c>
      <c r="J2798" s="4">
        <v>32.380000000000003</v>
      </c>
      <c r="K2798" s="4">
        <v>15.22</v>
      </c>
      <c r="L2798">
        <v>10</v>
      </c>
      <c r="M2798" s="4">
        <v>49.28</v>
      </c>
      <c r="N2798" s="4">
        <v>443.54</v>
      </c>
      <c r="O2798" s="4">
        <v>186.4</v>
      </c>
      <c r="P2798" s="4">
        <v>7.01</v>
      </c>
      <c r="Q2798" s="4">
        <v>7.39</v>
      </c>
      <c r="R2798" s="4">
        <v>7.59</v>
      </c>
      <c r="S2798" s="4">
        <v>0</v>
      </c>
      <c r="T2798" s="4">
        <v>0</v>
      </c>
      <c r="U2798" s="4">
        <v>208.39</v>
      </c>
      <c r="V2798" s="4">
        <v>235.15</v>
      </c>
      <c r="W2798" t="s">
        <v>21</v>
      </c>
      <c r="X2798" t="s">
        <v>36</v>
      </c>
      <c r="Y2798" s="4">
        <v>11</v>
      </c>
      <c r="Z2798" s="4">
        <v>9</v>
      </c>
      <c r="AA2798" t="s">
        <v>37</v>
      </c>
      <c r="AB2798" t="s">
        <v>38</v>
      </c>
      <c r="AC2798" s="7">
        <v>0</v>
      </c>
      <c r="AD2798" t="s">
        <v>39</v>
      </c>
      <c r="AE2798">
        <f t="shared" si="43"/>
        <v>0</v>
      </c>
    </row>
    <row r="2799" spans="1:31" x14ac:dyDescent="0.35">
      <c r="A2799">
        <v>102798</v>
      </c>
      <c r="B2799" s="3">
        <v>46020</v>
      </c>
      <c r="C2799">
        <v>1054</v>
      </c>
      <c r="D2799" t="s">
        <v>47</v>
      </c>
      <c r="E2799" t="s">
        <v>56</v>
      </c>
      <c r="F2799" t="s">
        <v>61</v>
      </c>
      <c r="G2799" t="s">
        <v>63</v>
      </c>
      <c r="H2799" t="s">
        <v>57</v>
      </c>
      <c r="I2799" t="s">
        <v>54</v>
      </c>
      <c r="J2799" s="4">
        <v>24.43</v>
      </c>
      <c r="K2799" s="4">
        <v>13.33</v>
      </c>
      <c r="L2799">
        <v>0</v>
      </c>
      <c r="M2799" s="4">
        <v>0</v>
      </c>
      <c r="N2799" s="4">
        <v>325.64999999999998</v>
      </c>
      <c r="O2799" s="4">
        <v>151.57</v>
      </c>
      <c r="P2799" s="4">
        <v>4.95</v>
      </c>
      <c r="Q2799" s="4">
        <v>3.91</v>
      </c>
      <c r="R2799" s="4">
        <v>0</v>
      </c>
      <c r="S2799" s="4">
        <v>131.38999999999999</v>
      </c>
      <c r="T2799" s="4">
        <v>19.41</v>
      </c>
      <c r="U2799" s="4">
        <v>311.23</v>
      </c>
      <c r="V2799" s="4">
        <v>14.42</v>
      </c>
      <c r="W2799" t="s">
        <v>21</v>
      </c>
      <c r="X2799" t="s">
        <v>55</v>
      </c>
      <c r="Y2799" s="4">
        <v>23</v>
      </c>
      <c r="Z2799" s="4">
        <v>38</v>
      </c>
      <c r="AA2799" t="s">
        <v>52</v>
      </c>
      <c r="AB2799" t="s">
        <v>44</v>
      </c>
      <c r="AC2799" s="7">
        <v>3</v>
      </c>
      <c r="AD2799" t="s">
        <v>45</v>
      </c>
      <c r="AE2799">
        <f t="shared" si="43"/>
        <v>1</v>
      </c>
    </row>
    <row r="2800" spans="1:31" x14ac:dyDescent="0.35">
      <c r="A2800">
        <v>102799</v>
      </c>
      <c r="B2800" s="3">
        <v>45953</v>
      </c>
      <c r="C2800">
        <v>1142</v>
      </c>
      <c r="D2800" t="s">
        <v>30</v>
      </c>
      <c r="E2800" t="s">
        <v>31</v>
      </c>
      <c r="F2800" t="s">
        <v>49</v>
      </c>
      <c r="G2800" t="s">
        <v>50</v>
      </c>
      <c r="H2800" t="s">
        <v>51</v>
      </c>
      <c r="I2800" t="s">
        <v>54</v>
      </c>
      <c r="J2800" s="4">
        <v>35.83</v>
      </c>
      <c r="K2800" s="4">
        <v>18.91</v>
      </c>
      <c r="L2800">
        <v>0</v>
      </c>
      <c r="M2800" s="4">
        <v>0</v>
      </c>
      <c r="N2800" s="4">
        <v>677.55</v>
      </c>
      <c r="O2800" s="4">
        <v>286.45</v>
      </c>
      <c r="P2800" s="4">
        <v>13.11</v>
      </c>
      <c r="Q2800" s="4">
        <v>8.1300000000000008</v>
      </c>
      <c r="R2800" s="4">
        <v>1.75</v>
      </c>
      <c r="S2800" s="4">
        <v>0</v>
      </c>
      <c r="T2800" s="4">
        <v>0</v>
      </c>
      <c r="U2800" s="4">
        <v>309.44</v>
      </c>
      <c r="V2800" s="4">
        <v>368.11</v>
      </c>
      <c r="W2800" t="s">
        <v>21</v>
      </c>
      <c r="X2800" t="s">
        <v>36</v>
      </c>
      <c r="Y2800" s="4">
        <v>0</v>
      </c>
      <c r="Z2800" s="4">
        <v>10</v>
      </c>
      <c r="AA2800" t="s">
        <v>37</v>
      </c>
      <c r="AB2800" t="s">
        <v>38</v>
      </c>
      <c r="AC2800" s="7">
        <v>0</v>
      </c>
      <c r="AD2800" t="s">
        <v>39</v>
      </c>
      <c r="AE2800">
        <f t="shared" si="43"/>
        <v>0</v>
      </c>
    </row>
    <row r="2801" spans="1:31" x14ac:dyDescent="0.35">
      <c r="A2801">
        <v>102800</v>
      </c>
      <c r="B2801" s="3">
        <v>45980</v>
      </c>
      <c r="C2801">
        <v>1093</v>
      </c>
      <c r="D2801" t="s">
        <v>47</v>
      </c>
      <c r="E2801" t="s">
        <v>53</v>
      </c>
      <c r="F2801" t="s">
        <v>41</v>
      </c>
      <c r="G2801" t="s">
        <v>63</v>
      </c>
      <c r="H2801" t="s">
        <v>51</v>
      </c>
      <c r="I2801" t="s">
        <v>42</v>
      </c>
      <c r="J2801" s="4">
        <v>30.67</v>
      </c>
      <c r="K2801" s="4">
        <v>13.67</v>
      </c>
      <c r="L2801">
        <v>0</v>
      </c>
      <c r="M2801" s="4">
        <v>0</v>
      </c>
      <c r="N2801" s="4">
        <v>419.26</v>
      </c>
      <c r="O2801" s="4">
        <v>254.71</v>
      </c>
      <c r="P2801" s="4">
        <v>3.57</v>
      </c>
      <c r="Q2801" s="4">
        <v>6.29</v>
      </c>
      <c r="R2801" s="4">
        <v>3.25</v>
      </c>
      <c r="S2801" s="4">
        <v>0</v>
      </c>
      <c r="T2801" s="4">
        <v>0</v>
      </c>
      <c r="U2801" s="4">
        <v>267.82</v>
      </c>
      <c r="V2801" s="4">
        <v>151.44</v>
      </c>
      <c r="W2801" t="s">
        <v>21</v>
      </c>
      <c r="X2801" t="s">
        <v>36</v>
      </c>
      <c r="Y2801" s="4">
        <v>6</v>
      </c>
      <c r="Z2801" s="4">
        <v>25</v>
      </c>
      <c r="AA2801" t="s">
        <v>37</v>
      </c>
      <c r="AB2801" t="s">
        <v>44</v>
      </c>
      <c r="AC2801" s="7">
        <v>1</v>
      </c>
      <c r="AD2801" t="s">
        <v>45</v>
      </c>
      <c r="AE2801">
        <f t="shared" si="43"/>
        <v>1</v>
      </c>
    </row>
    <row r="2802" spans="1:31" x14ac:dyDescent="0.35">
      <c r="A2802">
        <v>102801</v>
      </c>
      <c r="B2802" s="3">
        <v>45986</v>
      </c>
      <c r="C2802">
        <v>1025</v>
      </c>
      <c r="D2802" t="s">
        <v>47</v>
      </c>
      <c r="E2802" t="s">
        <v>56</v>
      </c>
      <c r="F2802" t="s">
        <v>71</v>
      </c>
      <c r="G2802" t="s">
        <v>46</v>
      </c>
      <c r="H2802" t="s">
        <v>34</v>
      </c>
      <c r="I2802" t="s">
        <v>35</v>
      </c>
      <c r="J2802" s="4">
        <v>29.66</v>
      </c>
      <c r="K2802" s="4">
        <v>15.19</v>
      </c>
      <c r="L2802">
        <v>5</v>
      </c>
      <c r="M2802" s="4">
        <v>22.53</v>
      </c>
      <c r="N2802" s="4">
        <v>428.01</v>
      </c>
      <c r="O2802" s="4">
        <v>197.49</v>
      </c>
      <c r="P2802" s="4">
        <v>9.11</v>
      </c>
      <c r="Q2802" s="4">
        <v>3.15</v>
      </c>
      <c r="R2802" s="4">
        <v>0</v>
      </c>
      <c r="S2802" s="4">
        <v>0</v>
      </c>
      <c r="T2802" s="4">
        <v>0</v>
      </c>
      <c r="U2802" s="4">
        <v>209.75</v>
      </c>
      <c r="V2802" s="4">
        <v>218.26</v>
      </c>
      <c r="W2802" t="s">
        <v>21</v>
      </c>
      <c r="X2802" t="s">
        <v>36</v>
      </c>
      <c r="Y2802" s="4">
        <v>7</v>
      </c>
      <c r="Z2802" s="4">
        <v>7</v>
      </c>
      <c r="AA2802" t="s">
        <v>37</v>
      </c>
      <c r="AB2802" t="s">
        <v>38</v>
      </c>
      <c r="AC2802" s="7">
        <v>0</v>
      </c>
      <c r="AD2802" t="s">
        <v>39</v>
      </c>
      <c r="AE2802">
        <f t="shared" si="43"/>
        <v>0</v>
      </c>
    </row>
    <row r="2803" spans="1:31" x14ac:dyDescent="0.35">
      <c r="A2803">
        <v>102802</v>
      </c>
      <c r="B2803" s="3">
        <v>45967</v>
      </c>
      <c r="C2803">
        <v>1141</v>
      </c>
      <c r="D2803" t="s">
        <v>30</v>
      </c>
      <c r="E2803" t="s">
        <v>72</v>
      </c>
      <c r="F2803" t="s">
        <v>49</v>
      </c>
      <c r="G2803" t="s">
        <v>50</v>
      </c>
      <c r="H2803" t="s">
        <v>57</v>
      </c>
      <c r="I2803" t="s">
        <v>42</v>
      </c>
      <c r="J2803" s="4">
        <v>24.72</v>
      </c>
      <c r="K2803" s="4">
        <v>17.77</v>
      </c>
      <c r="L2803">
        <v>10</v>
      </c>
      <c r="M2803" s="4">
        <v>43.93</v>
      </c>
      <c r="N2803" s="4">
        <v>395.34</v>
      </c>
      <c r="O2803" s="4">
        <v>147.5</v>
      </c>
      <c r="P2803" s="4">
        <v>12.74</v>
      </c>
      <c r="Q2803" s="4">
        <v>6.59</v>
      </c>
      <c r="R2803" s="4">
        <v>1.39</v>
      </c>
      <c r="S2803" s="4">
        <v>0</v>
      </c>
      <c r="T2803" s="4">
        <v>0</v>
      </c>
      <c r="U2803" s="4">
        <v>168.22</v>
      </c>
      <c r="V2803" s="4">
        <v>227.12</v>
      </c>
      <c r="W2803" t="s">
        <v>21</v>
      </c>
      <c r="X2803" t="s">
        <v>36</v>
      </c>
      <c r="Y2803" s="4">
        <v>6</v>
      </c>
      <c r="Z2803" s="4">
        <v>3</v>
      </c>
      <c r="AA2803" t="s">
        <v>37</v>
      </c>
      <c r="AB2803" t="s">
        <v>38</v>
      </c>
      <c r="AC2803" s="7">
        <v>0</v>
      </c>
      <c r="AD2803" t="s">
        <v>39</v>
      </c>
      <c r="AE2803">
        <f t="shared" si="43"/>
        <v>0</v>
      </c>
    </row>
    <row r="2804" spans="1:31" x14ac:dyDescent="0.35">
      <c r="A2804">
        <v>102803</v>
      </c>
      <c r="B2804" s="3">
        <v>45993</v>
      </c>
      <c r="C2804">
        <v>1104</v>
      </c>
      <c r="D2804" t="s">
        <v>59</v>
      </c>
      <c r="E2804" t="s">
        <v>73</v>
      </c>
      <c r="F2804" t="s">
        <v>61</v>
      </c>
      <c r="G2804" t="s">
        <v>46</v>
      </c>
      <c r="H2804" t="s">
        <v>34</v>
      </c>
      <c r="I2804" t="s">
        <v>35</v>
      </c>
      <c r="J2804" s="4">
        <v>21.55</v>
      </c>
      <c r="K2804" s="4">
        <v>15.27</v>
      </c>
      <c r="L2804">
        <v>0</v>
      </c>
      <c r="M2804" s="4">
        <v>0</v>
      </c>
      <c r="N2804" s="4">
        <v>329.07</v>
      </c>
      <c r="O2804" s="4">
        <v>184.21</v>
      </c>
      <c r="P2804" s="4">
        <v>10.71</v>
      </c>
      <c r="Q2804" s="4">
        <v>2.2999999999999998</v>
      </c>
      <c r="R2804" s="4">
        <v>1.64</v>
      </c>
      <c r="S2804" s="4">
        <v>0</v>
      </c>
      <c r="T2804" s="4">
        <v>0</v>
      </c>
      <c r="U2804" s="4">
        <v>198.86</v>
      </c>
      <c r="V2804" s="4">
        <v>130.21</v>
      </c>
      <c r="W2804" t="s">
        <v>21</v>
      </c>
      <c r="X2804" t="s">
        <v>36</v>
      </c>
      <c r="Y2804" s="4">
        <v>4</v>
      </c>
      <c r="Z2804" s="4">
        <v>6</v>
      </c>
      <c r="AA2804" t="s">
        <v>37</v>
      </c>
      <c r="AB2804" t="s">
        <v>38</v>
      </c>
      <c r="AC2804" s="7">
        <v>1</v>
      </c>
      <c r="AD2804" t="s">
        <v>39</v>
      </c>
      <c r="AE2804">
        <f t="shared" si="43"/>
        <v>0</v>
      </c>
    </row>
    <row r="2805" spans="1:31" x14ac:dyDescent="0.35">
      <c r="A2805">
        <v>102804</v>
      </c>
      <c r="B2805" s="3">
        <v>45960</v>
      </c>
      <c r="C2805">
        <v>1128</v>
      </c>
      <c r="D2805" t="s">
        <v>59</v>
      </c>
      <c r="E2805" t="s">
        <v>60</v>
      </c>
      <c r="F2805" t="s">
        <v>61</v>
      </c>
      <c r="G2805" t="s">
        <v>50</v>
      </c>
      <c r="H2805" t="s">
        <v>34</v>
      </c>
      <c r="I2805" t="s">
        <v>35</v>
      </c>
      <c r="J2805" s="4">
        <v>38.07</v>
      </c>
      <c r="K2805" s="4">
        <v>17.510000000000002</v>
      </c>
      <c r="L2805">
        <v>0</v>
      </c>
      <c r="M2805" s="4">
        <v>0</v>
      </c>
      <c r="N2805" s="4">
        <v>666.61</v>
      </c>
      <c r="O2805" s="4">
        <v>300.98</v>
      </c>
      <c r="P2805" s="4">
        <v>12.43</v>
      </c>
      <c r="Q2805" s="4">
        <v>4.67</v>
      </c>
      <c r="R2805" s="4">
        <v>5.9</v>
      </c>
      <c r="S2805" s="4">
        <v>0</v>
      </c>
      <c r="T2805" s="4">
        <v>0</v>
      </c>
      <c r="U2805" s="4">
        <v>323.98</v>
      </c>
      <c r="V2805" s="4">
        <v>342.63</v>
      </c>
      <c r="W2805" t="s">
        <v>21</v>
      </c>
      <c r="X2805" t="s">
        <v>36</v>
      </c>
      <c r="Y2805" s="4">
        <v>27</v>
      </c>
      <c r="Z2805" s="4">
        <v>10</v>
      </c>
      <c r="AA2805" t="s">
        <v>52</v>
      </c>
      <c r="AB2805" t="s">
        <v>44</v>
      </c>
      <c r="AC2805" s="7">
        <v>1</v>
      </c>
      <c r="AD2805" t="s">
        <v>45</v>
      </c>
      <c r="AE2805">
        <f t="shared" si="43"/>
        <v>1</v>
      </c>
    </row>
    <row r="2806" spans="1:31" x14ac:dyDescent="0.35">
      <c r="A2806">
        <v>102805</v>
      </c>
      <c r="B2806" s="3">
        <v>45968</v>
      </c>
      <c r="C2806">
        <v>1135</v>
      </c>
      <c r="D2806" t="s">
        <v>59</v>
      </c>
      <c r="E2806" t="s">
        <v>68</v>
      </c>
      <c r="F2806" t="s">
        <v>71</v>
      </c>
      <c r="G2806" t="s">
        <v>46</v>
      </c>
      <c r="H2806" t="s">
        <v>34</v>
      </c>
      <c r="I2806" t="s">
        <v>35</v>
      </c>
      <c r="J2806" s="4">
        <v>29.44</v>
      </c>
      <c r="K2806" s="4">
        <v>14.26</v>
      </c>
      <c r="L2806">
        <v>20</v>
      </c>
      <c r="M2806" s="4">
        <v>83.96</v>
      </c>
      <c r="N2806" s="4">
        <v>335.85</v>
      </c>
      <c r="O2806" s="4">
        <v>181.24</v>
      </c>
      <c r="P2806" s="4">
        <v>11.29</v>
      </c>
      <c r="Q2806" s="4">
        <v>2.94</v>
      </c>
      <c r="R2806" s="4">
        <v>7.07</v>
      </c>
      <c r="S2806" s="4">
        <v>0</v>
      </c>
      <c r="T2806" s="4">
        <v>0</v>
      </c>
      <c r="U2806" s="4">
        <v>202.54</v>
      </c>
      <c r="V2806" s="4">
        <v>133.31</v>
      </c>
      <c r="W2806" t="s">
        <v>21</v>
      </c>
      <c r="X2806" t="s">
        <v>36</v>
      </c>
      <c r="Y2806" s="4">
        <v>13</v>
      </c>
      <c r="Z2806" s="4">
        <v>14</v>
      </c>
      <c r="AA2806" t="s">
        <v>37</v>
      </c>
      <c r="AB2806" t="s">
        <v>38</v>
      </c>
      <c r="AC2806" s="7">
        <v>0</v>
      </c>
      <c r="AD2806" t="s">
        <v>39</v>
      </c>
      <c r="AE2806">
        <f t="shared" si="43"/>
        <v>0</v>
      </c>
    </row>
    <row r="2807" spans="1:31" x14ac:dyDescent="0.35">
      <c r="A2807">
        <v>102806</v>
      </c>
      <c r="B2807" s="3">
        <v>45960</v>
      </c>
      <c r="C2807">
        <v>1109</v>
      </c>
      <c r="D2807" t="s">
        <v>47</v>
      </c>
      <c r="E2807" t="s">
        <v>53</v>
      </c>
      <c r="F2807" t="s">
        <v>41</v>
      </c>
      <c r="G2807" t="s">
        <v>63</v>
      </c>
      <c r="H2807" t="s">
        <v>57</v>
      </c>
      <c r="I2807" t="s">
        <v>35</v>
      </c>
      <c r="J2807" s="4">
        <v>23.6</v>
      </c>
      <c r="K2807" s="4">
        <v>15.27</v>
      </c>
      <c r="L2807">
        <v>10</v>
      </c>
      <c r="M2807" s="4">
        <v>36.04</v>
      </c>
      <c r="N2807" s="4">
        <v>324.33</v>
      </c>
      <c r="O2807" s="4">
        <v>205.75</v>
      </c>
      <c r="P2807" s="4">
        <v>8.31</v>
      </c>
      <c r="Q2807" s="4">
        <v>2.52</v>
      </c>
      <c r="R2807" s="4">
        <v>8.69</v>
      </c>
      <c r="S2807" s="4">
        <v>256.62</v>
      </c>
      <c r="T2807" s="4">
        <v>16.690000000000001</v>
      </c>
      <c r="U2807" s="4">
        <v>498.58</v>
      </c>
      <c r="V2807" s="4">
        <v>-174.25</v>
      </c>
      <c r="W2807" t="s">
        <v>58</v>
      </c>
      <c r="X2807" t="s">
        <v>55</v>
      </c>
      <c r="Y2807" s="4">
        <v>1</v>
      </c>
      <c r="Z2807" s="4">
        <v>12</v>
      </c>
      <c r="AA2807" t="s">
        <v>37</v>
      </c>
      <c r="AB2807" t="s">
        <v>44</v>
      </c>
      <c r="AC2807" s="7">
        <v>3</v>
      </c>
      <c r="AD2807" t="s">
        <v>45</v>
      </c>
      <c r="AE2807">
        <f t="shared" si="43"/>
        <v>1</v>
      </c>
    </row>
    <row r="2808" spans="1:31" x14ac:dyDescent="0.35">
      <c r="A2808">
        <v>102807</v>
      </c>
      <c r="B2808" s="3">
        <v>46013</v>
      </c>
      <c r="C2808">
        <v>1113</v>
      </c>
      <c r="D2808" t="s">
        <v>30</v>
      </c>
      <c r="E2808" t="s">
        <v>62</v>
      </c>
      <c r="F2808" t="s">
        <v>49</v>
      </c>
      <c r="G2808" t="s">
        <v>46</v>
      </c>
      <c r="H2808" t="s">
        <v>34</v>
      </c>
      <c r="I2808" t="s">
        <v>54</v>
      </c>
      <c r="J2808" s="4">
        <v>38.299999999999997</v>
      </c>
      <c r="K2808" s="4">
        <v>15.1</v>
      </c>
      <c r="L2808">
        <v>0</v>
      </c>
      <c r="M2808" s="4">
        <v>0</v>
      </c>
      <c r="N2808" s="4">
        <v>578.33000000000004</v>
      </c>
      <c r="O2808" s="4">
        <v>263.23</v>
      </c>
      <c r="P2808" s="4">
        <v>11.32</v>
      </c>
      <c r="Q2808" s="4">
        <v>6.94</v>
      </c>
      <c r="R2808" s="4">
        <v>6.37</v>
      </c>
      <c r="S2808" s="4">
        <v>0</v>
      </c>
      <c r="T2808" s="4">
        <v>0</v>
      </c>
      <c r="U2808" s="4">
        <v>287.86</v>
      </c>
      <c r="V2808" s="4">
        <v>290.47000000000003</v>
      </c>
      <c r="W2808" t="s">
        <v>21</v>
      </c>
      <c r="X2808" t="s">
        <v>36</v>
      </c>
      <c r="Y2808" s="4">
        <v>12</v>
      </c>
      <c r="Z2808" s="4">
        <v>1</v>
      </c>
      <c r="AA2808" t="s">
        <v>37</v>
      </c>
      <c r="AB2808" t="s">
        <v>38</v>
      </c>
      <c r="AC2808" s="7">
        <v>1</v>
      </c>
      <c r="AD2808" t="s">
        <v>39</v>
      </c>
      <c r="AE2808">
        <f t="shared" si="43"/>
        <v>0</v>
      </c>
    </row>
    <row r="2809" spans="1:31" x14ac:dyDescent="0.35">
      <c r="A2809">
        <v>102808</v>
      </c>
      <c r="B2809" s="3">
        <v>46001</v>
      </c>
      <c r="C2809">
        <v>1045</v>
      </c>
      <c r="D2809" t="s">
        <v>64</v>
      </c>
      <c r="E2809" t="s">
        <v>65</v>
      </c>
      <c r="F2809" t="s">
        <v>71</v>
      </c>
      <c r="G2809" t="s">
        <v>46</v>
      </c>
      <c r="H2809" t="s">
        <v>34</v>
      </c>
      <c r="I2809" t="s">
        <v>35</v>
      </c>
      <c r="J2809" s="4">
        <v>16.649999999999999</v>
      </c>
      <c r="K2809" s="4">
        <v>14.83</v>
      </c>
      <c r="L2809">
        <v>0</v>
      </c>
      <c r="M2809" s="4">
        <v>0</v>
      </c>
      <c r="N2809" s="4">
        <v>246.92</v>
      </c>
      <c r="O2809" s="4">
        <v>120.25</v>
      </c>
      <c r="P2809" s="4">
        <v>6.63</v>
      </c>
      <c r="Q2809" s="4">
        <v>1.73</v>
      </c>
      <c r="R2809" s="4">
        <v>3.93</v>
      </c>
      <c r="S2809" s="4">
        <v>0</v>
      </c>
      <c r="T2809" s="4">
        <v>0</v>
      </c>
      <c r="U2809" s="4">
        <v>132.54</v>
      </c>
      <c r="V2809" s="4">
        <v>114.38</v>
      </c>
      <c r="W2809" t="s">
        <v>21</v>
      </c>
      <c r="X2809" t="s">
        <v>36</v>
      </c>
      <c r="Y2809" s="4">
        <v>10</v>
      </c>
      <c r="Z2809" s="4">
        <v>11</v>
      </c>
      <c r="AA2809" t="s">
        <v>37</v>
      </c>
      <c r="AB2809" t="s">
        <v>38</v>
      </c>
      <c r="AC2809" s="7">
        <v>0</v>
      </c>
      <c r="AD2809" t="s">
        <v>39</v>
      </c>
      <c r="AE2809">
        <f t="shared" si="43"/>
        <v>0</v>
      </c>
    </row>
    <row r="2810" spans="1:31" x14ac:dyDescent="0.35">
      <c r="A2810">
        <v>102809</v>
      </c>
      <c r="B2810" s="3">
        <v>45973</v>
      </c>
      <c r="C2810">
        <v>1005</v>
      </c>
      <c r="D2810" t="s">
        <v>30</v>
      </c>
      <c r="E2810" t="s">
        <v>40</v>
      </c>
      <c r="F2810" t="s">
        <v>41</v>
      </c>
      <c r="G2810" t="s">
        <v>50</v>
      </c>
      <c r="H2810" t="s">
        <v>34</v>
      </c>
      <c r="I2810" t="s">
        <v>35</v>
      </c>
      <c r="J2810" s="4">
        <v>30.92</v>
      </c>
      <c r="K2810" s="4">
        <v>17.64</v>
      </c>
      <c r="L2810">
        <v>10</v>
      </c>
      <c r="M2810" s="4">
        <v>54.54</v>
      </c>
      <c r="N2810" s="4">
        <v>490.89</v>
      </c>
      <c r="O2810" s="4">
        <v>218</v>
      </c>
      <c r="P2810" s="4">
        <v>11.36</v>
      </c>
      <c r="Q2810" s="4">
        <v>3.82</v>
      </c>
      <c r="R2810" s="4">
        <v>5.25</v>
      </c>
      <c r="S2810" s="4">
        <v>215.67</v>
      </c>
      <c r="T2810" s="4">
        <v>0</v>
      </c>
      <c r="U2810" s="4">
        <v>454.1</v>
      </c>
      <c r="V2810" s="4">
        <v>36.79</v>
      </c>
      <c r="W2810" t="s">
        <v>21</v>
      </c>
      <c r="X2810" t="s">
        <v>55</v>
      </c>
      <c r="Y2810" s="4">
        <v>13</v>
      </c>
      <c r="Z2810" s="4">
        <v>13</v>
      </c>
      <c r="AA2810" t="s">
        <v>37</v>
      </c>
      <c r="AB2810" t="s">
        <v>44</v>
      </c>
      <c r="AC2810" s="7">
        <v>1</v>
      </c>
      <c r="AD2810" t="s">
        <v>45</v>
      </c>
      <c r="AE2810">
        <f t="shared" si="43"/>
        <v>1</v>
      </c>
    </row>
    <row r="2811" spans="1:31" x14ac:dyDescent="0.35">
      <c r="A2811">
        <v>102810</v>
      </c>
      <c r="B2811" s="3">
        <v>45998</v>
      </c>
      <c r="C2811">
        <v>1113</v>
      </c>
      <c r="D2811" t="s">
        <v>47</v>
      </c>
      <c r="E2811" t="s">
        <v>74</v>
      </c>
      <c r="F2811" t="s">
        <v>41</v>
      </c>
      <c r="G2811" t="s">
        <v>63</v>
      </c>
      <c r="H2811" t="s">
        <v>34</v>
      </c>
      <c r="I2811" t="s">
        <v>35</v>
      </c>
      <c r="J2811" s="4">
        <v>21.55</v>
      </c>
      <c r="K2811" s="4">
        <v>14.58</v>
      </c>
      <c r="L2811">
        <v>10</v>
      </c>
      <c r="M2811" s="4">
        <v>31.42</v>
      </c>
      <c r="N2811" s="4">
        <v>282.77999999999997</v>
      </c>
      <c r="O2811" s="4">
        <v>166.52</v>
      </c>
      <c r="P2811" s="4">
        <v>6.28</v>
      </c>
      <c r="Q2811" s="4">
        <v>2.2000000000000002</v>
      </c>
      <c r="R2811" s="4">
        <v>4.0999999999999996</v>
      </c>
      <c r="S2811" s="4">
        <v>0</v>
      </c>
      <c r="T2811" s="4">
        <v>0</v>
      </c>
      <c r="U2811" s="4">
        <v>179.1</v>
      </c>
      <c r="V2811" s="4">
        <v>103.68</v>
      </c>
      <c r="W2811" t="s">
        <v>21</v>
      </c>
      <c r="X2811" t="s">
        <v>36</v>
      </c>
      <c r="Y2811" s="4">
        <v>2</v>
      </c>
      <c r="Z2811" s="4">
        <v>5</v>
      </c>
      <c r="AA2811" t="s">
        <v>37</v>
      </c>
      <c r="AB2811" t="s">
        <v>38</v>
      </c>
      <c r="AC2811" s="7">
        <v>0</v>
      </c>
      <c r="AD2811" t="s">
        <v>39</v>
      </c>
      <c r="AE2811">
        <f t="shared" si="43"/>
        <v>0</v>
      </c>
    </row>
    <row r="2812" spans="1:31" x14ac:dyDescent="0.35">
      <c r="A2812">
        <v>102811</v>
      </c>
      <c r="B2812" s="3">
        <v>45964</v>
      </c>
      <c r="C2812">
        <v>1043</v>
      </c>
      <c r="D2812" t="s">
        <v>59</v>
      </c>
      <c r="E2812" t="s">
        <v>70</v>
      </c>
      <c r="F2812" t="s">
        <v>71</v>
      </c>
      <c r="G2812" t="s">
        <v>63</v>
      </c>
      <c r="H2812" t="s">
        <v>34</v>
      </c>
      <c r="I2812" t="s">
        <v>35</v>
      </c>
      <c r="J2812" s="4">
        <v>22.6</v>
      </c>
      <c r="K2812" s="4">
        <v>12.54</v>
      </c>
      <c r="L2812">
        <v>0</v>
      </c>
      <c r="M2812" s="4">
        <v>0</v>
      </c>
      <c r="N2812" s="4">
        <v>283.39999999999998</v>
      </c>
      <c r="O2812" s="4">
        <v>149.38</v>
      </c>
      <c r="P2812" s="4">
        <v>10.3</v>
      </c>
      <c r="Q2812" s="4">
        <v>1.98</v>
      </c>
      <c r="R2812" s="4">
        <v>3.92</v>
      </c>
      <c r="S2812" s="4">
        <v>0</v>
      </c>
      <c r="T2812" s="4">
        <v>0</v>
      </c>
      <c r="U2812" s="4">
        <v>165.58</v>
      </c>
      <c r="V2812" s="4">
        <v>117.82</v>
      </c>
      <c r="W2812" t="s">
        <v>21</v>
      </c>
      <c r="X2812" t="s">
        <v>36</v>
      </c>
      <c r="Y2812" s="4">
        <v>15</v>
      </c>
      <c r="Z2812" s="4">
        <v>11</v>
      </c>
      <c r="AA2812" t="s">
        <v>37</v>
      </c>
      <c r="AB2812" t="s">
        <v>38</v>
      </c>
      <c r="AC2812" s="7">
        <v>0</v>
      </c>
      <c r="AD2812" t="s">
        <v>39</v>
      </c>
      <c r="AE2812">
        <f t="shared" si="43"/>
        <v>0</v>
      </c>
    </row>
    <row r="2813" spans="1:31" x14ac:dyDescent="0.35">
      <c r="A2813">
        <v>102812</v>
      </c>
      <c r="B2813" s="3">
        <v>45941</v>
      </c>
      <c r="C2813">
        <v>1112</v>
      </c>
      <c r="D2813" t="s">
        <v>59</v>
      </c>
      <c r="E2813" t="s">
        <v>73</v>
      </c>
      <c r="F2813" t="s">
        <v>61</v>
      </c>
      <c r="G2813" t="s">
        <v>63</v>
      </c>
      <c r="H2813" t="s">
        <v>34</v>
      </c>
      <c r="I2813" t="s">
        <v>35</v>
      </c>
      <c r="J2813" s="4">
        <v>5.26</v>
      </c>
      <c r="K2813" s="4">
        <v>12.27</v>
      </c>
      <c r="L2813">
        <v>10</v>
      </c>
      <c r="M2813" s="4">
        <v>6.45</v>
      </c>
      <c r="N2813" s="4">
        <v>58.09</v>
      </c>
      <c r="O2813" s="4">
        <v>43.69</v>
      </c>
      <c r="P2813" s="4">
        <v>6.9</v>
      </c>
      <c r="Q2813" s="4">
        <v>0.45</v>
      </c>
      <c r="R2813" s="4">
        <v>7.29</v>
      </c>
      <c r="S2813" s="4">
        <v>0</v>
      </c>
      <c r="T2813" s="4">
        <v>0</v>
      </c>
      <c r="U2813" s="4">
        <v>58.33</v>
      </c>
      <c r="V2813" s="4">
        <v>-0.24</v>
      </c>
      <c r="W2813" t="s">
        <v>58</v>
      </c>
      <c r="X2813" t="s">
        <v>36</v>
      </c>
      <c r="Y2813" s="4">
        <v>10</v>
      </c>
      <c r="Z2813" s="4">
        <v>10</v>
      </c>
      <c r="AA2813" t="s">
        <v>37</v>
      </c>
      <c r="AB2813" t="s">
        <v>38</v>
      </c>
      <c r="AC2813" s="7">
        <v>0</v>
      </c>
      <c r="AD2813" t="s">
        <v>39</v>
      </c>
      <c r="AE2813">
        <f t="shared" si="43"/>
        <v>0</v>
      </c>
    </row>
    <row r="2814" spans="1:31" x14ac:dyDescent="0.35">
      <c r="A2814">
        <v>102813</v>
      </c>
      <c r="B2814" s="3">
        <v>45937</v>
      </c>
      <c r="C2814">
        <v>1148</v>
      </c>
      <c r="D2814" t="s">
        <v>59</v>
      </c>
      <c r="E2814" t="s">
        <v>70</v>
      </c>
      <c r="F2814" t="s">
        <v>49</v>
      </c>
      <c r="G2814" t="s">
        <v>50</v>
      </c>
      <c r="H2814" t="s">
        <v>34</v>
      </c>
      <c r="I2814" t="s">
        <v>35</v>
      </c>
      <c r="J2814" s="4">
        <v>17.93</v>
      </c>
      <c r="K2814" s="4">
        <v>18.64</v>
      </c>
      <c r="L2814">
        <v>5</v>
      </c>
      <c r="M2814" s="4">
        <v>16.71</v>
      </c>
      <c r="N2814" s="4">
        <v>317.51</v>
      </c>
      <c r="O2814" s="4">
        <v>118.28</v>
      </c>
      <c r="P2814" s="4">
        <v>11.87</v>
      </c>
      <c r="Q2814" s="4">
        <v>2.34</v>
      </c>
      <c r="R2814" s="4">
        <v>7.62</v>
      </c>
      <c r="S2814" s="4">
        <v>0</v>
      </c>
      <c r="T2814" s="4">
        <v>0</v>
      </c>
      <c r="U2814" s="4">
        <v>140.11000000000001</v>
      </c>
      <c r="V2814" s="4">
        <v>177.4</v>
      </c>
      <c r="W2814" t="s">
        <v>21</v>
      </c>
      <c r="X2814" t="s">
        <v>36</v>
      </c>
      <c r="Y2814" s="4">
        <v>1</v>
      </c>
      <c r="Z2814" s="4">
        <v>22</v>
      </c>
      <c r="AA2814" t="s">
        <v>37</v>
      </c>
      <c r="AB2814" t="s">
        <v>44</v>
      </c>
      <c r="AC2814" s="7">
        <v>2</v>
      </c>
      <c r="AD2814" t="s">
        <v>45</v>
      </c>
      <c r="AE2814">
        <f t="shared" si="43"/>
        <v>1</v>
      </c>
    </row>
    <row r="2815" spans="1:31" x14ac:dyDescent="0.35">
      <c r="A2815">
        <v>102814</v>
      </c>
      <c r="B2815" s="3">
        <v>46008</v>
      </c>
      <c r="C2815">
        <v>1042</v>
      </c>
      <c r="D2815" t="s">
        <v>59</v>
      </c>
      <c r="E2815" t="s">
        <v>60</v>
      </c>
      <c r="F2815" t="s">
        <v>32</v>
      </c>
      <c r="G2815" t="s">
        <v>63</v>
      </c>
      <c r="H2815" t="s">
        <v>34</v>
      </c>
      <c r="I2815" t="s">
        <v>42</v>
      </c>
      <c r="J2815" s="4">
        <v>6.01</v>
      </c>
      <c r="K2815" s="4">
        <v>12.31</v>
      </c>
      <c r="L2815">
        <v>10</v>
      </c>
      <c r="M2815" s="4">
        <v>7.4</v>
      </c>
      <c r="N2815" s="4">
        <v>66.58</v>
      </c>
      <c r="O2815" s="4">
        <v>48.2</v>
      </c>
      <c r="P2815" s="4">
        <v>3.92</v>
      </c>
      <c r="Q2815" s="4">
        <v>1.1100000000000001</v>
      </c>
      <c r="R2815" s="4">
        <v>5.5</v>
      </c>
      <c r="S2815" s="4">
        <v>0</v>
      </c>
      <c r="T2815" s="4">
        <v>0</v>
      </c>
      <c r="U2815" s="4">
        <v>58.73</v>
      </c>
      <c r="V2815" s="4">
        <v>7.85</v>
      </c>
      <c r="W2815" t="s">
        <v>21</v>
      </c>
      <c r="X2815" t="s">
        <v>36</v>
      </c>
      <c r="Y2815" s="4">
        <v>18</v>
      </c>
      <c r="Z2815" s="4">
        <v>11</v>
      </c>
      <c r="AA2815" t="s">
        <v>52</v>
      </c>
      <c r="AB2815" t="s">
        <v>38</v>
      </c>
      <c r="AC2815" s="7">
        <v>0</v>
      </c>
      <c r="AD2815" t="s">
        <v>39</v>
      </c>
      <c r="AE2815">
        <f t="shared" si="43"/>
        <v>0</v>
      </c>
    </row>
    <row r="2816" spans="1:31" x14ac:dyDescent="0.35">
      <c r="A2816">
        <v>102815</v>
      </c>
      <c r="B2816" s="3">
        <v>45953</v>
      </c>
      <c r="C2816">
        <v>1008</v>
      </c>
      <c r="D2816" t="s">
        <v>30</v>
      </c>
      <c r="E2816" t="s">
        <v>62</v>
      </c>
      <c r="F2816" t="s">
        <v>41</v>
      </c>
      <c r="G2816" t="s">
        <v>46</v>
      </c>
      <c r="H2816" t="s">
        <v>34</v>
      </c>
      <c r="I2816" t="s">
        <v>35</v>
      </c>
      <c r="J2816" s="4">
        <v>29.12</v>
      </c>
      <c r="K2816" s="4">
        <v>15.79</v>
      </c>
      <c r="L2816">
        <v>10</v>
      </c>
      <c r="M2816" s="4">
        <v>45.98</v>
      </c>
      <c r="N2816" s="4">
        <v>413.82</v>
      </c>
      <c r="O2816" s="4">
        <v>215.38</v>
      </c>
      <c r="P2816" s="4">
        <v>11.3</v>
      </c>
      <c r="Q2816" s="4">
        <v>3.22</v>
      </c>
      <c r="R2816" s="4">
        <v>5.67</v>
      </c>
      <c r="S2816" s="4">
        <v>0</v>
      </c>
      <c r="T2816" s="4">
        <v>0</v>
      </c>
      <c r="U2816" s="4">
        <v>235.57</v>
      </c>
      <c r="V2816" s="4">
        <v>178.25</v>
      </c>
      <c r="W2816" t="s">
        <v>21</v>
      </c>
      <c r="X2816" t="s">
        <v>36</v>
      </c>
      <c r="Y2816" s="4">
        <v>75</v>
      </c>
      <c r="Z2816" s="4">
        <v>19</v>
      </c>
      <c r="AA2816" t="s">
        <v>43</v>
      </c>
      <c r="AB2816" t="s">
        <v>44</v>
      </c>
      <c r="AC2816" s="7">
        <v>1</v>
      </c>
      <c r="AD2816" t="s">
        <v>45</v>
      </c>
      <c r="AE2816">
        <f t="shared" si="43"/>
        <v>1</v>
      </c>
    </row>
    <row r="2817" spans="1:31" x14ac:dyDescent="0.35">
      <c r="A2817">
        <v>102816</v>
      </c>
      <c r="B2817" s="3">
        <v>46002</v>
      </c>
      <c r="C2817">
        <v>1007</v>
      </c>
      <c r="D2817" t="s">
        <v>47</v>
      </c>
      <c r="E2817" t="s">
        <v>56</v>
      </c>
      <c r="F2817" t="s">
        <v>49</v>
      </c>
      <c r="G2817" t="s">
        <v>46</v>
      </c>
      <c r="H2817" t="s">
        <v>34</v>
      </c>
      <c r="I2817" t="s">
        <v>69</v>
      </c>
      <c r="J2817" s="4">
        <v>33.96</v>
      </c>
      <c r="K2817" s="4">
        <v>15.94</v>
      </c>
      <c r="L2817">
        <v>0</v>
      </c>
      <c r="M2817" s="4">
        <v>0</v>
      </c>
      <c r="N2817" s="4">
        <v>541.32000000000005</v>
      </c>
      <c r="O2817" s="4">
        <v>209.07</v>
      </c>
      <c r="P2817" s="4">
        <v>7.87</v>
      </c>
      <c r="Q2817" s="4">
        <v>2.17</v>
      </c>
      <c r="R2817" s="4">
        <v>5.68</v>
      </c>
      <c r="S2817" s="4">
        <v>418.07</v>
      </c>
      <c r="T2817" s="4">
        <v>0</v>
      </c>
      <c r="U2817" s="4">
        <v>642.86</v>
      </c>
      <c r="V2817" s="4">
        <v>-101.54</v>
      </c>
      <c r="W2817" t="s">
        <v>58</v>
      </c>
      <c r="X2817" t="s">
        <v>55</v>
      </c>
      <c r="Y2817" s="4">
        <v>0</v>
      </c>
      <c r="Z2817" s="4">
        <v>3</v>
      </c>
      <c r="AA2817" t="s">
        <v>37</v>
      </c>
      <c r="AB2817" t="s">
        <v>44</v>
      </c>
      <c r="AC2817" s="7">
        <v>3</v>
      </c>
      <c r="AD2817" t="s">
        <v>45</v>
      </c>
      <c r="AE2817">
        <f t="shared" si="43"/>
        <v>1</v>
      </c>
    </row>
    <row r="2818" spans="1:31" x14ac:dyDescent="0.35">
      <c r="A2818">
        <v>102817</v>
      </c>
      <c r="B2818" s="3">
        <v>45934</v>
      </c>
      <c r="C2818">
        <v>1123</v>
      </c>
      <c r="D2818" t="s">
        <v>30</v>
      </c>
      <c r="E2818" t="s">
        <v>40</v>
      </c>
      <c r="F2818" t="s">
        <v>71</v>
      </c>
      <c r="G2818" t="s">
        <v>63</v>
      </c>
      <c r="H2818" t="s">
        <v>51</v>
      </c>
      <c r="I2818" t="s">
        <v>35</v>
      </c>
      <c r="J2818" s="4">
        <v>17.43</v>
      </c>
      <c r="K2818" s="4">
        <v>12.81</v>
      </c>
      <c r="L2818">
        <v>15</v>
      </c>
      <c r="M2818" s="4">
        <v>33.49</v>
      </c>
      <c r="N2818" s="4">
        <v>189.79</v>
      </c>
      <c r="O2818" s="4">
        <v>107.25</v>
      </c>
      <c r="P2818" s="4">
        <v>9.52</v>
      </c>
      <c r="Q2818" s="4">
        <v>1.56</v>
      </c>
      <c r="R2818" s="4">
        <v>3.08</v>
      </c>
      <c r="S2818" s="4">
        <v>0</v>
      </c>
      <c r="T2818" s="4">
        <v>0</v>
      </c>
      <c r="U2818" s="4">
        <v>121.41</v>
      </c>
      <c r="V2818" s="4">
        <v>68.38</v>
      </c>
      <c r="W2818" t="s">
        <v>21</v>
      </c>
      <c r="X2818" t="s">
        <v>36</v>
      </c>
      <c r="Y2818" s="4">
        <v>22</v>
      </c>
      <c r="Z2818" s="4">
        <v>15</v>
      </c>
      <c r="AA2818" t="s">
        <v>52</v>
      </c>
      <c r="AB2818" t="s">
        <v>44</v>
      </c>
      <c r="AC2818" s="7">
        <v>1</v>
      </c>
      <c r="AD2818" t="s">
        <v>45</v>
      </c>
      <c r="AE2818">
        <f t="shared" si="43"/>
        <v>1</v>
      </c>
    </row>
    <row r="2819" spans="1:31" x14ac:dyDescent="0.35">
      <c r="A2819">
        <v>102818</v>
      </c>
      <c r="B2819" s="3">
        <v>45941</v>
      </c>
      <c r="C2819">
        <v>1095</v>
      </c>
      <c r="D2819" t="s">
        <v>47</v>
      </c>
      <c r="E2819" t="s">
        <v>56</v>
      </c>
      <c r="F2819" t="s">
        <v>32</v>
      </c>
      <c r="G2819" t="s">
        <v>46</v>
      </c>
      <c r="H2819" t="s">
        <v>57</v>
      </c>
      <c r="I2819" t="s">
        <v>35</v>
      </c>
      <c r="J2819" s="4">
        <v>22.4</v>
      </c>
      <c r="K2819" s="4">
        <v>15.22</v>
      </c>
      <c r="L2819">
        <v>10</v>
      </c>
      <c r="M2819" s="4">
        <v>34.090000000000003</v>
      </c>
      <c r="N2819" s="4">
        <v>306.83999999999997</v>
      </c>
      <c r="O2819" s="4">
        <v>171.3</v>
      </c>
      <c r="P2819" s="4">
        <v>10.14</v>
      </c>
      <c r="Q2819" s="4">
        <v>2.39</v>
      </c>
      <c r="R2819" s="4">
        <v>6.64</v>
      </c>
      <c r="S2819" s="4">
        <v>0</v>
      </c>
      <c r="T2819" s="4">
        <v>0</v>
      </c>
      <c r="U2819" s="4">
        <v>190.47</v>
      </c>
      <c r="V2819" s="4">
        <v>116.37</v>
      </c>
      <c r="W2819" t="s">
        <v>21</v>
      </c>
      <c r="X2819" t="s">
        <v>36</v>
      </c>
      <c r="Y2819" s="4">
        <v>13</v>
      </c>
      <c r="Z2819" s="4">
        <v>9</v>
      </c>
      <c r="AA2819" t="s">
        <v>37</v>
      </c>
      <c r="AB2819" t="s">
        <v>38</v>
      </c>
      <c r="AC2819" s="7">
        <v>0</v>
      </c>
      <c r="AD2819" t="s">
        <v>39</v>
      </c>
      <c r="AE2819">
        <f t="shared" ref="AE2819:AE2882" si="44">IF(AB2819="Yes",1,0)</f>
        <v>0</v>
      </c>
    </row>
    <row r="2820" spans="1:31" x14ac:dyDescent="0.35">
      <c r="A2820">
        <v>102819</v>
      </c>
      <c r="B2820" s="3">
        <v>45938</v>
      </c>
      <c r="C2820">
        <v>1083</v>
      </c>
      <c r="D2820" t="s">
        <v>47</v>
      </c>
      <c r="E2820" t="s">
        <v>56</v>
      </c>
      <c r="F2820" t="s">
        <v>61</v>
      </c>
      <c r="G2820" t="s">
        <v>63</v>
      </c>
      <c r="H2820" t="s">
        <v>51</v>
      </c>
      <c r="I2820" t="s">
        <v>35</v>
      </c>
      <c r="J2820" s="4">
        <v>16.420000000000002</v>
      </c>
      <c r="K2820" s="4">
        <v>12.51</v>
      </c>
      <c r="L2820">
        <v>15</v>
      </c>
      <c r="M2820" s="4">
        <v>30.81</v>
      </c>
      <c r="N2820" s="4">
        <v>174.6</v>
      </c>
      <c r="O2820" s="4">
        <v>130.01</v>
      </c>
      <c r="P2820" s="4">
        <v>5.31</v>
      </c>
      <c r="Q2820" s="4">
        <v>1.44</v>
      </c>
      <c r="R2820" s="4">
        <v>4.0599999999999996</v>
      </c>
      <c r="S2820" s="4">
        <v>0</v>
      </c>
      <c r="T2820" s="4">
        <v>0</v>
      </c>
      <c r="U2820" s="4">
        <v>140.82</v>
      </c>
      <c r="V2820" s="4">
        <v>33.78</v>
      </c>
      <c r="W2820" t="s">
        <v>21</v>
      </c>
      <c r="X2820" t="s">
        <v>36</v>
      </c>
      <c r="Y2820" s="4">
        <v>2</v>
      </c>
      <c r="Z2820" s="4">
        <v>5</v>
      </c>
      <c r="AA2820" t="s">
        <v>37</v>
      </c>
      <c r="AB2820" t="s">
        <v>38</v>
      </c>
      <c r="AC2820" s="7">
        <v>0</v>
      </c>
      <c r="AD2820" t="s">
        <v>39</v>
      </c>
      <c r="AE2820">
        <f t="shared" si="44"/>
        <v>0</v>
      </c>
    </row>
    <row r="2821" spans="1:31" x14ac:dyDescent="0.35">
      <c r="A2821">
        <v>102820</v>
      </c>
      <c r="B2821" s="3">
        <v>45976</v>
      </c>
      <c r="C2821">
        <v>1087</v>
      </c>
      <c r="D2821" t="s">
        <v>59</v>
      </c>
      <c r="E2821" t="s">
        <v>68</v>
      </c>
      <c r="F2821" t="s">
        <v>71</v>
      </c>
      <c r="G2821" t="s">
        <v>46</v>
      </c>
      <c r="H2821" t="s">
        <v>34</v>
      </c>
      <c r="I2821" t="s">
        <v>42</v>
      </c>
      <c r="J2821" s="4">
        <v>30.52</v>
      </c>
      <c r="K2821" s="4">
        <v>15.22</v>
      </c>
      <c r="L2821">
        <v>15</v>
      </c>
      <c r="M2821" s="4">
        <v>69.680000000000007</v>
      </c>
      <c r="N2821" s="4">
        <v>394.83</v>
      </c>
      <c r="O2821" s="4">
        <v>220.5</v>
      </c>
      <c r="P2821" s="4">
        <v>7.82</v>
      </c>
      <c r="Q2821" s="4">
        <v>6.97</v>
      </c>
      <c r="R2821" s="4">
        <v>10.36</v>
      </c>
      <c r="S2821" s="4">
        <v>0</v>
      </c>
      <c r="T2821" s="4">
        <v>0</v>
      </c>
      <c r="U2821" s="4">
        <v>245.65</v>
      </c>
      <c r="V2821" s="4">
        <v>149.18</v>
      </c>
      <c r="W2821" t="s">
        <v>21</v>
      </c>
      <c r="X2821" t="s">
        <v>36</v>
      </c>
      <c r="Y2821" s="4">
        <v>3</v>
      </c>
      <c r="Z2821" s="4">
        <v>1</v>
      </c>
      <c r="AA2821" t="s">
        <v>37</v>
      </c>
      <c r="AB2821" t="s">
        <v>38</v>
      </c>
      <c r="AC2821" s="7">
        <v>0</v>
      </c>
      <c r="AD2821" t="s">
        <v>39</v>
      </c>
      <c r="AE2821">
        <f t="shared" si="44"/>
        <v>0</v>
      </c>
    </row>
    <row r="2822" spans="1:31" x14ac:dyDescent="0.35">
      <c r="A2822">
        <v>102821</v>
      </c>
      <c r="B2822" s="3">
        <v>45954</v>
      </c>
      <c r="C2822">
        <v>1031</v>
      </c>
      <c r="D2822" t="s">
        <v>47</v>
      </c>
      <c r="E2822" t="s">
        <v>48</v>
      </c>
      <c r="F2822" t="s">
        <v>49</v>
      </c>
      <c r="G2822" t="s">
        <v>63</v>
      </c>
      <c r="H2822" t="s">
        <v>57</v>
      </c>
      <c r="I2822" t="s">
        <v>35</v>
      </c>
      <c r="J2822" s="4">
        <v>11.44</v>
      </c>
      <c r="K2822" s="4">
        <v>11.97</v>
      </c>
      <c r="L2822">
        <v>10</v>
      </c>
      <c r="M2822" s="4">
        <v>13.69</v>
      </c>
      <c r="N2822" s="4">
        <v>123.25</v>
      </c>
      <c r="O2822" s="4">
        <v>88.92</v>
      </c>
      <c r="P2822" s="4">
        <v>3.49</v>
      </c>
      <c r="Q2822" s="4">
        <v>0.96</v>
      </c>
      <c r="R2822" s="4">
        <v>10.17</v>
      </c>
      <c r="S2822" s="4">
        <v>107.99</v>
      </c>
      <c r="T2822" s="4">
        <v>3.63</v>
      </c>
      <c r="U2822" s="4">
        <v>215.16</v>
      </c>
      <c r="V2822" s="4">
        <v>-91.91</v>
      </c>
      <c r="W2822" t="s">
        <v>58</v>
      </c>
      <c r="X2822" t="s">
        <v>66</v>
      </c>
      <c r="Y2822" s="4">
        <v>12</v>
      </c>
      <c r="Z2822" s="4">
        <v>12</v>
      </c>
      <c r="AA2822" t="s">
        <v>37</v>
      </c>
      <c r="AB2822" t="s">
        <v>38</v>
      </c>
      <c r="AC2822" s="7">
        <v>2</v>
      </c>
      <c r="AD2822" t="s">
        <v>45</v>
      </c>
      <c r="AE2822">
        <f t="shared" si="44"/>
        <v>0</v>
      </c>
    </row>
    <row r="2823" spans="1:31" x14ac:dyDescent="0.35">
      <c r="A2823">
        <v>102822</v>
      </c>
      <c r="B2823" s="3">
        <v>45931</v>
      </c>
      <c r="C2823">
        <v>1096</v>
      </c>
      <c r="D2823" t="s">
        <v>64</v>
      </c>
      <c r="E2823" t="s">
        <v>65</v>
      </c>
      <c r="F2823" t="s">
        <v>49</v>
      </c>
      <c r="G2823" t="s">
        <v>63</v>
      </c>
      <c r="H2823" t="s">
        <v>34</v>
      </c>
      <c r="I2823" t="s">
        <v>69</v>
      </c>
      <c r="J2823" s="4">
        <v>5.01</v>
      </c>
      <c r="K2823" s="4">
        <v>12.4</v>
      </c>
      <c r="L2823">
        <v>5</v>
      </c>
      <c r="M2823" s="4">
        <v>3.11</v>
      </c>
      <c r="N2823" s="4">
        <v>59.01</v>
      </c>
      <c r="O2823" s="4">
        <v>34.99</v>
      </c>
      <c r="P2823" s="4">
        <v>5.92</v>
      </c>
      <c r="Q2823" s="4">
        <v>0.25</v>
      </c>
      <c r="R2823" s="4">
        <v>10.67</v>
      </c>
      <c r="S2823" s="4">
        <v>41.77</v>
      </c>
      <c r="T2823" s="4">
        <v>0</v>
      </c>
      <c r="U2823" s="4">
        <v>93.6</v>
      </c>
      <c r="V2823" s="4">
        <v>-34.590000000000003</v>
      </c>
      <c r="W2823" t="s">
        <v>58</v>
      </c>
      <c r="X2823" t="s">
        <v>55</v>
      </c>
      <c r="Y2823" s="4">
        <v>2</v>
      </c>
      <c r="Z2823" s="4">
        <v>2</v>
      </c>
      <c r="AA2823" t="s">
        <v>37</v>
      </c>
      <c r="AB2823" t="s">
        <v>44</v>
      </c>
      <c r="AC2823" s="7">
        <v>3</v>
      </c>
      <c r="AD2823" t="s">
        <v>45</v>
      </c>
      <c r="AE2823">
        <f t="shared" si="44"/>
        <v>1</v>
      </c>
    </row>
    <row r="2824" spans="1:31" x14ac:dyDescent="0.35">
      <c r="A2824">
        <v>102823</v>
      </c>
      <c r="B2824" s="3">
        <v>45971</v>
      </c>
      <c r="C2824">
        <v>1120</v>
      </c>
      <c r="D2824" t="s">
        <v>59</v>
      </c>
      <c r="E2824" t="s">
        <v>73</v>
      </c>
      <c r="F2824" t="s">
        <v>49</v>
      </c>
      <c r="G2824" t="s">
        <v>63</v>
      </c>
      <c r="H2824" t="s">
        <v>51</v>
      </c>
      <c r="I2824" t="s">
        <v>35</v>
      </c>
      <c r="J2824" s="4">
        <v>18.75</v>
      </c>
      <c r="K2824" s="4">
        <v>12.96</v>
      </c>
      <c r="L2824">
        <v>5</v>
      </c>
      <c r="M2824" s="4">
        <v>12.15</v>
      </c>
      <c r="N2824" s="4">
        <v>230.85</v>
      </c>
      <c r="O2824" s="4">
        <v>110.81</v>
      </c>
      <c r="P2824" s="4">
        <v>9.32</v>
      </c>
      <c r="Q2824" s="4">
        <v>1.7</v>
      </c>
      <c r="R2824" s="4">
        <v>0</v>
      </c>
      <c r="S2824" s="4">
        <v>0</v>
      </c>
      <c r="T2824" s="4">
        <v>0</v>
      </c>
      <c r="U2824" s="4">
        <v>121.83</v>
      </c>
      <c r="V2824" s="4">
        <v>109.02</v>
      </c>
      <c r="W2824" t="s">
        <v>21</v>
      </c>
      <c r="X2824" t="s">
        <v>36</v>
      </c>
      <c r="Y2824" s="4">
        <v>13</v>
      </c>
      <c r="Z2824" s="4">
        <v>9</v>
      </c>
      <c r="AA2824" t="s">
        <v>37</v>
      </c>
      <c r="AB2824" t="s">
        <v>38</v>
      </c>
      <c r="AC2824" s="7">
        <v>0</v>
      </c>
      <c r="AD2824" t="s">
        <v>39</v>
      </c>
      <c r="AE2824">
        <f t="shared" si="44"/>
        <v>0</v>
      </c>
    </row>
    <row r="2825" spans="1:31" x14ac:dyDescent="0.35">
      <c r="A2825">
        <v>102824</v>
      </c>
      <c r="B2825" s="3">
        <v>45970</v>
      </c>
      <c r="C2825">
        <v>1004</v>
      </c>
      <c r="D2825" t="s">
        <v>59</v>
      </c>
      <c r="E2825" t="s">
        <v>73</v>
      </c>
      <c r="F2825" t="s">
        <v>41</v>
      </c>
      <c r="G2825" t="s">
        <v>63</v>
      </c>
      <c r="H2825" t="s">
        <v>51</v>
      </c>
      <c r="I2825" t="s">
        <v>54</v>
      </c>
      <c r="J2825" s="4">
        <v>22.08</v>
      </c>
      <c r="K2825" s="4">
        <v>14.54</v>
      </c>
      <c r="L2825">
        <v>5</v>
      </c>
      <c r="M2825" s="4">
        <v>16.05</v>
      </c>
      <c r="N2825" s="4">
        <v>304.99</v>
      </c>
      <c r="O2825" s="4">
        <v>210.99</v>
      </c>
      <c r="P2825" s="4">
        <v>7.41</v>
      </c>
      <c r="Q2825" s="4">
        <v>3.85</v>
      </c>
      <c r="R2825" s="4">
        <v>4.51</v>
      </c>
      <c r="S2825" s="4">
        <v>0</v>
      </c>
      <c r="T2825" s="4">
        <v>0</v>
      </c>
      <c r="U2825" s="4">
        <v>226.76</v>
      </c>
      <c r="V2825" s="4">
        <v>78.23</v>
      </c>
      <c r="W2825" t="s">
        <v>21</v>
      </c>
      <c r="X2825" t="s">
        <v>36</v>
      </c>
      <c r="Y2825" s="4">
        <v>4</v>
      </c>
      <c r="Z2825" s="4">
        <v>3</v>
      </c>
      <c r="AA2825" t="s">
        <v>37</v>
      </c>
      <c r="AB2825" t="s">
        <v>38</v>
      </c>
      <c r="AC2825" s="7">
        <v>1</v>
      </c>
      <c r="AD2825" t="s">
        <v>39</v>
      </c>
      <c r="AE2825">
        <f t="shared" si="44"/>
        <v>0</v>
      </c>
    </row>
    <row r="2826" spans="1:31" x14ac:dyDescent="0.35">
      <c r="A2826">
        <v>102825</v>
      </c>
      <c r="B2826" s="3">
        <v>45991</v>
      </c>
      <c r="C2826">
        <v>1094</v>
      </c>
      <c r="D2826" t="s">
        <v>47</v>
      </c>
      <c r="E2826" t="s">
        <v>74</v>
      </c>
      <c r="F2826" t="s">
        <v>41</v>
      </c>
      <c r="G2826" t="s">
        <v>46</v>
      </c>
      <c r="H2826" t="s">
        <v>34</v>
      </c>
      <c r="I2826" t="s">
        <v>35</v>
      </c>
      <c r="J2826" s="4">
        <v>32.340000000000003</v>
      </c>
      <c r="K2826" s="4">
        <v>15.13</v>
      </c>
      <c r="L2826">
        <v>0</v>
      </c>
      <c r="M2826" s="4">
        <v>0</v>
      </c>
      <c r="N2826" s="4">
        <v>489.3</v>
      </c>
      <c r="O2826" s="4">
        <v>216.93</v>
      </c>
      <c r="P2826" s="4">
        <v>6.9</v>
      </c>
      <c r="Q2826" s="4">
        <v>3.43</v>
      </c>
      <c r="R2826" s="4">
        <v>9.56</v>
      </c>
      <c r="S2826" s="4">
        <v>0</v>
      </c>
      <c r="T2826" s="4">
        <v>0</v>
      </c>
      <c r="U2826" s="4">
        <v>236.82</v>
      </c>
      <c r="V2826" s="4">
        <v>252.48</v>
      </c>
      <c r="W2826" t="s">
        <v>21</v>
      </c>
      <c r="X2826" t="s">
        <v>36</v>
      </c>
      <c r="Y2826" s="4">
        <v>7</v>
      </c>
      <c r="Z2826" s="4">
        <v>2</v>
      </c>
      <c r="AA2826" t="s">
        <v>37</v>
      </c>
      <c r="AB2826" t="s">
        <v>38</v>
      </c>
      <c r="AC2826" s="7">
        <v>0</v>
      </c>
      <c r="AD2826" t="s">
        <v>39</v>
      </c>
      <c r="AE2826">
        <f t="shared" si="44"/>
        <v>0</v>
      </c>
    </row>
    <row r="2827" spans="1:31" x14ac:dyDescent="0.35">
      <c r="A2827">
        <v>102826</v>
      </c>
      <c r="B2827" s="3">
        <v>45959</v>
      </c>
      <c r="C2827">
        <v>1109</v>
      </c>
      <c r="D2827" t="s">
        <v>30</v>
      </c>
      <c r="E2827" t="s">
        <v>31</v>
      </c>
      <c r="F2827" t="s">
        <v>32</v>
      </c>
      <c r="G2827" t="s">
        <v>63</v>
      </c>
      <c r="H2827" t="s">
        <v>34</v>
      </c>
      <c r="I2827" t="s">
        <v>42</v>
      </c>
      <c r="J2827" s="4">
        <v>19.829999999999998</v>
      </c>
      <c r="K2827" s="4">
        <v>12.97</v>
      </c>
      <c r="L2827">
        <v>0</v>
      </c>
      <c r="M2827" s="4">
        <v>0</v>
      </c>
      <c r="N2827" s="4">
        <v>257.2</v>
      </c>
      <c r="O2827" s="4">
        <v>126.64</v>
      </c>
      <c r="P2827" s="4">
        <v>7.85</v>
      </c>
      <c r="Q2827" s="4">
        <v>3.86</v>
      </c>
      <c r="R2827" s="4">
        <v>8.01</v>
      </c>
      <c r="S2827" s="4">
        <v>0</v>
      </c>
      <c r="T2827" s="4">
        <v>0</v>
      </c>
      <c r="U2827" s="4">
        <v>146.36000000000001</v>
      </c>
      <c r="V2827" s="4">
        <v>110.84</v>
      </c>
      <c r="W2827" t="s">
        <v>21</v>
      </c>
      <c r="X2827" t="s">
        <v>36</v>
      </c>
      <c r="Y2827" s="4">
        <v>27</v>
      </c>
      <c r="Z2827" s="4">
        <v>7</v>
      </c>
      <c r="AA2827" t="s">
        <v>52</v>
      </c>
      <c r="AB2827" t="s">
        <v>44</v>
      </c>
      <c r="AC2827" s="7">
        <v>3</v>
      </c>
      <c r="AD2827" t="s">
        <v>45</v>
      </c>
      <c r="AE2827">
        <f t="shared" si="44"/>
        <v>1</v>
      </c>
    </row>
    <row r="2828" spans="1:31" x14ac:dyDescent="0.35">
      <c r="A2828">
        <v>102827</v>
      </c>
      <c r="B2828" s="3">
        <v>46000</v>
      </c>
      <c r="C2828">
        <v>1090</v>
      </c>
      <c r="D2828" t="s">
        <v>47</v>
      </c>
      <c r="E2828" t="s">
        <v>56</v>
      </c>
      <c r="F2828" t="s">
        <v>32</v>
      </c>
      <c r="G2828" t="s">
        <v>63</v>
      </c>
      <c r="H2828" t="s">
        <v>57</v>
      </c>
      <c r="I2828" t="s">
        <v>54</v>
      </c>
      <c r="J2828" s="4">
        <v>29.24</v>
      </c>
      <c r="K2828" s="4">
        <v>14.92</v>
      </c>
      <c r="L2828">
        <v>0</v>
      </c>
      <c r="M2828" s="4">
        <v>0</v>
      </c>
      <c r="N2828" s="4">
        <v>436.26</v>
      </c>
      <c r="O2828" s="4">
        <v>225.61</v>
      </c>
      <c r="P2828" s="4">
        <v>10.51</v>
      </c>
      <c r="Q2828" s="4">
        <v>5.24</v>
      </c>
      <c r="R2828" s="4">
        <v>4.42</v>
      </c>
      <c r="S2828" s="4">
        <v>0</v>
      </c>
      <c r="T2828" s="4">
        <v>0</v>
      </c>
      <c r="U2828" s="4">
        <v>245.78</v>
      </c>
      <c r="V2828" s="4">
        <v>190.48</v>
      </c>
      <c r="W2828" t="s">
        <v>21</v>
      </c>
      <c r="X2828" t="s">
        <v>36</v>
      </c>
      <c r="Y2828" s="4">
        <v>6</v>
      </c>
      <c r="Z2828" s="4">
        <v>33</v>
      </c>
      <c r="AA2828" t="s">
        <v>37</v>
      </c>
      <c r="AB2828" t="s">
        <v>44</v>
      </c>
      <c r="AC2828" s="7">
        <v>2</v>
      </c>
      <c r="AD2828" t="s">
        <v>45</v>
      </c>
      <c r="AE2828">
        <f t="shared" si="44"/>
        <v>1</v>
      </c>
    </row>
    <row r="2829" spans="1:31" x14ac:dyDescent="0.35">
      <c r="A2829">
        <v>102828</v>
      </c>
      <c r="B2829" s="3">
        <v>45958</v>
      </c>
      <c r="C2829">
        <v>1126</v>
      </c>
      <c r="D2829" t="s">
        <v>47</v>
      </c>
      <c r="E2829" t="s">
        <v>53</v>
      </c>
      <c r="F2829" t="s">
        <v>61</v>
      </c>
      <c r="G2829" t="s">
        <v>33</v>
      </c>
      <c r="H2829" t="s">
        <v>57</v>
      </c>
      <c r="I2829" t="s">
        <v>35</v>
      </c>
      <c r="J2829" s="4">
        <v>9.36</v>
      </c>
      <c r="K2829" s="4">
        <v>17.48</v>
      </c>
      <c r="L2829">
        <v>10</v>
      </c>
      <c r="M2829" s="4">
        <v>16.36</v>
      </c>
      <c r="N2829" s="4">
        <v>147.25</v>
      </c>
      <c r="O2829" s="4">
        <v>63.55</v>
      </c>
      <c r="P2829" s="4">
        <v>7.54</v>
      </c>
      <c r="Q2829" s="4">
        <v>1.1499999999999999</v>
      </c>
      <c r="R2829" s="4">
        <v>12.77</v>
      </c>
      <c r="S2829" s="4">
        <v>0</v>
      </c>
      <c r="T2829" s="4">
        <v>0</v>
      </c>
      <c r="U2829" s="4">
        <v>85.01</v>
      </c>
      <c r="V2829" s="4">
        <v>62.24</v>
      </c>
      <c r="W2829" t="s">
        <v>21</v>
      </c>
      <c r="X2829" t="s">
        <v>36</v>
      </c>
      <c r="Y2829" s="4">
        <v>43</v>
      </c>
      <c r="Z2829" s="4">
        <v>5</v>
      </c>
      <c r="AA2829" t="s">
        <v>43</v>
      </c>
      <c r="AB2829" t="s">
        <v>44</v>
      </c>
      <c r="AC2829" s="7">
        <v>3</v>
      </c>
      <c r="AD2829" t="s">
        <v>45</v>
      </c>
      <c r="AE2829">
        <f t="shared" si="44"/>
        <v>1</v>
      </c>
    </row>
    <row r="2830" spans="1:31" x14ac:dyDescent="0.35">
      <c r="A2830">
        <v>102829</v>
      </c>
      <c r="B2830" s="3">
        <v>45997</v>
      </c>
      <c r="C2830">
        <v>1045</v>
      </c>
      <c r="D2830" t="s">
        <v>30</v>
      </c>
      <c r="E2830" t="s">
        <v>31</v>
      </c>
      <c r="F2830" t="s">
        <v>71</v>
      </c>
      <c r="G2830" t="s">
        <v>33</v>
      </c>
      <c r="H2830" t="s">
        <v>34</v>
      </c>
      <c r="I2830" t="s">
        <v>35</v>
      </c>
      <c r="J2830" s="4">
        <v>30.15</v>
      </c>
      <c r="K2830" s="4">
        <v>21.35</v>
      </c>
      <c r="L2830">
        <v>15</v>
      </c>
      <c r="M2830" s="4">
        <v>96.56</v>
      </c>
      <c r="N2830" s="4">
        <v>547.14</v>
      </c>
      <c r="O2830" s="4">
        <v>205.52</v>
      </c>
      <c r="P2830" s="4">
        <v>1.41</v>
      </c>
      <c r="Q2830" s="4">
        <v>4.51</v>
      </c>
      <c r="R2830" s="4">
        <v>11.83</v>
      </c>
      <c r="S2830" s="4">
        <v>0</v>
      </c>
      <c r="T2830" s="4">
        <v>0</v>
      </c>
      <c r="U2830" s="4">
        <v>223.27</v>
      </c>
      <c r="V2830" s="4">
        <v>323.87</v>
      </c>
      <c r="W2830" t="s">
        <v>21</v>
      </c>
      <c r="X2830" t="s">
        <v>36</v>
      </c>
      <c r="Y2830" s="4">
        <v>10</v>
      </c>
      <c r="Z2830" s="4">
        <v>9</v>
      </c>
      <c r="AA2830" t="s">
        <v>37</v>
      </c>
      <c r="AB2830" t="s">
        <v>38</v>
      </c>
      <c r="AC2830" s="7">
        <v>0</v>
      </c>
      <c r="AD2830" t="s">
        <v>39</v>
      </c>
      <c r="AE2830">
        <f t="shared" si="44"/>
        <v>0</v>
      </c>
    </row>
    <row r="2831" spans="1:31" x14ac:dyDescent="0.35">
      <c r="A2831">
        <v>102830</v>
      </c>
      <c r="B2831" s="3">
        <v>46003</v>
      </c>
      <c r="C2831">
        <v>1118</v>
      </c>
      <c r="D2831" t="s">
        <v>59</v>
      </c>
      <c r="E2831" t="s">
        <v>70</v>
      </c>
      <c r="F2831" t="s">
        <v>49</v>
      </c>
      <c r="G2831" t="s">
        <v>33</v>
      </c>
      <c r="H2831" t="s">
        <v>34</v>
      </c>
      <c r="I2831" t="s">
        <v>35</v>
      </c>
      <c r="J2831" s="4">
        <v>34.65</v>
      </c>
      <c r="K2831" s="4">
        <v>20.3</v>
      </c>
      <c r="L2831">
        <v>0</v>
      </c>
      <c r="M2831" s="4">
        <v>0</v>
      </c>
      <c r="N2831" s="4">
        <v>703.4</v>
      </c>
      <c r="O2831" s="4">
        <v>253.92</v>
      </c>
      <c r="P2831" s="4">
        <v>12.3</v>
      </c>
      <c r="Q2831" s="4">
        <v>4.92</v>
      </c>
      <c r="R2831" s="4">
        <v>2.09</v>
      </c>
      <c r="S2831" s="4">
        <v>0</v>
      </c>
      <c r="T2831" s="4">
        <v>0</v>
      </c>
      <c r="U2831" s="4">
        <v>273.23</v>
      </c>
      <c r="V2831" s="4">
        <v>430.17</v>
      </c>
      <c r="W2831" t="s">
        <v>21</v>
      </c>
      <c r="X2831" t="s">
        <v>36</v>
      </c>
      <c r="Y2831" s="4">
        <v>11</v>
      </c>
      <c r="Z2831" s="4">
        <v>17</v>
      </c>
      <c r="AA2831" t="s">
        <v>37</v>
      </c>
      <c r="AB2831" t="s">
        <v>44</v>
      </c>
      <c r="AC2831" s="7">
        <v>3</v>
      </c>
      <c r="AD2831" t="s">
        <v>45</v>
      </c>
      <c r="AE2831">
        <f t="shared" si="44"/>
        <v>1</v>
      </c>
    </row>
    <row r="2832" spans="1:31" x14ac:dyDescent="0.35">
      <c r="A2832">
        <v>102831</v>
      </c>
      <c r="B2832" s="3">
        <v>45970</v>
      </c>
      <c r="C2832">
        <v>1049</v>
      </c>
      <c r="D2832" t="s">
        <v>59</v>
      </c>
      <c r="E2832" t="s">
        <v>60</v>
      </c>
      <c r="F2832" t="s">
        <v>49</v>
      </c>
      <c r="G2832" t="s">
        <v>63</v>
      </c>
      <c r="H2832" t="s">
        <v>34</v>
      </c>
      <c r="I2832" t="s">
        <v>54</v>
      </c>
      <c r="J2832" s="4">
        <v>28.95</v>
      </c>
      <c r="K2832" s="4">
        <v>12.34</v>
      </c>
      <c r="L2832">
        <v>0</v>
      </c>
      <c r="M2832" s="4">
        <v>0</v>
      </c>
      <c r="N2832" s="4">
        <v>357.24</v>
      </c>
      <c r="O2832" s="4">
        <v>222.28</v>
      </c>
      <c r="P2832" s="4">
        <v>8.3000000000000007</v>
      </c>
      <c r="Q2832" s="4">
        <v>4.29</v>
      </c>
      <c r="R2832" s="4">
        <v>4.9000000000000004</v>
      </c>
      <c r="S2832" s="4">
        <v>0</v>
      </c>
      <c r="T2832" s="4">
        <v>0</v>
      </c>
      <c r="U2832" s="4">
        <v>239.77</v>
      </c>
      <c r="V2832" s="4">
        <v>117.47</v>
      </c>
      <c r="W2832" t="s">
        <v>21</v>
      </c>
      <c r="X2832" t="s">
        <v>36</v>
      </c>
      <c r="Y2832" s="4">
        <v>16</v>
      </c>
      <c r="Z2832" s="4">
        <v>5</v>
      </c>
      <c r="AA2832" t="s">
        <v>52</v>
      </c>
      <c r="AB2832" t="s">
        <v>38</v>
      </c>
      <c r="AC2832" s="7">
        <v>0</v>
      </c>
      <c r="AD2832" t="s">
        <v>39</v>
      </c>
      <c r="AE2832">
        <f t="shared" si="44"/>
        <v>0</v>
      </c>
    </row>
    <row r="2833" spans="1:31" x14ac:dyDescent="0.35">
      <c r="A2833">
        <v>102832</v>
      </c>
      <c r="B2833" s="3">
        <v>45946</v>
      </c>
      <c r="C2833">
        <v>1101</v>
      </c>
      <c r="D2833" t="s">
        <v>59</v>
      </c>
      <c r="E2833" t="s">
        <v>70</v>
      </c>
      <c r="F2833" t="s">
        <v>41</v>
      </c>
      <c r="G2833" t="s">
        <v>63</v>
      </c>
      <c r="H2833" t="s">
        <v>51</v>
      </c>
      <c r="I2833" t="s">
        <v>35</v>
      </c>
      <c r="J2833" s="4">
        <v>16.41</v>
      </c>
      <c r="K2833" s="4">
        <v>12.45</v>
      </c>
      <c r="L2833">
        <v>15</v>
      </c>
      <c r="M2833" s="4">
        <v>30.64</v>
      </c>
      <c r="N2833" s="4">
        <v>173.66</v>
      </c>
      <c r="O2833" s="4">
        <v>113.36</v>
      </c>
      <c r="P2833" s="4">
        <v>13.52</v>
      </c>
      <c r="Q2833" s="4">
        <v>1.43</v>
      </c>
      <c r="R2833" s="4">
        <v>0.32</v>
      </c>
      <c r="S2833" s="4">
        <v>0</v>
      </c>
      <c r="T2833" s="4">
        <v>0</v>
      </c>
      <c r="U2833" s="4">
        <v>128.63</v>
      </c>
      <c r="V2833" s="4">
        <v>45.03</v>
      </c>
      <c r="W2833" t="s">
        <v>21</v>
      </c>
      <c r="X2833" t="s">
        <v>36</v>
      </c>
      <c r="Y2833" s="4">
        <v>13</v>
      </c>
      <c r="Z2833" s="4">
        <v>10</v>
      </c>
      <c r="AA2833" t="s">
        <v>37</v>
      </c>
      <c r="AB2833" t="s">
        <v>38</v>
      </c>
      <c r="AC2833" s="7">
        <v>0</v>
      </c>
      <c r="AD2833" t="s">
        <v>39</v>
      </c>
      <c r="AE2833">
        <f t="shared" si="44"/>
        <v>0</v>
      </c>
    </row>
    <row r="2834" spans="1:31" x14ac:dyDescent="0.35">
      <c r="A2834">
        <v>102833</v>
      </c>
      <c r="B2834" s="3">
        <v>45988</v>
      </c>
      <c r="C2834">
        <v>1070</v>
      </c>
      <c r="D2834" t="s">
        <v>59</v>
      </c>
      <c r="E2834" t="s">
        <v>73</v>
      </c>
      <c r="F2834" t="s">
        <v>61</v>
      </c>
      <c r="G2834" t="s">
        <v>46</v>
      </c>
      <c r="H2834" t="s">
        <v>51</v>
      </c>
      <c r="I2834" t="s">
        <v>54</v>
      </c>
      <c r="J2834" s="4">
        <v>22.51</v>
      </c>
      <c r="K2834" s="4">
        <v>14.42</v>
      </c>
      <c r="L2834">
        <v>0</v>
      </c>
      <c r="M2834" s="4">
        <v>0</v>
      </c>
      <c r="N2834" s="4">
        <v>324.58999999999997</v>
      </c>
      <c r="O2834" s="4">
        <v>170.22</v>
      </c>
      <c r="P2834" s="4">
        <v>3.53</v>
      </c>
      <c r="Q2834" s="4">
        <v>3.9</v>
      </c>
      <c r="R2834" s="4">
        <v>2.11</v>
      </c>
      <c r="S2834" s="4">
        <v>0</v>
      </c>
      <c r="T2834" s="4">
        <v>0</v>
      </c>
      <c r="U2834" s="4">
        <v>179.76</v>
      </c>
      <c r="V2834" s="4">
        <v>144.83000000000001</v>
      </c>
      <c r="W2834" t="s">
        <v>21</v>
      </c>
      <c r="X2834" t="s">
        <v>36</v>
      </c>
      <c r="Y2834" s="4">
        <v>48</v>
      </c>
      <c r="Z2834" s="4">
        <v>4</v>
      </c>
      <c r="AA2834" t="s">
        <v>43</v>
      </c>
      <c r="AB2834" t="s">
        <v>44</v>
      </c>
      <c r="AC2834" s="7">
        <v>1</v>
      </c>
      <c r="AD2834" t="s">
        <v>45</v>
      </c>
      <c r="AE2834">
        <f t="shared" si="44"/>
        <v>1</v>
      </c>
    </row>
    <row r="2835" spans="1:31" x14ac:dyDescent="0.35">
      <c r="A2835">
        <v>102834</v>
      </c>
      <c r="B2835" s="3">
        <v>45989</v>
      </c>
      <c r="C2835">
        <v>1118</v>
      </c>
      <c r="D2835" t="s">
        <v>47</v>
      </c>
      <c r="E2835" t="s">
        <v>48</v>
      </c>
      <c r="F2835" t="s">
        <v>71</v>
      </c>
      <c r="G2835" t="s">
        <v>50</v>
      </c>
      <c r="H2835" t="s">
        <v>57</v>
      </c>
      <c r="I2835" t="s">
        <v>54</v>
      </c>
      <c r="J2835" s="4">
        <v>28.24</v>
      </c>
      <c r="K2835" s="4">
        <v>18.27</v>
      </c>
      <c r="L2835">
        <v>0</v>
      </c>
      <c r="M2835" s="4">
        <v>0</v>
      </c>
      <c r="N2835" s="4">
        <v>515.94000000000005</v>
      </c>
      <c r="O2835" s="4">
        <v>195.98</v>
      </c>
      <c r="P2835" s="4">
        <v>6.22</v>
      </c>
      <c r="Q2835" s="4">
        <v>6.19</v>
      </c>
      <c r="R2835" s="4">
        <v>4.57</v>
      </c>
      <c r="S2835" s="4">
        <v>0</v>
      </c>
      <c r="T2835" s="4">
        <v>0</v>
      </c>
      <c r="U2835" s="4">
        <v>212.96</v>
      </c>
      <c r="V2835" s="4">
        <v>302.98</v>
      </c>
      <c r="W2835" t="s">
        <v>21</v>
      </c>
      <c r="X2835" t="s">
        <v>36</v>
      </c>
      <c r="Y2835" s="4">
        <v>1</v>
      </c>
      <c r="Z2835" s="4">
        <v>3</v>
      </c>
      <c r="AA2835" t="s">
        <v>37</v>
      </c>
      <c r="AB2835" t="s">
        <v>38</v>
      </c>
      <c r="AC2835" s="7">
        <v>0</v>
      </c>
      <c r="AD2835" t="s">
        <v>39</v>
      </c>
      <c r="AE2835">
        <f t="shared" si="44"/>
        <v>0</v>
      </c>
    </row>
    <row r="2836" spans="1:31" x14ac:dyDescent="0.35">
      <c r="A2836">
        <v>102835</v>
      </c>
      <c r="B2836" s="3">
        <v>46003</v>
      </c>
      <c r="C2836">
        <v>1016</v>
      </c>
      <c r="D2836" t="s">
        <v>47</v>
      </c>
      <c r="E2836" t="s">
        <v>53</v>
      </c>
      <c r="F2836" t="s">
        <v>32</v>
      </c>
      <c r="G2836" t="s">
        <v>33</v>
      </c>
      <c r="H2836" t="s">
        <v>57</v>
      </c>
      <c r="I2836" t="s">
        <v>54</v>
      </c>
      <c r="J2836" s="4">
        <v>34.35</v>
      </c>
      <c r="K2836" s="4">
        <v>19.489999999999998</v>
      </c>
      <c r="L2836">
        <v>0</v>
      </c>
      <c r="M2836" s="4">
        <v>0</v>
      </c>
      <c r="N2836" s="4">
        <v>669.48</v>
      </c>
      <c r="O2836" s="4">
        <v>297.58999999999997</v>
      </c>
      <c r="P2836" s="4">
        <v>7.97</v>
      </c>
      <c r="Q2836" s="4">
        <v>8.0299999999999994</v>
      </c>
      <c r="R2836" s="4">
        <v>11.37</v>
      </c>
      <c r="S2836" s="4">
        <v>593.97</v>
      </c>
      <c r="T2836" s="4">
        <v>17.260000000000002</v>
      </c>
      <c r="U2836" s="4">
        <v>936.19</v>
      </c>
      <c r="V2836" s="4">
        <v>-266.70999999999998</v>
      </c>
      <c r="W2836" t="s">
        <v>58</v>
      </c>
      <c r="X2836" t="s">
        <v>66</v>
      </c>
      <c r="Y2836" s="4">
        <v>5</v>
      </c>
      <c r="Z2836" s="4">
        <v>6</v>
      </c>
      <c r="AA2836" t="s">
        <v>37</v>
      </c>
      <c r="AB2836" t="s">
        <v>38</v>
      </c>
      <c r="AC2836" s="7">
        <v>3</v>
      </c>
      <c r="AD2836" t="s">
        <v>45</v>
      </c>
      <c r="AE2836">
        <f t="shared" si="44"/>
        <v>0</v>
      </c>
    </row>
    <row r="2837" spans="1:31" x14ac:dyDescent="0.35">
      <c r="A2837">
        <v>102836</v>
      </c>
      <c r="B2837" s="3">
        <v>45960</v>
      </c>
      <c r="C2837">
        <v>1017</v>
      </c>
      <c r="D2837" t="s">
        <v>64</v>
      </c>
      <c r="E2837" t="s">
        <v>75</v>
      </c>
      <c r="F2837" t="s">
        <v>32</v>
      </c>
      <c r="G2837" t="s">
        <v>46</v>
      </c>
      <c r="H2837" t="s">
        <v>57</v>
      </c>
      <c r="I2837" t="s">
        <v>54</v>
      </c>
      <c r="J2837" s="4">
        <v>21.05</v>
      </c>
      <c r="K2837" s="4">
        <v>16.989999999999998</v>
      </c>
      <c r="L2837">
        <v>10</v>
      </c>
      <c r="M2837" s="4">
        <v>35.76</v>
      </c>
      <c r="N2837" s="4">
        <v>321.88</v>
      </c>
      <c r="O2837" s="4">
        <v>167.24</v>
      </c>
      <c r="P2837" s="4">
        <v>7.37</v>
      </c>
      <c r="Q2837" s="4">
        <v>4.29</v>
      </c>
      <c r="R2837" s="4">
        <v>8.2100000000000009</v>
      </c>
      <c r="S2837" s="4">
        <v>0</v>
      </c>
      <c r="T2837" s="4">
        <v>0</v>
      </c>
      <c r="U2837" s="4">
        <v>187.11</v>
      </c>
      <c r="V2837" s="4">
        <v>134.77000000000001</v>
      </c>
      <c r="W2837" t="s">
        <v>21</v>
      </c>
      <c r="X2837" t="s">
        <v>36</v>
      </c>
      <c r="Y2837" s="4">
        <v>0</v>
      </c>
      <c r="Z2837" s="4">
        <v>0</v>
      </c>
      <c r="AA2837" t="s">
        <v>37</v>
      </c>
      <c r="AB2837" t="s">
        <v>38</v>
      </c>
      <c r="AC2837" s="7">
        <v>2</v>
      </c>
      <c r="AD2837" t="s">
        <v>39</v>
      </c>
      <c r="AE2837">
        <f t="shared" si="44"/>
        <v>0</v>
      </c>
    </row>
    <row r="2838" spans="1:31" x14ac:dyDescent="0.35">
      <c r="A2838">
        <v>102837</v>
      </c>
      <c r="B2838" s="3">
        <v>46002</v>
      </c>
      <c r="C2838">
        <v>1013</v>
      </c>
      <c r="D2838" t="s">
        <v>64</v>
      </c>
      <c r="E2838" t="s">
        <v>75</v>
      </c>
      <c r="F2838" t="s">
        <v>32</v>
      </c>
      <c r="G2838" t="s">
        <v>50</v>
      </c>
      <c r="H2838" t="s">
        <v>34</v>
      </c>
      <c r="I2838" t="s">
        <v>35</v>
      </c>
      <c r="J2838" s="4">
        <v>23.85</v>
      </c>
      <c r="K2838" s="4">
        <v>17.010000000000002</v>
      </c>
      <c r="L2838">
        <v>5</v>
      </c>
      <c r="M2838" s="4">
        <v>20.28</v>
      </c>
      <c r="N2838" s="4">
        <v>385.41</v>
      </c>
      <c r="O2838" s="4">
        <v>148.80000000000001</v>
      </c>
      <c r="P2838" s="4">
        <v>7.98</v>
      </c>
      <c r="Q2838" s="4">
        <v>2.84</v>
      </c>
      <c r="R2838" s="4">
        <v>0.68</v>
      </c>
      <c r="S2838" s="4">
        <v>0</v>
      </c>
      <c r="T2838" s="4">
        <v>0</v>
      </c>
      <c r="U2838" s="4">
        <v>160.30000000000001</v>
      </c>
      <c r="V2838" s="4">
        <v>225.11</v>
      </c>
      <c r="W2838" t="s">
        <v>21</v>
      </c>
      <c r="X2838" t="s">
        <v>36</v>
      </c>
      <c r="Y2838" s="4">
        <v>2</v>
      </c>
      <c r="Z2838" s="4">
        <v>17</v>
      </c>
      <c r="AA2838" t="s">
        <v>37</v>
      </c>
      <c r="AB2838" t="s">
        <v>44</v>
      </c>
      <c r="AC2838" s="7">
        <v>1</v>
      </c>
      <c r="AD2838" t="s">
        <v>45</v>
      </c>
      <c r="AE2838">
        <f t="shared" si="44"/>
        <v>1</v>
      </c>
    </row>
    <row r="2839" spans="1:31" x14ac:dyDescent="0.35">
      <c r="A2839">
        <v>102838</v>
      </c>
      <c r="B2839" s="3">
        <v>45982</v>
      </c>
      <c r="C2839">
        <v>1128</v>
      </c>
      <c r="D2839" t="s">
        <v>59</v>
      </c>
      <c r="E2839" t="s">
        <v>68</v>
      </c>
      <c r="F2839" t="s">
        <v>32</v>
      </c>
      <c r="G2839" t="s">
        <v>46</v>
      </c>
      <c r="H2839" t="s">
        <v>57</v>
      </c>
      <c r="I2839" t="s">
        <v>35</v>
      </c>
      <c r="J2839" s="4">
        <v>34.97</v>
      </c>
      <c r="K2839" s="4">
        <v>15.82</v>
      </c>
      <c r="L2839">
        <v>5</v>
      </c>
      <c r="M2839" s="4">
        <v>27.66</v>
      </c>
      <c r="N2839" s="4">
        <v>525.57000000000005</v>
      </c>
      <c r="O2839" s="4">
        <v>247.66</v>
      </c>
      <c r="P2839" s="4">
        <v>6.1</v>
      </c>
      <c r="Q2839" s="4">
        <v>3.87</v>
      </c>
      <c r="R2839" s="4">
        <v>5.32</v>
      </c>
      <c r="S2839" s="4">
        <v>0</v>
      </c>
      <c r="T2839" s="4">
        <v>0</v>
      </c>
      <c r="U2839" s="4">
        <v>262.95</v>
      </c>
      <c r="V2839" s="4">
        <v>262.62</v>
      </c>
      <c r="W2839" t="s">
        <v>21</v>
      </c>
      <c r="X2839" t="s">
        <v>36</v>
      </c>
      <c r="Y2839" s="4">
        <v>2</v>
      </c>
      <c r="Z2839" s="4">
        <v>6</v>
      </c>
      <c r="AA2839" t="s">
        <v>37</v>
      </c>
      <c r="AB2839" t="s">
        <v>38</v>
      </c>
      <c r="AC2839" s="7">
        <v>0</v>
      </c>
      <c r="AD2839" t="s">
        <v>39</v>
      </c>
      <c r="AE2839">
        <f t="shared" si="44"/>
        <v>0</v>
      </c>
    </row>
    <row r="2840" spans="1:31" x14ac:dyDescent="0.35">
      <c r="A2840">
        <v>102839</v>
      </c>
      <c r="B2840" s="3">
        <v>45994</v>
      </c>
      <c r="C2840">
        <v>1074</v>
      </c>
      <c r="D2840" t="s">
        <v>47</v>
      </c>
      <c r="E2840" t="s">
        <v>48</v>
      </c>
      <c r="F2840" t="s">
        <v>41</v>
      </c>
      <c r="G2840" t="s">
        <v>46</v>
      </c>
      <c r="H2840" t="s">
        <v>34</v>
      </c>
      <c r="I2840" t="s">
        <v>54</v>
      </c>
      <c r="J2840" s="4">
        <v>26.02</v>
      </c>
      <c r="K2840" s="4">
        <v>16.350000000000001</v>
      </c>
      <c r="L2840">
        <v>10</v>
      </c>
      <c r="M2840" s="4">
        <v>42.54</v>
      </c>
      <c r="N2840" s="4">
        <v>382.89</v>
      </c>
      <c r="O2840" s="4">
        <v>192.86</v>
      </c>
      <c r="P2840" s="4">
        <v>9.48</v>
      </c>
      <c r="Q2840" s="4">
        <v>5.1100000000000003</v>
      </c>
      <c r="R2840" s="4">
        <v>9.2899999999999991</v>
      </c>
      <c r="S2840" s="4">
        <v>0</v>
      </c>
      <c r="T2840" s="4">
        <v>0</v>
      </c>
      <c r="U2840" s="4">
        <v>216.74</v>
      </c>
      <c r="V2840" s="4">
        <v>166.15</v>
      </c>
      <c r="W2840" t="s">
        <v>21</v>
      </c>
      <c r="X2840" t="s">
        <v>36</v>
      </c>
      <c r="Y2840" s="4">
        <v>41</v>
      </c>
      <c r="Z2840" s="4">
        <v>16</v>
      </c>
      <c r="AA2840" t="s">
        <v>43</v>
      </c>
      <c r="AB2840" t="s">
        <v>44</v>
      </c>
      <c r="AC2840" s="7">
        <v>3</v>
      </c>
      <c r="AD2840" t="s">
        <v>45</v>
      </c>
      <c r="AE2840">
        <f t="shared" si="44"/>
        <v>1</v>
      </c>
    </row>
    <row r="2841" spans="1:31" x14ac:dyDescent="0.35">
      <c r="A2841">
        <v>102840</v>
      </c>
      <c r="B2841" s="3">
        <v>45966</v>
      </c>
      <c r="C2841">
        <v>1127</v>
      </c>
      <c r="D2841" t="s">
        <v>30</v>
      </c>
      <c r="E2841" t="s">
        <v>72</v>
      </c>
      <c r="F2841" t="s">
        <v>71</v>
      </c>
      <c r="G2841" t="s">
        <v>63</v>
      </c>
      <c r="H2841" t="s">
        <v>57</v>
      </c>
      <c r="I2841" t="s">
        <v>69</v>
      </c>
      <c r="J2841" s="4">
        <v>14.74</v>
      </c>
      <c r="K2841" s="4">
        <v>12.41</v>
      </c>
      <c r="L2841">
        <v>10</v>
      </c>
      <c r="M2841" s="4">
        <v>18.29</v>
      </c>
      <c r="N2841" s="4">
        <v>164.63</v>
      </c>
      <c r="O2841" s="4">
        <v>116.26</v>
      </c>
      <c r="P2841" s="4">
        <v>2.83</v>
      </c>
      <c r="Q2841" s="4">
        <v>0.73</v>
      </c>
      <c r="R2841" s="4">
        <v>6.18</v>
      </c>
      <c r="S2841" s="4">
        <v>0</v>
      </c>
      <c r="T2841" s="4">
        <v>0</v>
      </c>
      <c r="U2841" s="4">
        <v>126</v>
      </c>
      <c r="V2841" s="4">
        <v>38.630000000000003</v>
      </c>
      <c r="W2841" t="s">
        <v>21</v>
      </c>
      <c r="X2841" t="s">
        <v>36</v>
      </c>
      <c r="Y2841" s="4">
        <v>2</v>
      </c>
      <c r="Z2841" s="4">
        <v>5</v>
      </c>
      <c r="AA2841" t="s">
        <v>37</v>
      </c>
      <c r="AB2841" t="s">
        <v>38</v>
      </c>
      <c r="AC2841" s="7">
        <v>0</v>
      </c>
      <c r="AD2841" t="s">
        <v>39</v>
      </c>
      <c r="AE2841">
        <f t="shared" si="44"/>
        <v>0</v>
      </c>
    </row>
    <row r="2842" spans="1:31" x14ac:dyDescent="0.35">
      <c r="A2842">
        <v>102841</v>
      </c>
      <c r="B2842" s="3">
        <v>45967</v>
      </c>
      <c r="C2842">
        <v>1117</v>
      </c>
      <c r="D2842" t="s">
        <v>64</v>
      </c>
      <c r="E2842" t="s">
        <v>65</v>
      </c>
      <c r="F2842" t="s">
        <v>41</v>
      </c>
      <c r="G2842" t="s">
        <v>50</v>
      </c>
      <c r="H2842" t="s">
        <v>34</v>
      </c>
      <c r="I2842" t="s">
        <v>42</v>
      </c>
      <c r="J2842" s="4">
        <v>16.38</v>
      </c>
      <c r="K2842" s="4">
        <v>17.68</v>
      </c>
      <c r="L2842">
        <v>0</v>
      </c>
      <c r="M2842" s="4">
        <v>0</v>
      </c>
      <c r="N2842" s="4">
        <v>289.60000000000002</v>
      </c>
      <c r="O2842" s="4">
        <v>129.18</v>
      </c>
      <c r="P2842" s="4">
        <v>10.06</v>
      </c>
      <c r="Q2842" s="4">
        <v>4.34</v>
      </c>
      <c r="R2842" s="4">
        <v>1.45</v>
      </c>
      <c r="S2842" s="4">
        <v>0</v>
      </c>
      <c r="T2842" s="4">
        <v>0</v>
      </c>
      <c r="U2842" s="4">
        <v>145.03</v>
      </c>
      <c r="V2842" s="4">
        <v>144.57</v>
      </c>
      <c r="W2842" t="s">
        <v>21</v>
      </c>
      <c r="X2842" t="s">
        <v>36</v>
      </c>
      <c r="Y2842" s="4">
        <v>18</v>
      </c>
      <c r="Z2842" s="4">
        <v>14</v>
      </c>
      <c r="AA2842" t="s">
        <v>52</v>
      </c>
      <c r="AB2842" t="s">
        <v>38</v>
      </c>
      <c r="AC2842" s="7">
        <v>0</v>
      </c>
      <c r="AD2842" t="s">
        <v>39</v>
      </c>
      <c r="AE2842">
        <f t="shared" si="44"/>
        <v>0</v>
      </c>
    </row>
    <row r="2843" spans="1:31" x14ac:dyDescent="0.35">
      <c r="A2843">
        <v>102842</v>
      </c>
      <c r="B2843" s="3">
        <v>45977</v>
      </c>
      <c r="C2843">
        <v>1089</v>
      </c>
      <c r="D2843" t="s">
        <v>47</v>
      </c>
      <c r="E2843" t="s">
        <v>48</v>
      </c>
      <c r="F2843" t="s">
        <v>49</v>
      </c>
      <c r="G2843" t="s">
        <v>63</v>
      </c>
      <c r="H2843" t="s">
        <v>34</v>
      </c>
      <c r="I2843" t="s">
        <v>69</v>
      </c>
      <c r="J2843" s="4">
        <v>3</v>
      </c>
      <c r="K2843" s="4">
        <v>12.12</v>
      </c>
      <c r="L2843">
        <v>5</v>
      </c>
      <c r="M2843" s="4">
        <v>1.82</v>
      </c>
      <c r="N2843" s="4">
        <v>34.54</v>
      </c>
      <c r="O2843" s="4">
        <v>23.54</v>
      </c>
      <c r="P2843" s="4">
        <v>8.18</v>
      </c>
      <c r="Q2843" s="4">
        <v>0.15</v>
      </c>
      <c r="R2843" s="4">
        <v>4.2699999999999996</v>
      </c>
      <c r="S2843" s="4">
        <v>0</v>
      </c>
      <c r="T2843" s="4">
        <v>0</v>
      </c>
      <c r="U2843" s="4">
        <v>36.14</v>
      </c>
      <c r="V2843" s="4">
        <v>-1.6</v>
      </c>
      <c r="W2843" t="s">
        <v>58</v>
      </c>
      <c r="X2843" t="s">
        <v>36</v>
      </c>
      <c r="Y2843" s="4">
        <v>6</v>
      </c>
      <c r="Z2843" s="4">
        <v>18</v>
      </c>
      <c r="AA2843" t="s">
        <v>37</v>
      </c>
      <c r="AB2843" t="s">
        <v>44</v>
      </c>
      <c r="AC2843" s="7">
        <v>1</v>
      </c>
      <c r="AD2843" t="s">
        <v>45</v>
      </c>
      <c r="AE2843">
        <f t="shared" si="44"/>
        <v>1</v>
      </c>
    </row>
    <row r="2844" spans="1:31" x14ac:dyDescent="0.35">
      <c r="A2844">
        <v>102843</v>
      </c>
      <c r="B2844" s="3">
        <v>45939</v>
      </c>
      <c r="C2844">
        <v>1139</v>
      </c>
      <c r="D2844" t="s">
        <v>64</v>
      </c>
      <c r="E2844" t="s">
        <v>76</v>
      </c>
      <c r="F2844" t="s">
        <v>61</v>
      </c>
      <c r="G2844" t="s">
        <v>63</v>
      </c>
      <c r="H2844" t="s">
        <v>51</v>
      </c>
      <c r="I2844" t="s">
        <v>35</v>
      </c>
      <c r="J2844" s="4">
        <v>20.65</v>
      </c>
      <c r="K2844" s="4">
        <v>15.21</v>
      </c>
      <c r="L2844">
        <v>15</v>
      </c>
      <c r="M2844" s="4">
        <v>47.11</v>
      </c>
      <c r="N2844" s="4">
        <v>266.98</v>
      </c>
      <c r="O2844" s="4">
        <v>138.58000000000001</v>
      </c>
      <c r="P2844" s="4">
        <v>6.88</v>
      </c>
      <c r="Q2844" s="4">
        <v>2.2000000000000002</v>
      </c>
      <c r="R2844" s="4">
        <v>10.43</v>
      </c>
      <c r="S2844" s="4">
        <v>0</v>
      </c>
      <c r="T2844" s="4">
        <v>0</v>
      </c>
      <c r="U2844" s="4">
        <v>158.09</v>
      </c>
      <c r="V2844" s="4">
        <v>108.89</v>
      </c>
      <c r="W2844" t="s">
        <v>21</v>
      </c>
      <c r="X2844" t="s">
        <v>36</v>
      </c>
      <c r="Y2844" s="4">
        <v>9</v>
      </c>
      <c r="Z2844" s="4">
        <v>3</v>
      </c>
      <c r="AA2844" t="s">
        <v>37</v>
      </c>
      <c r="AB2844" t="s">
        <v>38</v>
      </c>
      <c r="AC2844" s="7">
        <v>0</v>
      </c>
      <c r="AD2844" t="s">
        <v>39</v>
      </c>
      <c r="AE2844">
        <f t="shared" si="44"/>
        <v>0</v>
      </c>
    </row>
    <row r="2845" spans="1:31" x14ac:dyDescent="0.35">
      <c r="A2845">
        <v>102844</v>
      </c>
      <c r="B2845" s="3">
        <v>45949</v>
      </c>
      <c r="C2845">
        <v>1031</v>
      </c>
      <c r="D2845" t="s">
        <v>30</v>
      </c>
      <c r="E2845" t="s">
        <v>62</v>
      </c>
      <c r="F2845" t="s">
        <v>32</v>
      </c>
      <c r="G2845" t="s">
        <v>46</v>
      </c>
      <c r="H2845" t="s">
        <v>34</v>
      </c>
      <c r="I2845" t="s">
        <v>54</v>
      </c>
      <c r="J2845" s="4">
        <v>14.8</v>
      </c>
      <c r="K2845" s="4">
        <v>15.72</v>
      </c>
      <c r="L2845">
        <v>0</v>
      </c>
      <c r="M2845" s="4">
        <v>0</v>
      </c>
      <c r="N2845" s="4">
        <v>232.66</v>
      </c>
      <c r="O2845" s="4">
        <v>108.52</v>
      </c>
      <c r="P2845" s="4">
        <v>9.2899999999999991</v>
      </c>
      <c r="Q2845" s="4">
        <v>2.79</v>
      </c>
      <c r="R2845" s="4">
        <v>4.97</v>
      </c>
      <c r="S2845" s="4">
        <v>0</v>
      </c>
      <c r="T2845" s="4">
        <v>0</v>
      </c>
      <c r="U2845" s="4">
        <v>125.57</v>
      </c>
      <c r="V2845" s="4">
        <v>107.09</v>
      </c>
      <c r="W2845" t="s">
        <v>21</v>
      </c>
      <c r="X2845" t="s">
        <v>36</v>
      </c>
      <c r="Y2845" s="4">
        <v>17</v>
      </c>
      <c r="Z2845" s="4">
        <v>13</v>
      </c>
      <c r="AA2845" t="s">
        <v>52</v>
      </c>
      <c r="AB2845" t="s">
        <v>38</v>
      </c>
      <c r="AC2845" s="7">
        <v>0</v>
      </c>
      <c r="AD2845" t="s">
        <v>39</v>
      </c>
      <c r="AE2845">
        <f t="shared" si="44"/>
        <v>0</v>
      </c>
    </row>
    <row r="2846" spans="1:31" x14ac:dyDescent="0.35">
      <c r="A2846">
        <v>102845</v>
      </c>
      <c r="B2846" s="3">
        <v>46001</v>
      </c>
      <c r="C2846">
        <v>1086</v>
      </c>
      <c r="D2846" t="s">
        <v>64</v>
      </c>
      <c r="E2846" t="s">
        <v>76</v>
      </c>
      <c r="F2846" t="s">
        <v>49</v>
      </c>
      <c r="G2846" t="s">
        <v>63</v>
      </c>
      <c r="H2846" t="s">
        <v>34</v>
      </c>
      <c r="I2846" t="s">
        <v>54</v>
      </c>
      <c r="J2846" s="4">
        <v>12.79</v>
      </c>
      <c r="K2846" s="4">
        <v>13.24</v>
      </c>
      <c r="L2846">
        <v>10</v>
      </c>
      <c r="M2846" s="4">
        <v>16.93</v>
      </c>
      <c r="N2846" s="4">
        <v>152.41</v>
      </c>
      <c r="O2846" s="4">
        <v>86.2</v>
      </c>
      <c r="P2846" s="4">
        <v>5.54</v>
      </c>
      <c r="Q2846" s="4">
        <v>2.0299999999999998</v>
      </c>
      <c r="R2846" s="4">
        <v>0</v>
      </c>
      <c r="S2846" s="4">
        <v>0</v>
      </c>
      <c r="T2846" s="4">
        <v>0</v>
      </c>
      <c r="U2846" s="4">
        <v>93.77</v>
      </c>
      <c r="V2846" s="4">
        <v>58.64</v>
      </c>
      <c r="W2846" t="s">
        <v>21</v>
      </c>
      <c r="X2846" t="s">
        <v>36</v>
      </c>
      <c r="Y2846" s="4">
        <v>7</v>
      </c>
      <c r="Z2846" s="4">
        <v>1</v>
      </c>
      <c r="AA2846" t="s">
        <v>37</v>
      </c>
      <c r="AB2846" t="s">
        <v>38</v>
      </c>
      <c r="AC2846" s="7">
        <v>1</v>
      </c>
      <c r="AD2846" t="s">
        <v>39</v>
      </c>
      <c r="AE2846">
        <f t="shared" si="44"/>
        <v>0</v>
      </c>
    </row>
    <row r="2847" spans="1:31" x14ac:dyDescent="0.35">
      <c r="A2847">
        <v>102846</v>
      </c>
      <c r="B2847" s="3">
        <v>45960</v>
      </c>
      <c r="C2847">
        <v>1102</v>
      </c>
      <c r="D2847" t="s">
        <v>30</v>
      </c>
      <c r="E2847" t="s">
        <v>62</v>
      </c>
      <c r="F2847" t="s">
        <v>49</v>
      </c>
      <c r="G2847" t="s">
        <v>33</v>
      </c>
      <c r="H2847" t="s">
        <v>34</v>
      </c>
      <c r="I2847" t="s">
        <v>42</v>
      </c>
      <c r="J2847" s="4">
        <v>29.39</v>
      </c>
      <c r="K2847" s="4">
        <v>19.239999999999998</v>
      </c>
      <c r="L2847">
        <v>0</v>
      </c>
      <c r="M2847" s="4">
        <v>0</v>
      </c>
      <c r="N2847" s="4">
        <v>565.46</v>
      </c>
      <c r="O2847" s="4">
        <v>168.48</v>
      </c>
      <c r="P2847" s="4">
        <v>13.51</v>
      </c>
      <c r="Q2847" s="4">
        <v>8.48</v>
      </c>
      <c r="R2847" s="4">
        <v>1.23</v>
      </c>
      <c r="S2847" s="4">
        <v>0</v>
      </c>
      <c r="T2847" s="4">
        <v>0</v>
      </c>
      <c r="U2847" s="4">
        <v>191.7</v>
      </c>
      <c r="V2847" s="4">
        <v>373.76</v>
      </c>
      <c r="W2847" t="s">
        <v>21</v>
      </c>
      <c r="X2847" t="s">
        <v>36</v>
      </c>
      <c r="Y2847" s="4">
        <v>5</v>
      </c>
      <c r="Z2847" s="4">
        <v>41</v>
      </c>
      <c r="AA2847" t="s">
        <v>37</v>
      </c>
      <c r="AB2847" t="s">
        <v>44</v>
      </c>
      <c r="AC2847" s="7">
        <v>1</v>
      </c>
      <c r="AD2847" t="s">
        <v>45</v>
      </c>
      <c r="AE2847">
        <f t="shared" si="44"/>
        <v>1</v>
      </c>
    </row>
    <row r="2848" spans="1:31" x14ac:dyDescent="0.35">
      <c r="A2848">
        <v>102847</v>
      </c>
      <c r="B2848" s="3">
        <v>46015</v>
      </c>
      <c r="C2848">
        <v>1124</v>
      </c>
      <c r="D2848" t="s">
        <v>30</v>
      </c>
      <c r="E2848" t="s">
        <v>40</v>
      </c>
      <c r="F2848" t="s">
        <v>41</v>
      </c>
      <c r="G2848" t="s">
        <v>46</v>
      </c>
      <c r="H2848" t="s">
        <v>34</v>
      </c>
      <c r="I2848" t="s">
        <v>35</v>
      </c>
      <c r="J2848" s="4">
        <v>21.74</v>
      </c>
      <c r="K2848" s="4">
        <v>15.84</v>
      </c>
      <c r="L2848">
        <v>0</v>
      </c>
      <c r="M2848" s="4">
        <v>0</v>
      </c>
      <c r="N2848" s="4">
        <v>344.36</v>
      </c>
      <c r="O2848" s="4">
        <v>189.68</v>
      </c>
      <c r="P2848" s="4">
        <v>2.48</v>
      </c>
      <c r="Q2848" s="4">
        <v>2.41</v>
      </c>
      <c r="R2848" s="4">
        <v>0</v>
      </c>
      <c r="S2848" s="4">
        <v>0</v>
      </c>
      <c r="T2848" s="4">
        <v>0</v>
      </c>
      <c r="U2848" s="4">
        <v>194.57</v>
      </c>
      <c r="V2848" s="4">
        <v>149.79</v>
      </c>
      <c r="W2848" t="s">
        <v>21</v>
      </c>
      <c r="X2848" t="s">
        <v>36</v>
      </c>
      <c r="Y2848" s="4">
        <v>26</v>
      </c>
      <c r="Z2848" s="4">
        <v>0</v>
      </c>
      <c r="AA2848" t="s">
        <v>52</v>
      </c>
      <c r="AB2848" t="s">
        <v>44</v>
      </c>
      <c r="AC2848" s="7">
        <v>3</v>
      </c>
      <c r="AD2848" t="s">
        <v>45</v>
      </c>
      <c r="AE2848">
        <f t="shared" si="44"/>
        <v>1</v>
      </c>
    </row>
    <row r="2849" spans="1:31" x14ac:dyDescent="0.35">
      <c r="A2849">
        <v>102848</v>
      </c>
      <c r="B2849" s="3">
        <v>45997</v>
      </c>
      <c r="C2849">
        <v>1137</v>
      </c>
      <c r="D2849" t="s">
        <v>47</v>
      </c>
      <c r="E2849" t="s">
        <v>48</v>
      </c>
      <c r="F2849" t="s">
        <v>32</v>
      </c>
      <c r="G2849" t="s">
        <v>63</v>
      </c>
      <c r="H2849" t="s">
        <v>34</v>
      </c>
      <c r="I2849" t="s">
        <v>54</v>
      </c>
      <c r="J2849" s="4">
        <v>20.67</v>
      </c>
      <c r="K2849" s="4">
        <v>12.5</v>
      </c>
      <c r="L2849">
        <v>5</v>
      </c>
      <c r="M2849" s="4">
        <v>12.92</v>
      </c>
      <c r="N2849" s="4">
        <v>245.46</v>
      </c>
      <c r="O2849" s="4">
        <v>153.69</v>
      </c>
      <c r="P2849" s="4">
        <v>6.99</v>
      </c>
      <c r="Q2849" s="4">
        <v>3.1</v>
      </c>
      <c r="R2849" s="4">
        <v>4.3899999999999997</v>
      </c>
      <c r="S2849" s="4">
        <v>0</v>
      </c>
      <c r="T2849" s="4">
        <v>0</v>
      </c>
      <c r="U2849" s="4">
        <v>168.17</v>
      </c>
      <c r="V2849" s="4">
        <v>77.290000000000006</v>
      </c>
      <c r="W2849" t="s">
        <v>21</v>
      </c>
      <c r="X2849" t="s">
        <v>36</v>
      </c>
      <c r="Y2849" s="4">
        <v>30</v>
      </c>
      <c r="Z2849" s="4">
        <v>0</v>
      </c>
      <c r="AA2849" t="s">
        <v>52</v>
      </c>
      <c r="AB2849" t="s">
        <v>44</v>
      </c>
      <c r="AC2849" s="7">
        <v>1</v>
      </c>
      <c r="AD2849" t="s">
        <v>45</v>
      </c>
      <c r="AE2849">
        <f t="shared" si="44"/>
        <v>1</v>
      </c>
    </row>
    <row r="2850" spans="1:31" x14ac:dyDescent="0.35">
      <c r="A2850">
        <v>102849</v>
      </c>
      <c r="B2850" s="3">
        <v>45970</v>
      </c>
      <c r="C2850">
        <v>1057</v>
      </c>
      <c r="D2850" t="s">
        <v>47</v>
      </c>
      <c r="E2850" t="s">
        <v>56</v>
      </c>
      <c r="F2850" t="s">
        <v>71</v>
      </c>
      <c r="G2850" t="s">
        <v>63</v>
      </c>
      <c r="H2850" t="s">
        <v>34</v>
      </c>
      <c r="I2850" t="s">
        <v>42</v>
      </c>
      <c r="J2850" s="4">
        <v>18.329999999999998</v>
      </c>
      <c r="K2850" s="4">
        <v>12.69</v>
      </c>
      <c r="L2850">
        <v>0</v>
      </c>
      <c r="M2850" s="4">
        <v>0</v>
      </c>
      <c r="N2850" s="4">
        <v>232.61</v>
      </c>
      <c r="O2850" s="4">
        <v>137.27000000000001</v>
      </c>
      <c r="P2850" s="4">
        <v>8.4499999999999993</v>
      </c>
      <c r="Q2850" s="4">
        <v>3.49</v>
      </c>
      <c r="R2850" s="4">
        <v>2.33</v>
      </c>
      <c r="S2850" s="4">
        <v>0</v>
      </c>
      <c r="T2850" s="4">
        <v>0</v>
      </c>
      <c r="U2850" s="4">
        <v>151.54</v>
      </c>
      <c r="V2850" s="4">
        <v>81.069999999999993</v>
      </c>
      <c r="W2850" t="s">
        <v>21</v>
      </c>
      <c r="X2850" t="s">
        <v>36</v>
      </c>
      <c r="Y2850" s="4">
        <v>15</v>
      </c>
      <c r="Z2850" s="4">
        <v>10</v>
      </c>
      <c r="AA2850" t="s">
        <v>37</v>
      </c>
      <c r="AB2850" t="s">
        <v>38</v>
      </c>
      <c r="AC2850" s="7">
        <v>0</v>
      </c>
      <c r="AD2850" t="s">
        <v>39</v>
      </c>
      <c r="AE2850">
        <f t="shared" si="44"/>
        <v>0</v>
      </c>
    </row>
    <row r="2851" spans="1:31" x14ac:dyDescent="0.35">
      <c r="A2851">
        <v>102850</v>
      </c>
      <c r="B2851" s="3">
        <v>46005</v>
      </c>
      <c r="C2851">
        <v>1102</v>
      </c>
      <c r="D2851" t="s">
        <v>30</v>
      </c>
      <c r="E2851" t="s">
        <v>31</v>
      </c>
      <c r="F2851" t="s">
        <v>61</v>
      </c>
      <c r="G2851" t="s">
        <v>63</v>
      </c>
      <c r="H2851" t="s">
        <v>57</v>
      </c>
      <c r="I2851" t="s">
        <v>35</v>
      </c>
      <c r="J2851" s="4">
        <v>22.39</v>
      </c>
      <c r="K2851" s="4">
        <v>14.27</v>
      </c>
      <c r="L2851">
        <v>10</v>
      </c>
      <c r="M2851" s="4">
        <v>31.95</v>
      </c>
      <c r="N2851" s="4">
        <v>287.56</v>
      </c>
      <c r="O2851" s="4">
        <v>159.41</v>
      </c>
      <c r="P2851" s="4">
        <v>6.09</v>
      </c>
      <c r="Q2851" s="4">
        <v>2.2400000000000002</v>
      </c>
      <c r="R2851" s="4">
        <v>2.02</v>
      </c>
      <c r="S2851" s="4">
        <v>0</v>
      </c>
      <c r="T2851" s="4">
        <v>0</v>
      </c>
      <c r="U2851" s="4">
        <v>169.76</v>
      </c>
      <c r="V2851" s="4">
        <v>117.8</v>
      </c>
      <c r="W2851" t="s">
        <v>21</v>
      </c>
      <c r="X2851" t="s">
        <v>36</v>
      </c>
      <c r="Y2851" s="4">
        <v>1</v>
      </c>
      <c r="Z2851" s="4">
        <v>7</v>
      </c>
      <c r="AA2851" t="s">
        <v>37</v>
      </c>
      <c r="AB2851" t="s">
        <v>38</v>
      </c>
      <c r="AC2851" s="7">
        <v>0</v>
      </c>
      <c r="AD2851" t="s">
        <v>39</v>
      </c>
      <c r="AE2851">
        <f t="shared" si="44"/>
        <v>0</v>
      </c>
    </row>
    <row r="2852" spans="1:31" x14ac:dyDescent="0.35">
      <c r="A2852">
        <v>102851</v>
      </c>
      <c r="B2852" s="3">
        <v>46000</v>
      </c>
      <c r="C2852">
        <v>1106</v>
      </c>
      <c r="D2852" t="s">
        <v>59</v>
      </c>
      <c r="E2852" t="s">
        <v>68</v>
      </c>
      <c r="F2852" t="s">
        <v>61</v>
      </c>
      <c r="G2852" t="s">
        <v>46</v>
      </c>
      <c r="H2852" t="s">
        <v>34</v>
      </c>
      <c r="I2852" t="s">
        <v>35</v>
      </c>
      <c r="J2852" s="4">
        <v>27.28</v>
      </c>
      <c r="K2852" s="4">
        <v>15.3</v>
      </c>
      <c r="L2852">
        <v>0</v>
      </c>
      <c r="M2852" s="4">
        <v>0</v>
      </c>
      <c r="N2852" s="4">
        <v>417.38</v>
      </c>
      <c r="O2852" s="4">
        <v>217.89</v>
      </c>
      <c r="P2852" s="4">
        <v>11.55</v>
      </c>
      <c r="Q2852" s="4">
        <v>2.92</v>
      </c>
      <c r="R2852" s="4">
        <v>8.2100000000000009</v>
      </c>
      <c r="S2852" s="4">
        <v>0</v>
      </c>
      <c r="T2852" s="4">
        <v>0</v>
      </c>
      <c r="U2852" s="4">
        <v>240.57</v>
      </c>
      <c r="V2852" s="4">
        <v>176.81</v>
      </c>
      <c r="W2852" t="s">
        <v>21</v>
      </c>
      <c r="X2852" t="s">
        <v>36</v>
      </c>
      <c r="Y2852" s="4">
        <v>5</v>
      </c>
      <c r="Z2852" s="4">
        <v>0</v>
      </c>
      <c r="AA2852" t="s">
        <v>37</v>
      </c>
      <c r="AB2852" t="s">
        <v>38</v>
      </c>
      <c r="AC2852" s="7">
        <v>0</v>
      </c>
      <c r="AD2852" t="s">
        <v>39</v>
      </c>
      <c r="AE2852">
        <f t="shared" si="44"/>
        <v>0</v>
      </c>
    </row>
    <row r="2853" spans="1:31" x14ac:dyDescent="0.35">
      <c r="A2853">
        <v>102852</v>
      </c>
      <c r="B2853" s="3">
        <v>45953</v>
      </c>
      <c r="C2853">
        <v>1051</v>
      </c>
      <c r="D2853" t="s">
        <v>30</v>
      </c>
      <c r="E2853" t="s">
        <v>40</v>
      </c>
      <c r="F2853" t="s">
        <v>49</v>
      </c>
      <c r="G2853" t="s">
        <v>33</v>
      </c>
      <c r="H2853" t="s">
        <v>34</v>
      </c>
      <c r="I2853" t="s">
        <v>35</v>
      </c>
      <c r="J2853" s="4">
        <v>26.54</v>
      </c>
      <c r="K2853" s="4">
        <v>18.82</v>
      </c>
      <c r="L2853">
        <v>5</v>
      </c>
      <c r="M2853" s="4">
        <v>24.97</v>
      </c>
      <c r="N2853" s="4">
        <v>474.51</v>
      </c>
      <c r="O2853" s="4">
        <v>215.83</v>
      </c>
      <c r="P2853" s="4">
        <v>10.15</v>
      </c>
      <c r="Q2853" s="4">
        <v>3.5</v>
      </c>
      <c r="R2853" s="4">
        <v>14.5</v>
      </c>
      <c r="S2853" s="4">
        <v>0</v>
      </c>
      <c r="T2853" s="4">
        <v>0</v>
      </c>
      <c r="U2853" s="4">
        <v>243.98</v>
      </c>
      <c r="V2853" s="4">
        <v>230.53</v>
      </c>
      <c r="W2853" t="s">
        <v>21</v>
      </c>
      <c r="X2853" t="s">
        <v>36</v>
      </c>
      <c r="Y2853" s="4">
        <v>27</v>
      </c>
      <c r="Z2853" s="4">
        <v>2</v>
      </c>
      <c r="AA2853" t="s">
        <v>52</v>
      </c>
      <c r="AB2853" t="s">
        <v>44</v>
      </c>
      <c r="AC2853" s="7">
        <v>1</v>
      </c>
      <c r="AD2853" t="s">
        <v>45</v>
      </c>
      <c r="AE2853">
        <f t="shared" si="44"/>
        <v>1</v>
      </c>
    </row>
    <row r="2854" spans="1:31" x14ac:dyDescent="0.35">
      <c r="A2854">
        <v>102853</v>
      </c>
      <c r="B2854" s="3">
        <v>45958</v>
      </c>
      <c r="C2854">
        <v>1066</v>
      </c>
      <c r="D2854" t="s">
        <v>64</v>
      </c>
      <c r="E2854" t="s">
        <v>67</v>
      </c>
      <c r="F2854" t="s">
        <v>61</v>
      </c>
      <c r="G2854" t="s">
        <v>63</v>
      </c>
      <c r="H2854" t="s">
        <v>34</v>
      </c>
      <c r="I2854" t="s">
        <v>35</v>
      </c>
      <c r="J2854" s="4">
        <v>15.02</v>
      </c>
      <c r="K2854" s="4">
        <v>12</v>
      </c>
      <c r="L2854">
        <v>0</v>
      </c>
      <c r="M2854" s="4">
        <v>0</v>
      </c>
      <c r="N2854" s="4">
        <v>180.24</v>
      </c>
      <c r="O2854" s="4">
        <v>79.91</v>
      </c>
      <c r="P2854" s="4">
        <v>7.44</v>
      </c>
      <c r="Q2854" s="4">
        <v>1.26</v>
      </c>
      <c r="R2854" s="4">
        <v>13.52</v>
      </c>
      <c r="S2854" s="4">
        <v>66.459999999999994</v>
      </c>
      <c r="T2854" s="4">
        <v>0</v>
      </c>
      <c r="U2854" s="4">
        <v>168.59</v>
      </c>
      <c r="V2854" s="4">
        <v>11.65</v>
      </c>
      <c r="W2854" t="s">
        <v>21</v>
      </c>
      <c r="X2854" t="s">
        <v>55</v>
      </c>
      <c r="Y2854" s="4">
        <v>4</v>
      </c>
      <c r="Z2854" s="4">
        <v>0</v>
      </c>
      <c r="AA2854" t="s">
        <v>37</v>
      </c>
      <c r="AB2854" t="s">
        <v>44</v>
      </c>
      <c r="AC2854" s="7">
        <v>1</v>
      </c>
      <c r="AD2854" t="s">
        <v>45</v>
      </c>
      <c r="AE2854">
        <f t="shared" si="44"/>
        <v>1</v>
      </c>
    </row>
    <row r="2855" spans="1:31" x14ac:dyDescent="0.35">
      <c r="A2855">
        <v>102854</v>
      </c>
      <c r="B2855" s="3">
        <v>45964</v>
      </c>
      <c r="C2855">
        <v>1069</v>
      </c>
      <c r="D2855" t="s">
        <v>30</v>
      </c>
      <c r="E2855" t="s">
        <v>72</v>
      </c>
      <c r="F2855" t="s">
        <v>49</v>
      </c>
      <c r="G2855" t="s">
        <v>63</v>
      </c>
      <c r="H2855" t="s">
        <v>34</v>
      </c>
      <c r="I2855" t="s">
        <v>35</v>
      </c>
      <c r="J2855" s="4">
        <v>21.57</v>
      </c>
      <c r="K2855" s="4">
        <v>12.52</v>
      </c>
      <c r="L2855">
        <v>5</v>
      </c>
      <c r="M2855" s="4">
        <v>13.5</v>
      </c>
      <c r="N2855" s="4">
        <v>256.56</v>
      </c>
      <c r="O2855" s="4">
        <v>126.8</v>
      </c>
      <c r="P2855" s="4">
        <v>6.65</v>
      </c>
      <c r="Q2855" s="4">
        <v>1.89</v>
      </c>
      <c r="R2855" s="4">
        <v>7.19</v>
      </c>
      <c r="S2855" s="4">
        <v>0</v>
      </c>
      <c r="T2855" s="4">
        <v>0</v>
      </c>
      <c r="U2855" s="4">
        <v>142.53</v>
      </c>
      <c r="V2855" s="4">
        <v>114.03</v>
      </c>
      <c r="W2855" t="s">
        <v>21</v>
      </c>
      <c r="X2855" t="s">
        <v>36</v>
      </c>
      <c r="Y2855" s="4">
        <v>1</v>
      </c>
      <c r="Z2855" s="4">
        <v>9</v>
      </c>
      <c r="AA2855" t="s">
        <v>37</v>
      </c>
      <c r="AB2855" t="s">
        <v>38</v>
      </c>
      <c r="AC2855" s="7">
        <v>0</v>
      </c>
      <c r="AD2855" t="s">
        <v>39</v>
      </c>
      <c r="AE2855">
        <f t="shared" si="44"/>
        <v>0</v>
      </c>
    </row>
    <row r="2856" spans="1:31" x14ac:dyDescent="0.35">
      <c r="A2856">
        <v>102855</v>
      </c>
      <c r="B2856" s="3">
        <v>45946</v>
      </c>
      <c r="C2856">
        <v>1124</v>
      </c>
      <c r="D2856" t="s">
        <v>64</v>
      </c>
      <c r="E2856" t="s">
        <v>76</v>
      </c>
      <c r="F2856" t="s">
        <v>71</v>
      </c>
      <c r="G2856" t="s">
        <v>46</v>
      </c>
      <c r="H2856" t="s">
        <v>57</v>
      </c>
      <c r="I2856" t="s">
        <v>42</v>
      </c>
      <c r="J2856" s="4">
        <v>28.08</v>
      </c>
      <c r="K2856" s="4">
        <v>16.66</v>
      </c>
      <c r="L2856">
        <v>0</v>
      </c>
      <c r="M2856" s="4">
        <v>0</v>
      </c>
      <c r="N2856" s="4">
        <v>467.81</v>
      </c>
      <c r="O2856" s="4">
        <v>180.91</v>
      </c>
      <c r="P2856" s="4">
        <v>10.220000000000001</v>
      </c>
      <c r="Q2856" s="4">
        <v>7.02</v>
      </c>
      <c r="R2856" s="4">
        <v>6.99</v>
      </c>
      <c r="S2856" s="4">
        <v>0</v>
      </c>
      <c r="T2856" s="4">
        <v>0</v>
      </c>
      <c r="U2856" s="4">
        <v>205.14</v>
      </c>
      <c r="V2856" s="4">
        <v>262.67</v>
      </c>
      <c r="W2856" t="s">
        <v>21</v>
      </c>
      <c r="X2856" t="s">
        <v>36</v>
      </c>
      <c r="Y2856" s="4">
        <v>3</v>
      </c>
      <c r="Z2856" s="4">
        <v>1</v>
      </c>
      <c r="AA2856" t="s">
        <v>37</v>
      </c>
      <c r="AB2856" t="s">
        <v>38</v>
      </c>
      <c r="AC2856" s="7">
        <v>0</v>
      </c>
      <c r="AD2856" t="s">
        <v>39</v>
      </c>
      <c r="AE2856">
        <f t="shared" si="44"/>
        <v>0</v>
      </c>
    </row>
    <row r="2857" spans="1:31" x14ac:dyDescent="0.35">
      <c r="A2857">
        <v>102856</v>
      </c>
      <c r="B2857" s="3">
        <v>45983</v>
      </c>
      <c r="C2857">
        <v>1017</v>
      </c>
      <c r="D2857" t="s">
        <v>47</v>
      </c>
      <c r="E2857" t="s">
        <v>74</v>
      </c>
      <c r="F2857" t="s">
        <v>49</v>
      </c>
      <c r="G2857" t="s">
        <v>50</v>
      </c>
      <c r="H2857" t="s">
        <v>51</v>
      </c>
      <c r="I2857" t="s">
        <v>35</v>
      </c>
      <c r="J2857" s="4">
        <v>26.6</v>
      </c>
      <c r="K2857" s="4">
        <v>17.59</v>
      </c>
      <c r="L2857">
        <v>15</v>
      </c>
      <c r="M2857" s="4">
        <v>70.180000000000007</v>
      </c>
      <c r="N2857" s="4">
        <v>397.71</v>
      </c>
      <c r="O2857" s="4">
        <v>213.66</v>
      </c>
      <c r="P2857" s="4">
        <v>7.18</v>
      </c>
      <c r="Q2857" s="4">
        <v>3.28</v>
      </c>
      <c r="R2857" s="4">
        <v>0</v>
      </c>
      <c r="S2857" s="4">
        <v>0</v>
      </c>
      <c r="T2857" s="4">
        <v>0</v>
      </c>
      <c r="U2857" s="4">
        <v>224.12</v>
      </c>
      <c r="V2857" s="4">
        <v>173.59</v>
      </c>
      <c r="W2857" t="s">
        <v>21</v>
      </c>
      <c r="X2857" t="s">
        <v>36</v>
      </c>
      <c r="Y2857" s="4">
        <v>2</v>
      </c>
      <c r="Z2857" s="4">
        <v>9</v>
      </c>
      <c r="AA2857" t="s">
        <v>37</v>
      </c>
      <c r="AB2857" t="s">
        <v>38</v>
      </c>
      <c r="AC2857" s="7">
        <v>0</v>
      </c>
      <c r="AD2857" t="s">
        <v>39</v>
      </c>
      <c r="AE2857">
        <f t="shared" si="44"/>
        <v>0</v>
      </c>
    </row>
    <row r="2858" spans="1:31" x14ac:dyDescent="0.35">
      <c r="A2858">
        <v>102857</v>
      </c>
      <c r="B2858" s="3">
        <v>45953</v>
      </c>
      <c r="C2858">
        <v>1052</v>
      </c>
      <c r="D2858" t="s">
        <v>47</v>
      </c>
      <c r="E2858" t="s">
        <v>53</v>
      </c>
      <c r="F2858" t="s">
        <v>61</v>
      </c>
      <c r="G2858" t="s">
        <v>50</v>
      </c>
      <c r="H2858" t="s">
        <v>34</v>
      </c>
      <c r="I2858" t="s">
        <v>69</v>
      </c>
      <c r="J2858" s="4">
        <v>20.59</v>
      </c>
      <c r="K2858" s="4">
        <v>16.809999999999999</v>
      </c>
      <c r="L2858">
        <v>5</v>
      </c>
      <c r="M2858" s="4">
        <v>17.309999999999999</v>
      </c>
      <c r="N2858" s="4">
        <v>328.81</v>
      </c>
      <c r="O2858" s="4">
        <v>138.80000000000001</v>
      </c>
      <c r="P2858" s="4">
        <v>6.43</v>
      </c>
      <c r="Q2858" s="4">
        <v>1.38</v>
      </c>
      <c r="R2858" s="4">
        <v>3.8</v>
      </c>
      <c r="S2858" s="4">
        <v>0</v>
      </c>
      <c r="T2858" s="4">
        <v>0</v>
      </c>
      <c r="U2858" s="4">
        <v>150.41</v>
      </c>
      <c r="V2858" s="4">
        <v>178.4</v>
      </c>
      <c r="W2858" t="s">
        <v>21</v>
      </c>
      <c r="X2858" t="s">
        <v>36</v>
      </c>
      <c r="Y2858" s="4">
        <v>44</v>
      </c>
      <c r="Z2858" s="4">
        <v>2</v>
      </c>
      <c r="AA2858" t="s">
        <v>43</v>
      </c>
      <c r="AB2858" t="s">
        <v>44</v>
      </c>
      <c r="AC2858" s="7">
        <v>1</v>
      </c>
      <c r="AD2858" t="s">
        <v>45</v>
      </c>
      <c r="AE2858">
        <f t="shared" si="44"/>
        <v>1</v>
      </c>
    </row>
    <row r="2859" spans="1:31" x14ac:dyDescent="0.35">
      <c r="A2859">
        <v>102858</v>
      </c>
      <c r="B2859" s="3">
        <v>45965</v>
      </c>
      <c r="C2859">
        <v>1085</v>
      </c>
      <c r="D2859" t="s">
        <v>47</v>
      </c>
      <c r="E2859" t="s">
        <v>56</v>
      </c>
      <c r="F2859" t="s">
        <v>71</v>
      </c>
      <c r="G2859" t="s">
        <v>63</v>
      </c>
      <c r="H2859" t="s">
        <v>34</v>
      </c>
      <c r="I2859" t="s">
        <v>69</v>
      </c>
      <c r="J2859" s="4">
        <v>10.37</v>
      </c>
      <c r="K2859" s="4">
        <v>13.2</v>
      </c>
      <c r="L2859">
        <v>0</v>
      </c>
      <c r="M2859" s="4">
        <v>0</v>
      </c>
      <c r="N2859" s="4">
        <v>136.88</v>
      </c>
      <c r="O2859" s="4">
        <v>78.7</v>
      </c>
      <c r="P2859" s="4">
        <v>6.68</v>
      </c>
      <c r="Q2859" s="4">
        <v>0.55000000000000004</v>
      </c>
      <c r="R2859" s="4">
        <v>9.93</v>
      </c>
      <c r="S2859" s="4">
        <v>0</v>
      </c>
      <c r="T2859" s="4">
        <v>0</v>
      </c>
      <c r="U2859" s="4">
        <v>95.86</v>
      </c>
      <c r="V2859" s="4">
        <v>41.02</v>
      </c>
      <c r="W2859" t="s">
        <v>21</v>
      </c>
      <c r="X2859" t="s">
        <v>36</v>
      </c>
      <c r="Y2859" s="4">
        <v>15</v>
      </c>
      <c r="Z2859" s="4">
        <v>0</v>
      </c>
      <c r="AA2859" t="s">
        <v>37</v>
      </c>
      <c r="AB2859" t="s">
        <v>38</v>
      </c>
      <c r="AC2859" s="7">
        <v>0</v>
      </c>
      <c r="AD2859" t="s">
        <v>39</v>
      </c>
      <c r="AE2859">
        <f t="shared" si="44"/>
        <v>0</v>
      </c>
    </row>
    <row r="2860" spans="1:31" x14ac:dyDescent="0.35">
      <c r="A2860">
        <v>102859</v>
      </c>
      <c r="B2860" s="3">
        <v>46022</v>
      </c>
      <c r="C2860">
        <v>1137</v>
      </c>
      <c r="D2860" t="s">
        <v>30</v>
      </c>
      <c r="E2860" t="s">
        <v>31</v>
      </c>
      <c r="F2860" t="s">
        <v>71</v>
      </c>
      <c r="G2860" t="s">
        <v>46</v>
      </c>
      <c r="H2860" t="s">
        <v>51</v>
      </c>
      <c r="I2860" t="s">
        <v>54</v>
      </c>
      <c r="J2860" s="4">
        <v>39.14</v>
      </c>
      <c r="K2860" s="4">
        <v>15.22</v>
      </c>
      <c r="L2860">
        <v>0</v>
      </c>
      <c r="M2860" s="4">
        <v>0</v>
      </c>
      <c r="N2860" s="4">
        <v>595.71</v>
      </c>
      <c r="O2860" s="4">
        <v>290.97000000000003</v>
      </c>
      <c r="P2860" s="4">
        <v>6.72</v>
      </c>
      <c r="Q2860" s="4">
        <v>7.15</v>
      </c>
      <c r="R2860" s="4">
        <v>6.75</v>
      </c>
      <c r="S2860" s="4">
        <v>0</v>
      </c>
      <c r="T2860" s="4">
        <v>0</v>
      </c>
      <c r="U2860" s="4">
        <v>311.58999999999997</v>
      </c>
      <c r="V2860" s="4">
        <v>284.12</v>
      </c>
      <c r="W2860" t="s">
        <v>21</v>
      </c>
      <c r="X2860" t="s">
        <v>36</v>
      </c>
      <c r="Y2860" s="4">
        <v>4</v>
      </c>
      <c r="Z2860" s="4">
        <v>0</v>
      </c>
      <c r="AA2860" t="s">
        <v>37</v>
      </c>
      <c r="AB2860" t="s">
        <v>38</v>
      </c>
      <c r="AC2860" s="7">
        <v>0</v>
      </c>
      <c r="AD2860" t="s">
        <v>39</v>
      </c>
      <c r="AE2860">
        <f t="shared" si="44"/>
        <v>0</v>
      </c>
    </row>
    <row r="2861" spans="1:31" x14ac:dyDescent="0.35">
      <c r="A2861">
        <v>102860</v>
      </c>
      <c r="B2861" s="3">
        <v>45955</v>
      </c>
      <c r="C2861">
        <v>1137</v>
      </c>
      <c r="D2861" t="s">
        <v>30</v>
      </c>
      <c r="E2861" t="s">
        <v>62</v>
      </c>
      <c r="F2861" t="s">
        <v>32</v>
      </c>
      <c r="G2861" t="s">
        <v>33</v>
      </c>
      <c r="H2861" t="s">
        <v>34</v>
      </c>
      <c r="I2861" t="s">
        <v>35</v>
      </c>
      <c r="J2861" s="4">
        <v>17.78</v>
      </c>
      <c r="K2861" s="4">
        <v>19.87</v>
      </c>
      <c r="L2861">
        <v>15</v>
      </c>
      <c r="M2861" s="4">
        <v>52.99</v>
      </c>
      <c r="N2861" s="4">
        <v>300.3</v>
      </c>
      <c r="O2861" s="4">
        <v>132.97</v>
      </c>
      <c r="P2861" s="4">
        <v>8.52</v>
      </c>
      <c r="Q2861" s="4">
        <v>2.4700000000000002</v>
      </c>
      <c r="R2861" s="4">
        <v>13</v>
      </c>
      <c r="S2861" s="4">
        <v>0</v>
      </c>
      <c r="T2861" s="4">
        <v>0</v>
      </c>
      <c r="U2861" s="4">
        <v>156.96</v>
      </c>
      <c r="V2861" s="4">
        <v>143.34</v>
      </c>
      <c r="W2861" t="s">
        <v>21</v>
      </c>
      <c r="X2861" t="s">
        <v>36</v>
      </c>
      <c r="Y2861" s="4">
        <v>4</v>
      </c>
      <c r="Z2861" s="4">
        <v>8</v>
      </c>
      <c r="AA2861" t="s">
        <v>37</v>
      </c>
      <c r="AB2861" t="s">
        <v>38</v>
      </c>
      <c r="AC2861" s="7">
        <v>0</v>
      </c>
      <c r="AD2861" t="s">
        <v>39</v>
      </c>
      <c r="AE2861">
        <f t="shared" si="44"/>
        <v>0</v>
      </c>
    </row>
    <row r="2862" spans="1:31" x14ac:dyDescent="0.35">
      <c r="A2862">
        <v>102861</v>
      </c>
      <c r="B2862" s="3">
        <v>46021</v>
      </c>
      <c r="C2862">
        <v>1080</v>
      </c>
      <c r="D2862" t="s">
        <v>59</v>
      </c>
      <c r="E2862" t="s">
        <v>70</v>
      </c>
      <c r="F2862" t="s">
        <v>71</v>
      </c>
      <c r="G2862" t="s">
        <v>63</v>
      </c>
      <c r="H2862" t="s">
        <v>34</v>
      </c>
      <c r="I2862" t="s">
        <v>35</v>
      </c>
      <c r="J2862" s="4">
        <v>13.3</v>
      </c>
      <c r="K2862" s="4">
        <v>12.51</v>
      </c>
      <c r="L2862">
        <v>10</v>
      </c>
      <c r="M2862" s="4">
        <v>16.64</v>
      </c>
      <c r="N2862" s="4">
        <v>149.74</v>
      </c>
      <c r="O2862" s="4">
        <v>88.53</v>
      </c>
      <c r="P2862" s="4">
        <v>9.6300000000000008</v>
      </c>
      <c r="Q2862" s="4">
        <v>1.1599999999999999</v>
      </c>
      <c r="R2862" s="4">
        <v>4.33</v>
      </c>
      <c r="S2862" s="4">
        <v>0</v>
      </c>
      <c r="T2862" s="4">
        <v>0</v>
      </c>
      <c r="U2862" s="4">
        <v>103.65</v>
      </c>
      <c r="V2862" s="4">
        <v>46.09</v>
      </c>
      <c r="W2862" t="s">
        <v>21</v>
      </c>
      <c r="X2862" t="s">
        <v>36</v>
      </c>
      <c r="Y2862" s="4">
        <v>14</v>
      </c>
      <c r="Z2862" s="4">
        <v>5</v>
      </c>
      <c r="AA2862" t="s">
        <v>37</v>
      </c>
      <c r="AB2862" t="s">
        <v>38</v>
      </c>
      <c r="AC2862" s="7">
        <v>0</v>
      </c>
      <c r="AD2862" t="s">
        <v>39</v>
      </c>
      <c r="AE2862">
        <f t="shared" si="44"/>
        <v>0</v>
      </c>
    </row>
    <row r="2863" spans="1:31" x14ac:dyDescent="0.35">
      <c r="A2863">
        <v>102862</v>
      </c>
      <c r="B2863" s="3">
        <v>45968</v>
      </c>
      <c r="C2863">
        <v>1119</v>
      </c>
      <c r="D2863" t="s">
        <v>47</v>
      </c>
      <c r="E2863" t="s">
        <v>48</v>
      </c>
      <c r="F2863" t="s">
        <v>49</v>
      </c>
      <c r="G2863" t="s">
        <v>63</v>
      </c>
      <c r="H2863" t="s">
        <v>51</v>
      </c>
      <c r="I2863" t="s">
        <v>69</v>
      </c>
      <c r="J2863" s="4">
        <v>16.579999999999998</v>
      </c>
      <c r="K2863" s="4">
        <v>12.04</v>
      </c>
      <c r="L2863">
        <v>10</v>
      </c>
      <c r="M2863" s="4">
        <v>19.96</v>
      </c>
      <c r="N2863" s="4">
        <v>179.66</v>
      </c>
      <c r="O2863" s="4">
        <v>127.35</v>
      </c>
      <c r="P2863" s="4">
        <v>7.78</v>
      </c>
      <c r="Q2863" s="4">
        <v>0.8</v>
      </c>
      <c r="R2863" s="4">
        <v>2.2599999999999998</v>
      </c>
      <c r="S2863" s="4">
        <v>0</v>
      </c>
      <c r="T2863" s="4">
        <v>0</v>
      </c>
      <c r="U2863" s="4">
        <v>138.19</v>
      </c>
      <c r="V2863" s="4">
        <v>41.47</v>
      </c>
      <c r="W2863" t="s">
        <v>21</v>
      </c>
      <c r="X2863" t="s">
        <v>36</v>
      </c>
      <c r="Y2863" s="4">
        <v>2</v>
      </c>
      <c r="Z2863" s="4">
        <v>1</v>
      </c>
      <c r="AA2863" t="s">
        <v>37</v>
      </c>
      <c r="AB2863" t="s">
        <v>38</v>
      </c>
      <c r="AC2863" s="7">
        <v>0</v>
      </c>
      <c r="AD2863" t="s">
        <v>39</v>
      </c>
      <c r="AE2863">
        <f t="shared" si="44"/>
        <v>0</v>
      </c>
    </row>
    <row r="2864" spans="1:31" x14ac:dyDescent="0.35">
      <c r="A2864">
        <v>102863</v>
      </c>
      <c r="B2864" s="3">
        <v>45938</v>
      </c>
      <c r="C2864">
        <v>1127</v>
      </c>
      <c r="D2864" t="s">
        <v>64</v>
      </c>
      <c r="E2864" t="s">
        <v>76</v>
      </c>
      <c r="F2864" t="s">
        <v>61</v>
      </c>
      <c r="G2864" t="s">
        <v>46</v>
      </c>
      <c r="H2864" t="s">
        <v>57</v>
      </c>
      <c r="I2864" t="s">
        <v>35</v>
      </c>
      <c r="J2864" s="4">
        <v>40</v>
      </c>
      <c r="K2864" s="4">
        <v>15.53</v>
      </c>
      <c r="L2864">
        <v>15</v>
      </c>
      <c r="M2864" s="4">
        <v>93.18</v>
      </c>
      <c r="N2864" s="4">
        <v>528.02</v>
      </c>
      <c r="O2864" s="4">
        <v>290.33</v>
      </c>
      <c r="P2864" s="4">
        <v>6.84</v>
      </c>
      <c r="Q2864" s="4">
        <v>4.3499999999999996</v>
      </c>
      <c r="R2864" s="4">
        <v>6.72</v>
      </c>
      <c r="S2864" s="4">
        <v>0</v>
      </c>
      <c r="T2864" s="4">
        <v>0</v>
      </c>
      <c r="U2864" s="4">
        <v>308.24</v>
      </c>
      <c r="V2864" s="4">
        <v>219.78</v>
      </c>
      <c r="W2864" t="s">
        <v>21</v>
      </c>
      <c r="X2864" t="s">
        <v>36</v>
      </c>
      <c r="Y2864" s="4">
        <v>24</v>
      </c>
      <c r="Z2864" s="4">
        <v>5</v>
      </c>
      <c r="AA2864" t="s">
        <v>52</v>
      </c>
      <c r="AB2864" t="s">
        <v>44</v>
      </c>
      <c r="AC2864" s="7">
        <v>2</v>
      </c>
      <c r="AD2864" t="s">
        <v>45</v>
      </c>
      <c r="AE2864">
        <f t="shared" si="44"/>
        <v>1</v>
      </c>
    </row>
    <row r="2865" spans="1:31" x14ac:dyDescent="0.35">
      <c r="A2865">
        <v>102864</v>
      </c>
      <c r="B2865" s="3">
        <v>45980</v>
      </c>
      <c r="C2865">
        <v>1033</v>
      </c>
      <c r="D2865" t="s">
        <v>64</v>
      </c>
      <c r="E2865" t="s">
        <v>75</v>
      </c>
      <c r="F2865" t="s">
        <v>71</v>
      </c>
      <c r="G2865" t="s">
        <v>63</v>
      </c>
      <c r="H2865" t="s">
        <v>34</v>
      </c>
      <c r="I2865" t="s">
        <v>35</v>
      </c>
      <c r="J2865" s="4">
        <v>6.12</v>
      </c>
      <c r="K2865" s="4">
        <v>12.91</v>
      </c>
      <c r="L2865">
        <v>5</v>
      </c>
      <c r="M2865" s="4">
        <v>3.95</v>
      </c>
      <c r="N2865" s="4">
        <v>75.06</v>
      </c>
      <c r="O2865" s="4">
        <v>39.75</v>
      </c>
      <c r="P2865" s="4">
        <v>12.13</v>
      </c>
      <c r="Q2865" s="4">
        <v>0.55000000000000004</v>
      </c>
      <c r="R2865" s="4">
        <v>6.72</v>
      </c>
      <c r="S2865" s="4">
        <v>0</v>
      </c>
      <c r="T2865" s="4">
        <v>0</v>
      </c>
      <c r="U2865" s="4">
        <v>59.15</v>
      </c>
      <c r="V2865" s="4">
        <v>15.91</v>
      </c>
      <c r="W2865" t="s">
        <v>21</v>
      </c>
      <c r="X2865" t="s">
        <v>36</v>
      </c>
      <c r="Y2865" s="4">
        <v>3</v>
      </c>
      <c r="Z2865" s="4">
        <v>11</v>
      </c>
      <c r="AA2865" t="s">
        <v>37</v>
      </c>
      <c r="AB2865" t="s">
        <v>38</v>
      </c>
      <c r="AC2865" s="7">
        <v>0</v>
      </c>
      <c r="AD2865" t="s">
        <v>39</v>
      </c>
      <c r="AE2865">
        <f t="shared" si="44"/>
        <v>0</v>
      </c>
    </row>
    <row r="2866" spans="1:31" x14ac:dyDescent="0.35">
      <c r="A2866">
        <v>102865</v>
      </c>
      <c r="B2866" s="3">
        <v>46016</v>
      </c>
      <c r="C2866">
        <v>1105</v>
      </c>
      <c r="D2866" t="s">
        <v>47</v>
      </c>
      <c r="E2866" t="s">
        <v>74</v>
      </c>
      <c r="F2866" t="s">
        <v>41</v>
      </c>
      <c r="G2866" t="s">
        <v>63</v>
      </c>
      <c r="H2866" t="s">
        <v>34</v>
      </c>
      <c r="I2866" t="s">
        <v>35</v>
      </c>
      <c r="J2866" s="4">
        <v>18.13</v>
      </c>
      <c r="K2866" s="4">
        <v>12.95</v>
      </c>
      <c r="L2866">
        <v>5</v>
      </c>
      <c r="M2866" s="4">
        <v>11.74</v>
      </c>
      <c r="N2866" s="4">
        <v>223.04</v>
      </c>
      <c r="O2866" s="4">
        <v>121.35</v>
      </c>
      <c r="P2866" s="4">
        <v>7.01</v>
      </c>
      <c r="Q2866" s="4">
        <v>1.64</v>
      </c>
      <c r="R2866" s="4">
        <v>9.06</v>
      </c>
      <c r="S2866" s="4">
        <v>0</v>
      </c>
      <c r="T2866" s="4">
        <v>0</v>
      </c>
      <c r="U2866" s="4">
        <v>139.06</v>
      </c>
      <c r="V2866" s="4">
        <v>83.98</v>
      </c>
      <c r="W2866" t="s">
        <v>21</v>
      </c>
      <c r="X2866" t="s">
        <v>36</v>
      </c>
      <c r="Y2866" s="4">
        <v>6</v>
      </c>
      <c r="Z2866" s="4">
        <v>6</v>
      </c>
      <c r="AA2866" t="s">
        <v>37</v>
      </c>
      <c r="AB2866" t="s">
        <v>38</v>
      </c>
      <c r="AC2866" s="7">
        <v>0</v>
      </c>
      <c r="AD2866" t="s">
        <v>39</v>
      </c>
      <c r="AE2866">
        <f t="shared" si="44"/>
        <v>0</v>
      </c>
    </row>
    <row r="2867" spans="1:31" x14ac:dyDescent="0.35">
      <c r="A2867">
        <v>102866</v>
      </c>
      <c r="B2867" s="3">
        <v>45977</v>
      </c>
      <c r="C2867">
        <v>1021</v>
      </c>
      <c r="D2867" t="s">
        <v>59</v>
      </c>
      <c r="E2867" t="s">
        <v>73</v>
      </c>
      <c r="F2867" t="s">
        <v>49</v>
      </c>
      <c r="G2867" t="s">
        <v>63</v>
      </c>
      <c r="H2867" t="s">
        <v>57</v>
      </c>
      <c r="I2867" t="s">
        <v>35</v>
      </c>
      <c r="J2867" s="4">
        <v>15.32</v>
      </c>
      <c r="K2867" s="4">
        <v>11.99</v>
      </c>
      <c r="L2867">
        <v>0</v>
      </c>
      <c r="M2867" s="4">
        <v>0</v>
      </c>
      <c r="N2867" s="4">
        <v>183.69</v>
      </c>
      <c r="O2867" s="4">
        <v>123.32</v>
      </c>
      <c r="P2867" s="4">
        <v>10.83</v>
      </c>
      <c r="Q2867" s="4">
        <v>1.29</v>
      </c>
      <c r="R2867" s="4">
        <v>3.65</v>
      </c>
      <c r="S2867" s="4">
        <v>0</v>
      </c>
      <c r="T2867" s="4">
        <v>0</v>
      </c>
      <c r="U2867" s="4">
        <v>139.09</v>
      </c>
      <c r="V2867" s="4">
        <v>44.6</v>
      </c>
      <c r="W2867" t="s">
        <v>21</v>
      </c>
      <c r="X2867" t="s">
        <v>36</v>
      </c>
      <c r="Y2867" s="4">
        <v>15</v>
      </c>
      <c r="Z2867" s="4">
        <v>5</v>
      </c>
      <c r="AA2867" t="s">
        <v>37</v>
      </c>
      <c r="AB2867" t="s">
        <v>38</v>
      </c>
      <c r="AC2867" s="7">
        <v>0</v>
      </c>
      <c r="AD2867" t="s">
        <v>39</v>
      </c>
      <c r="AE2867">
        <f t="shared" si="44"/>
        <v>0</v>
      </c>
    </row>
    <row r="2868" spans="1:31" x14ac:dyDescent="0.35">
      <c r="A2868">
        <v>102867</v>
      </c>
      <c r="B2868" s="3">
        <v>45945</v>
      </c>
      <c r="C2868">
        <v>1142</v>
      </c>
      <c r="D2868" t="s">
        <v>59</v>
      </c>
      <c r="E2868" t="s">
        <v>68</v>
      </c>
      <c r="F2868" t="s">
        <v>71</v>
      </c>
      <c r="G2868" t="s">
        <v>33</v>
      </c>
      <c r="H2868" t="s">
        <v>34</v>
      </c>
      <c r="I2868" t="s">
        <v>35</v>
      </c>
      <c r="J2868" s="4">
        <v>32.74</v>
      </c>
      <c r="K2868" s="4">
        <v>19.440000000000001</v>
      </c>
      <c r="L2868">
        <v>15</v>
      </c>
      <c r="M2868" s="4">
        <v>95.47</v>
      </c>
      <c r="N2868" s="4">
        <v>541</v>
      </c>
      <c r="O2868" s="4">
        <v>207.54</v>
      </c>
      <c r="P2868" s="4">
        <v>14.72</v>
      </c>
      <c r="Q2868" s="4">
        <v>4.46</v>
      </c>
      <c r="R2868" s="4">
        <v>2.76</v>
      </c>
      <c r="S2868" s="4">
        <v>0</v>
      </c>
      <c r="T2868" s="4">
        <v>0</v>
      </c>
      <c r="U2868" s="4">
        <v>229.48</v>
      </c>
      <c r="V2868" s="4">
        <v>311.52</v>
      </c>
      <c r="W2868" t="s">
        <v>21</v>
      </c>
      <c r="X2868" t="s">
        <v>36</v>
      </c>
      <c r="Y2868" s="4">
        <v>2</v>
      </c>
      <c r="Z2868" s="4">
        <v>0</v>
      </c>
      <c r="AA2868" t="s">
        <v>37</v>
      </c>
      <c r="AB2868" t="s">
        <v>38</v>
      </c>
      <c r="AC2868" s="7">
        <v>0</v>
      </c>
      <c r="AD2868" t="s">
        <v>39</v>
      </c>
      <c r="AE2868">
        <f t="shared" si="44"/>
        <v>0</v>
      </c>
    </row>
    <row r="2869" spans="1:31" x14ac:dyDescent="0.35">
      <c r="A2869">
        <v>102868</v>
      </c>
      <c r="B2869" s="3">
        <v>46013</v>
      </c>
      <c r="C2869">
        <v>1108</v>
      </c>
      <c r="D2869" t="s">
        <v>30</v>
      </c>
      <c r="E2869" t="s">
        <v>72</v>
      </c>
      <c r="F2869" t="s">
        <v>41</v>
      </c>
      <c r="G2869" t="s">
        <v>46</v>
      </c>
      <c r="H2869" t="s">
        <v>34</v>
      </c>
      <c r="I2869" t="s">
        <v>35</v>
      </c>
      <c r="J2869" s="4">
        <v>31.06</v>
      </c>
      <c r="K2869" s="4">
        <v>14.95</v>
      </c>
      <c r="L2869">
        <v>5</v>
      </c>
      <c r="M2869" s="4">
        <v>23.22</v>
      </c>
      <c r="N2869" s="4">
        <v>441.13</v>
      </c>
      <c r="O2869" s="4">
        <v>216.43</v>
      </c>
      <c r="P2869" s="4">
        <v>7.63</v>
      </c>
      <c r="Q2869" s="4">
        <v>3.25</v>
      </c>
      <c r="R2869" s="4">
        <v>5.33</v>
      </c>
      <c r="S2869" s="4">
        <v>411.74</v>
      </c>
      <c r="T2869" s="4">
        <v>0</v>
      </c>
      <c r="U2869" s="4">
        <v>644.38</v>
      </c>
      <c r="V2869" s="4">
        <v>-203.25</v>
      </c>
      <c r="W2869" t="s">
        <v>58</v>
      </c>
      <c r="X2869" t="s">
        <v>55</v>
      </c>
      <c r="Y2869" s="4">
        <v>3</v>
      </c>
      <c r="Z2869" s="4">
        <v>2</v>
      </c>
      <c r="AA2869" t="s">
        <v>37</v>
      </c>
      <c r="AB2869" t="s">
        <v>44</v>
      </c>
      <c r="AC2869" s="7">
        <v>1</v>
      </c>
      <c r="AD2869" t="s">
        <v>45</v>
      </c>
      <c r="AE2869">
        <f t="shared" si="44"/>
        <v>1</v>
      </c>
    </row>
    <row r="2870" spans="1:31" x14ac:dyDescent="0.35">
      <c r="A2870">
        <v>102869</v>
      </c>
      <c r="B2870" s="3">
        <v>45951</v>
      </c>
      <c r="C2870">
        <v>1073</v>
      </c>
      <c r="D2870" t="s">
        <v>47</v>
      </c>
      <c r="E2870" t="s">
        <v>56</v>
      </c>
      <c r="F2870" t="s">
        <v>61</v>
      </c>
      <c r="G2870" t="s">
        <v>33</v>
      </c>
      <c r="H2870" t="s">
        <v>34</v>
      </c>
      <c r="I2870" t="s">
        <v>54</v>
      </c>
      <c r="J2870" s="4">
        <v>26.08</v>
      </c>
      <c r="K2870" s="4">
        <v>21.49</v>
      </c>
      <c r="L2870">
        <v>5</v>
      </c>
      <c r="M2870" s="4">
        <v>28.02</v>
      </c>
      <c r="N2870" s="4">
        <v>532.44000000000005</v>
      </c>
      <c r="O2870" s="4">
        <v>191.8</v>
      </c>
      <c r="P2870" s="4">
        <v>9.25</v>
      </c>
      <c r="Q2870" s="4">
        <v>6.73</v>
      </c>
      <c r="R2870" s="4">
        <v>7.57</v>
      </c>
      <c r="S2870" s="4">
        <v>0</v>
      </c>
      <c r="T2870" s="4">
        <v>0</v>
      </c>
      <c r="U2870" s="4">
        <v>215.35</v>
      </c>
      <c r="V2870" s="4">
        <v>317.08999999999997</v>
      </c>
      <c r="W2870" t="s">
        <v>21</v>
      </c>
      <c r="X2870" t="s">
        <v>36</v>
      </c>
      <c r="Y2870" s="4">
        <v>9</v>
      </c>
      <c r="Z2870" s="4">
        <v>3</v>
      </c>
      <c r="AA2870" t="s">
        <v>37</v>
      </c>
      <c r="AB2870" t="s">
        <v>38</v>
      </c>
      <c r="AC2870" s="7">
        <v>0</v>
      </c>
      <c r="AD2870" t="s">
        <v>39</v>
      </c>
      <c r="AE2870">
        <f t="shared" si="44"/>
        <v>0</v>
      </c>
    </row>
    <row r="2871" spans="1:31" x14ac:dyDescent="0.35">
      <c r="A2871">
        <v>102870</v>
      </c>
      <c r="B2871" s="3">
        <v>45999</v>
      </c>
      <c r="C2871">
        <v>1062</v>
      </c>
      <c r="D2871" t="s">
        <v>47</v>
      </c>
      <c r="E2871" t="s">
        <v>56</v>
      </c>
      <c r="F2871" t="s">
        <v>49</v>
      </c>
      <c r="G2871" t="s">
        <v>63</v>
      </c>
      <c r="H2871" t="s">
        <v>34</v>
      </c>
      <c r="I2871" t="s">
        <v>35</v>
      </c>
      <c r="J2871" s="4">
        <v>18.52</v>
      </c>
      <c r="K2871" s="4">
        <v>12.92</v>
      </c>
      <c r="L2871">
        <v>0</v>
      </c>
      <c r="M2871" s="4">
        <v>0</v>
      </c>
      <c r="N2871" s="4">
        <v>239.28</v>
      </c>
      <c r="O2871" s="4">
        <v>125.21</v>
      </c>
      <c r="P2871" s="4">
        <v>10.8</v>
      </c>
      <c r="Q2871" s="4">
        <v>1.67</v>
      </c>
      <c r="R2871" s="4">
        <v>0</v>
      </c>
      <c r="S2871" s="4">
        <v>0</v>
      </c>
      <c r="T2871" s="4">
        <v>0</v>
      </c>
      <c r="U2871" s="4">
        <v>137.68</v>
      </c>
      <c r="V2871" s="4">
        <v>101.6</v>
      </c>
      <c r="W2871" t="s">
        <v>21</v>
      </c>
      <c r="X2871" t="s">
        <v>36</v>
      </c>
      <c r="Y2871" s="4">
        <v>9</v>
      </c>
      <c r="Z2871" s="4">
        <v>1</v>
      </c>
      <c r="AA2871" t="s">
        <v>37</v>
      </c>
      <c r="AB2871" t="s">
        <v>38</v>
      </c>
      <c r="AC2871" s="7">
        <v>0</v>
      </c>
      <c r="AD2871" t="s">
        <v>39</v>
      </c>
      <c r="AE2871">
        <f t="shared" si="44"/>
        <v>0</v>
      </c>
    </row>
    <row r="2872" spans="1:31" x14ac:dyDescent="0.35">
      <c r="A2872">
        <v>102871</v>
      </c>
      <c r="B2872" s="3">
        <v>46015</v>
      </c>
      <c r="C2872">
        <v>1145</v>
      </c>
      <c r="D2872" t="s">
        <v>59</v>
      </c>
      <c r="E2872" t="s">
        <v>68</v>
      </c>
      <c r="F2872" t="s">
        <v>71</v>
      </c>
      <c r="G2872" t="s">
        <v>33</v>
      </c>
      <c r="H2872" t="s">
        <v>57</v>
      </c>
      <c r="I2872" t="s">
        <v>69</v>
      </c>
      <c r="J2872" s="4">
        <v>24.98</v>
      </c>
      <c r="K2872" s="4">
        <v>18.82</v>
      </c>
      <c r="L2872">
        <v>5</v>
      </c>
      <c r="M2872" s="4">
        <v>23.51</v>
      </c>
      <c r="N2872" s="4">
        <v>446.61</v>
      </c>
      <c r="O2872" s="4">
        <v>200.88</v>
      </c>
      <c r="P2872" s="4">
        <v>7.22</v>
      </c>
      <c r="Q2872" s="4">
        <v>1.88</v>
      </c>
      <c r="R2872" s="4">
        <v>8.39</v>
      </c>
      <c r="S2872" s="4">
        <v>0</v>
      </c>
      <c r="T2872" s="4">
        <v>0</v>
      </c>
      <c r="U2872" s="4">
        <v>218.37</v>
      </c>
      <c r="V2872" s="4">
        <v>228.24</v>
      </c>
      <c r="W2872" t="s">
        <v>21</v>
      </c>
      <c r="X2872" t="s">
        <v>36</v>
      </c>
      <c r="Y2872" s="4">
        <v>7</v>
      </c>
      <c r="Z2872" s="4">
        <v>3</v>
      </c>
      <c r="AA2872" t="s">
        <v>37</v>
      </c>
      <c r="AB2872" t="s">
        <v>38</v>
      </c>
      <c r="AC2872" s="7">
        <v>0</v>
      </c>
      <c r="AD2872" t="s">
        <v>39</v>
      </c>
      <c r="AE2872">
        <f t="shared" si="44"/>
        <v>0</v>
      </c>
    </row>
    <row r="2873" spans="1:31" x14ac:dyDescent="0.35">
      <c r="A2873">
        <v>102872</v>
      </c>
      <c r="B2873" s="3">
        <v>45940</v>
      </c>
      <c r="C2873">
        <v>1023</v>
      </c>
      <c r="D2873" t="s">
        <v>47</v>
      </c>
      <c r="E2873" t="s">
        <v>56</v>
      </c>
      <c r="F2873" t="s">
        <v>61</v>
      </c>
      <c r="G2873" t="s">
        <v>33</v>
      </c>
      <c r="H2873" t="s">
        <v>34</v>
      </c>
      <c r="I2873" t="s">
        <v>69</v>
      </c>
      <c r="J2873" s="4">
        <v>15.93</v>
      </c>
      <c r="K2873" s="4">
        <v>19.64</v>
      </c>
      <c r="L2873">
        <v>0</v>
      </c>
      <c r="M2873" s="4">
        <v>0</v>
      </c>
      <c r="N2873" s="4">
        <v>312.87</v>
      </c>
      <c r="O2873" s="4">
        <v>118.6</v>
      </c>
      <c r="P2873" s="4">
        <v>4.3600000000000003</v>
      </c>
      <c r="Q2873" s="4">
        <v>1.25</v>
      </c>
      <c r="R2873" s="4">
        <v>2.85</v>
      </c>
      <c r="S2873" s="4">
        <v>296.51</v>
      </c>
      <c r="T2873" s="4">
        <v>0</v>
      </c>
      <c r="U2873" s="4">
        <v>423.57</v>
      </c>
      <c r="V2873" s="4">
        <v>-110.7</v>
      </c>
      <c r="W2873" t="s">
        <v>58</v>
      </c>
      <c r="X2873" t="s">
        <v>55</v>
      </c>
      <c r="Y2873" s="4">
        <v>6</v>
      </c>
      <c r="Z2873" s="4">
        <v>0</v>
      </c>
      <c r="AA2873" t="s">
        <v>37</v>
      </c>
      <c r="AB2873" t="s">
        <v>44</v>
      </c>
      <c r="AC2873" s="7">
        <v>1</v>
      </c>
      <c r="AD2873" t="s">
        <v>45</v>
      </c>
      <c r="AE2873">
        <f t="shared" si="44"/>
        <v>1</v>
      </c>
    </row>
    <row r="2874" spans="1:31" x14ac:dyDescent="0.35">
      <c r="A2874">
        <v>102873</v>
      </c>
      <c r="B2874" s="3">
        <v>45950</v>
      </c>
      <c r="C2874">
        <v>1121</v>
      </c>
      <c r="D2874" t="s">
        <v>47</v>
      </c>
      <c r="E2874" t="s">
        <v>53</v>
      </c>
      <c r="F2874" t="s">
        <v>41</v>
      </c>
      <c r="G2874" t="s">
        <v>63</v>
      </c>
      <c r="H2874" t="s">
        <v>51</v>
      </c>
      <c r="I2874" t="s">
        <v>42</v>
      </c>
      <c r="J2874" s="4">
        <v>3</v>
      </c>
      <c r="K2874" s="4">
        <v>13.65</v>
      </c>
      <c r="L2874">
        <v>5</v>
      </c>
      <c r="M2874" s="4">
        <v>2.0499999999999998</v>
      </c>
      <c r="N2874" s="4">
        <v>38.9</v>
      </c>
      <c r="O2874" s="4">
        <v>21.34</v>
      </c>
      <c r="P2874" s="4">
        <v>8.66</v>
      </c>
      <c r="Q2874" s="4">
        <v>0.61</v>
      </c>
      <c r="R2874" s="4">
        <v>8.59</v>
      </c>
      <c r="S2874" s="4">
        <v>0</v>
      </c>
      <c r="T2874" s="4">
        <v>0</v>
      </c>
      <c r="U2874" s="4">
        <v>39.200000000000003</v>
      </c>
      <c r="V2874" s="4">
        <v>-0.3</v>
      </c>
      <c r="W2874" t="s">
        <v>58</v>
      </c>
      <c r="X2874" t="s">
        <v>36</v>
      </c>
      <c r="Y2874" s="4">
        <v>12</v>
      </c>
      <c r="Z2874" s="4">
        <v>4</v>
      </c>
      <c r="AA2874" t="s">
        <v>37</v>
      </c>
      <c r="AB2874" t="s">
        <v>38</v>
      </c>
      <c r="AC2874" s="7">
        <v>0</v>
      </c>
      <c r="AD2874" t="s">
        <v>39</v>
      </c>
      <c r="AE2874">
        <f t="shared" si="44"/>
        <v>0</v>
      </c>
    </row>
    <row r="2875" spans="1:31" x14ac:dyDescent="0.35">
      <c r="A2875">
        <v>102874</v>
      </c>
      <c r="B2875" s="3">
        <v>45952</v>
      </c>
      <c r="C2875">
        <v>1070</v>
      </c>
      <c r="D2875" t="s">
        <v>59</v>
      </c>
      <c r="E2875" t="s">
        <v>70</v>
      </c>
      <c r="F2875" t="s">
        <v>32</v>
      </c>
      <c r="G2875" t="s">
        <v>63</v>
      </c>
      <c r="H2875" t="s">
        <v>34</v>
      </c>
      <c r="I2875" t="s">
        <v>42</v>
      </c>
      <c r="J2875" s="4">
        <v>16.670000000000002</v>
      </c>
      <c r="K2875" s="4">
        <v>12.34</v>
      </c>
      <c r="L2875">
        <v>10</v>
      </c>
      <c r="M2875" s="4">
        <v>20.57</v>
      </c>
      <c r="N2875" s="4">
        <v>185.14</v>
      </c>
      <c r="O2875" s="4">
        <v>128.93</v>
      </c>
      <c r="P2875" s="4">
        <v>3.93</v>
      </c>
      <c r="Q2875" s="4">
        <v>3.09</v>
      </c>
      <c r="R2875" s="4">
        <v>0</v>
      </c>
      <c r="S2875" s="4">
        <v>0</v>
      </c>
      <c r="T2875" s="4">
        <v>0</v>
      </c>
      <c r="U2875" s="4">
        <v>135.94999999999999</v>
      </c>
      <c r="V2875" s="4">
        <v>49.19</v>
      </c>
      <c r="W2875" t="s">
        <v>21</v>
      </c>
      <c r="X2875" t="s">
        <v>36</v>
      </c>
      <c r="Y2875" s="4">
        <v>2</v>
      </c>
      <c r="Z2875" s="4">
        <v>4</v>
      </c>
      <c r="AA2875" t="s">
        <v>37</v>
      </c>
      <c r="AB2875" t="s">
        <v>38</v>
      </c>
      <c r="AC2875" s="7">
        <v>0</v>
      </c>
      <c r="AD2875" t="s">
        <v>39</v>
      </c>
      <c r="AE2875">
        <f t="shared" si="44"/>
        <v>0</v>
      </c>
    </row>
    <row r="2876" spans="1:31" x14ac:dyDescent="0.35">
      <c r="A2876">
        <v>102875</v>
      </c>
      <c r="B2876" s="3">
        <v>45941</v>
      </c>
      <c r="C2876">
        <v>1141</v>
      </c>
      <c r="D2876" t="s">
        <v>47</v>
      </c>
      <c r="E2876" t="s">
        <v>48</v>
      </c>
      <c r="F2876" t="s">
        <v>71</v>
      </c>
      <c r="G2876" t="s">
        <v>46</v>
      </c>
      <c r="H2876" t="s">
        <v>34</v>
      </c>
      <c r="I2876" t="s">
        <v>54</v>
      </c>
      <c r="J2876" s="4">
        <v>22.37</v>
      </c>
      <c r="K2876" s="4">
        <v>16.13</v>
      </c>
      <c r="L2876">
        <v>10</v>
      </c>
      <c r="M2876" s="4">
        <v>36.08</v>
      </c>
      <c r="N2876" s="4">
        <v>324.75</v>
      </c>
      <c r="O2876" s="4">
        <v>173.34</v>
      </c>
      <c r="P2876" s="4">
        <v>9.1199999999999992</v>
      </c>
      <c r="Q2876" s="4">
        <v>4.33</v>
      </c>
      <c r="R2876" s="4">
        <v>11.18</v>
      </c>
      <c r="S2876" s="4">
        <v>0</v>
      </c>
      <c r="T2876" s="4">
        <v>0</v>
      </c>
      <c r="U2876" s="4">
        <v>197.97</v>
      </c>
      <c r="V2876" s="4">
        <v>126.78</v>
      </c>
      <c r="W2876" t="s">
        <v>21</v>
      </c>
      <c r="X2876" t="s">
        <v>36</v>
      </c>
      <c r="Y2876" s="4">
        <v>18</v>
      </c>
      <c r="Z2876" s="4">
        <v>17</v>
      </c>
      <c r="AA2876" t="s">
        <v>52</v>
      </c>
      <c r="AB2876" t="s">
        <v>44</v>
      </c>
      <c r="AC2876" s="7">
        <v>3</v>
      </c>
      <c r="AD2876" t="s">
        <v>45</v>
      </c>
      <c r="AE2876">
        <f t="shared" si="44"/>
        <v>1</v>
      </c>
    </row>
    <row r="2877" spans="1:31" x14ac:dyDescent="0.35">
      <c r="A2877">
        <v>102876</v>
      </c>
      <c r="B2877" s="3">
        <v>45976</v>
      </c>
      <c r="C2877">
        <v>1030</v>
      </c>
      <c r="D2877" t="s">
        <v>30</v>
      </c>
      <c r="E2877" t="s">
        <v>62</v>
      </c>
      <c r="F2877" t="s">
        <v>71</v>
      </c>
      <c r="G2877" t="s">
        <v>63</v>
      </c>
      <c r="H2877" t="s">
        <v>57</v>
      </c>
      <c r="I2877" t="s">
        <v>35</v>
      </c>
      <c r="J2877" s="4">
        <v>5.71</v>
      </c>
      <c r="K2877" s="4">
        <v>13.41</v>
      </c>
      <c r="L2877">
        <v>0</v>
      </c>
      <c r="M2877" s="4">
        <v>0</v>
      </c>
      <c r="N2877" s="4">
        <v>76.569999999999993</v>
      </c>
      <c r="O2877" s="4">
        <v>37.57</v>
      </c>
      <c r="P2877" s="4">
        <v>7.25</v>
      </c>
      <c r="Q2877" s="4">
        <v>0.54</v>
      </c>
      <c r="R2877" s="4">
        <v>9.4</v>
      </c>
      <c r="S2877" s="4">
        <v>0</v>
      </c>
      <c r="T2877" s="4">
        <v>0</v>
      </c>
      <c r="U2877" s="4">
        <v>54.76</v>
      </c>
      <c r="V2877" s="4">
        <v>21.81</v>
      </c>
      <c r="W2877" t="s">
        <v>21</v>
      </c>
      <c r="X2877" t="s">
        <v>36</v>
      </c>
      <c r="Y2877" s="4">
        <v>43</v>
      </c>
      <c r="Z2877" s="4">
        <v>8</v>
      </c>
      <c r="AA2877" t="s">
        <v>43</v>
      </c>
      <c r="AB2877" t="s">
        <v>44</v>
      </c>
      <c r="AC2877" s="7">
        <v>1</v>
      </c>
      <c r="AD2877" t="s">
        <v>45</v>
      </c>
      <c r="AE2877">
        <f t="shared" si="44"/>
        <v>1</v>
      </c>
    </row>
    <row r="2878" spans="1:31" x14ac:dyDescent="0.35">
      <c r="A2878">
        <v>102877</v>
      </c>
      <c r="B2878" s="3">
        <v>45944</v>
      </c>
      <c r="C2878">
        <v>1129</v>
      </c>
      <c r="D2878" t="s">
        <v>64</v>
      </c>
      <c r="E2878" t="s">
        <v>75</v>
      </c>
      <c r="F2878" t="s">
        <v>49</v>
      </c>
      <c r="G2878" t="s">
        <v>63</v>
      </c>
      <c r="H2878" t="s">
        <v>57</v>
      </c>
      <c r="I2878" t="s">
        <v>35</v>
      </c>
      <c r="J2878" s="4">
        <v>26.05</v>
      </c>
      <c r="K2878" s="4">
        <v>13.08</v>
      </c>
      <c r="L2878">
        <v>0</v>
      </c>
      <c r="M2878" s="4">
        <v>0</v>
      </c>
      <c r="N2878" s="4">
        <v>340.73</v>
      </c>
      <c r="O2878" s="4">
        <v>181.8</v>
      </c>
      <c r="P2878" s="4">
        <v>13.26</v>
      </c>
      <c r="Q2878" s="4">
        <v>2.39</v>
      </c>
      <c r="R2878" s="4">
        <v>2.81</v>
      </c>
      <c r="S2878" s="4">
        <v>0</v>
      </c>
      <c r="T2878" s="4">
        <v>0</v>
      </c>
      <c r="U2878" s="4">
        <v>200.26</v>
      </c>
      <c r="V2878" s="4">
        <v>140.47</v>
      </c>
      <c r="W2878" t="s">
        <v>21</v>
      </c>
      <c r="X2878" t="s">
        <v>36</v>
      </c>
      <c r="Y2878" s="4">
        <v>54</v>
      </c>
      <c r="Z2878" s="4">
        <v>9</v>
      </c>
      <c r="AA2878" t="s">
        <v>43</v>
      </c>
      <c r="AB2878" t="s">
        <v>44</v>
      </c>
      <c r="AC2878" s="7">
        <v>1</v>
      </c>
      <c r="AD2878" t="s">
        <v>45</v>
      </c>
      <c r="AE2878">
        <f t="shared" si="44"/>
        <v>1</v>
      </c>
    </row>
    <row r="2879" spans="1:31" x14ac:dyDescent="0.35">
      <c r="A2879">
        <v>102878</v>
      </c>
      <c r="B2879" s="3">
        <v>45979</v>
      </c>
      <c r="C2879">
        <v>1024</v>
      </c>
      <c r="D2879" t="s">
        <v>59</v>
      </c>
      <c r="E2879" t="s">
        <v>68</v>
      </c>
      <c r="F2879" t="s">
        <v>41</v>
      </c>
      <c r="G2879" t="s">
        <v>63</v>
      </c>
      <c r="H2879" t="s">
        <v>34</v>
      </c>
      <c r="I2879" t="s">
        <v>35</v>
      </c>
      <c r="J2879" s="4">
        <v>6.6</v>
      </c>
      <c r="K2879" s="4">
        <v>13.29</v>
      </c>
      <c r="L2879">
        <v>5</v>
      </c>
      <c r="M2879" s="4">
        <v>4.3899999999999997</v>
      </c>
      <c r="N2879" s="4">
        <v>83.32</v>
      </c>
      <c r="O2879" s="4">
        <v>48.27</v>
      </c>
      <c r="P2879" s="4">
        <v>10.19</v>
      </c>
      <c r="Q2879" s="4">
        <v>0.61</v>
      </c>
      <c r="R2879" s="4">
        <v>4.41</v>
      </c>
      <c r="S2879" s="4">
        <v>0</v>
      </c>
      <c r="T2879" s="4">
        <v>0</v>
      </c>
      <c r="U2879" s="4">
        <v>63.48</v>
      </c>
      <c r="V2879" s="4">
        <v>19.84</v>
      </c>
      <c r="W2879" t="s">
        <v>21</v>
      </c>
      <c r="X2879" t="s">
        <v>36</v>
      </c>
      <c r="Y2879" s="4">
        <v>13</v>
      </c>
      <c r="Z2879" s="4">
        <v>4</v>
      </c>
      <c r="AA2879" t="s">
        <v>37</v>
      </c>
      <c r="AB2879" t="s">
        <v>38</v>
      </c>
      <c r="AC2879" s="7">
        <v>0</v>
      </c>
      <c r="AD2879" t="s">
        <v>39</v>
      </c>
      <c r="AE2879">
        <f t="shared" si="44"/>
        <v>0</v>
      </c>
    </row>
    <row r="2880" spans="1:31" x14ac:dyDescent="0.35">
      <c r="A2880">
        <v>102879</v>
      </c>
      <c r="B2880" s="3">
        <v>45970</v>
      </c>
      <c r="C2880">
        <v>1140</v>
      </c>
      <c r="D2880" t="s">
        <v>59</v>
      </c>
      <c r="E2880" t="s">
        <v>73</v>
      </c>
      <c r="F2880" t="s">
        <v>41</v>
      </c>
      <c r="G2880" t="s">
        <v>63</v>
      </c>
      <c r="H2880" t="s">
        <v>34</v>
      </c>
      <c r="I2880" t="s">
        <v>42</v>
      </c>
      <c r="J2880" s="4">
        <v>12.19</v>
      </c>
      <c r="K2880" s="4">
        <v>11.32</v>
      </c>
      <c r="L2880">
        <v>0</v>
      </c>
      <c r="M2880" s="4">
        <v>0</v>
      </c>
      <c r="N2880" s="4">
        <v>137.99</v>
      </c>
      <c r="O2880" s="4">
        <v>78.31</v>
      </c>
      <c r="P2880" s="4">
        <v>5.26</v>
      </c>
      <c r="Q2880" s="4">
        <v>2.0699999999999998</v>
      </c>
      <c r="R2880" s="4">
        <v>7.12</v>
      </c>
      <c r="S2880" s="4">
        <v>0</v>
      </c>
      <c r="T2880" s="4">
        <v>0</v>
      </c>
      <c r="U2880" s="4">
        <v>92.76</v>
      </c>
      <c r="V2880" s="4">
        <v>45.23</v>
      </c>
      <c r="W2880" t="s">
        <v>21</v>
      </c>
      <c r="X2880" t="s">
        <v>36</v>
      </c>
      <c r="Y2880" s="4">
        <v>9</v>
      </c>
      <c r="Z2880" s="4">
        <v>0</v>
      </c>
      <c r="AA2880" t="s">
        <v>37</v>
      </c>
      <c r="AB2880" t="s">
        <v>38</v>
      </c>
      <c r="AC2880" s="7">
        <v>0</v>
      </c>
      <c r="AD2880" t="s">
        <v>39</v>
      </c>
      <c r="AE2880">
        <f t="shared" si="44"/>
        <v>0</v>
      </c>
    </row>
    <row r="2881" spans="1:31" x14ac:dyDescent="0.35">
      <c r="A2881">
        <v>102880</v>
      </c>
      <c r="B2881" s="3">
        <v>45963</v>
      </c>
      <c r="C2881">
        <v>1055</v>
      </c>
      <c r="D2881" t="s">
        <v>47</v>
      </c>
      <c r="E2881" t="s">
        <v>74</v>
      </c>
      <c r="F2881" t="s">
        <v>71</v>
      </c>
      <c r="G2881" t="s">
        <v>63</v>
      </c>
      <c r="H2881" t="s">
        <v>34</v>
      </c>
      <c r="I2881" t="s">
        <v>35</v>
      </c>
      <c r="J2881" s="4">
        <v>5.84</v>
      </c>
      <c r="K2881" s="4">
        <v>14.83</v>
      </c>
      <c r="L2881">
        <v>0</v>
      </c>
      <c r="M2881" s="4">
        <v>0</v>
      </c>
      <c r="N2881" s="4">
        <v>86.61</v>
      </c>
      <c r="O2881" s="4">
        <v>38.68</v>
      </c>
      <c r="P2881" s="4">
        <v>3.9</v>
      </c>
      <c r="Q2881" s="4">
        <v>0.61</v>
      </c>
      <c r="R2881" s="4">
        <v>10.61</v>
      </c>
      <c r="S2881" s="4">
        <v>0</v>
      </c>
      <c r="T2881" s="4">
        <v>0</v>
      </c>
      <c r="U2881" s="4">
        <v>53.8</v>
      </c>
      <c r="V2881" s="4">
        <v>32.81</v>
      </c>
      <c r="W2881" t="s">
        <v>21</v>
      </c>
      <c r="X2881" t="s">
        <v>36</v>
      </c>
      <c r="Y2881" s="4">
        <v>1</v>
      </c>
      <c r="Z2881" s="4">
        <v>9</v>
      </c>
      <c r="AA2881" t="s">
        <v>37</v>
      </c>
      <c r="AB2881" t="s">
        <v>38</v>
      </c>
      <c r="AC2881" s="7">
        <v>0</v>
      </c>
      <c r="AD2881" t="s">
        <v>39</v>
      </c>
      <c r="AE2881">
        <f t="shared" si="44"/>
        <v>0</v>
      </c>
    </row>
    <row r="2882" spans="1:31" x14ac:dyDescent="0.35">
      <c r="A2882">
        <v>102881</v>
      </c>
      <c r="B2882" s="3">
        <v>45957</v>
      </c>
      <c r="C2882">
        <v>1015</v>
      </c>
      <c r="D2882" t="s">
        <v>64</v>
      </c>
      <c r="E2882" t="s">
        <v>67</v>
      </c>
      <c r="F2882" t="s">
        <v>61</v>
      </c>
      <c r="G2882" t="s">
        <v>46</v>
      </c>
      <c r="H2882" t="s">
        <v>57</v>
      </c>
      <c r="I2882" t="s">
        <v>35</v>
      </c>
      <c r="J2882" s="4">
        <v>32.36</v>
      </c>
      <c r="K2882" s="4">
        <v>15.3</v>
      </c>
      <c r="L2882">
        <v>5</v>
      </c>
      <c r="M2882" s="4">
        <v>24.76</v>
      </c>
      <c r="N2882" s="4">
        <v>470.35</v>
      </c>
      <c r="O2882" s="4">
        <v>223.54</v>
      </c>
      <c r="P2882" s="4">
        <v>5.64</v>
      </c>
      <c r="Q2882" s="4">
        <v>3.47</v>
      </c>
      <c r="R2882" s="4">
        <v>11.66</v>
      </c>
      <c r="S2882" s="4">
        <v>0</v>
      </c>
      <c r="T2882" s="4">
        <v>0</v>
      </c>
      <c r="U2882" s="4">
        <v>244.31</v>
      </c>
      <c r="V2882" s="4">
        <v>226.04</v>
      </c>
      <c r="W2882" t="s">
        <v>21</v>
      </c>
      <c r="X2882" t="s">
        <v>36</v>
      </c>
      <c r="Y2882" s="4">
        <v>3</v>
      </c>
      <c r="Z2882" s="4">
        <v>1</v>
      </c>
      <c r="AA2882" t="s">
        <v>37</v>
      </c>
      <c r="AB2882" t="s">
        <v>38</v>
      </c>
      <c r="AC2882" s="7">
        <v>0</v>
      </c>
      <c r="AD2882" t="s">
        <v>39</v>
      </c>
      <c r="AE2882">
        <f t="shared" si="44"/>
        <v>0</v>
      </c>
    </row>
    <row r="2883" spans="1:31" x14ac:dyDescent="0.35">
      <c r="A2883">
        <v>102882</v>
      </c>
      <c r="B2883" s="3">
        <v>46014</v>
      </c>
      <c r="C2883">
        <v>1117</v>
      </c>
      <c r="D2883" t="s">
        <v>47</v>
      </c>
      <c r="E2883" t="s">
        <v>74</v>
      </c>
      <c r="F2883" t="s">
        <v>61</v>
      </c>
      <c r="G2883" t="s">
        <v>50</v>
      </c>
      <c r="H2883" t="s">
        <v>51</v>
      </c>
      <c r="I2883" t="s">
        <v>35</v>
      </c>
      <c r="J2883" s="4">
        <v>41.82</v>
      </c>
      <c r="K2883" s="4">
        <v>17.829999999999998</v>
      </c>
      <c r="L2883">
        <v>5</v>
      </c>
      <c r="M2883" s="4">
        <v>37.28</v>
      </c>
      <c r="N2883" s="4">
        <v>708.37</v>
      </c>
      <c r="O2883" s="4">
        <v>321.44</v>
      </c>
      <c r="P2883" s="4">
        <v>7.27</v>
      </c>
      <c r="Q2883" s="4">
        <v>5.22</v>
      </c>
      <c r="R2883" s="4">
        <v>6.5</v>
      </c>
      <c r="S2883" s="4">
        <v>0</v>
      </c>
      <c r="T2883" s="4">
        <v>0</v>
      </c>
      <c r="U2883" s="4">
        <v>340.43</v>
      </c>
      <c r="V2883" s="4">
        <v>367.94</v>
      </c>
      <c r="W2883" t="s">
        <v>21</v>
      </c>
      <c r="X2883" t="s">
        <v>36</v>
      </c>
      <c r="Y2883" s="4">
        <v>4</v>
      </c>
      <c r="Z2883" s="4">
        <v>9</v>
      </c>
      <c r="AA2883" t="s">
        <v>37</v>
      </c>
      <c r="AB2883" t="s">
        <v>38</v>
      </c>
      <c r="AC2883" s="7">
        <v>0</v>
      </c>
      <c r="AD2883" t="s">
        <v>39</v>
      </c>
      <c r="AE2883">
        <f t="shared" ref="AE2883:AE2946" si="45">IF(AB2883="Yes",1,0)</f>
        <v>0</v>
      </c>
    </row>
    <row r="2884" spans="1:31" x14ac:dyDescent="0.35">
      <c r="A2884">
        <v>102883</v>
      </c>
      <c r="B2884" s="3">
        <v>45969</v>
      </c>
      <c r="C2884">
        <v>1053</v>
      </c>
      <c r="D2884" t="s">
        <v>64</v>
      </c>
      <c r="E2884" t="s">
        <v>76</v>
      </c>
      <c r="F2884" t="s">
        <v>41</v>
      </c>
      <c r="G2884" t="s">
        <v>46</v>
      </c>
      <c r="H2884" t="s">
        <v>34</v>
      </c>
      <c r="I2884" t="s">
        <v>35</v>
      </c>
      <c r="J2884" s="4">
        <v>27.85</v>
      </c>
      <c r="K2884" s="4">
        <v>15.78</v>
      </c>
      <c r="L2884">
        <v>0</v>
      </c>
      <c r="M2884" s="4">
        <v>0</v>
      </c>
      <c r="N2884" s="4">
        <v>439.47</v>
      </c>
      <c r="O2884" s="4">
        <v>250.72</v>
      </c>
      <c r="P2884" s="4">
        <v>9.1300000000000008</v>
      </c>
      <c r="Q2884" s="4">
        <v>3.08</v>
      </c>
      <c r="R2884" s="4">
        <v>1.5</v>
      </c>
      <c r="S2884" s="4">
        <v>0</v>
      </c>
      <c r="T2884" s="4">
        <v>0</v>
      </c>
      <c r="U2884" s="4">
        <v>264.43</v>
      </c>
      <c r="V2884" s="4">
        <v>175.04</v>
      </c>
      <c r="W2884" t="s">
        <v>21</v>
      </c>
      <c r="X2884" t="s">
        <v>36</v>
      </c>
      <c r="Y2884" s="4">
        <v>9</v>
      </c>
      <c r="Z2884" s="4">
        <v>23</v>
      </c>
      <c r="AA2884" t="s">
        <v>37</v>
      </c>
      <c r="AB2884" t="s">
        <v>44</v>
      </c>
      <c r="AC2884" s="7">
        <v>1</v>
      </c>
      <c r="AD2884" t="s">
        <v>45</v>
      </c>
      <c r="AE2884">
        <f t="shared" si="45"/>
        <v>1</v>
      </c>
    </row>
    <row r="2885" spans="1:31" x14ac:dyDescent="0.35">
      <c r="A2885">
        <v>102884</v>
      </c>
      <c r="B2885" s="3">
        <v>45986</v>
      </c>
      <c r="C2885">
        <v>1045</v>
      </c>
      <c r="D2885" t="s">
        <v>64</v>
      </c>
      <c r="E2885" t="s">
        <v>67</v>
      </c>
      <c r="F2885" t="s">
        <v>49</v>
      </c>
      <c r="G2885" t="s">
        <v>63</v>
      </c>
      <c r="H2885" t="s">
        <v>57</v>
      </c>
      <c r="I2885" t="s">
        <v>54</v>
      </c>
      <c r="J2885" s="4">
        <v>7.65</v>
      </c>
      <c r="K2885" s="4">
        <v>12.63</v>
      </c>
      <c r="L2885">
        <v>0</v>
      </c>
      <c r="M2885" s="4">
        <v>0</v>
      </c>
      <c r="N2885" s="4">
        <v>96.62</v>
      </c>
      <c r="O2885" s="4">
        <v>68.849999999999994</v>
      </c>
      <c r="P2885" s="4">
        <v>8.99</v>
      </c>
      <c r="Q2885" s="4">
        <v>1.1599999999999999</v>
      </c>
      <c r="R2885" s="4">
        <v>10.49</v>
      </c>
      <c r="S2885" s="4">
        <v>0</v>
      </c>
      <c r="T2885" s="4">
        <v>0</v>
      </c>
      <c r="U2885" s="4">
        <v>89.49</v>
      </c>
      <c r="V2885" s="4">
        <v>7.13</v>
      </c>
      <c r="W2885" t="s">
        <v>21</v>
      </c>
      <c r="X2885" t="s">
        <v>36</v>
      </c>
      <c r="Y2885" s="4">
        <v>19</v>
      </c>
      <c r="Z2885" s="4">
        <v>10</v>
      </c>
      <c r="AA2885" t="s">
        <v>52</v>
      </c>
      <c r="AB2885" t="s">
        <v>38</v>
      </c>
      <c r="AC2885" s="7">
        <v>0</v>
      </c>
      <c r="AD2885" t="s">
        <v>39</v>
      </c>
      <c r="AE2885">
        <f t="shared" si="45"/>
        <v>0</v>
      </c>
    </row>
    <row r="2886" spans="1:31" x14ac:dyDescent="0.35">
      <c r="A2886">
        <v>102885</v>
      </c>
      <c r="B2886" s="3">
        <v>45984</v>
      </c>
      <c r="C2886">
        <v>1112</v>
      </c>
      <c r="D2886" t="s">
        <v>59</v>
      </c>
      <c r="E2886" t="s">
        <v>68</v>
      </c>
      <c r="F2886" t="s">
        <v>71</v>
      </c>
      <c r="G2886" t="s">
        <v>63</v>
      </c>
      <c r="H2886" t="s">
        <v>34</v>
      </c>
      <c r="I2886" t="s">
        <v>69</v>
      </c>
      <c r="J2886" s="4">
        <v>6.55</v>
      </c>
      <c r="K2886" s="4">
        <v>12.9</v>
      </c>
      <c r="L2886">
        <v>15</v>
      </c>
      <c r="M2886" s="4">
        <v>12.68</v>
      </c>
      <c r="N2886" s="4">
        <v>71.819999999999993</v>
      </c>
      <c r="O2886" s="4">
        <v>39.049999999999997</v>
      </c>
      <c r="P2886" s="4">
        <v>9.89</v>
      </c>
      <c r="Q2886" s="4">
        <v>0.34</v>
      </c>
      <c r="R2886" s="4">
        <v>6.47</v>
      </c>
      <c r="S2886" s="4">
        <v>0</v>
      </c>
      <c r="T2886" s="4">
        <v>0</v>
      </c>
      <c r="U2886" s="4">
        <v>55.75</v>
      </c>
      <c r="V2886" s="4">
        <v>16.07</v>
      </c>
      <c r="W2886" t="s">
        <v>21</v>
      </c>
      <c r="X2886" t="s">
        <v>36</v>
      </c>
      <c r="Y2886" s="4">
        <v>1</v>
      </c>
      <c r="Z2886" s="4">
        <v>3</v>
      </c>
      <c r="AA2886" t="s">
        <v>37</v>
      </c>
      <c r="AB2886" t="s">
        <v>38</v>
      </c>
      <c r="AC2886" s="7">
        <v>0</v>
      </c>
      <c r="AD2886" t="s">
        <v>39</v>
      </c>
      <c r="AE2886">
        <f t="shared" si="45"/>
        <v>0</v>
      </c>
    </row>
    <row r="2887" spans="1:31" x14ac:dyDescent="0.35">
      <c r="A2887">
        <v>102886</v>
      </c>
      <c r="B2887" s="3">
        <v>45985</v>
      </c>
      <c r="C2887">
        <v>1097</v>
      </c>
      <c r="D2887" t="s">
        <v>59</v>
      </c>
      <c r="E2887" t="s">
        <v>68</v>
      </c>
      <c r="F2887" t="s">
        <v>41</v>
      </c>
      <c r="G2887" t="s">
        <v>63</v>
      </c>
      <c r="H2887" t="s">
        <v>57</v>
      </c>
      <c r="I2887" t="s">
        <v>54</v>
      </c>
      <c r="J2887" s="4">
        <v>25.8</v>
      </c>
      <c r="K2887" s="4">
        <v>12.14</v>
      </c>
      <c r="L2887">
        <v>5</v>
      </c>
      <c r="M2887" s="4">
        <v>15.66</v>
      </c>
      <c r="N2887" s="4">
        <v>297.55</v>
      </c>
      <c r="O2887" s="4">
        <v>168.35</v>
      </c>
      <c r="P2887" s="4">
        <v>12.1</v>
      </c>
      <c r="Q2887" s="4">
        <v>3.76</v>
      </c>
      <c r="R2887" s="4">
        <v>1.79</v>
      </c>
      <c r="S2887" s="4">
        <v>0</v>
      </c>
      <c r="T2887" s="4">
        <v>0</v>
      </c>
      <c r="U2887" s="4">
        <v>186</v>
      </c>
      <c r="V2887" s="4">
        <v>111.55</v>
      </c>
      <c r="W2887" t="s">
        <v>21</v>
      </c>
      <c r="X2887" t="s">
        <v>36</v>
      </c>
      <c r="Y2887" s="4">
        <v>6</v>
      </c>
      <c r="Z2887" s="4">
        <v>12</v>
      </c>
      <c r="AA2887" t="s">
        <v>37</v>
      </c>
      <c r="AB2887" t="s">
        <v>38</v>
      </c>
      <c r="AC2887" s="7">
        <v>0</v>
      </c>
      <c r="AD2887" t="s">
        <v>39</v>
      </c>
      <c r="AE2887">
        <f t="shared" si="45"/>
        <v>0</v>
      </c>
    </row>
    <row r="2888" spans="1:31" x14ac:dyDescent="0.35">
      <c r="A2888">
        <v>102887</v>
      </c>
      <c r="B2888" s="3">
        <v>46003</v>
      </c>
      <c r="C2888">
        <v>1012</v>
      </c>
      <c r="D2888" t="s">
        <v>30</v>
      </c>
      <c r="E2888" t="s">
        <v>72</v>
      </c>
      <c r="F2888" t="s">
        <v>32</v>
      </c>
      <c r="G2888" t="s">
        <v>63</v>
      </c>
      <c r="H2888" t="s">
        <v>34</v>
      </c>
      <c r="I2888" t="s">
        <v>35</v>
      </c>
      <c r="J2888" s="4">
        <v>17.52</v>
      </c>
      <c r="K2888" s="4">
        <v>12.98</v>
      </c>
      <c r="L2888">
        <v>10</v>
      </c>
      <c r="M2888" s="4">
        <v>22.74</v>
      </c>
      <c r="N2888" s="4">
        <v>204.67</v>
      </c>
      <c r="O2888" s="4">
        <v>118.11</v>
      </c>
      <c r="P2888" s="4">
        <v>10.050000000000001</v>
      </c>
      <c r="Q2888" s="4">
        <v>1.59</v>
      </c>
      <c r="R2888" s="4">
        <v>7.63</v>
      </c>
      <c r="S2888" s="4">
        <v>0</v>
      </c>
      <c r="T2888" s="4">
        <v>0</v>
      </c>
      <c r="U2888" s="4">
        <v>137.38</v>
      </c>
      <c r="V2888" s="4">
        <v>67.290000000000006</v>
      </c>
      <c r="W2888" t="s">
        <v>21</v>
      </c>
      <c r="X2888" t="s">
        <v>36</v>
      </c>
      <c r="Y2888" s="4">
        <v>0</v>
      </c>
      <c r="Z2888" s="4">
        <v>1</v>
      </c>
      <c r="AA2888" t="s">
        <v>37</v>
      </c>
      <c r="AB2888" t="s">
        <v>38</v>
      </c>
      <c r="AC2888" s="7">
        <v>0</v>
      </c>
      <c r="AD2888" t="s">
        <v>39</v>
      </c>
      <c r="AE2888">
        <f t="shared" si="45"/>
        <v>0</v>
      </c>
    </row>
    <row r="2889" spans="1:31" x14ac:dyDescent="0.35">
      <c r="A2889">
        <v>102888</v>
      </c>
      <c r="B2889" s="3">
        <v>45934</v>
      </c>
      <c r="C2889">
        <v>1040</v>
      </c>
      <c r="D2889" t="s">
        <v>64</v>
      </c>
      <c r="E2889" t="s">
        <v>67</v>
      </c>
      <c r="F2889" t="s">
        <v>49</v>
      </c>
      <c r="G2889" t="s">
        <v>46</v>
      </c>
      <c r="H2889" t="s">
        <v>34</v>
      </c>
      <c r="I2889" t="s">
        <v>54</v>
      </c>
      <c r="J2889" s="4">
        <v>24.13</v>
      </c>
      <c r="K2889" s="4">
        <v>13.9</v>
      </c>
      <c r="L2889">
        <v>0</v>
      </c>
      <c r="M2889" s="4">
        <v>0</v>
      </c>
      <c r="N2889" s="4">
        <v>335.41</v>
      </c>
      <c r="O2889" s="4">
        <v>154.52000000000001</v>
      </c>
      <c r="P2889" s="4">
        <v>13.08</v>
      </c>
      <c r="Q2889" s="4">
        <v>4.0199999999999996</v>
      </c>
      <c r="R2889" s="4">
        <v>8.26</v>
      </c>
      <c r="S2889" s="4">
        <v>0</v>
      </c>
      <c r="T2889" s="4">
        <v>0</v>
      </c>
      <c r="U2889" s="4">
        <v>179.88</v>
      </c>
      <c r="V2889" s="4">
        <v>155.53</v>
      </c>
      <c r="W2889" t="s">
        <v>21</v>
      </c>
      <c r="X2889" t="s">
        <v>36</v>
      </c>
      <c r="Y2889" s="4">
        <v>2</v>
      </c>
      <c r="Z2889" s="4">
        <v>1</v>
      </c>
      <c r="AA2889" t="s">
        <v>37</v>
      </c>
      <c r="AB2889" t="s">
        <v>38</v>
      </c>
      <c r="AC2889" s="7">
        <v>0</v>
      </c>
      <c r="AD2889" t="s">
        <v>39</v>
      </c>
      <c r="AE2889">
        <f t="shared" si="45"/>
        <v>0</v>
      </c>
    </row>
    <row r="2890" spans="1:31" x14ac:dyDescent="0.35">
      <c r="A2890">
        <v>102889</v>
      </c>
      <c r="B2890" s="3">
        <v>45936</v>
      </c>
      <c r="C2890">
        <v>1035</v>
      </c>
      <c r="D2890" t="s">
        <v>59</v>
      </c>
      <c r="E2890" t="s">
        <v>70</v>
      </c>
      <c r="F2890" t="s">
        <v>32</v>
      </c>
      <c r="G2890" t="s">
        <v>46</v>
      </c>
      <c r="H2890" t="s">
        <v>34</v>
      </c>
      <c r="I2890" t="s">
        <v>69</v>
      </c>
      <c r="J2890" s="4">
        <v>24.32</v>
      </c>
      <c r="K2890" s="4">
        <v>16.61</v>
      </c>
      <c r="L2890">
        <v>0</v>
      </c>
      <c r="M2890" s="4">
        <v>0</v>
      </c>
      <c r="N2890" s="4">
        <v>403.96</v>
      </c>
      <c r="O2890" s="4">
        <v>194.34</v>
      </c>
      <c r="P2890" s="4">
        <v>8.59</v>
      </c>
      <c r="Q2890" s="4">
        <v>1.62</v>
      </c>
      <c r="R2890" s="4">
        <v>6.18</v>
      </c>
      <c r="S2890" s="4">
        <v>0</v>
      </c>
      <c r="T2890" s="4">
        <v>0</v>
      </c>
      <c r="U2890" s="4">
        <v>210.73</v>
      </c>
      <c r="V2890" s="4">
        <v>193.23</v>
      </c>
      <c r="W2890" t="s">
        <v>21</v>
      </c>
      <c r="X2890" t="s">
        <v>36</v>
      </c>
      <c r="Y2890" s="4">
        <v>6</v>
      </c>
      <c r="Z2890" s="4">
        <v>14</v>
      </c>
      <c r="AA2890" t="s">
        <v>37</v>
      </c>
      <c r="AB2890" t="s">
        <v>38</v>
      </c>
      <c r="AC2890" s="7">
        <v>1</v>
      </c>
      <c r="AD2890" t="s">
        <v>39</v>
      </c>
      <c r="AE2890">
        <f t="shared" si="45"/>
        <v>0</v>
      </c>
    </row>
    <row r="2891" spans="1:31" x14ac:dyDescent="0.35">
      <c r="A2891">
        <v>102890</v>
      </c>
      <c r="B2891" s="3">
        <v>46007</v>
      </c>
      <c r="C2891">
        <v>1065</v>
      </c>
      <c r="D2891" t="s">
        <v>30</v>
      </c>
      <c r="E2891" t="s">
        <v>62</v>
      </c>
      <c r="F2891" t="s">
        <v>41</v>
      </c>
      <c r="G2891" t="s">
        <v>50</v>
      </c>
      <c r="H2891" t="s">
        <v>51</v>
      </c>
      <c r="I2891" t="s">
        <v>35</v>
      </c>
      <c r="J2891" s="4">
        <v>35.090000000000003</v>
      </c>
      <c r="K2891" s="4">
        <v>18.37</v>
      </c>
      <c r="L2891">
        <v>10</v>
      </c>
      <c r="M2891" s="4">
        <v>64.459999999999994</v>
      </c>
      <c r="N2891" s="4">
        <v>580.14</v>
      </c>
      <c r="O2891" s="4">
        <v>266.13</v>
      </c>
      <c r="P2891" s="4">
        <v>7.49</v>
      </c>
      <c r="Q2891" s="4">
        <v>4.51</v>
      </c>
      <c r="R2891" s="4">
        <v>0</v>
      </c>
      <c r="S2891" s="4">
        <v>0</v>
      </c>
      <c r="T2891" s="4">
        <v>0</v>
      </c>
      <c r="U2891" s="4">
        <v>278.13</v>
      </c>
      <c r="V2891" s="4">
        <v>302.01</v>
      </c>
      <c r="W2891" t="s">
        <v>21</v>
      </c>
      <c r="X2891" t="s">
        <v>36</v>
      </c>
      <c r="Y2891" s="4">
        <v>15</v>
      </c>
      <c r="Z2891" s="4">
        <v>23</v>
      </c>
      <c r="AA2891" t="s">
        <v>37</v>
      </c>
      <c r="AB2891" t="s">
        <v>44</v>
      </c>
      <c r="AC2891" s="7">
        <v>1</v>
      </c>
      <c r="AD2891" t="s">
        <v>45</v>
      </c>
      <c r="AE2891">
        <f t="shared" si="45"/>
        <v>1</v>
      </c>
    </row>
    <row r="2892" spans="1:31" x14ac:dyDescent="0.35">
      <c r="A2892">
        <v>102891</v>
      </c>
      <c r="B2892" s="3">
        <v>45964</v>
      </c>
      <c r="C2892">
        <v>1053</v>
      </c>
      <c r="D2892" t="s">
        <v>47</v>
      </c>
      <c r="E2892" t="s">
        <v>53</v>
      </c>
      <c r="F2892" t="s">
        <v>41</v>
      </c>
      <c r="G2892" t="s">
        <v>50</v>
      </c>
      <c r="H2892" t="s">
        <v>34</v>
      </c>
      <c r="I2892" t="s">
        <v>35</v>
      </c>
      <c r="J2892" s="4">
        <v>27.91</v>
      </c>
      <c r="K2892" s="4">
        <v>17.100000000000001</v>
      </c>
      <c r="L2892">
        <v>0</v>
      </c>
      <c r="M2892" s="4">
        <v>0</v>
      </c>
      <c r="N2892" s="4">
        <v>477.26</v>
      </c>
      <c r="O2892" s="4">
        <v>204.33</v>
      </c>
      <c r="P2892" s="4">
        <v>13.76</v>
      </c>
      <c r="Q2892" s="4">
        <v>3.34</v>
      </c>
      <c r="R2892" s="4">
        <v>4.09</v>
      </c>
      <c r="S2892" s="4">
        <v>182</v>
      </c>
      <c r="T2892" s="4">
        <v>0</v>
      </c>
      <c r="U2892" s="4">
        <v>407.52</v>
      </c>
      <c r="V2892" s="4">
        <v>69.739999999999995</v>
      </c>
      <c r="W2892" t="s">
        <v>21</v>
      </c>
      <c r="X2892" t="s">
        <v>66</v>
      </c>
      <c r="Y2892" s="4">
        <v>8</v>
      </c>
      <c r="Z2892" s="4">
        <v>6</v>
      </c>
      <c r="AA2892" t="s">
        <v>37</v>
      </c>
      <c r="AB2892" t="s">
        <v>38</v>
      </c>
      <c r="AC2892" s="7">
        <v>1</v>
      </c>
      <c r="AD2892" t="s">
        <v>45</v>
      </c>
      <c r="AE2892">
        <f t="shared" si="45"/>
        <v>0</v>
      </c>
    </row>
    <row r="2893" spans="1:31" x14ac:dyDescent="0.35">
      <c r="A2893">
        <v>102892</v>
      </c>
      <c r="B2893" s="3">
        <v>45967</v>
      </c>
      <c r="C2893">
        <v>1080</v>
      </c>
      <c r="D2893" t="s">
        <v>47</v>
      </c>
      <c r="E2893" t="s">
        <v>56</v>
      </c>
      <c r="F2893" t="s">
        <v>61</v>
      </c>
      <c r="G2893" t="s">
        <v>50</v>
      </c>
      <c r="H2893" t="s">
        <v>34</v>
      </c>
      <c r="I2893" t="s">
        <v>35</v>
      </c>
      <c r="J2893" s="4">
        <v>35.81</v>
      </c>
      <c r="K2893" s="4">
        <v>17.98</v>
      </c>
      <c r="L2893">
        <v>0</v>
      </c>
      <c r="M2893" s="4">
        <v>0</v>
      </c>
      <c r="N2893" s="4">
        <v>643.86</v>
      </c>
      <c r="O2893" s="4">
        <v>276.5</v>
      </c>
      <c r="P2893" s="4">
        <v>8.0500000000000007</v>
      </c>
      <c r="Q2893" s="4">
        <v>4.51</v>
      </c>
      <c r="R2893" s="4">
        <v>7.0000000000000007E-2</v>
      </c>
      <c r="S2893" s="4">
        <v>0</v>
      </c>
      <c r="T2893" s="4">
        <v>0</v>
      </c>
      <c r="U2893" s="4">
        <v>289.13</v>
      </c>
      <c r="V2893" s="4">
        <v>354.73</v>
      </c>
      <c r="W2893" t="s">
        <v>21</v>
      </c>
      <c r="X2893" t="s">
        <v>36</v>
      </c>
      <c r="Y2893" s="4">
        <v>2</v>
      </c>
      <c r="Z2893" s="4">
        <v>0</v>
      </c>
      <c r="AA2893" t="s">
        <v>37</v>
      </c>
      <c r="AB2893" t="s">
        <v>38</v>
      </c>
      <c r="AC2893" s="7">
        <v>0</v>
      </c>
      <c r="AD2893" t="s">
        <v>39</v>
      </c>
      <c r="AE2893">
        <f t="shared" si="45"/>
        <v>0</v>
      </c>
    </row>
    <row r="2894" spans="1:31" x14ac:dyDescent="0.35">
      <c r="A2894">
        <v>102893</v>
      </c>
      <c r="B2894" s="3">
        <v>46017</v>
      </c>
      <c r="C2894">
        <v>1150</v>
      </c>
      <c r="D2894" t="s">
        <v>30</v>
      </c>
      <c r="E2894" t="s">
        <v>72</v>
      </c>
      <c r="F2894" t="s">
        <v>61</v>
      </c>
      <c r="G2894" t="s">
        <v>63</v>
      </c>
      <c r="H2894" t="s">
        <v>57</v>
      </c>
      <c r="I2894" t="s">
        <v>69</v>
      </c>
      <c r="J2894" s="4">
        <v>17.07</v>
      </c>
      <c r="K2894" s="4">
        <v>12.16</v>
      </c>
      <c r="L2894">
        <v>0</v>
      </c>
      <c r="M2894" s="4">
        <v>0</v>
      </c>
      <c r="N2894" s="4">
        <v>207.57</v>
      </c>
      <c r="O2894" s="4">
        <v>101.68</v>
      </c>
      <c r="P2894" s="4">
        <v>7.38</v>
      </c>
      <c r="Q2894" s="4">
        <v>0.83</v>
      </c>
      <c r="R2894" s="4">
        <v>9.58</v>
      </c>
      <c r="S2894" s="4">
        <v>123.05</v>
      </c>
      <c r="T2894" s="4">
        <v>10.55</v>
      </c>
      <c r="U2894" s="4">
        <v>253.07</v>
      </c>
      <c r="V2894" s="4">
        <v>-45.5</v>
      </c>
      <c r="W2894" t="s">
        <v>58</v>
      </c>
      <c r="X2894" t="s">
        <v>66</v>
      </c>
      <c r="Y2894" s="4">
        <v>19</v>
      </c>
      <c r="Z2894" s="4">
        <v>0</v>
      </c>
      <c r="AA2894" t="s">
        <v>52</v>
      </c>
      <c r="AB2894" t="s">
        <v>38</v>
      </c>
      <c r="AC2894" s="7">
        <v>3</v>
      </c>
      <c r="AD2894" t="s">
        <v>45</v>
      </c>
      <c r="AE2894">
        <f t="shared" si="45"/>
        <v>0</v>
      </c>
    </row>
    <row r="2895" spans="1:31" x14ac:dyDescent="0.35">
      <c r="A2895">
        <v>102894</v>
      </c>
      <c r="B2895" s="3">
        <v>45936</v>
      </c>
      <c r="C2895">
        <v>1132</v>
      </c>
      <c r="D2895" t="s">
        <v>30</v>
      </c>
      <c r="E2895" t="s">
        <v>31</v>
      </c>
      <c r="F2895" t="s">
        <v>41</v>
      </c>
      <c r="G2895" t="s">
        <v>46</v>
      </c>
      <c r="H2895" t="s">
        <v>34</v>
      </c>
      <c r="I2895" t="s">
        <v>42</v>
      </c>
      <c r="J2895" s="4">
        <v>38.61</v>
      </c>
      <c r="K2895" s="4">
        <v>15.72</v>
      </c>
      <c r="L2895">
        <v>10</v>
      </c>
      <c r="M2895" s="4">
        <v>60.7</v>
      </c>
      <c r="N2895" s="4">
        <v>546.25</v>
      </c>
      <c r="O2895" s="4">
        <v>237.25</v>
      </c>
      <c r="P2895" s="4">
        <v>11.48</v>
      </c>
      <c r="Q2895" s="4">
        <v>9.1</v>
      </c>
      <c r="R2895" s="4">
        <v>2</v>
      </c>
      <c r="S2895" s="4">
        <v>0</v>
      </c>
      <c r="T2895" s="4">
        <v>0</v>
      </c>
      <c r="U2895" s="4">
        <v>259.83</v>
      </c>
      <c r="V2895" s="4">
        <v>286.42</v>
      </c>
      <c r="W2895" t="s">
        <v>21</v>
      </c>
      <c r="X2895" t="s">
        <v>36</v>
      </c>
      <c r="Y2895" s="4">
        <v>1</v>
      </c>
      <c r="Z2895" s="4">
        <v>8</v>
      </c>
      <c r="AA2895" t="s">
        <v>37</v>
      </c>
      <c r="AB2895" t="s">
        <v>38</v>
      </c>
      <c r="AC2895" s="7">
        <v>0</v>
      </c>
      <c r="AD2895" t="s">
        <v>39</v>
      </c>
      <c r="AE2895">
        <f t="shared" si="45"/>
        <v>0</v>
      </c>
    </row>
    <row r="2896" spans="1:31" x14ac:dyDescent="0.35">
      <c r="A2896">
        <v>102895</v>
      </c>
      <c r="B2896" s="3">
        <v>46016</v>
      </c>
      <c r="C2896">
        <v>1139</v>
      </c>
      <c r="D2896" t="s">
        <v>30</v>
      </c>
      <c r="E2896" t="s">
        <v>31</v>
      </c>
      <c r="F2896" t="s">
        <v>71</v>
      </c>
      <c r="G2896" t="s">
        <v>63</v>
      </c>
      <c r="H2896" t="s">
        <v>57</v>
      </c>
      <c r="I2896" t="s">
        <v>42</v>
      </c>
      <c r="J2896" s="4">
        <v>23.34</v>
      </c>
      <c r="K2896" s="4">
        <v>12.27</v>
      </c>
      <c r="L2896">
        <v>0</v>
      </c>
      <c r="M2896" s="4">
        <v>0</v>
      </c>
      <c r="N2896" s="4">
        <v>286.38</v>
      </c>
      <c r="O2896" s="4">
        <v>152.97999999999999</v>
      </c>
      <c r="P2896" s="4">
        <v>7.68</v>
      </c>
      <c r="Q2896" s="4">
        <v>4.3</v>
      </c>
      <c r="R2896" s="4">
        <v>11.61</v>
      </c>
      <c r="S2896" s="4">
        <v>0</v>
      </c>
      <c r="T2896" s="4">
        <v>0</v>
      </c>
      <c r="U2896" s="4">
        <v>176.57</v>
      </c>
      <c r="V2896" s="4">
        <v>109.81</v>
      </c>
      <c r="W2896" t="s">
        <v>21</v>
      </c>
      <c r="X2896" t="s">
        <v>36</v>
      </c>
      <c r="Y2896" s="4">
        <v>7</v>
      </c>
      <c r="Z2896" s="4">
        <v>8</v>
      </c>
      <c r="AA2896" t="s">
        <v>37</v>
      </c>
      <c r="AB2896" t="s">
        <v>38</v>
      </c>
      <c r="AC2896" s="7">
        <v>0</v>
      </c>
      <c r="AD2896" t="s">
        <v>39</v>
      </c>
      <c r="AE2896">
        <f t="shared" si="45"/>
        <v>0</v>
      </c>
    </row>
    <row r="2897" spans="1:31" x14ac:dyDescent="0.35">
      <c r="A2897">
        <v>102896</v>
      </c>
      <c r="B2897" s="3">
        <v>45996</v>
      </c>
      <c r="C2897">
        <v>1054</v>
      </c>
      <c r="D2897" t="s">
        <v>30</v>
      </c>
      <c r="E2897" t="s">
        <v>31</v>
      </c>
      <c r="F2897" t="s">
        <v>41</v>
      </c>
      <c r="G2897" t="s">
        <v>46</v>
      </c>
      <c r="H2897" t="s">
        <v>34</v>
      </c>
      <c r="I2897" t="s">
        <v>69</v>
      </c>
      <c r="J2897" s="4">
        <v>29.64</v>
      </c>
      <c r="K2897" s="4">
        <v>14.97</v>
      </c>
      <c r="L2897">
        <v>5</v>
      </c>
      <c r="M2897" s="4">
        <v>22.19</v>
      </c>
      <c r="N2897" s="4">
        <v>421.52</v>
      </c>
      <c r="O2897" s="4">
        <v>174.96</v>
      </c>
      <c r="P2897" s="4">
        <v>6.58</v>
      </c>
      <c r="Q2897" s="4">
        <v>1.77</v>
      </c>
      <c r="R2897" s="4">
        <v>7.61</v>
      </c>
      <c r="S2897" s="4">
        <v>0</v>
      </c>
      <c r="T2897" s="4">
        <v>0</v>
      </c>
      <c r="U2897" s="4">
        <v>190.92</v>
      </c>
      <c r="V2897" s="4">
        <v>230.6</v>
      </c>
      <c r="W2897" t="s">
        <v>21</v>
      </c>
      <c r="X2897" t="s">
        <v>36</v>
      </c>
      <c r="Y2897" s="4">
        <v>0</v>
      </c>
      <c r="Z2897" s="4">
        <v>0</v>
      </c>
      <c r="AA2897" t="s">
        <v>37</v>
      </c>
      <c r="AB2897" t="s">
        <v>38</v>
      </c>
      <c r="AC2897" s="7">
        <v>0</v>
      </c>
      <c r="AD2897" t="s">
        <v>39</v>
      </c>
      <c r="AE2897">
        <f t="shared" si="45"/>
        <v>0</v>
      </c>
    </row>
    <row r="2898" spans="1:31" x14ac:dyDescent="0.35">
      <c r="A2898">
        <v>102897</v>
      </c>
      <c r="B2898" s="3">
        <v>45940</v>
      </c>
      <c r="C2898">
        <v>1011</v>
      </c>
      <c r="D2898" t="s">
        <v>30</v>
      </c>
      <c r="E2898" t="s">
        <v>72</v>
      </c>
      <c r="F2898" t="s">
        <v>32</v>
      </c>
      <c r="G2898" t="s">
        <v>46</v>
      </c>
      <c r="H2898" t="s">
        <v>34</v>
      </c>
      <c r="I2898" t="s">
        <v>42</v>
      </c>
      <c r="J2898" s="4">
        <v>13.4</v>
      </c>
      <c r="K2898" s="4">
        <v>17.18</v>
      </c>
      <c r="L2898">
        <v>10</v>
      </c>
      <c r="M2898" s="4">
        <v>23.02</v>
      </c>
      <c r="N2898" s="4">
        <v>207.19</v>
      </c>
      <c r="O2898" s="4">
        <v>87.14</v>
      </c>
      <c r="P2898" s="4">
        <v>12.14</v>
      </c>
      <c r="Q2898" s="4">
        <v>3.45</v>
      </c>
      <c r="R2898" s="4">
        <v>11.25</v>
      </c>
      <c r="S2898" s="4">
        <v>0</v>
      </c>
      <c r="T2898" s="4">
        <v>0</v>
      </c>
      <c r="U2898" s="4">
        <v>113.98</v>
      </c>
      <c r="V2898" s="4">
        <v>93.21</v>
      </c>
      <c r="W2898" t="s">
        <v>21</v>
      </c>
      <c r="X2898" t="s">
        <v>36</v>
      </c>
      <c r="Y2898" s="4">
        <v>3</v>
      </c>
      <c r="Z2898" s="4">
        <v>19</v>
      </c>
      <c r="AA2898" t="s">
        <v>37</v>
      </c>
      <c r="AB2898" t="s">
        <v>44</v>
      </c>
      <c r="AC2898" s="7">
        <v>1</v>
      </c>
      <c r="AD2898" t="s">
        <v>45</v>
      </c>
      <c r="AE2898">
        <f t="shared" si="45"/>
        <v>1</v>
      </c>
    </row>
    <row r="2899" spans="1:31" x14ac:dyDescent="0.35">
      <c r="A2899">
        <v>102898</v>
      </c>
      <c r="B2899" s="3">
        <v>45937</v>
      </c>
      <c r="C2899">
        <v>1067</v>
      </c>
      <c r="D2899" t="s">
        <v>30</v>
      </c>
      <c r="E2899" t="s">
        <v>72</v>
      </c>
      <c r="F2899" t="s">
        <v>41</v>
      </c>
      <c r="G2899" t="s">
        <v>46</v>
      </c>
      <c r="H2899" t="s">
        <v>34</v>
      </c>
      <c r="I2899" t="s">
        <v>42</v>
      </c>
      <c r="J2899" s="4">
        <v>34.78</v>
      </c>
      <c r="K2899" s="4">
        <v>15.15</v>
      </c>
      <c r="L2899">
        <v>10</v>
      </c>
      <c r="M2899" s="4">
        <v>52.69</v>
      </c>
      <c r="N2899" s="4">
        <v>474.23</v>
      </c>
      <c r="O2899" s="4">
        <v>265.58</v>
      </c>
      <c r="P2899" s="4">
        <v>8.7200000000000006</v>
      </c>
      <c r="Q2899" s="4">
        <v>7.9</v>
      </c>
      <c r="R2899" s="4">
        <v>6.63</v>
      </c>
      <c r="S2899" s="4">
        <v>0</v>
      </c>
      <c r="T2899" s="4">
        <v>0</v>
      </c>
      <c r="U2899" s="4">
        <v>288.83</v>
      </c>
      <c r="V2899" s="4">
        <v>185.4</v>
      </c>
      <c r="W2899" t="s">
        <v>21</v>
      </c>
      <c r="X2899" t="s">
        <v>36</v>
      </c>
      <c r="Y2899" s="4">
        <v>16</v>
      </c>
      <c r="Z2899" s="4">
        <v>28</v>
      </c>
      <c r="AA2899" t="s">
        <v>52</v>
      </c>
      <c r="AB2899" t="s">
        <v>44</v>
      </c>
      <c r="AC2899" s="7">
        <v>2</v>
      </c>
      <c r="AD2899" t="s">
        <v>45</v>
      </c>
      <c r="AE2899">
        <f t="shared" si="45"/>
        <v>1</v>
      </c>
    </row>
    <row r="2900" spans="1:31" x14ac:dyDescent="0.35">
      <c r="A2900">
        <v>102899</v>
      </c>
      <c r="B2900" s="3">
        <v>45973</v>
      </c>
      <c r="C2900">
        <v>1005</v>
      </c>
      <c r="D2900" t="s">
        <v>64</v>
      </c>
      <c r="E2900" t="s">
        <v>76</v>
      </c>
      <c r="F2900" t="s">
        <v>41</v>
      </c>
      <c r="G2900" t="s">
        <v>33</v>
      </c>
      <c r="H2900" t="s">
        <v>34</v>
      </c>
      <c r="I2900" t="s">
        <v>69</v>
      </c>
      <c r="J2900" s="4">
        <v>23.37</v>
      </c>
      <c r="K2900" s="4">
        <v>18.09</v>
      </c>
      <c r="L2900">
        <v>0</v>
      </c>
      <c r="M2900" s="4">
        <v>0</v>
      </c>
      <c r="N2900" s="4">
        <v>422.76</v>
      </c>
      <c r="O2900" s="4">
        <v>165.69</v>
      </c>
      <c r="P2900" s="4">
        <v>8.11</v>
      </c>
      <c r="Q2900" s="4">
        <v>1.69</v>
      </c>
      <c r="R2900" s="4">
        <v>7.29</v>
      </c>
      <c r="S2900" s="4">
        <v>0</v>
      </c>
      <c r="T2900" s="4">
        <v>0</v>
      </c>
      <c r="U2900" s="4">
        <v>182.78</v>
      </c>
      <c r="V2900" s="4">
        <v>239.98</v>
      </c>
      <c r="W2900" t="s">
        <v>21</v>
      </c>
      <c r="X2900" t="s">
        <v>36</v>
      </c>
      <c r="Y2900" s="4">
        <v>1</v>
      </c>
      <c r="Z2900" s="4">
        <v>7</v>
      </c>
      <c r="AA2900" t="s">
        <v>37</v>
      </c>
      <c r="AB2900" t="s">
        <v>38</v>
      </c>
      <c r="AC2900" s="7">
        <v>0</v>
      </c>
      <c r="AD2900" t="s">
        <v>39</v>
      </c>
      <c r="AE2900">
        <f t="shared" si="45"/>
        <v>0</v>
      </c>
    </row>
    <row r="2901" spans="1:31" x14ac:dyDescent="0.35">
      <c r="A2901">
        <v>102900</v>
      </c>
      <c r="B2901" s="3">
        <v>46001</v>
      </c>
      <c r="C2901">
        <v>1018</v>
      </c>
      <c r="D2901" t="s">
        <v>47</v>
      </c>
      <c r="E2901" t="s">
        <v>48</v>
      </c>
      <c r="F2901" t="s">
        <v>41</v>
      </c>
      <c r="G2901" t="s">
        <v>33</v>
      </c>
      <c r="H2901" t="s">
        <v>34</v>
      </c>
      <c r="I2901" t="s">
        <v>54</v>
      </c>
      <c r="J2901" s="4">
        <v>28.58</v>
      </c>
      <c r="K2901" s="4">
        <v>18.649999999999999</v>
      </c>
      <c r="L2901">
        <v>10</v>
      </c>
      <c r="M2901" s="4">
        <v>53.3</v>
      </c>
      <c r="N2901" s="4">
        <v>479.72</v>
      </c>
      <c r="O2901" s="4">
        <v>220.64</v>
      </c>
      <c r="P2901" s="4">
        <v>3.3</v>
      </c>
      <c r="Q2901" s="4">
        <v>6.4</v>
      </c>
      <c r="R2901" s="4">
        <v>10.42</v>
      </c>
      <c r="S2901" s="4">
        <v>0</v>
      </c>
      <c r="T2901" s="4">
        <v>0</v>
      </c>
      <c r="U2901" s="4">
        <v>240.76</v>
      </c>
      <c r="V2901" s="4">
        <v>238.96</v>
      </c>
      <c r="W2901" t="s">
        <v>21</v>
      </c>
      <c r="X2901" t="s">
        <v>36</v>
      </c>
      <c r="Y2901" s="4">
        <v>8</v>
      </c>
      <c r="Z2901" s="4">
        <v>13</v>
      </c>
      <c r="AA2901" t="s">
        <v>37</v>
      </c>
      <c r="AB2901" t="s">
        <v>38</v>
      </c>
      <c r="AC2901" s="7">
        <v>0</v>
      </c>
      <c r="AD2901" t="s">
        <v>39</v>
      </c>
      <c r="AE2901">
        <f t="shared" si="45"/>
        <v>0</v>
      </c>
    </row>
    <row r="2902" spans="1:31" x14ac:dyDescent="0.35">
      <c r="A2902">
        <v>102901</v>
      </c>
      <c r="B2902" s="3">
        <v>46013</v>
      </c>
      <c r="C2902">
        <v>1006</v>
      </c>
      <c r="D2902" t="s">
        <v>64</v>
      </c>
      <c r="E2902" t="s">
        <v>65</v>
      </c>
      <c r="F2902" t="s">
        <v>32</v>
      </c>
      <c r="G2902" t="s">
        <v>63</v>
      </c>
      <c r="H2902" t="s">
        <v>51</v>
      </c>
      <c r="I2902" t="s">
        <v>54</v>
      </c>
      <c r="J2902" s="4">
        <v>32.28</v>
      </c>
      <c r="K2902" s="4">
        <v>12.36</v>
      </c>
      <c r="L2902">
        <v>10</v>
      </c>
      <c r="M2902" s="4">
        <v>39.9</v>
      </c>
      <c r="N2902" s="4">
        <v>359.08</v>
      </c>
      <c r="O2902" s="4">
        <v>248.72</v>
      </c>
      <c r="P2902" s="4">
        <v>7.26</v>
      </c>
      <c r="Q2902" s="4">
        <v>4.79</v>
      </c>
      <c r="R2902" s="4">
        <v>11.76</v>
      </c>
      <c r="S2902" s="4">
        <v>0</v>
      </c>
      <c r="T2902" s="4">
        <v>0</v>
      </c>
      <c r="U2902" s="4">
        <v>272.52999999999997</v>
      </c>
      <c r="V2902" s="4">
        <v>86.55</v>
      </c>
      <c r="W2902" t="s">
        <v>21</v>
      </c>
      <c r="X2902" t="s">
        <v>36</v>
      </c>
      <c r="Y2902" s="4">
        <v>12</v>
      </c>
      <c r="Z2902" s="4">
        <v>31</v>
      </c>
      <c r="AA2902" t="s">
        <v>37</v>
      </c>
      <c r="AB2902" t="s">
        <v>44</v>
      </c>
      <c r="AC2902" s="7">
        <v>3</v>
      </c>
      <c r="AD2902" t="s">
        <v>45</v>
      </c>
      <c r="AE2902">
        <f t="shared" si="45"/>
        <v>1</v>
      </c>
    </row>
    <row r="2903" spans="1:31" x14ac:dyDescent="0.35">
      <c r="A2903">
        <v>102902</v>
      </c>
      <c r="B2903" s="3">
        <v>46006</v>
      </c>
      <c r="C2903">
        <v>1019</v>
      </c>
      <c r="D2903" t="s">
        <v>47</v>
      </c>
      <c r="E2903" t="s">
        <v>56</v>
      </c>
      <c r="F2903" t="s">
        <v>32</v>
      </c>
      <c r="G2903" t="s">
        <v>63</v>
      </c>
      <c r="H2903" t="s">
        <v>57</v>
      </c>
      <c r="I2903" t="s">
        <v>42</v>
      </c>
      <c r="J2903" s="4">
        <v>30.97</v>
      </c>
      <c r="K2903" s="4">
        <v>12.09</v>
      </c>
      <c r="L2903">
        <v>0</v>
      </c>
      <c r="M2903" s="4">
        <v>0</v>
      </c>
      <c r="N2903" s="4">
        <v>374.43</v>
      </c>
      <c r="O2903" s="4">
        <v>215.72</v>
      </c>
      <c r="P2903" s="4">
        <v>8.6300000000000008</v>
      </c>
      <c r="Q2903" s="4">
        <v>5.62</v>
      </c>
      <c r="R2903" s="4">
        <v>2.35</v>
      </c>
      <c r="S2903" s="4">
        <v>0</v>
      </c>
      <c r="T2903" s="4">
        <v>0</v>
      </c>
      <c r="U2903" s="4">
        <v>232.32</v>
      </c>
      <c r="V2903" s="4">
        <v>142.11000000000001</v>
      </c>
      <c r="W2903" t="s">
        <v>21</v>
      </c>
      <c r="X2903" t="s">
        <v>36</v>
      </c>
      <c r="Y2903" s="4">
        <v>13</v>
      </c>
      <c r="Z2903" s="4">
        <v>20</v>
      </c>
      <c r="AA2903" t="s">
        <v>37</v>
      </c>
      <c r="AB2903" t="s">
        <v>44</v>
      </c>
      <c r="AC2903" s="7">
        <v>1</v>
      </c>
      <c r="AD2903" t="s">
        <v>45</v>
      </c>
      <c r="AE2903">
        <f t="shared" si="45"/>
        <v>1</v>
      </c>
    </row>
    <row r="2904" spans="1:31" x14ac:dyDescent="0.35">
      <c r="A2904">
        <v>102903</v>
      </c>
      <c r="B2904" s="3">
        <v>46022</v>
      </c>
      <c r="C2904">
        <v>1094</v>
      </c>
      <c r="D2904" t="s">
        <v>59</v>
      </c>
      <c r="E2904" t="s">
        <v>60</v>
      </c>
      <c r="F2904" t="s">
        <v>32</v>
      </c>
      <c r="G2904" t="s">
        <v>50</v>
      </c>
      <c r="H2904" t="s">
        <v>57</v>
      </c>
      <c r="I2904" t="s">
        <v>54</v>
      </c>
      <c r="J2904" s="4">
        <v>30.65</v>
      </c>
      <c r="K2904" s="4">
        <v>19.23</v>
      </c>
      <c r="L2904">
        <v>0</v>
      </c>
      <c r="M2904" s="4">
        <v>0</v>
      </c>
      <c r="N2904" s="4">
        <v>589.4</v>
      </c>
      <c r="O2904" s="4">
        <v>221.02</v>
      </c>
      <c r="P2904" s="4">
        <v>5.9</v>
      </c>
      <c r="Q2904" s="4">
        <v>7.07</v>
      </c>
      <c r="R2904" s="4">
        <v>0</v>
      </c>
      <c r="S2904" s="4">
        <v>0</v>
      </c>
      <c r="T2904" s="4">
        <v>0</v>
      </c>
      <c r="U2904" s="4">
        <v>233.99</v>
      </c>
      <c r="V2904" s="4">
        <v>355.41</v>
      </c>
      <c r="W2904" t="s">
        <v>21</v>
      </c>
      <c r="X2904" t="s">
        <v>36</v>
      </c>
      <c r="Y2904" s="4">
        <v>30</v>
      </c>
      <c r="Z2904" s="4">
        <v>21</v>
      </c>
      <c r="AA2904" t="s">
        <v>52</v>
      </c>
      <c r="AB2904" t="s">
        <v>44</v>
      </c>
      <c r="AC2904" s="7">
        <v>4</v>
      </c>
      <c r="AD2904" t="s">
        <v>45</v>
      </c>
      <c r="AE2904">
        <f t="shared" si="45"/>
        <v>1</v>
      </c>
    </row>
    <row r="2905" spans="1:31" x14ac:dyDescent="0.35">
      <c r="A2905">
        <v>102904</v>
      </c>
      <c r="B2905" s="3">
        <v>45969</v>
      </c>
      <c r="C2905">
        <v>1142</v>
      </c>
      <c r="D2905" t="s">
        <v>30</v>
      </c>
      <c r="E2905" t="s">
        <v>72</v>
      </c>
      <c r="F2905" t="s">
        <v>41</v>
      </c>
      <c r="G2905" t="s">
        <v>46</v>
      </c>
      <c r="H2905" t="s">
        <v>51</v>
      </c>
      <c r="I2905" t="s">
        <v>35</v>
      </c>
      <c r="J2905" s="4">
        <v>35.36</v>
      </c>
      <c r="K2905" s="4">
        <v>15.98</v>
      </c>
      <c r="L2905">
        <v>10</v>
      </c>
      <c r="M2905" s="4">
        <v>56.5</v>
      </c>
      <c r="N2905" s="4">
        <v>508.55</v>
      </c>
      <c r="O2905" s="4">
        <v>229.36</v>
      </c>
      <c r="P2905" s="4">
        <v>5.0199999999999996</v>
      </c>
      <c r="Q2905" s="4">
        <v>3.96</v>
      </c>
      <c r="R2905" s="4">
        <v>9.39</v>
      </c>
      <c r="S2905" s="4">
        <v>0</v>
      </c>
      <c r="T2905" s="4">
        <v>0</v>
      </c>
      <c r="U2905" s="4">
        <v>247.73</v>
      </c>
      <c r="V2905" s="4">
        <v>260.82</v>
      </c>
      <c r="W2905" t="s">
        <v>21</v>
      </c>
      <c r="X2905" t="s">
        <v>36</v>
      </c>
      <c r="Y2905" s="4">
        <v>0</v>
      </c>
      <c r="Z2905" s="4">
        <v>6</v>
      </c>
      <c r="AA2905" t="s">
        <v>37</v>
      </c>
      <c r="AB2905" t="s">
        <v>38</v>
      </c>
      <c r="AC2905" s="7">
        <v>0</v>
      </c>
      <c r="AD2905" t="s">
        <v>39</v>
      </c>
      <c r="AE2905">
        <f t="shared" si="45"/>
        <v>0</v>
      </c>
    </row>
    <row r="2906" spans="1:31" x14ac:dyDescent="0.35">
      <c r="A2906">
        <v>102905</v>
      </c>
      <c r="B2906" s="3">
        <v>45974</v>
      </c>
      <c r="C2906">
        <v>1096</v>
      </c>
      <c r="D2906" t="s">
        <v>64</v>
      </c>
      <c r="E2906" t="s">
        <v>76</v>
      </c>
      <c r="F2906" t="s">
        <v>41</v>
      </c>
      <c r="G2906" t="s">
        <v>63</v>
      </c>
      <c r="H2906" t="s">
        <v>57</v>
      </c>
      <c r="I2906" t="s">
        <v>42</v>
      </c>
      <c r="J2906" s="4">
        <v>23.4</v>
      </c>
      <c r="K2906" s="4">
        <v>12.68</v>
      </c>
      <c r="L2906">
        <v>0</v>
      </c>
      <c r="M2906" s="4">
        <v>0</v>
      </c>
      <c r="N2906" s="4">
        <v>296.70999999999998</v>
      </c>
      <c r="O2906" s="4">
        <v>125.7</v>
      </c>
      <c r="P2906" s="4">
        <v>3.04</v>
      </c>
      <c r="Q2906" s="4">
        <v>4.45</v>
      </c>
      <c r="R2906" s="4">
        <v>8.2200000000000006</v>
      </c>
      <c r="S2906" s="4">
        <v>0</v>
      </c>
      <c r="T2906" s="4">
        <v>0</v>
      </c>
      <c r="U2906" s="4">
        <v>141.41</v>
      </c>
      <c r="V2906" s="4">
        <v>155.30000000000001</v>
      </c>
      <c r="W2906" t="s">
        <v>21</v>
      </c>
      <c r="X2906" t="s">
        <v>36</v>
      </c>
      <c r="Y2906" s="4">
        <v>6</v>
      </c>
      <c r="Z2906" s="4">
        <v>37</v>
      </c>
      <c r="AA2906" t="s">
        <v>37</v>
      </c>
      <c r="AB2906" t="s">
        <v>44</v>
      </c>
      <c r="AC2906" s="7">
        <v>2</v>
      </c>
      <c r="AD2906" t="s">
        <v>45</v>
      </c>
      <c r="AE2906">
        <f t="shared" si="45"/>
        <v>1</v>
      </c>
    </row>
    <row r="2907" spans="1:31" x14ac:dyDescent="0.35">
      <c r="A2907">
        <v>102906</v>
      </c>
      <c r="B2907" s="3">
        <v>46020</v>
      </c>
      <c r="C2907">
        <v>1070</v>
      </c>
      <c r="D2907" t="s">
        <v>47</v>
      </c>
      <c r="E2907" t="s">
        <v>53</v>
      </c>
      <c r="F2907" t="s">
        <v>61</v>
      </c>
      <c r="G2907" t="s">
        <v>63</v>
      </c>
      <c r="H2907" t="s">
        <v>34</v>
      </c>
      <c r="I2907" t="s">
        <v>35</v>
      </c>
      <c r="J2907" s="4">
        <v>27.69</v>
      </c>
      <c r="K2907" s="4">
        <v>14.26</v>
      </c>
      <c r="L2907">
        <v>15</v>
      </c>
      <c r="M2907" s="4">
        <v>59.23</v>
      </c>
      <c r="N2907" s="4">
        <v>335.63</v>
      </c>
      <c r="O2907" s="4">
        <v>171.31</v>
      </c>
      <c r="P2907" s="4">
        <v>7.6</v>
      </c>
      <c r="Q2907" s="4">
        <v>2.76</v>
      </c>
      <c r="R2907" s="4">
        <v>0</v>
      </c>
      <c r="S2907" s="4">
        <v>304.27999999999997</v>
      </c>
      <c r="T2907" s="4">
        <v>0</v>
      </c>
      <c r="U2907" s="4">
        <v>485.95</v>
      </c>
      <c r="V2907" s="4">
        <v>-150.32</v>
      </c>
      <c r="W2907" t="s">
        <v>58</v>
      </c>
      <c r="X2907" t="s">
        <v>55</v>
      </c>
      <c r="Y2907" s="4">
        <v>4</v>
      </c>
      <c r="Z2907" s="4">
        <v>5</v>
      </c>
      <c r="AA2907" t="s">
        <v>37</v>
      </c>
      <c r="AB2907" t="s">
        <v>44</v>
      </c>
      <c r="AC2907" s="7">
        <v>1</v>
      </c>
      <c r="AD2907" t="s">
        <v>45</v>
      </c>
      <c r="AE2907">
        <f t="shared" si="45"/>
        <v>1</v>
      </c>
    </row>
    <row r="2908" spans="1:31" x14ac:dyDescent="0.35">
      <c r="A2908">
        <v>102907</v>
      </c>
      <c r="B2908" s="3">
        <v>45982</v>
      </c>
      <c r="C2908">
        <v>1130</v>
      </c>
      <c r="D2908" t="s">
        <v>47</v>
      </c>
      <c r="E2908" t="s">
        <v>56</v>
      </c>
      <c r="F2908" t="s">
        <v>61</v>
      </c>
      <c r="G2908" t="s">
        <v>50</v>
      </c>
      <c r="H2908" t="s">
        <v>34</v>
      </c>
      <c r="I2908" t="s">
        <v>35</v>
      </c>
      <c r="J2908" s="4">
        <v>31.28</v>
      </c>
      <c r="K2908" s="4">
        <v>19.29</v>
      </c>
      <c r="L2908">
        <v>0</v>
      </c>
      <c r="M2908" s="4">
        <v>0</v>
      </c>
      <c r="N2908" s="4">
        <v>603.39</v>
      </c>
      <c r="O2908" s="4">
        <v>199.64</v>
      </c>
      <c r="P2908" s="4">
        <v>6.32</v>
      </c>
      <c r="Q2908" s="4">
        <v>4.22</v>
      </c>
      <c r="R2908" s="4">
        <v>4.0199999999999996</v>
      </c>
      <c r="S2908" s="4">
        <v>514.5</v>
      </c>
      <c r="T2908" s="4">
        <v>0</v>
      </c>
      <c r="U2908" s="4">
        <v>728.7</v>
      </c>
      <c r="V2908" s="4">
        <v>-125.31</v>
      </c>
      <c r="W2908" t="s">
        <v>58</v>
      </c>
      <c r="X2908" t="s">
        <v>66</v>
      </c>
      <c r="Y2908" s="4">
        <v>20</v>
      </c>
      <c r="Z2908" s="4">
        <v>13</v>
      </c>
      <c r="AA2908" t="s">
        <v>52</v>
      </c>
      <c r="AB2908" t="s">
        <v>38</v>
      </c>
      <c r="AC2908" s="7">
        <v>1</v>
      </c>
      <c r="AD2908" t="s">
        <v>45</v>
      </c>
      <c r="AE2908">
        <f t="shared" si="45"/>
        <v>0</v>
      </c>
    </row>
    <row r="2909" spans="1:31" x14ac:dyDescent="0.35">
      <c r="A2909">
        <v>102908</v>
      </c>
      <c r="B2909" s="3">
        <v>45977</v>
      </c>
      <c r="C2909">
        <v>1056</v>
      </c>
      <c r="D2909" t="s">
        <v>30</v>
      </c>
      <c r="E2909" t="s">
        <v>72</v>
      </c>
      <c r="F2909" t="s">
        <v>61</v>
      </c>
      <c r="G2909" t="s">
        <v>50</v>
      </c>
      <c r="H2909" t="s">
        <v>51</v>
      </c>
      <c r="I2909" t="s">
        <v>35</v>
      </c>
      <c r="J2909" s="4">
        <v>10.55</v>
      </c>
      <c r="K2909" s="4">
        <v>18.420000000000002</v>
      </c>
      <c r="L2909">
        <v>15</v>
      </c>
      <c r="M2909" s="4">
        <v>29.15</v>
      </c>
      <c r="N2909" s="4">
        <v>165.18</v>
      </c>
      <c r="O2909" s="4">
        <v>82.3</v>
      </c>
      <c r="P2909" s="4">
        <v>9.14</v>
      </c>
      <c r="Q2909" s="4">
        <v>1.36</v>
      </c>
      <c r="R2909" s="4">
        <v>5.19</v>
      </c>
      <c r="S2909" s="4">
        <v>170.96</v>
      </c>
      <c r="T2909" s="4">
        <v>17.649999999999999</v>
      </c>
      <c r="U2909" s="4">
        <v>286.60000000000002</v>
      </c>
      <c r="V2909" s="4">
        <v>-121.42</v>
      </c>
      <c r="W2909" t="s">
        <v>58</v>
      </c>
      <c r="X2909" t="s">
        <v>55</v>
      </c>
      <c r="Y2909" s="4">
        <v>7</v>
      </c>
      <c r="Z2909" s="4">
        <v>4</v>
      </c>
      <c r="AA2909" t="s">
        <v>37</v>
      </c>
      <c r="AB2909" t="s">
        <v>44</v>
      </c>
      <c r="AC2909" s="7">
        <v>1</v>
      </c>
      <c r="AD2909" t="s">
        <v>45</v>
      </c>
      <c r="AE2909">
        <f t="shared" si="45"/>
        <v>1</v>
      </c>
    </row>
    <row r="2910" spans="1:31" x14ac:dyDescent="0.35">
      <c r="A2910">
        <v>102909</v>
      </c>
      <c r="B2910" s="3">
        <v>46005</v>
      </c>
      <c r="C2910">
        <v>1134</v>
      </c>
      <c r="D2910" t="s">
        <v>30</v>
      </c>
      <c r="E2910" t="s">
        <v>62</v>
      </c>
      <c r="F2910" t="s">
        <v>61</v>
      </c>
      <c r="G2910" t="s">
        <v>63</v>
      </c>
      <c r="H2910" t="s">
        <v>57</v>
      </c>
      <c r="I2910" t="s">
        <v>42</v>
      </c>
      <c r="J2910" s="4">
        <v>18.32</v>
      </c>
      <c r="K2910" s="4">
        <v>13.31</v>
      </c>
      <c r="L2910">
        <v>15</v>
      </c>
      <c r="M2910" s="4">
        <v>36.58</v>
      </c>
      <c r="N2910" s="4">
        <v>207.26</v>
      </c>
      <c r="O2910" s="4">
        <v>150.19</v>
      </c>
      <c r="P2910" s="4">
        <v>8.11</v>
      </c>
      <c r="Q2910" s="4">
        <v>3.66</v>
      </c>
      <c r="R2910" s="4">
        <v>0.7</v>
      </c>
      <c r="S2910" s="4">
        <v>0</v>
      </c>
      <c r="T2910" s="4">
        <v>0</v>
      </c>
      <c r="U2910" s="4">
        <v>162.66</v>
      </c>
      <c r="V2910" s="4">
        <v>44.6</v>
      </c>
      <c r="W2910" t="s">
        <v>21</v>
      </c>
      <c r="X2910" t="s">
        <v>36</v>
      </c>
      <c r="Y2910" s="4">
        <v>0</v>
      </c>
      <c r="Z2910" s="4">
        <v>4</v>
      </c>
      <c r="AA2910" t="s">
        <v>37</v>
      </c>
      <c r="AB2910" t="s">
        <v>38</v>
      </c>
      <c r="AC2910" s="7">
        <v>0</v>
      </c>
      <c r="AD2910" t="s">
        <v>39</v>
      </c>
      <c r="AE2910">
        <f t="shared" si="45"/>
        <v>0</v>
      </c>
    </row>
    <row r="2911" spans="1:31" x14ac:dyDescent="0.35">
      <c r="A2911">
        <v>102910</v>
      </c>
      <c r="B2911" s="3">
        <v>45977</v>
      </c>
      <c r="C2911">
        <v>1055</v>
      </c>
      <c r="D2911" t="s">
        <v>47</v>
      </c>
      <c r="E2911" t="s">
        <v>53</v>
      </c>
      <c r="F2911" t="s">
        <v>32</v>
      </c>
      <c r="G2911" t="s">
        <v>63</v>
      </c>
      <c r="H2911" t="s">
        <v>34</v>
      </c>
      <c r="I2911" t="s">
        <v>35</v>
      </c>
      <c r="J2911" s="4">
        <v>20.67</v>
      </c>
      <c r="K2911" s="4">
        <v>13.81</v>
      </c>
      <c r="L2911">
        <v>15</v>
      </c>
      <c r="M2911" s="4">
        <v>42.82</v>
      </c>
      <c r="N2911" s="4">
        <v>242.63</v>
      </c>
      <c r="O2911" s="4">
        <v>108.87</v>
      </c>
      <c r="P2911" s="4">
        <v>8.6</v>
      </c>
      <c r="Q2911" s="4">
        <v>2</v>
      </c>
      <c r="R2911" s="4">
        <v>4.95</v>
      </c>
      <c r="S2911" s="4">
        <v>266.38</v>
      </c>
      <c r="T2911" s="4">
        <v>0</v>
      </c>
      <c r="U2911" s="4">
        <v>390.8</v>
      </c>
      <c r="V2911" s="4">
        <v>-148.16999999999999</v>
      </c>
      <c r="W2911" t="s">
        <v>58</v>
      </c>
      <c r="X2911" t="s">
        <v>55</v>
      </c>
      <c r="Y2911" s="4">
        <v>28</v>
      </c>
      <c r="Z2911" s="4">
        <v>18</v>
      </c>
      <c r="AA2911" t="s">
        <v>52</v>
      </c>
      <c r="AB2911" t="s">
        <v>44</v>
      </c>
      <c r="AC2911" s="7">
        <v>1</v>
      </c>
      <c r="AD2911" t="s">
        <v>45</v>
      </c>
      <c r="AE2911">
        <f t="shared" si="45"/>
        <v>1</v>
      </c>
    </row>
    <row r="2912" spans="1:31" x14ac:dyDescent="0.35">
      <c r="A2912">
        <v>102911</v>
      </c>
      <c r="B2912" s="3">
        <v>45996</v>
      </c>
      <c r="C2912">
        <v>1075</v>
      </c>
      <c r="D2912" t="s">
        <v>30</v>
      </c>
      <c r="E2912" t="s">
        <v>72</v>
      </c>
      <c r="F2912" t="s">
        <v>71</v>
      </c>
      <c r="G2912" t="s">
        <v>63</v>
      </c>
      <c r="H2912" t="s">
        <v>34</v>
      </c>
      <c r="I2912" t="s">
        <v>35</v>
      </c>
      <c r="J2912" s="4">
        <v>28.71</v>
      </c>
      <c r="K2912" s="4">
        <v>12.05</v>
      </c>
      <c r="L2912">
        <v>0</v>
      </c>
      <c r="M2912" s="4">
        <v>0</v>
      </c>
      <c r="N2912" s="4">
        <v>345.96</v>
      </c>
      <c r="O2912" s="4">
        <v>193.3</v>
      </c>
      <c r="P2912" s="4">
        <v>6.19</v>
      </c>
      <c r="Q2912" s="4">
        <v>2.42</v>
      </c>
      <c r="R2912" s="4">
        <v>2.0099999999999998</v>
      </c>
      <c r="S2912" s="4">
        <v>0</v>
      </c>
      <c r="T2912" s="4">
        <v>0</v>
      </c>
      <c r="U2912" s="4">
        <v>203.92</v>
      </c>
      <c r="V2912" s="4">
        <v>142.04</v>
      </c>
      <c r="W2912" t="s">
        <v>21</v>
      </c>
      <c r="X2912" t="s">
        <v>36</v>
      </c>
      <c r="Y2912" s="4">
        <v>18</v>
      </c>
      <c r="Z2912" s="4">
        <v>7</v>
      </c>
      <c r="AA2912" t="s">
        <v>52</v>
      </c>
      <c r="AB2912" t="s">
        <v>38</v>
      </c>
      <c r="AC2912" s="7">
        <v>0</v>
      </c>
      <c r="AD2912" t="s">
        <v>39</v>
      </c>
      <c r="AE2912">
        <f t="shared" si="45"/>
        <v>0</v>
      </c>
    </row>
    <row r="2913" spans="1:31" x14ac:dyDescent="0.35">
      <c r="A2913">
        <v>102912</v>
      </c>
      <c r="B2913" s="3">
        <v>45947</v>
      </c>
      <c r="C2913">
        <v>1125</v>
      </c>
      <c r="D2913" t="s">
        <v>59</v>
      </c>
      <c r="E2913" t="s">
        <v>73</v>
      </c>
      <c r="F2913" t="s">
        <v>41</v>
      </c>
      <c r="G2913" t="s">
        <v>46</v>
      </c>
      <c r="H2913" t="s">
        <v>51</v>
      </c>
      <c r="I2913" t="s">
        <v>35</v>
      </c>
      <c r="J2913" s="4">
        <v>34.07</v>
      </c>
      <c r="K2913" s="4">
        <v>15.41</v>
      </c>
      <c r="L2913">
        <v>5</v>
      </c>
      <c r="M2913" s="4">
        <v>26.25</v>
      </c>
      <c r="N2913" s="4">
        <v>498.77</v>
      </c>
      <c r="O2913" s="4">
        <v>253.62</v>
      </c>
      <c r="P2913" s="4">
        <v>7.59</v>
      </c>
      <c r="Q2913" s="4">
        <v>3.68</v>
      </c>
      <c r="R2913" s="4">
        <v>0</v>
      </c>
      <c r="S2913" s="4">
        <v>0</v>
      </c>
      <c r="T2913" s="4">
        <v>0</v>
      </c>
      <c r="U2913" s="4">
        <v>264.89</v>
      </c>
      <c r="V2913" s="4">
        <v>233.88</v>
      </c>
      <c r="W2913" t="s">
        <v>21</v>
      </c>
      <c r="X2913" t="s">
        <v>36</v>
      </c>
      <c r="Y2913" s="4">
        <v>0</v>
      </c>
      <c r="Z2913" s="4">
        <v>15</v>
      </c>
      <c r="AA2913" t="s">
        <v>37</v>
      </c>
      <c r="AB2913" t="s">
        <v>38</v>
      </c>
      <c r="AC2913" s="7">
        <v>0</v>
      </c>
      <c r="AD2913" t="s">
        <v>39</v>
      </c>
      <c r="AE2913">
        <f t="shared" si="45"/>
        <v>0</v>
      </c>
    </row>
    <row r="2914" spans="1:31" x14ac:dyDescent="0.35">
      <c r="A2914">
        <v>102913</v>
      </c>
      <c r="B2914" s="3">
        <v>45986</v>
      </c>
      <c r="C2914">
        <v>1084</v>
      </c>
      <c r="D2914" t="s">
        <v>47</v>
      </c>
      <c r="E2914" t="s">
        <v>74</v>
      </c>
      <c r="F2914" t="s">
        <v>61</v>
      </c>
      <c r="G2914" t="s">
        <v>46</v>
      </c>
      <c r="H2914" t="s">
        <v>57</v>
      </c>
      <c r="I2914" t="s">
        <v>54</v>
      </c>
      <c r="J2914" s="4">
        <v>35.340000000000003</v>
      </c>
      <c r="K2914" s="4">
        <v>15.68</v>
      </c>
      <c r="L2914">
        <v>5</v>
      </c>
      <c r="M2914" s="4">
        <v>27.71</v>
      </c>
      <c r="N2914" s="4">
        <v>526.41999999999996</v>
      </c>
      <c r="O2914" s="4">
        <v>217.32</v>
      </c>
      <c r="P2914" s="4">
        <v>5.86</v>
      </c>
      <c r="Q2914" s="4">
        <v>6.65</v>
      </c>
      <c r="R2914" s="4">
        <v>7.76</v>
      </c>
      <c r="S2914" s="4">
        <v>0</v>
      </c>
      <c r="T2914" s="4">
        <v>0</v>
      </c>
      <c r="U2914" s="4">
        <v>237.59</v>
      </c>
      <c r="V2914" s="4">
        <v>288.83</v>
      </c>
      <c r="W2914" t="s">
        <v>21</v>
      </c>
      <c r="X2914" t="s">
        <v>36</v>
      </c>
      <c r="Y2914" s="4">
        <v>9</v>
      </c>
      <c r="Z2914" s="4">
        <v>36</v>
      </c>
      <c r="AA2914" t="s">
        <v>37</v>
      </c>
      <c r="AB2914" t="s">
        <v>44</v>
      </c>
      <c r="AC2914" s="7">
        <v>1</v>
      </c>
      <c r="AD2914" t="s">
        <v>45</v>
      </c>
      <c r="AE2914">
        <f t="shared" si="45"/>
        <v>1</v>
      </c>
    </row>
    <row r="2915" spans="1:31" x14ac:dyDescent="0.35">
      <c r="A2915">
        <v>102914</v>
      </c>
      <c r="B2915" s="3">
        <v>46015</v>
      </c>
      <c r="C2915">
        <v>1097</v>
      </c>
      <c r="D2915" t="s">
        <v>64</v>
      </c>
      <c r="E2915" t="s">
        <v>76</v>
      </c>
      <c r="F2915" t="s">
        <v>71</v>
      </c>
      <c r="G2915" t="s">
        <v>63</v>
      </c>
      <c r="H2915" t="s">
        <v>51</v>
      </c>
      <c r="I2915" t="s">
        <v>35</v>
      </c>
      <c r="J2915" s="4">
        <v>18.260000000000002</v>
      </c>
      <c r="K2915" s="4">
        <v>13.65</v>
      </c>
      <c r="L2915">
        <v>15</v>
      </c>
      <c r="M2915" s="4">
        <v>37.39</v>
      </c>
      <c r="N2915" s="4">
        <v>211.86</v>
      </c>
      <c r="O2915" s="4">
        <v>122.44</v>
      </c>
      <c r="P2915" s="4">
        <v>5.04</v>
      </c>
      <c r="Q2915" s="4">
        <v>1.74</v>
      </c>
      <c r="R2915" s="4">
        <v>5.39</v>
      </c>
      <c r="S2915" s="4">
        <v>0</v>
      </c>
      <c r="T2915" s="4">
        <v>0</v>
      </c>
      <c r="U2915" s="4">
        <v>134.61000000000001</v>
      </c>
      <c r="V2915" s="4">
        <v>77.25</v>
      </c>
      <c r="W2915" t="s">
        <v>21</v>
      </c>
      <c r="X2915" t="s">
        <v>36</v>
      </c>
      <c r="Y2915" s="4">
        <v>5</v>
      </c>
      <c r="Z2915" s="4">
        <v>9</v>
      </c>
      <c r="AA2915" t="s">
        <v>37</v>
      </c>
      <c r="AB2915" t="s">
        <v>38</v>
      </c>
      <c r="AC2915" s="7">
        <v>1</v>
      </c>
      <c r="AD2915" t="s">
        <v>39</v>
      </c>
      <c r="AE2915">
        <f t="shared" si="45"/>
        <v>0</v>
      </c>
    </row>
    <row r="2916" spans="1:31" x14ac:dyDescent="0.35">
      <c r="A2916">
        <v>102915</v>
      </c>
      <c r="B2916" s="3">
        <v>45934</v>
      </c>
      <c r="C2916">
        <v>1071</v>
      </c>
      <c r="D2916" t="s">
        <v>47</v>
      </c>
      <c r="E2916" t="s">
        <v>74</v>
      </c>
      <c r="F2916" t="s">
        <v>71</v>
      </c>
      <c r="G2916" t="s">
        <v>46</v>
      </c>
      <c r="H2916" t="s">
        <v>57</v>
      </c>
      <c r="I2916" t="s">
        <v>35</v>
      </c>
      <c r="J2916" s="4">
        <v>34.61</v>
      </c>
      <c r="K2916" s="4">
        <v>15.74</v>
      </c>
      <c r="L2916">
        <v>0</v>
      </c>
      <c r="M2916" s="4">
        <v>0</v>
      </c>
      <c r="N2916" s="4">
        <v>544.76</v>
      </c>
      <c r="O2916" s="4">
        <v>240.39</v>
      </c>
      <c r="P2916" s="4">
        <v>10.64</v>
      </c>
      <c r="Q2916" s="4">
        <v>3.81</v>
      </c>
      <c r="R2916" s="4">
        <v>9.98</v>
      </c>
      <c r="S2916" s="4">
        <v>0</v>
      </c>
      <c r="T2916" s="4">
        <v>0</v>
      </c>
      <c r="U2916" s="4">
        <v>264.82</v>
      </c>
      <c r="V2916" s="4">
        <v>279.94</v>
      </c>
      <c r="W2916" t="s">
        <v>21</v>
      </c>
      <c r="X2916" t="s">
        <v>36</v>
      </c>
      <c r="Y2916" s="4">
        <v>5</v>
      </c>
      <c r="Z2916" s="4">
        <v>4</v>
      </c>
      <c r="AA2916" t="s">
        <v>37</v>
      </c>
      <c r="AB2916" t="s">
        <v>38</v>
      </c>
      <c r="AC2916" s="7">
        <v>0</v>
      </c>
      <c r="AD2916" t="s">
        <v>39</v>
      </c>
      <c r="AE2916">
        <f t="shared" si="45"/>
        <v>0</v>
      </c>
    </row>
    <row r="2917" spans="1:31" x14ac:dyDescent="0.35">
      <c r="A2917">
        <v>102916</v>
      </c>
      <c r="B2917" s="3">
        <v>45969</v>
      </c>
      <c r="C2917">
        <v>1034</v>
      </c>
      <c r="D2917" t="s">
        <v>59</v>
      </c>
      <c r="E2917" t="s">
        <v>73</v>
      </c>
      <c r="F2917" t="s">
        <v>49</v>
      </c>
      <c r="G2917" t="s">
        <v>50</v>
      </c>
      <c r="H2917" t="s">
        <v>34</v>
      </c>
      <c r="I2917" t="s">
        <v>35</v>
      </c>
      <c r="J2917" s="4">
        <v>13.88</v>
      </c>
      <c r="K2917" s="4">
        <v>17.239999999999998</v>
      </c>
      <c r="L2917">
        <v>0</v>
      </c>
      <c r="M2917" s="4">
        <v>0</v>
      </c>
      <c r="N2917" s="4">
        <v>239.29</v>
      </c>
      <c r="O2917" s="4">
        <v>113.77</v>
      </c>
      <c r="P2917" s="4">
        <v>13.36</v>
      </c>
      <c r="Q2917" s="4">
        <v>1.68</v>
      </c>
      <c r="R2917" s="4">
        <v>4.41</v>
      </c>
      <c r="S2917" s="4">
        <v>0</v>
      </c>
      <c r="T2917" s="4">
        <v>0</v>
      </c>
      <c r="U2917" s="4">
        <v>133.22</v>
      </c>
      <c r="V2917" s="4">
        <v>106.07</v>
      </c>
      <c r="W2917" t="s">
        <v>21</v>
      </c>
      <c r="X2917" t="s">
        <v>36</v>
      </c>
      <c r="Y2917" s="4">
        <v>1</v>
      </c>
      <c r="Z2917" s="4">
        <v>2</v>
      </c>
      <c r="AA2917" t="s">
        <v>37</v>
      </c>
      <c r="AB2917" t="s">
        <v>38</v>
      </c>
      <c r="AC2917" s="7">
        <v>0</v>
      </c>
      <c r="AD2917" t="s">
        <v>39</v>
      </c>
      <c r="AE2917">
        <f t="shared" si="45"/>
        <v>0</v>
      </c>
    </row>
    <row r="2918" spans="1:31" x14ac:dyDescent="0.35">
      <c r="A2918">
        <v>102917</v>
      </c>
      <c r="B2918" s="3">
        <v>45963</v>
      </c>
      <c r="C2918">
        <v>1032</v>
      </c>
      <c r="D2918" t="s">
        <v>30</v>
      </c>
      <c r="E2918" t="s">
        <v>62</v>
      </c>
      <c r="F2918" t="s">
        <v>71</v>
      </c>
      <c r="G2918" t="s">
        <v>46</v>
      </c>
      <c r="H2918" t="s">
        <v>51</v>
      </c>
      <c r="I2918" t="s">
        <v>42</v>
      </c>
      <c r="J2918" s="4">
        <v>25.29</v>
      </c>
      <c r="K2918" s="4">
        <v>15.58</v>
      </c>
      <c r="L2918">
        <v>0</v>
      </c>
      <c r="M2918" s="4">
        <v>0</v>
      </c>
      <c r="N2918" s="4">
        <v>394.02</v>
      </c>
      <c r="O2918" s="4">
        <v>173.69</v>
      </c>
      <c r="P2918" s="4">
        <v>4.53</v>
      </c>
      <c r="Q2918" s="4">
        <v>5.91</v>
      </c>
      <c r="R2918" s="4">
        <v>11.39</v>
      </c>
      <c r="S2918" s="4">
        <v>0</v>
      </c>
      <c r="T2918" s="4">
        <v>0</v>
      </c>
      <c r="U2918" s="4">
        <v>195.52</v>
      </c>
      <c r="V2918" s="4">
        <v>198.5</v>
      </c>
      <c r="W2918" t="s">
        <v>21</v>
      </c>
      <c r="X2918" t="s">
        <v>36</v>
      </c>
      <c r="Y2918" s="4">
        <v>0</v>
      </c>
      <c r="Z2918" s="4">
        <v>1</v>
      </c>
      <c r="AA2918" t="s">
        <v>37</v>
      </c>
      <c r="AB2918" t="s">
        <v>38</v>
      </c>
      <c r="AC2918" s="7">
        <v>0</v>
      </c>
      <c r="AD2918" t="s">
        <v>39</v>
      </c>
      <c r="AE2918">
        <f t="shared" si="45"/>
        <v>0</v>
      </c>
    </row>
    <row r="2919" spans="1:31" x14ac:dyDescent="0.35">
      <c r="A2919">
        <v>102918</v>
      </c>
      <c r="B2919" s="3">
        <v>45936</v>
      </c>
      <c r="C2919">
        <v>1091</v>
      </c>
      <c r="D2919" t="s">
        <v>30</v>
      </c>
      <c r="E2919" t="s">
        <v>62</v>
      </c>
      <c r="F2919" t="s">
        <v>49</v>
      </c>
      <c r="G2919" t="s">
        <v>63</v>
      </c>
      <c r="H2919" t="s">
        <v>51</v>
      </c>
      <c r="I2919" t="s">
        <v>69</v>
      </c>
      <c r="J2919" s="4">
        <v>11.08</v>
      </c>
      <c r="K2919" s="4">
        <v>12.11</v>
      </c>
      <c r="L2919">
        <v>0</v>
      </c>
      <c r="M2919" s="4">
        <v>0</v>
      </c>
      <c r="N2919" s="4">
        <v>134.18</v>
      </c>
      <c r="O2919" s="4">
        <v>65.89</v>
      </c>
      <c r="P2919" s="4">
        <v>7.61</v>
      </c>
      <c r="Q2919" s="4">
        <v>0.54</v>
      </c>
      <c r="R2919" s="4">
        <v>4.01</v>
      </c>
      <c r="S2919" s="4">
        <v>0</v>
      </c>
      <c r="T2919" s="4">
        <v>0</v>
      </c>
      <c r="U2919" s="4">
        <v>78.05</v>
      </c>
      <c r="V2919" s="4">
        <v>56.13</v>
      </c>
      <c r="W2919" t="s">
        <v>21</v>
      </c>
      <c r="X2919" t="s">
        <v>36</v>
      </c>
      <c r="Y2919" s="4">
        <v>18</v>
      </c>
      <c r="Z2919" s="4">
        <v>20</v>
      </c>
      <c r="AA2919" t="s">
        <v>52</v>
      </c>
      <c r="AB2919" t="s">
        <v>44</v>
      </c>
      <c r="AC2919" s="7">
        <v>2</v>
      </c>
      <c r="AD2919" t="s">
        <v>45</v>
      </c>
      <c r="AE2919">
        <f t="shared" si="45"/>
        <v>1</v>
      </c>
    </row>
    <row r="2920" spans="1:31" x14ac:dyDescent="0.35">
      <c r="A2920">
        <v>102919</v>
      </c>
      <c r="B2920" s="3">
        <v>46008</v>
      </c>
      <c r="C2920">
        <v>1104</v>
      </c>
      <c r="D2920" t="s">
        <v>59</v>
      </c>
      <c r="E2920" t="s">
        <v>60</v>
      </c>
      <c r="F2920" t="s">
        <v>41</v>
      </c>
      <c r="G2920" t="s">
        <v>63</v>
      </c>
      <c r="H2920" t="s">
        <v>34</v>
      </c>
      <c r="I2920" t="s">
        <v>35</v>
      </c>
      <c r="J2920" s="4">
        <v>12.89</v>
      </c>
      <c r="K2920" s="4">
        <v>12.43</v>
      </c>
      <c r="L2920">
        <v>0</v>
      </c>
      <c r="M2920" s="4">
        <v>0</v>
      </c>
      <c r="N2920" s="4">
        <v>160.22</v>
      </c>
      <c r="O2920" s="4">
        <v>84.03</v>
      </c>
      <c r="P2920" s="4">
        <v>5.65</v>
      </c>
      <c r="Q2920" s="4">
        <v>1.1200000000000001</v>
      </c>
      <c r="R2920" s="4">
        <v>3.55</v>
      </c>
      <c r="S2920" s="4">
        <v>0</v>
      </c>
      <c r="T2920" s="4">
        <v>0</v>
      </c>
      <c r="U2920" s="4">
        <v>94.35</v>
      </c>
      <c r="V2920" s="4">
        <v>65.87</v>
      </c>
      <c r="W2920" t="s">
        <v>21</v>
      </c>
      <c r="X2920" t="s">
        <v>36</v>
      </c>
      <c r="Y2920" s="4">
        <v>1</v>
      </c>
      <c r="Z2920" s="4">
        <v>7</v>
      </c>
      <c r="AA2920" t="s">
        <v>37</v>
      </c>
      <c r="AB2920" t="s">
        <v>38</v>
      </c>
      <c r="AC2920" s="7">
        <v>0</v>
      </c>
      <c r="AD2920" t="s">
        <v>39</v>
      </c>
      <c r="AE2920">
        <f t="shared" si="45"/>
        <v>0</v>
      </c>
    </row>
    <row r="2921" spans="1:31" x14ac:dyDescent="0.35">
      <c r="A2921">
        <v>102920</v>
      </c>
      <c r="B2921" s="3">
        <v>45947</v>
      </c>
      <c r="C2921">
        <v>1059</v>
      </c>
      <c r="D2921" t="s">
        <v>59</v>
      </c>
      <c r="E2921" t="s">
        <v>68</v>
      </c>
      <c r="F2921" t="s">
        <v>71</v>
      </c>
      <c r="G2921" t="s">
        <v>33</v>
      </c>
      <c r="H2921" t="s">
        <v>57</v>
      </c>
      <c r="I2921" t="s">
        <v>35</v>
      </c>
      <c r="J2921" s="4">
        <v>34.229999999999997</v>
      </c>
      <c r="K2921" s="4">
        <v>19.59</v>
      </c>
      <c r="L2921">
        <v>10</v>
      </c>
      <c r="M2921" s="4">
        <v>67.06</v>
      </c>
      <c r="N2921" s="4">
        <v>603.51</v>
      </c>
      <c r="O2921" s="4">
        <v>210.89</v>
      </c>
      <c r="P2921" s="4">
        <v>10.16</v>
      </c>
      <c r="Q2921" s="4">
        <v>4.6900000000000004</v>
      </c>
      <c r="R2921" s="4">
        <v>6.79</v>
      </c>
      <c r="S2921" s="4">
        <v>0</v>
      </c>
      <c r="T2921" s="4">
        <v>0</v>
      </c>
      <c r="U2921" s="4">
        <v>232.53</v>
      </c>
      <c r="V2921" s="4">
        <v>370.98</v>
      </c>
      <c r="W2921" t="s">
        <v>21</v>
      </c>
      <c r="X2921" t="s">
        <v>36</v>
      </c>
      <c r="Y2921" s="4">
        <v>3</v>
      </c>
      <c r="Z2921" s="4">
        <v>6</v>
      </c>
      <c r="AA2921" t="s">
        <v>37</v>
      </c>
      <c r="AB2921" t="s">
        <v>38</v>
      </c>
      <c r="AC2921" s="7">
        <v>0</v>
      </c>
      <c r="AD2921" t="s">
        <v>39</v>
      </c>
      <c r="AE2921">
        <f t="shared" si="45"/>
        <v>0</v>
      </c>
    </row>
    <row r="2922" spans="1:31" x14ac:dyDescent="0.35">
      <c r="A2922">
        <v>102921</v>
      </c>
      <c r="B2922" s="3">
        <v>45949</v>
      </c>
      <c r="C2922">
        <v>1083</v>
      </c>
      <c r="D2922" t="s">
        <v>59</v>
      </c>
      <c r="E2922" t="s">
        <v>70</v>
      </c>
      <c r="F2922" t="s">
        <v>61</v>
      </c>
      <c r="G2922" t="s">
        <v>63</v>
      </c>
      <c r="H2922" t="s">
        <v>34</v>
      </c>
      <c r="I2922" t="s">
        <v>35</v>
      </c>
      <c r="J2922" s="4">
        <v>18.690000000000001</v>
      </c>
      <c r="K2922" s="4">
        <v>13.23</v>
      </c>
      <c r="L2922">
        <v>0</v>
      </c>
      <c r="M2922" s="4">
        <v>0</v>
      </c>
      <c r="N2922" s="4">
        <v>247.27</v>
      </c>
      <c r="O2922" s="4">
        <v>118.02</v>
      </c>
      <c r="P2922" s="4">
        <v>12.35</v>
      </c>
      <c r="Q2922" s="4">
        <v>1.73</v>
      </c>
      <c r="R2922" s="4">
        <v>12.53</v>
      </c>
      <c r="S2922" s="4">
        <v>0</v>
      </c>
      <c r="T2922" s="4">
        <v>0</v>
      </c>
      <c r="U2922" s="4">
        <v>144.63</v>
      </c>
      <c r="V2922" s="4">
        <v>102.64</v>
      </c>
      <c r="W2922" t="s">
        <v>21</v>
      </c>
      <c r="X2922" t="s">
        <v>36</v>
      </c>
      <c r="Y2922" s="4">
        <v>18</v>
      </c>
      <c r="Z2922" s="4">
        <v>5</v>
      </c>
      <c r="AA2922" t="s">
        <v>52</v>
      </c>
      <c r="AB2922" t="s">
        <v>38</v>
      </c>
      <c r="AC2922" s="7">
        <v>0</v>
      </c>
      <c r="AD2922" t="s">
        <v>39</v>
      </c>
      <c r="AE2922">
        <f t="shared" si="45"/>
        <v>0</v>
      </c>
    </row>
    <row r="2923" spans="1:31" x14ac:dyDescent="0.35">
      <c r="A2923">
        <v>102922</v>
      </c>
      <c r="B2923" s="3">
        <v>46017</v>
      </c>
      <c r="C2923">
        <v>1038</v>
      </c>
      <c r="D2923" t="s">
        <v>59</v>
      </c>
      <c r="E2923" t="s">
        <v>60</v>
      </c>
      <c r="F2923" t="s">
        <v>49</v>
      </c>
      <c r="G2923" t="s">
        <v>46</v>
      </c>
      <c r="H2923" t="s">
        <v>34</v>
      </c>
      <c r="I2923" t="s">
        <v>35</v>
      </c>
      <c r="J2923" s="4">
        <v>31.23</v>
      </c>
      <c r="K2923" s="4">
        <v>18.7</v>
      </c>
      <c r="L2923">
        <v>0</v>
      </c>
      <c r="M2923" s="4">
        <v>0</v>
      </c>
      <c r="N2923" s="4">
        <v>584</v>
      </c>
      <c r="O2923" s="4">
        <v>208.46</v>
      </c>
      <c r="P2923" s="4">
        <v>6.53</v>
      </c>
      <c r="Q2923" s="4">
        <v>4.09</v>
      </c>
      <c r="R2923" s="4">
        <v>6.07</v>
      </c>
      <c r="S2923" s="4">
        <v>0</v>
      </c>
      <c r="T2923" s="4">
        <v>0</v>
      </c>
      <c r="U2923" s="4">
        <v>225.15</v>
      </c>
      <c r="V2923" s="4">
        <v>358.85</v>
      </c>
      <c r="W2923" t="s">
        <v>21</v>
      </c>
      <c r="X2923" t="s">
        <v>36</v>
      </c>
      <c r="Y2923" s="4">
        <v>2</v>
      </c>
      <c r="Z2923" s="4">
        <v>8</v>
      </c>
      <c r="AA2923" t="s">
        <v>37</v>
      </c>
      <c r="AB2923" t="s">
        <v>38</v>
      </c>
      <c r="AC2923" s="7">
        <v>0</v>
      </c>
      <c r="AD2923" t="s">
        <v>39</v>
      </c>
      <c r="AE2923">
        <f t="shared" si="45"/>
        <v>0</v>
      </c>
    </row>
    <row r="2924" spans="1:31" x14ac:dyDescent="0.35">
      <c r="A2924">
        <v>102923</v>
      </c>
      <c r="B2924" s="3">
        <v>45945</v>
      </c>
      <c r="C2924">
        <v>1004</v>
      </c>
      <c r="D2924" t="s">
        <v>47</v>
      </c>
      <c r="E2924" t="s">
        <v>48</v>
      </c>
      <c r="F2924" t="s">
        <v>61</v>
      </c>
      <c r="G2924" t="s">
        <v>33</v>
      </c>
      <c r="H2924" t="s">
        <v>34</v>
      </c>
      <c r="I2924" t="s">
        <v>69</v>
      </c>
      <c r="J2924" s="4">
        <v>12.94</v>
      </c>
      <c r="K2924" s="4">
        <v>18.809999999999999</v>
      </c>
      <c r="L2924">
        <v>0</v>
      </c>
      <c r="M2924" s="4">
        <v>0</v>
      </c>
      <c r="N2924" s="4">
        <v>243.4</v>
      </c>
      <c r="O2924" s="4">
        <v>89.3</v>
      </c>
      <c r="P2924" s="4">
        <v>5.71</v>
      </c>
      <c r="Q2924" s="4">
        <v>0.97</v>
      </c>
      <c r="R2924" s="4">
        <v>3.93</v>
      </c>
      <c r="S2924" s="4">
        <v>0</v>
      </c>
      <c r="T2924" s="4">
        <v>0</v>
      </c>
      <c r="U2924" s="4">
        <v>99.91</v>
      </c>
      <c r="V2924" s="4">
        <v>143.49</v>
      </c>
      <c r="W2924" t="s">
        <v>21</v>
      </c>
      <c r="X2924" t="s">
        <v>36</v>
      </c>
      <c r="Y2924" s="4">
        <v>24</v>
      </c>
      <c r="Z2924" s="4">
        <v>5</v>
      </c>
      <c r="AA2924" t="s">
        <v>52</v>
      </c>
      <c r="AB2924" t="s">
        <v>44</v>
      </c>
      <c r="AC2924" s="7">
        <v>3</v>
      </c>
      <c r="AD2924" t="s">
        <v>45</v>
      </c>
      <c r="AE2924">
        <f t="shared" si="45"/>
        <v>1</v>
      </c>
    </row>
    <row r="2925" spans="1:31" x14ac:dyDescent="0.35">
      <c r="A2925">
        <v>102924</v>
      </c>
      <c r="B2925" s="3">
        <v>45977</v>
      </c>
      <c r="C2925">
        <v>1001</v>
      </c>
      <c r="D2925" t="s">
        <v>47</v>
      </c>
      <c r="E2925" t="s">
        <v>53</v>
      </c>
      <c r="F2925" t="s">
        <v>71</v>
      </c>
      <c r="G2925" t="s">
        <v>50</v>
      </c>
      <c r="H2925" t="s">
        <v>34</v>
      </c>
      <c r="I2925" t="s">
        <v>42</v>
      </c>
      <c r="J2925" s="4">
        <v>22.85</v>
      </c>
      <c r="K2925" s="4">
        <v>18.399999999999999</v>
      </c>
      <c r="L2925">
        <v>5</v>
      </c>
      <c r="M2925" s="4">
        <v>21.02</v>
      </c>
      <c r="N2925" s="4">
        <v>399.42</v>
      </c>
      <c r="O2925" s="4">
        <v>132.65</v>
      </c>
      <c r="P2925" s="4">
        <v>4.3600000000000003</v>
      </c>
      <c r="Q2925" s="4">
        <v>6.31</v>
      </c>
      <c r="R2925" s="4">
        <v>14.21</v>
      </c>
      <c r="S2925" s="4">
        <v>0</v>
      </c>
      <c r="T2925" s="4">
        <v>0</v>
      </c>
      <c r="U2925" s="4">
        <v>157.53</v>
      </c>
      <c r="V2925" s="4">
        <v>241.89</v>
      </c>
      <c r="W2925" t="s">
        <v>21</v>
      </c>
      <c r="X2925" t="s">
        <v>36</v>
      </c>
      <c r="Y2925" s="4">
        <v>22</v>
      </c>
      <c r="Z2925" s="4">
        <v>7</v>
      </c>
      <c r="AA2925" t="s">
        <v>52</v>
      </c>
      <c r="AB2925" t="s">
        <v>44</v>
      </c>
      <c r="AC2925" s="7">
        <v>3</v>
      </c>
      <c r="AD2925" t="s">
        <v>45</v>
      </c>
      <c r="AE2925">
        <f t="shared" si="45"/>
        <v>1</v>
      </c>
    </row>
    <row r="2926" spans="1:31" x14ac:dyDescent="0.35">
      <c r="A2926">
        <v>102925</v>
      </c>
      <c r="B2926" s="3">
        <v>45957</v>
      </c>
      <c r="C2926">
        <v>1009</v>
      </c>
      <c r="D2926" t="s">
        <v>64</v>
      </c>
      <c r="E2926" t="s">
        <v>67</v>
      </c>
      <c r="F2926" t="s">
        <v>32</v>
      </c>
      <c r="G2926" t="s">
        <v>63</v>
      </c>
      <c r="H2926" t="s">
        <v>57</v>
      </c>
      <c r="I2926" t="s">
        <v>35</v>
      </c>
      <c r="J2926" s="4">
        <v>9.66</v>
      </c>
      <c r="K2926" s="4">
        <v>12.75</v>
      </c>
      <c r="L2926">
        <v>10</v>
      </c>
      <c r="M2926" s="4">
        <v>12.32</v>
      </c>
      <c r="N2926" s="4">
        <v>110.84</v>
      </c>
      <c r="O2926" s="4">
        <v>65.38</v>
      </c>
      <c r="P2926" s="4">
        <v>10.35</v>
      </c>
      <c r="Q2926" s="4">
        <v>0.86</v>
      </c>
      <c r="R2926" s="4">
        <v>7.36</v>
      </c>
      <c r="S2926" s="4">
        <v>0</v>
      </c>
      <c r="T2926" s="4">
        <v>0</v>
      </c>
      <c r="U2926" s="4">
        <v>83.95</v>
      </c>
      <c r="V2926" s="4">
        <v>26.89</v>
      </c>
      <c r="W2926" t="s">
        <v>21</v>
      </c>
      <c r="X2926" t="s">
        <v>36</v>
      </c>
      <c r="Y2926" s="4">
        <v>11</v>
      </c>
      <c r="Z2926" s="4">
        <v>1</v>
      </c>
      <c r="AA2926" t="s">
        <v>37</v>
      </c>
      <c r="AB2926" t="s">
        <v>38</v>
      </c>
      <c r="AC2926" s="7">
        <v>0</v>
      </c>
      <c r="AD2926" t="s">
        <v>39</v>
      </c>
      <c r="AE2926">
        <f t="shared" si="45"/>
        <v>0</v>
      </c>
    </row>
    <row r="2927" spans="1:31" x14ac:dyDescent="0.35">
      <c r="A2927">
        <v>102926</v>
      </c>
      <c r="B2927" s="3">
        <v>45962</v>
      </c>
      <c r="C2927">
        <v>1068</v>
      </c>
      <c r="D2927" t="s">
        <v>30</v>
      </c>
      <c r="E2927" t="s">
        <v>31</v>
      </c>
      <c r="F2927" t="s">
        <v>49</v>
      </c>
      <c r="G2927" t="s">
        <v>50</v>
      </c>
      <c r="H2927" t="s">
        <v>34</v>
      </c>
      <c r="I2927" t="s">
        <v>35</v>
      </c>
      <c r="J2927" s="4">
        <v>33.6</v>
      </c>
      <c r="K2927" s="4">
        <v>17.14</v>
      </c>
      <c r="L2927">
        <v>10</v>
      </c>
      <c r="M2927" s="4">
        <v>57.59</v>
      </c>
      <c r="N2927" s="4">
        <v>518.30999999999995</v>
      </c>
      <c r="O2927" s="4">
        <v>223.68</v>
      </c>
      <c r="P2927" s="4">
        <v>8.7799999999999994</v>
      </c>
      <c r="Q2927" s="4">
        <v>4.03</v>
      </c>
      <c r="R2927" s="4">
        <v>1.39</v>
      </c>
      <c r="S2927" s="4">
        <v>0</v>
      </c>
      <c r="T2927" s="4">
        <v>0</v>
      </c>
      <c r="U2927" s="4">
        <v>237.88</v>
      </c>
      <c r="V2927" s="4">
        <v>280.43</v>
      </c>
      <c r="W2927" t="s">
        <v>21</v>
      </c>
      <c r="X2927" t="s">
        <v>36</v>
      </c>
      <c r="Y2927" s="4">
        <v>16</v>
      </c>
      <c r="Z2927" s="4">
        <v>4</v>
      </c>
      <c r="AA2927" t="s">
        <v>52</v>
      </c>
      <c r="AB2927" t="s">
        <v>38</v>
      </c>
      <c r="AC2927" s="7">
        <v>1</v>
      </c>
      <c r="AD2927" t="s">
        <v>39</v>
      </c>
      <c r="AE2927">
        <f t="shared" si="45"/>
        <v>0</v>
      </c>
    </row>
    <row r="2928" spans="1:31" x14ac:dyDescent="0.35">
      <c r="A2928">
        <v>102927</v>
      </c>
      <c r="B2928" s="3">
        <v>45981</v>
      </c>
      <c r="C2928">
        <v>1028</v>
      </c>
      <c r="D2928" t="s">
        <v>59</v>
      </c>
      <c r="E2928" t="s">
        <v>60</v>
      </c>
      <c r="F2928" t="s">
        <v>41</v>
      </c>
      <c r="G2928" t="s">
        <v>63</v>
      </c>
      <c r="H2928" t="s">
        <v>34</v>
      </c>
      <c r="I2928" t="s">
        <v>35</v>
      </c>
      <c r="J2928" s="4">
        <v>22.01</v>
      </c>
      <c r="K2928" s="4">
        <v>12.58</v>
      </c>
      <c r="L2928">
        <v>10</v>
      </c>
      <c r="M2928" s="4">
        <v>27.69</v>
      </c>
      <c r="N2928" s="4">
        <v>249.2</v>
      </c>
      <c r="O2928" s="4">
        <v>166.2</v>
      </c>
      <c r="P2928" s="4">
        <v>7.65</v>
      </c>
      <c r="Q2928" s="4">
        <v>1.94</v>
      </c>
      <c r="R2928" s="4">
        <v>13.54</v>
      </c>
      <c r="S2928" s="4">
        <v>0</v>
      </c>
      <c r="T2928" s="4">
        <v>0</v>
      </c>
      <c r="U2928" s="4">
        <v>189.33</v>
      </c>
      <c r="V2928" s="4">
        <v>59.87</v>
      </c>
      <c r="W2928" t="s">
        <v>21</v>
      </c>
      <c r="X2928" t="s">
        <v>36</v>
      </c>
      <c r="Y2928" s="4">
        <v>6</v>
      </c>
      <c r="Z2928" s="4">
        <v>2</v>
      </c>
      <c r="AA2928" t="s">
        <v>37</v>
      </c>
      <c r="AB2928" t="s">
        <v>38</v>
      </c>
      <c r="AC2928" s="7">
        <v>0</v>
      </c>
      <c r="AD2928" t="s">
        <v>39</v>
      </c>
      <c r="AE2928">
        <f t="shared" si="45"/>
        <v>0</v>
      </c>
    </row>
    <row r="2929" spans="1:31" x14ac:dyDescent="0.35">
      <c r="A2929">
        <v>102928</v>
      </c>
      <c r="B2929" s="3">
        <v>45942</v>
      </c>
      <c r="C2929">
        <v>1008</v>
      </c>
      <c r="D2929" t="s">
        <v>59</v>
      </c>
      <c r="E2929" t="s">
        <v>60</v>
      </c>
      <c r="F2929" t="s">
        <v>41</v>
      </c>
      <c r="G2929" t="s">
        <v>50</v>
      </c>
      <c r="H2929" t="s">
        <v>51</v>
      </c>
      <c r="I2929" t="s">
        <v>35</v>
      </c>
      <c r="J2929" s="4">
        <v>5.79</v>
      </c>
      <c r="K2929" s="4">
        <v>19.100000000000001</v>
      </c>
      <c r="L2929">
        <v>0</v>
      </c>
      <c r="M2929" s="4">
        <v>0</v>
      </c>
      <c r="N2929" s="4">
        <v>110.59</v>
      </c>
      <c r="O2929" s="4">
        <v>38.15</v>
      </c>
      <c r="P2929" s="4">
        <v>3.48</v>
      </c>
      <c r="Q2929" s="4">
        <v>0.77</v>
      </c>
      <c r="R2929" s="4">
        <v>4.8</v>
      </c>
      <c r="S2929" s="4">
        <v>0</v>
      </c>
      <c r="T2929" s="4">
        <v>0</v>
      </c>
      <c r="U2929" s="4">
        <v>47.2</v>
      </c>
      <c r="V2929" s="4">
        <v>63.39</v>
      </c>
      <c r="W2929" t="s">
        <v>21</v>
      </c>
      <c r="X2929" t="s">
        <v>36</v>
      </c>
      <c r="Y2929" s="4">
        <v>44</v>
      </c>
      <c r="Z2929" s="4">
        <v>33</v>
      </c>
      <c r="AA2929" t="s">
        <v>43</v>
      </c>
      <c r="AB2929" t="s">
        <v>44</v>
      </c>
      <c r="AC2929" s="7">
        <v>1</v>
      </c>
      <c r="AD2929" t="s">
        <v>45</v>
      </c>
      <c r="AE2929">
        <f t="shared" si="45"/>
        <v>1</v>
      </c>
    </row>
    <row r="2930" spans="1:31" x14ac:dyDescent="0.35">
      <c r="A2930">
        <v>102929</v>
      </c>
      <c r="B2930" s="3">
        <v>45989</v>
      </c>
      <c r="C2930">
        <v>1008</v>
      </c>
      <c r="D2930" t="s">
        <v>59</v>
      </c>
      <c r="E2930" t="s">
        <v>73</v>
      </c>
      <c r="F2930" t="s">
        <v>71</v>
      </c>
      <c r="G2930" t="s">
        <v>46</v>
      </c>
      <c r="H2930" t="s">
        <v>34</v>
      </c>
      <c r="I2930" t="s">
        <v>42</v>
      </c>
      <c r="J2930" s="4">
        <v>21.84</v>
      </c>
      <c r="K2930" s="4">
        <v>14.96</v>
      </c>
      <c r="L2930">
        <v>0</v>
      </c>
      <c r="M2930" s="4">
        <v>0</v>
      </c>
      <c r="N2930" s="4">
        <v>326.73</v>
      </c>
      <c r="O2930" s="4">
        <v>155.96</v>
      </c>
      <c r="P2930" s="4">
        <v>5.73</v>
      </c>
      <c r="Q2930" s="4">
        <v>4.9000000000000004</v>
      </c>
      <c r="R2930" s="4">
        <v>6.39</v>
      </c>
      <c r="S2930" s="4">
        <v>0</v>
      </c>
      <c r="T2930" s="4">
        <v>0</v>
      </c>
      <c r="U2930" s="4">
        <v>172.98</v>
      </c>
      <c r="V2930" s="4">
        <v>153.75</v>
      </c>
      <c r="W2930" t="s">
        <v>21</v>
      </c>
      <c r="X2930" t="s">
        <v>36</v>
      </c>
      <c r="Y2930" s="4">
        <v>3</v>
      </c>
      <c r="Z2930" s="4">
        <v>1</v>
      </c>
      <c r="AA2930" t="s">
        <v>37</v>
      </c>
      <c r="AB2930" t="s">
        <v>38</v>
      </c>
      <c r="AC2930" s="7">
        <v>0</v>
      </c>
      <c r="AD2930" t="s">
        <v>39</v>
      </c>
      <c r="AE2930">
        <f t="shared" si="45"/>
        <v>0</v>
      </c>
    </row>
    <row r="2931" spans="1:31" x14ac:dyDescent="0.35">
      <c r="A2931">
        <v>102930</v>
      </c>
      <c r="B2931" s="3">
        <v>45990</v>
      </c>
      <c r="C2931">
        <v>1117</v>
      </c>
      <c r="D2931" t="s">
        <v>59</v>
      </c>
      <c r="E2931" t="s">
        <v>73</v>
      </c>
      <c r="F2931" t="s">
        <v>61</v>
      </c>
      <c r="G2931" t="s">
        <v>50</v>
      </c>
      <c r="H2931" t="s">
        <v>34</v>
      </c>
      <c r="I2931" t="s">
        <v>35</v>
      </c>
      <c r="J2931" s="4">
        <v>13.57</v>
      </c>
      <c r="K2931" s="4">
        <v>17.579999999999998</v>
      </c>
      <c r="L2931">
        <v>0</v>
      </c>
      <c r="M2931" s="4">
        <v>0</v>
      </c>
      <c r="N2931" s="4">
        <v>238.56</v>
      </c>
      <c r="O2931" s="4">
        <v>75.86</v>
      </c>
      <c r="P2931" s="4">
        <v>11.43</v>
      </c>
      <c r="Q2931" s="4">
        <v>1.67</v>
      </c>
      <c r="R2931" s="4">
        <v>6.18</v>
      </c>
      <c r="S2931" s="4">
        <v>0</v>
      </c>
      <c r="T2931" s="4">
        <v>0</v>
      </c>
      <c r="U2931" s="4">
        <v>95.14</v>
      </c>
      <c r="V2931" s="4">
        <v>143.41999999999999</v>
      </c>
      <c r="W2931" t="s">
        <v>21</v>
      </c>
      <c r="X2931" t="s">
        <v>36</v>
      </c>
      <c r="Y2931" s="4">
        <v>10</v>
      </c>
      <c r="Z2931" s="4">
        <v>3</v>
      </c>
      <c r="AA2931" t="s">
        <v>37</v>
      </c>
      <c r="AB2931" t="s">
        <v>38</v>
      </c>
      <c r="AC2931" s="7">
        <v>0</v>
      </c>
      <c r="AD2931" t="s">
        <v>39</v>
      </c>
      <c r="AE2931">
        <f t="shared" si="45"/>
        <v>0</v>
      </c>
    </row>
    <row r="2932" spans="1:31" x14ac:dyDescent="0.35">
      <c r="A2932">
        <v>102931</v>
      </c>
      <c r="B2932" s="3">
        <v>45957</v>
      </c>
      <c r="C2932">
        <v>1138</v>
      </c>
      <c r="D2932" t="s">
        <v>47</v>
      </c>
      <c r="E2932" t="s">
        <v>74</v>
      </c>
      <c r="F2932" t="s">
        <v>71</v>
      </c>
      <c r="G2932" t="s">
        <v>46</v>
      </c>
      <c r="H2932" t="s">
        <v>57</v>
      </c>
      <c r="I2932" t="s">
        <v>35</v>
      </c>
      <c r="J2932" s="4">
        <v>26.91</v>
      </c>
      <c r="K2932" s="4">
        <v>15.69</v>
      </c>
      <c r="L2932">
        <v>0</v>
      </c>
      <c r="M2932" s="4">
        <v>0</v>
      </c>
      <c r="N2932" s="4">
        <v>422.22</v>
      </c>
      <c r="O2932" s="4">
        <v>182.74</v>
      </c>
      <c r="P2932" s="4">
        <v>7.3</v>
      </c>
      <c r="Q2932" s="4">
        <v>2.96</v>
      </c>
      <c r="R2932" s="4">
        <v>1.25</v>
      </c>
      <c r="S2932" s="4">
        <v>0</v>
      </c>
      <c r="T2932" s="4">
        <v>0</v>
      </c>
      <c r="U2932" s="4">
        <v>194.25</v>
      </c>
      <c r="V2932" s="4">
        <v>227.97</v>
      </c>
      <c r="W2932" t="s">
        <v>21</v>
      </c>
      <c r="X2932" t="s">
        <v>36</v>
      </c>
      <c r="Y2932" s="4">
        <v>1</v>
      </c>
      <c r="Z2932" s="4">
        <v>5</v>
      </c>
      <c r="AA2932" t="s">
        <v>37</v>
      </c>
      <c r="AB2932" t="s">
        <v>38</v>
      </c>
      <c r="AC2932" s="7">
        <v>0</v>
      </c>
      <c r="AD2932" t="s">
        <v>39</v>
      </c>
      <c r="AE2932">
        <f t="shared" si="45"/>
        <v>0</v>
      </c>
    </row>
    <row r="2933" spans="1:31" x14ac:dyDescent="0.35">
      <c r="A2933">
        <v>102932</v>
      </c>
      <c r="B2933" s="3">
        <v>45966</v>
      </c>
      <c r="C2933">
        <v>1119</v>
      </c>
      <c r="D2933" t="s">
        <v>59</v>
      </c>
      <c r="E2933" t="s">
        <v>70</v>
      </c>
      <c r="F2933" t="s">
        <v>49</v>
      </c>
      <c r="G2933" t="s">
        <v>33</v>
      </c>
      <c r="H2933" t="s">
        <v>51</v>
      </c>
      <c r="I2933" t="s">
        <v>69</v>
      </c>
      <c r="J2933" s="4">
        <v>34.39</v>
      </c>
      <c r="K2933" s="4">
        <v>19.27</v>
      </c>
      <c r="L2933">
        <v>0</v>
      </c>
      <c r="M2933" s="4">
        <v>0</v>
      </c>
      <c r="N2933" s="4">
        <v>662.7</v>
      </c>
      <c r="O2933" s="4">
        <v>257.72000000000003</v>
      </c>
      <c r="P2933" s="4">
        <v>6.35</v>
      </c>
      <c r="Q2933" s="4">
        <v>2.65</v>
      </c>
      <c r="R2933" s="4">
        <v>7.78</v>
      </c>
      <c r="S2933" s="4">
        <v>0</v>
      </c>
      <c r="T2933" s="4">
        <v>0</v>
      </c>
      <c r="U2933" s="4">
        <v>274.5</v>
      </c>
      <c r="V2933" s="4">
        <v>388.2</v>
      </c>
      <c r="W2933" t="s">
        <v>21</v>
      </c>
      <c r="X2933" t="s">
        <v>36</v>
      </c>
      <c r="Y2933" s="4">
        <v>10</v>
      </c>
      <c r="Z2933" s="4">
        <v>4</v>
      </c>
      <c r="AA2933" t="s">
        <v>37</v>
      </c>
      <c r="AB2933" t="s">
        <v>38</v>
      </c>
      <c r="AC2933" s="7">
        <v>0</v>
      </c>
      <c r="AD2933" t="s">
        <v>39</v>
      </c>
      <c r="AE2933">
        <f t="shared" si="45"/>
        <v>0</v>
      </c>
    </row>
    <row r="2934" spans="1:31" x14ac:dyDescent="0.35">
      <c r="A2934">
        <v>102933</v>
      </c>
      <c r="B2934" s="3">
        <v>45973</v>
      </c>
      <c r="C2934">
        <v>1106</v>
      </c>
      <c r="D2934" t="s">
        <v>47</v>
      </c>
      <c r="E2934" t="s">
        <v>74</v>
      </c>
      <c r="F2934" t="s">
        <v>71</v>
      </c>
      <c r="G2934" t="s">
        <v>63</v>
      </c>
      <c r="H2934" t="s">
        <v>34</v>
      </c>
      <c r="I2934" t="s">
        <v>35</v>
      </c>
      <c r="J2934" s="4">
        <v>25.24</v>
      </c>
      <c r="K2934" s="4">
        <v>11.67</v>
      </c>
      <c r="L2934">
        <v>0</v>
      </c>
      <c r="M2934" s="4">
        <v>0</v>
      </c>
      <c r="N2934" s="4">
        <v>294.55</v>
      </c>
      <c r="O2934" s="4">
        <v>181.48</v>
      </c>
      <c r="P2934" s="4">
        <v>13.32</v>
      </c>
      <c r="Q2934" s="4">
        <v>2.06</v>
      </c>
      <c r="R2934" s="4">
        <v>0</v>
      </c>
      <c r="S2934" s="4">
        <v>0</v>
      </c>
      <c r="T2934" s="4">
        <v>0</v>
      </c>
      <c r="U2934" s="4">
        <v>196.86</v>
      </c>
      <c r="V2934" s="4">
        <v>97.69</v>
      </c>
      <c r="W2934" t="s">
        <v>21</v>
      </c>
      <c r="X2934" t="s">
        <v>36</v>
      </c>
      <c r="Y2934" s="4">
        <v>3</v>
      </c>
      <c r="Z2934" s="4">
        <v>2</v>
      </c>
      <c r="AA2934" t="s">
        <v>37</v>
      </c>
      <c r="AB2934" t="s">
        <v>38</v>
      </c>
      <c r="AC2934" s="7">
        <v>0</v>
      </c>
      <c r="AD2934" t="s">
        <v>39</v>
      </c>
      <c r="AE2934">
        <f t="shared" si="45"/>
        <v>0</v>
      </c>
    </row>
    <row r="2935" spans="1:31" x14ac:dyDescent="0.35">
      <c r="A2935">
        <v>102934</v>
      </c>
      <c r="B2935" s="3">
        <v>45935</v>
      </c>
      <c r="C2935">
        <v>1050</v>
      </c>
      <c r="D2935" t="s">
        <v>47</v>
      </c>
      <c r="E2935" t="s">
        <v>48</v>
      </c>
      <c r="F2935" t="s">
        <v>61</v>
      </c>
      <c r="G2935" t="s">
        <v>63</v>
      </c>
      <c r="H2935" t="s">
        <v>34</v>
      </c>
      <c r="I2935" t="s">
        <v>54</v>
      </c>
      <c r="J2935" s="4">
        <v>29.19</v>
      </c>
      <c r="K2935" s="4">
        <v>12.58</v>
      </c>
      <c r="L2935">
        <v>0</v>
      </c>
      <c r="M2935" s="4">
        <v>0</v>
      </c>
      <c r="N2935" s="4">
        <v>367.21</v>
      </c>
      <c r="O2935" s="4">
        <v>174.24</v>
      </c>
      <c r="P2935" s="4">
        <v>6.75</v>
      </c>
      <c r="Q2935" s="4">
        <v>4.41</v>
      </c>
      <c r="R2935" s="4">
        <v>9.19</v>
      </c>
      <c r="S2935" s="4">
        <v>0</v>
      </c>
      <c r="T2935" s="4">
        <v>0</v>
      </c>
      <c r="U2935" s="4">
        <v>194.59</v>
      </c>
      <c r="V2935" s="4">
        <v>172.62</v>
      </c>
      <c r="W2935" t="s">
        <v>21</v>
      </c>
      <c r="X2935" t="s">
        <v>36</v>
      </c>
      <c r="Y2935" s="4">
        <v>15</v>
      </c>
      <c r="Z2935" s="4">
        <v>15</v>
      </c>
      <c r="AA2935" t="s">
        <v>37</v>
      </c>
      <c r="AB2935" t="s">
        <v>38</v>
      </c>
      <c r="AC2935" s="7">
        <v>0</v>
      </c>
      <c r="AD2935" t="s">
        <v>39</v>
      </c>
      <c r="AE2935">
        <f t="shared" si="45"/>
        <v>0</v>
      </c>
    </row>
    <row r="2936" spans="1:31" x14ac:dyDescent="0.35">
      <c r="A2936">
        <v>102935</v>
      </c>
      <c r="B2936" s="3">
        <v>45932</v>
      </c>
      <c r="C2936">
        <v>1001</v>
      </c>
      <c r="D2936" t="s">
        <v>64</v>
      </c>
      <c r="E2936" t="s">
        <v>76</v>
      </c>
      <c r="F2936" t="s">
        <v>41</v>
      </c>
      <c r="G2936" t="s">
        <v>63</v>
      </c>
      <c r="H2936" t="s">
        <v>34</v>
      </c>
      <c r="I2936" t="s">
        <v>35</v>
      </c>
      <c r="J2936" s="4">
        <v>19.600000000000001</v>
      </c>
      <c r="K2936" s="4">
        <v>11.17</v>
      </c>
      <c r="L2936">
        <v>5</v>
      </c>
      <c r="M2936" s="4">
        <v>10.95</v>
      </c>
      <c r="N2936" s="4">
        <v>207.98</v>
      </c>
      <c r="O2936" s="4">
        <v>121.13</v>
      </c>
      <c r="P2936" s="4">
        <v>8.24</v>
      </c>
      <c r="Q2936" s="4">
        <v>1.53</v>
      </c>
      <c r="R2936" s="4">
        <v>3.44</v>
      </c>
      <c r="S2936" s="4">
        <v>0</v>
      </c>
      <c r="T2936" s="4">
        <v>0</v>
      </c>
      <c r="U2936" s="4">
        <v>134.34</v>
      </c>
      <c r="V2936" s="4">
        <v>73.64</v>
      </c>
      <c r="W2936" t="s">
        <v>21</v>
      </c>
      <c r="X2936" t="s">
        <v>36</v>
      </c>
      <c r="Y2936" s="4">
        <v>9</v>
      </c>
      <c r="Z2936" s="4">
        <v>18</v>
      </c>
      <c r="AA2936" t="s">
        <v>37</v>
      </c>
      <c r="AB2936" t="s">
        <v>44</v>
      </c>
      <c r="AC2936" s="7">
        <v>4</v>
      </c>
      <c r="AD2936" t="s">
        <v>45</v>
      </c>
      <c r="AE2936">
        <f t="shared" si="45"/>
        <v>1</v>
      </c>
    </row>
    <row r="2937" spans="1:31" x14ac:dyDescent="0.35">
      <c r="A2937">
        <v>102936</v>
      </c>
      <c r="B2937" s="3">
        <v>46006</v>
      </c>
      <c r="C2937">
        <v>1050</v>
      </c>
      <c r="D2937" t="s">
        <v>47</v>
      </c>
      <c r="E2937" t="s">
        <v>53</v>
      </c>
      <c r="F2937" t="s">
        <v>41</v>
      </c>
      <c r="G2937" t="s">
        <v>46</v>
      </c>
      <c r="H2937" t="s">
        <v>57</v>
      </c>
      <c r="I2937" t="s">
        <v>35</v>
      </c>
      <c r="J2937" s="4">
        <v>18.760000000000002</v>
      </c>
      <c r="K2937" s="4">
        <v>15.47</v>
      </c>
      <c r="L2937">
        <v>0</v>
      </c>
      <c r="M2937" s="4">
        <v>0</v>
      </c>
      <c r="N2937" s="4">
        <v>290.22000000000003</v>
      </c>
      <c r="O2937" s="4">
        <v>139.27000000000001</v>
      </c>
      <c r="P2937" s="4">
        <v>7.39</v>
      </c>
      <c r="Q2937" s="4">
        <v>2.0299999999999998</v>
      </c>
      <c r="R2937" s="4">
        <v>1.27</v>
      </c>
      <c r="S2937" s="4">
        <v>0</v>
      </c>
      <c r="T2937" s="4">
        <v>0</v>
      </c>
      <c r="U2937" s="4">
        <v>149.96</v>
      </c>
      <c r="V2937" s="4">
        <v>140.26</v>
      </c>
      <c r="W2937" t="s">
        <v>21</v>
      </c>
      <c r="X2937" t="s">
        <v>36</v>
      </c>
      <c r="Y2937" s="4">
        <v>39</v>
      </c>
      <c r="Z2937" s="4">
        <v>1</v>
      </c>
      <c r="AA2937" t="s">
        <v>43</v>
      </c>
      <c r="AB2937" t="s">
        <v>44</v>
      </c>
      <c r="AC2937" s="7">
        <v>3</v>
      </c>
      <c r="AD2937" t="s">
        <v>45</v>
      </c>
      <c r="AE2937">
        <f t="shared" si="45"/>
        <v>1</v>
      </c>
    </row>
    <row r="2938" spans="1:31" x14ac:dyDescent="0.35">
      <c r="A2938">
        <v>102937</v>
      </c>
      <c r="B2938" s="3">
        <v>45935</v>
      </c>
      <c r="C2938">
        <v>1138</v>
      </c>
      <c r="D2938" t="s">
        <v>30</v>
      </c>
      <c r="E2938" t="s">
        <v>31</v>
      </c>
      <c r="F2938" t="s">
        <v>41</v>
      </c>
      <c r="G2938" t="s">
        <v>46</v>
      </c>
      <c r="H2938" t="s">
        <v>34</v>
      </c>
      <c r="I2938" t="s">
        <v>35</v>
      </c>
      <c r="J2938" s="4">
        <v>26.32</v>
      </c>
      <c r="K2938" s="4">
        <v>17.09</v>
      </c>
      <c r="L2938">
        <v>0</v>
      </c>
      <c r="M2938" s="4">
        <v>0</v>
      </c>
      <c r="N2938" s="4">
        <v>449.81</v>
      </c>
      <c r="O2938" s="4">
        <v>197.29</v>
      </c>
      <c r="P2938" s="4">
        <v>7.14</v>
      </c>
      <c r="Q2938" s="4">
        <v>3.15</v>
      </c>
      <c r="R2938" s="4">
        <v>0.18</v>
      </c>
      <c r="S2938" s="4">
        <v>0</v>
      </c>
      <c r="T2938" s="4">
        <v>0</v>
      </c>
      <c r="U2938" s="4">
        <v>207.76</v>
      </c>
      <c r="V2938" s="4">
        <v>242.05</v>
      </c>
      <c r="W2938" t="s">
        <v>21</v>
      </c>
      <c r="X2938" t="s">
        <v>36</v>
      </c>
      <c r="Y2938" s="4">
        <v>15</v>
      </c>
      <c r="Z2938" s="4">
        <v>8</v>
      </c>
      <c r="AA2938" t="s">
        <v>37</v>
      </c>
      <c r="AB2938" t="s">
        <v>38</v>
      </c>
      <c r="AC2938" s="7">
        <v>0</v>
      </c>
      <c r="AD2938" t="s">
        <v>39</v>
      </c>
      <c r="AE2938">
        <f t="shared" si="45"/>
        <v>0</v>
      </c>
    </row>
    <row r="2939" spans="1:31" x14ac:dyDescent="0.35">
      <c r="A2939">
        <v>102938</v>
      </c>
      <c r="B2939" s="3">
        <v>45969</v>
      </c>
      <c r="C2939">
        <v>1048</v>
      </c>
      <c r="D2939" t="s">
        <v>64</v>
      </c>
      <c r="E2939" t="s">
        <v>76</v>
      </c>
      <c r="F2939" t="s">
        <v>41</v>
      </c>
      <c r="G2939" t="s">
        <v>33</v>
      </c>
      <c r="H2939" t="s">
        <v>34</v>
      </c>
      <c r="I2939" t="s">
        <v>35</v>
      </c>
      <c r="J2939" s="4">
        <v>24.91</v>
      </c>
      <c r="K2939" s="4">
        <v>20.78</v>
      </c>
      <c r="L2939">
        <v>15</v>
      </c>
      <c r="M2939" s="4">
        <v>77.64</v>
      </c>
      <c r="N2939" s="4">
        <v>439.99</v>
      </c>
      <c r="O2939" s="4">
        <v>197.49</v>
      </c>
      <c r="P2939" s="4">
        <v>7.75</v>
      </c>
      <c r="Q2939" s="4">
        <v>3.62</v>
      </c>
      <c r="R2939" s="4">
        <v>8.69</v>
      </c>
      <c r="S2939" s="4">
        <v>0</v>
      </c>
      <c r="T2939" s="4">
        <v>0</v>
      </c>
      <c r="U2939" s="4">
        <v>217.55</v>
      </c>
      <c r="V2939" s="4">
        <v>222.44</v>
      </c>
      <c r="W2939" t="s">
        <v>21</v>
      </c>
      <c r="X2939" t="s">
        <v>36</v>
      </c>
      <c r="Y2939" s="4">
        <v>14</v>
      </c>
      <c r="Z2939" s="4">
        <v>15</v>
      </c>
      <c r="AA2939" t="s">
        <v>37</v>
      </c>
      <c r="AB2939" t="s">
        <v>38</v>
      </c>
      <c r="AC2939" s="7">
        <v>1</v>
      </c>
      <c r="AD2939" t="s">
        <v>39</v>
      </c>
      <c r="AE2939">
        <f t="shared" si="45"/>
        <v>0</v>
      </c>
    </row>
    <row r="2940" spans="1:31" x14ac:dyDescent="0.35">
      <c r="A2940">
        <v>102939</v>
      </c>
      <c r="B2940" s="3">
        <v>46017</v>
      </c>
      <c r="C2940">
        <v>1064</v>
      </c>
      <c r="D2940" t="s">
        <v>30</v>
      </c>
      <c r="E2940" t="s">
        <v>31</v>
      </c>
      <c r="F2940" t="s">
        <v>41</v>
      </c>
      <c r="G2940" t="s">
        <v>63</v>
      </c>
      <c r="H2940" t="s">
        <v>51</v>
      </c>
      <c r="I2940" t="s">
        <v>42</v>
      </c>
      <c r="J2940" s="4">
        <v>13.9</v>
      </c>
      <c r="K2940" s="4">
        <v>11.82</v>
      </c>
      <c r="L2940">
        <v>5</v>
      </c>
      <c r="M2940" s="4">
        <v>8.2200000000000006</v>
      </c>
      <c r="N2940" s="4">
        <v>156.08000000000001</v>
      </c>
      <c r="O2940" s="4">
        <v>94.81</v>
      </c>
      <c r="P2940" s="4">
        <v>5.05</v>
      </c>
      <c r="Q2940" s="4">
        <v>2.46</v>
      </c>
      <c r="R2940" s="4">
        <v>10.87</v>
      </c>
      <c r="S2940" s="4">
        <v>0</v>
      </c>
      <c r="T2940" s="4">
        <v>0</v>
      </c>
      <c r="U2940" s="4">
        <v>113.19</v>
      </c>
      <c r="V2940" s="4">
        <v>42.89</v>
      </c>
      <c r="W2940" t="s">
        <v>21</v>
      </c>
      <c r="X2940" t="s">
        <v>36</v>
      </c>
      <c r="Y2940" s="4">
        <v>11</v>
      </c>
      <c r="Z2940" s="4">
        <v>10</v>
      </c>
      <c r="AA2940" t="s">
        <v>37</v>
      </c>
      <c r="AB2940" t="s">
        <v>38</v>
      </c>
      <c r="AC2940" s="7">
        <v>0</v>
      </c>
      <c r="AD2940" t="s">
        <v>39</v>
      </c>
      <c r="AE2940">
        <f t="shared" si="45"/>
        <v>0</v>
      </c>
    </row>
    <row r="2941" spans="1:31" x14ac:dyDescent="0.35">
      <c r="A2941">
        <v>102940</v>
      </c>
      <c r="B2941" s="3">
        <v>46012</v>
      </c>
      <c r="C2941">
        <v>1027</v>
      </c>
      <c r="D2941" t="s">
        <v>59</v>
      </c>
      <c r="E2941" t="s">
        <v>70</v>
      </c>
      <c r="F2941" t="s">
        <v>41</v>
      </c>
      <c r="G2941" t="s">
        <v>33</v>
      </c>
      <c r="H2941" t="s">
        <v>57</v>
      </c>
      <c r="I2941" t="s">
        <v>69</v>
      </c>
      <c r="J2941" s="4">
        <v>32.58</v>
      </c>
      <c r="K2941" s="4">
        <v>19.88</v>
      </c>
      <c r="L2941">
        <v>0</v>
      </c>
      <c r="M2941" s="4">
        <v>0</v>
      </c>
      <c r="N2941" s="4">
        <v>647.69000000000005</v>
      </c>
      <c r="O2941" s="4">
        <v>236.64</v>
      </c>
      <c r="P2941" s="4">
        <v>7.17</v>
      </c>
      <c r="Q2941" s="4">
        <v>2.59</v>
      </c>
      <c r="R2941" s="4">
        <v>3.9</v>
      </c>
      <c r="S2941" s="4">
        <v>0</v>
      </c>
      <c r="T2941" s="4">
        <v>0</v>
      </c>
      <c r="U2941" s="4">
        <v>250.3</v>
      </c>
      <c r="V2941" s="4">
        <v>397.39</v>
      </c>
      <c r="W2941" t="s">
        <v>21</v>
      </c>
      <c r="X2941" t="s">
        <v>36</v>
      </c>
      <c r="Y2941" s="4">
        <v>15</v>
      </c>
      <c r="Z2941" s="4">
        <v>0</v>
      </c>
      <c r="AA2941" t="s">
        <v>37</v>
      </c>
      <c r="AB2941" t="s">
        <v>38</v>
      </c>
      <c r="AC2941" s="7">
        <v>0</v>
      </c>
      <c r="AD2941" t="s">
        <v>39</v>
      </c>
      <c r="AE2941">
        <f t="shared" si="45"/>
        <v>0</v>
      </c>
    </row>
    <row r="2942" spans="1:31" x14ac:dyDescent="0.35">
      <c r="A2942">
        <v>102941</v>
      </c>
      <c r="B2942" s="3">
        <v>45990</v>
      </c>
      <c r="C2942">
        <v>1010</v>
      </c>
      <c r="D2942" t="s">
        <v>64</v>
      </c>
      <c r="E2942" t="s">
        <v>75</v>
      </c>
      <c r="F2942" t="s">
        <v>41</v>
      </c>
      <c r="G2942" t="s">
        <v>63</v>
      </c>
      <c r="H2942" t="s">
        <v>57</v>
      </c>
      <c r="I2942" t="s">
        <v>54</v>
      </c>
      <c r="J2942" s="4">
        <v>26.76</v>
      </c>
      <c r="K2942" s="4">
        <v>13.03</v>
      </c>
      <c r="L2942">
        <v>10</v>
      </c>
      <c r="M2942" s="4">
        <v>34.869999999999997</v>
      </c>
      <c r="N2942" s="4">
        <v>313.81</v>
      </c>
      <c r="O2942" s="4">
        <v>175.22</v>
      </c>
      <c r="P2942" s="4">
        <v>3.48</v>
      </c>
      <c r="Q2942" s="4">
        <v>4.18</v>
      </c>
      <c r="R2942" s="4">
        <v>4.01</v>
      </c>
      <c r="S2942" s="4">
        <v>0</v>
      </c>
      <c r="T2942" s="4">
        <v>0</v>
      </c>
      <c r="U2942" s="4">
        <v>186.89</v>
      </c>
      <c r="V2942" s="4">
        <v>126.92</v>
      </c>
      <c r="W2942" t="s">
        <v>21</v>
      </c>
      <c r="X2942" t="s">
        <v>36</v>
      </c>
      <c r="Y2942" s="4">
        <v>8</v>
      </c>
      <c r="Z2942" s="4">
        <v>1</v>
      </c>
      <c r="AA2942" t="s">
        <v>37</v>
      </c>
      <c r="AB2942" t="s">
        <v>38</v>
      </c>
      <c r="AC2942" s="7">
        <v>0</v>
      </c>
      <c r="AD2942" t="s">
        <v>39</v>
      </c>
      <c r="AE2942">
        <f t="shared" si="45"/>
        <v>0</v>
      </c>
    </row>
    <row r="2943" spans="1:31" x14ac:dyDescent="0.35">
      <c r="A2943">
        <v>102942</v>
      </c>
      <c r="B2943" s="3">
        <v>45952</v>
      </c>
      <c r="C2943">
        <v>1060</v>
      </c>
      <c r="D2943" t="s">
        <v>30</v>
      </c>
      <c r="E2943" t="s">
        <v>62</v>
      </c>
      <c r="F2943" t="s">
        <v>61</v>
      </c>
      <c r="G2943" t="s">
        <v>63</v>
      </c>
      <c r="H2943" t="s">
        <v>34</v>
      </c>
      <c r="I2943" t="s">
        <v>35</v>
      </c>
      <c r="J2943" s="4">
        <v>10.37</v>
      </c>
      <c r="K2943" s="4">
        <v>11.98</v>
      </c>
      <c r="L2943">
        <v>15</v>
      </c>
      <c r="M2943" s="4">
        <v>18.63</v>
      </c>
      <c r="N2943" s="4">
        <v>105.6</v>
      </c>
      <c r="O2943" s="4">
        <v>83.33</v>
      </c>
      <c r="P2943" s="4">
        <v>9.32</v>
      </c>
      <c r="Q2943" s="4">
        <v>0.87</v>
      </c>
      <c r="R2943" s="4">
        <v>2.0099999999999998</v>
      </c>
      <c r="S2943" s="4">
        <v>0</v>
      </c>
      <c r="T2943" s="4">
        <v>0</v>
      </c>
      <c r="U2943" s="4">
        <v>95.53</v>
      </c>
      <c r="V2943" s="4">
        <v>10.07</v>
      </c>
      <c r="W2943" t="s">
        <v>21</v>
      </c>
      <c r="X2943" t="s">
        <v>36</v>
      </c>
      <c r="Y2943" s="4">
        <v>6</v>
      </c>
      <c r="Z2943" s="4">
        <v>15</v>
      </c>
      <c r="AA2943" t="s">
        <v>37</v>
      </c>
      <c r="AB2943" t="s">
        <v>38</v>
      </c>
      <c r="AC2943" s="7">
        <v>0</v>
      </c>
      <c r="AD2943" t="s">
        <v>39</v>
      </c>
      <c r="AE2943">
        <f t="shared" si="45"/>
        <v>0</v>
      </c>
    </row>
    <row r="2944" spans="1:31" x14ac:dyDescent="0.35">
      <c r="A2944">
        <v>102943</v>
      </c>
      <c r="B2944" s="3">
        <v>45955</v>
      </c>
      <c r="C2944">
        <v>1025</v>
      </c>
      <c r="D2944" t="s">
        <v>30</v>
      </c>
      <c r="E2944" t="s">
        <v>62</v>
      </c>
      <c r="F2944" t="s">
        <v>61</v>
      </c>
      <c r="G2944" t="s">
        <v>33</v>
      </c>
      <c r="H2944" t="s">
        <v>51</v>
      </c>
      <c r="I2944" t="s">
        <v>35</v>
      </c>
      <c r="J2944" s="4">
        <v>27.47</v>
      </c>
      <c r="K2944" s="4">
        <v>19.32</v>
      </c>
      <c r="L2944">
        <v>0</v>
      </c>
      <c r="M2944" s="4">
        <v>0</v>
      </c>
      <c r="N2944" s="4">
        <v>530.72</v>
      </c>
      <c r="O2944" s="4">
        <v>201.2</v>
      </c>
      <c r="P2944" s="4">
        <v>8.27</v>
      </c>
      <c r="Q2944" s="4">
        <v>3.72</v>
      </c>
      <c r="R2944" s="4">
        <v>1.74</v>
      </c>
      <c r="S2944" s="4">
        <v>0</v>
      </c>
      <c r="T2944" s="4">
        <v>0</v>
      </c>
      <c r="U2944" s="4">
        <v>214.93</v>
      </c>
      <c r="V2944" s="4">
        <v>315.79000000000002</v>
      </c>
      <c r="W2944" t="s">
        <v>21</v>
      </c>
      <c r="X2944" t="s">
        <v>36</v>
      </c>
      <c r="Y2944" s="4">
        <v>2</v>
      </c>
      <c r="Z2944" s="4">
        <v>4</v>
      </c>
      <c r="AA2944" t="s">
        <v>37</v>
      </c>
      <c r="AB2944" t="s">
        <v>38</v>
      </c>
      <c r="AC2944" s="7">
        <v>0</v>
      </c>
      <c r="AD2944" t="s">
        <v>39</v>
      </c>
      <c r="AE2944">
        <f t="shared" si="45"/>
        <v>0</v>
      </c>
    </row>
    <row r="2945" spans="1:31" x14ac:dyDescent="0.35">
      <c r="A2945">
        <v>102944</v>
      </c>
      <c r="B2945" s="3">
        <v>45948</v>
      </c>
      <c r="C2945">
        <v>1138</v>
      </c>
      <c r="D2945" t="s">
        <v>59</v>
      </c>
      <c r="E2945" t="s">
        <v>73</v>
      </c>
      <c r="F2945" t="s">
        <v>41</v>
      </c>
      <c r="G2945" t="s">
        <v>63</v>
      </c>
      <c r="H2945" t="s">
        <v>51</v>
      </c>
      <c r="I2945" t="s">
        <v>35</v>
      </c>
      <c r="J2945" s="4">
        <v>29.16</v>
      </c>
      <c r="K2945" s="4">
        <v>14.31</v>
      </c>
      <c r="L2945">
        <v>0</v>
      </c>
      <c r="M2945" s="4">
        <v>0</v>
      </c>
      <c r="N2945" s="4">
        <v>417.28</v>
      </c>
      <c r="O2945" s="4">
        <v>195.54</v>
      </c>
      <c r="P2945" s="4">
        <v>8.81</v>
      </c>
      <c r="Q2945" s="4">
        <v>2.92</v>
      </c>
      <c r="R2945" s="4">
        <v>0</v>
      </c>
      <c r="S2945" s="4">
        <v>0</v>
      </c>
      <c r="T2945" s="4">
        <v>0</v>
      </c>
      <c r="U2945" s="4">
        <v>207.27</v>
      </c>
      <c r="V2945" s="4">
        <v>210.01</v>
      </c>
      <c r="W2945" t="s">
        <v>21</v>
      </c>
      <c r="X2945" t="s">
        <v>36</v>
      </c>
      <c r="Y2945" s="4">
        <v>7</v>
      </c>
      <c r="Z2945" s="4">
        <v>11</v>
      </c>
      <c r="AA2945" t="s">
        <v>37</v>
      </c>
      <c r="AB2945" t="s">
        <v>38</v>
      </c>
      <c r="AC2945" s="7">
        <v>0</v>
      </c>
      <c r="AD2945" t="s">
        <v>39</v>
      </c>
      <c r="AE2945">
        <f t="shared" si="45"/>
        <v>0</v>
      </c>
    </row>
    <row r="2946" spans="1:31" x14ac:dyDescent="0.35">
      <c r="A2946">
        <v>102945</v>
      </c>
      <c r="B2946" s="3">
        <v>45992</v>
      </c>
      <c r="C2946">
        <v>1106</v>
      </c>
      <c r="D2946" t="s">
        <v>47</v>
      </c>
      <c r="E2946" t="s">
        <v>53</v>
      </c>
      <c r="F2946" t="s">
        <v>41</v>
      </c>
      <c r="G2946" t="s">
        <v>46</v>
      </c>
      <c r="H2946" t="s">
        <v>57</v>
      </c>
      <c r="I2946" t="s">
        <v>35</v>
      </c>
      <c r="J2946" s="4">
        <v>26.53</v>
      </c>
      <c r="K2946" s="4">
        <v>15.94</v>
      </c>
      <c r="L2946">
        <v>20</v>
      </c>
      <c r="M2946" s="4">
        <v>84.58</v>
      </c>
      <c r="N2946" s="4">
        <v>338.31</v>
      </c>
      <c r="O2946" s="4">
        <v>161.44999999999999</v>
      </c>
      <c r="P2946" s="4">
        <v>2.0299999999999998</v>
      </c>
      <c r="Q2946" s="4">
        <v>2.96</v>
      </c>
      <c r="R2946" s="4">
        <v>5.57</v>
      </c>
      <c r="S2946" s="4">
        <v>0</v>
      </c>
      <c r="T2946" s="4">
        <v>0</v>
      </c>
      <c r="U2946" s="4">
        <v>172.01</v>
      </c>
      <c r="V2946" s="4">
        <v>166.3</v>
      </c>
      <c r="W2946" t="s">
        <v>21</v>
      </c>
      <c r="X2946" t="s">
        <v>36</v>
      </c>
      <c r="Y2946" s="4">
        <v>5</v>
      </c>
      <c r="Z2946" s="4">
        <v>12</v>
      </c>
      <c r="AA2946" t="s">
        <v>37</v>
      </c>
      <c r="AB2946" t="s">
        <v>38</v>
      </c>
      <c r="AC2946" s="7">
        <v>0</v>
      </c>
      <c r="AD2946" t="s">
        <v>39</v>
      </c>
      <c r="AE2946">
        <f t="shared" si="45"/>
        <v>0</v>
      </c>
    </row>
    <row r="2947" spans="1:31" x14ac:dyDescent="0.35">
      <c r="A2947">
        <v>102946</v>
      </c>
      <c r="B2947" s="3">
        <v>45936</v>
      </c>
      <c r="C2947">
        <v>1142</v>
      </c>
      <c r="D2947" t="s">
        <v>47</v>
      </c>
      <c r="E2947" t="s">
        <v>48</v>
      </c>
      <c r="F2947" t="s">
        <v>41</v>
      </c>
      <c r="G2947" t="s">
        <v>33</v>
      </c>
      <c r="H2947" t="s">
        <v>51</v>
      </c>
      <c r="I2947" t="s">
        <v>54</v>
      </c>
      <c r="J2947" s="4">
        <v>10.83</v>
      </c>
      <c r="K2947" s="4">
        <v>18.850000000000001</v>
      </c>
      <c r="L2947">
        <v>0</v>
      </c>
      <c r="M2947" s="4">
        <v>0</v>
      </c>
      <c r="N2947" s="4">
        <v>204.15</v>
      </c>
      <c r="O2947" s="4">
        <v>78.930000000000007</v>
      </c>
      <c r="P2947" s="4">
        <v>9.84</v>
      </c>
      <c r="Q2947" s="4">
        <v>2.4500000000000002</v>
      </c>
      <c r="R2947" s="4">
        <v>10.64</v>
      </c>
      <c r="S2947" s="4">
        <v>0</v>
      </c>
      <c r="T2947" s="4">
        <v>0</v>
      </c>
      <c r="U2947" s="4">
        <v>101.86</v>
      </c>
      <c r="V2947" s="4">
        <v>102.29</v>
      </c>
      <c r="W2947" t="s">
        <v>21</v>
      </c>
      <c r="X2947" t="s">
        <v>36</v>
      </c>
      <c r="Y2947" s="4">
        <v>24</v>
      </c>
      <c r="Z2947" s="4">
        <v>5</v>
      </c>
      <c r="AA2947" t="s">
        <v>52</v>
      </c>
      <c r="AB2947" t="s">
        <v>44</v>
      </c>
      <c r="AC2947" s="7">
        <v>2</v>
      </c>
      <c r="AD2947" t="s">
        <v>45</v>
      </c>
      <c r="AE2947">
        <f t="shared" ref="AE2947:AE3001" si="46">IF(AB2947="Yes",1,0)</f>
        <v>1</v>
      </c>
    </row>
    <row r="2948" spans="1:31" x14ac:dyDescent="0.35">
      <c r="A2948">
        <v>102947</v>
      </c>
      <c r="B2948" s="3">
        <v>46010</v>
      </c>
      <c r="C2948">
        <v>1023</v>
      </c>
      <c r="D2948" t="s">
        <v>47</v>
      </c>
      <c r="E2948" t="s">
        <v>74</v>
      </c>
      <c r="F2948" t="s">
        <v>41</v>
      </c>
      <c r="G2948" t="s">
        <v>63</v>
      </c>
      <c r="H2948" t="s">
        <v>57</v>
      </c>
      <c r="I2948" t="s">
        <v>54</v>
      </c>
      <c r="J2948" s="4">
        <v>14.76</v>
      </c>
      <c r="K2948" s="4">
        <v>12.56</v>
      </c>
      <c r="L2948">
        <v>5</v>
      </c>
      <c r="M2948" s="4">
        <v>9.27</v>
      </c>
      <c r="N2948" s="4">
        <v>176.12</v>
      </c>
      <c r="O2948" s="4">
        <v>118.88</v>
      </c>
      <c r="P2948" s="4">
        <v>9.7899999999999991</v>
      </c>
      <c r="Q2948" s="4">
        <v>2.2200000000000002</v>
      </c>
      <c r="R2948" s="4">
        <v>8.4600000000000009</v>
      </c>
      <c r="S2948" s="4">
        <v>0</v>
      </c>
      <c r="T2948" s="4">
        <v>0</v>
      </c>
      <c r="U2948" s="4">
        <v>139.35</v>
      </c>
      <c r="V2948" s="4">
        <v>36.770000000000003</v>
      </c>
      <c r="W2948" t="s">
        <v>21</v>
      </c>
      <c r="X2948" t="s">
        <v>36</v>
      </c>
      <c r="Y2948" s="4">
        <v>26</v>
      </c>
      <c r="Z2948" s="4">
        <v>0</v>
      </c>
      <c r="AA2948" t="s">
        <v>52</v>
      </c>
      <c r="AB2948" t="s">
        <v>44</v>
      </c>
      <c r="AC2948" s="7">
        <v>2</v>
      </c>
      <c r="AD2948" t="s">
        <v>45</v>
      </c>
      <c r="AE2948">
        <f t="shared" si="46"/>
        <v>1</v>
      </c>
    </row>
    <row r="2949" spans="1:31" x14ac:dyDescent="0.35">
      <c r="A2949">
        <v>102948</v>
      </c>
      <c r="B2949" s="3">
        <v>45954</v>
      </c>
      <c r="C2949">
        <v>1057</v>
      </c>
      <c r="D2949" t="s">
        <v>30</v>
      </c>
      <c r="E2949" t="s">
        <v>40</v>
      </c>
      <c r="F2949" t="s">
        <v>32</v>
      </c>
      <c r="G2949" t="s">
        <v>63</v>
      </c>
      <c r="H2949" t="s">
        <v>34</v>
      </c>
      <c r="I2949" t="s">
        <v>69</v>
      </c>
      <c r="J2949" s="4">
        <v>13.68</v>
      </c>
      <c r="K2949" s="4">
        <v>13.04</v>
      </c>
      <c r="L2949">
        <v>5</v>
      </c>
      <c r="M2949" s="4">
        <v>8.92</v>
      </c>
      <c r="N2949" s="4">
        <v>169.47</v>
      </c>
      <c r="O2949" s="4">
        <v>92.61</v>
      </c>
      <c r="P2949" s="4">
        <v>8.86</v>
      </c>
      <c r="Q2949" s="4">
        <v>0.71</v>
      </c>
      <c r="R2949" s="4">
        <v>0</v>
      </c>
      <c r="S2949" s="4">
        <v>0</v>
      </c>
      <c r="T2949" s="4">
        <v>0</v>
      </c>
      <c r="U2949" s="4">
        <v>102.18</v>
      </c>
      <c r="V2949" s="4">
        <v>67.290000000000006</v>
      </c>
      <c r="W2949" t="s">
        <v>21</v>
      </c>
      <c r="X2949" t="s">
        <v>36</v>
      </c>
      <c r="Y2949" s="4">
        <v>11</v>
      </c>
      <c r="Z2949" s="4">
        <v>5</v>
      </c>
      <c r="AA2949" t="s">
        <v>37</v>
      </c>
      <c r="AB2949" t="s">
        <v>38</v>
      </c>
      <c r="AC2949" s="7">
        <v>0</v>
      </c>
      <c r="AD2949" t="s">
        <v>39</v>
      </c>
      <c r="AE2949">
        <f t="shared" si="46"/>
        <v>0</v>
      </c>
    </row>
    <row r="2950" spans="1:31" x14ac:dyDescent="0.35">
      <c r="A2950">
        <v>102949</v>
      </c>
      <c r="B2950" s="3">
        <v>45959</v>
      </c>
      <c r="C2950">
        <v>1012</v>
      </c>
      <c r="D2950" t="s">
        <v>59</v>
      </c>
      <c r="E2950" t="s">
        <v>70</v>
      </c>
      <c r="F2950" t="s">
        <v>49</v>
      </c>
      <c r="G2950" t="s">
        <v>63</v>
      </c>
      <c r="H2950" t="s">
        <v>34</v>
      </c>
      <c r="I2950" t="s">
        <v>35</v>
      </c>
      <c r="J2950" s="4">
        <v>18.329999999999998</v>
      </c>
      <c r="K2950" s="4">
        <v>14.48</v>
      </c>
      <c r="L2950">
        <v>15</v>
      </c>
      <c r="M2950" s="4">
        <v>39.81</v>
      </c>
      <c r="N2950" s="4">
        <v>225.61</v>
      </c>
      <c r="O2950" s="4">
        <v>128.94</v>
      </c>
      <c r="P2950" s="4">
        <v>7.5</v>
      </c>
      <c r="Q2950" s="4">
        <v>1.86</v>
      </c>
      <c r="R2950" s="4">
        <v>7.14</v>
      </c>
      <c r="S2950" s="4">
        <v>0</v>
      </c>
      <c r="T2950" s="4">
        <v>0</v>
      </c>
      <c r="U2950" s="4">
        <v>145.44</v>
      </c>
      <c r="V2950" s="4">
        <v>80.17</v>
      </c>
      <c r="W2950" t="s">
        <v>21</v>
      </c>
      <c r="X2950" t="s">
        <v>36</v>
      </c>
      <c r="Y2950" s="4">
        <v>3</v>
      </c>
      <c r="Z2950" s="4">
        <v>2</v>
      </c>
      <c r="AA2950" t="s">
        <v>37</v>
      </c>
      <c r="AB2950" t="s">
        <v>38</v>
      </c>
      <c r="AC2950" s="7">
        <v>0</v>
      </c>
      <c r="AD2950" t="s">
        <v>39</v>
      </c>
      <c r="AE2950">
        <f t="shared" si="46"/>
        <v>0</v>
      </c>
    </row>
    <row r="2951" spans="1:31" x14ac:dyDescent="0.35">
      <c r="A2951">
        <v>102950</v>
      </c>
      <c r="B2951" s="3">
        <v>45961</v>
      </c>
      <c r="C2951">
        <v>1093</v>
      </c>
      <c r="D2951" t="s">
        <v>59</v>
      </c>
      <c r="E2951" t="s">
        <v>70</v>
      </c>
      <c r="F2951" t="s">
        <v>49</v>
      </c>
      <c r="G2951" t="s">
        <v>46</v>
      </c>
      <c r="H2951" t="s">
        <v>34</v>
      </c>
      <c r="I2951" t="s">
        <v>42</v>
      </c>
      <c r="J2951" s="4">
        <v>6.72</v>
      </c>
      <c r="K2951" s="4">
        <v>16.899999999999999</v>
      </c>
      <c r="L2951">
        <v>10</v>
      </c>
      <c r="M2951" s="4">
        <v>11.36</v>
      </c>
      <c r="N2951" s="4">
        <v>102.21</v>
      </c>
      <c r="O2951" s="4">
        <v>53.59</v>
      </c>
      <c r="P2951" s="4">
        <v>9.0299999999999994</v>
      </c>
      <c r="Q2951" s="4">
        <v>1.7</v>
      </c>
      <c r="R2951" s="4">
        <v>5.28</v>
      </c>
      <c r="S2951" s="4">
        <v>0</v>
      </c>
      <c r="T2951" s="4">
        <v>0</v>
      </c>
      <c r="U2951" s="4">
        <v>69.599999999999994</v>
      </c>
      <c r="V2951" s="4">
        <v>32.61</v>
      </c>
      <c r="W2951" t="s">
        <v>21</v>
      </c>
      <c r="X2951" t="s">
        <v>36</v>
      </c>
      <c r="Y2951" s="4">
        <v>1</v>
      </c>
      <c r="Z2951" s="4">
        <v>4</v>
      </c>
      <c r="AA2951" t="s">
        <v>37</v>
      </c>
      <c r="AB2951" t="s">
        <v>38</v>
      </c>
      <c r="AC2951" s="7">
        <v>0</v>
      </c>
      <c r="AD2951" t="s">
        <v>39</v>
      </c>
      <c r="AE2951">
        <f t="shared" si="46"/>
        <v>0</v>
      </c>
    </row>
    <row r="2952" spans="1:31" x14ac:dyDescent="0.35">
      <c r="A2952">
        <v>102951</v>
      </c>
      <c r="B2952" s="3">
        <v>46011</v>
      </c>
      <c r="C2952">
        <v>1120</v>
      </c>
      <c r="D2952" t="s">
        <v>47</v>
      </c>
      <c r="E2952" t="s">
        <v>56</v>
      </c>
      <c r="F2952" t="s">
        <v>49</v>
      </c>
      <c r="G2952" t="s">
        <v>46</v>
      </c>
      <c r="H2952" t="s">
        <v>57</v>
      </c>
      <c r="I2952" t="s">
        <v>35</v>
      </c>
      <c r="J2952" s="4">
        <v>28.25</v>
      </c>
      <c r="K2952" s="4">
        <v>15.09</v>
      </c>
      <c r="L2952">
        <v>10</v>
      </c>
      <c r="M2952" s="4">
        <v>42.63</v>
      </c>
      <c r="N2952" s="4">
        <v>383.66</v>
      </c>
      <c r="O2952" s="4">
        <v>216.75</v>
      </c>
      <c r="P2952" s="4">
        <v>2.98</v>
      </c>
      <c r="Q2952" s="4">
        <v>2.98</v>
      </c>
      <c r="R2952" s="4">
        <v>10.56</v>
      </c>
      <c r="S2952" s="4">
        <v>0</v>
      </c>
      <c r="T2952" s="4">
        <v>0</v>
      </c>
      <c r="U2952" s="4">
        <v>233.27</v>
      </c>
      <c r="V2952" s="4">
        <v>150.38999999999999</v>
      </c>
      <c r="W2952" t="s">
        <v>21</v>
      </c>
      <c r="X2952" t="s">
        <v>36</v>
      </c>
      <c r="Y2952" s="4">
        <v>5</v>
      </c>
      <c r="Z2952" s="4">
        <v>16</v>
      </c>
      <c r="AA2952" t="s">
        <v>37</v>
      </c>
      <c r="AB2952" t="s">
        <v>44</v>
      </c>
      <c r="AC2952" s="7">
        <v>1</v>
      </c>
      <c r="AD2952" t="s">
        <v>45</v>
      </c>
      <c r="AE2952">
        <f t="shared" si="46"/>
        <v>1</v>
      </c>
    </row>
    <row r="2953" spans="1:31" x14ac:dyDescent="0.35">
      <c r="A2953">
        <v>102952</v>
      </c>
      <c r="B2953" s="3">
        <v>46009</v>
      </c>
      <c r="C2953">
        <v>1094</v>
      </c>
      <c r="D2953" t="s">
        <v>47</v>
      </c>
      <c r="E2953" t="s">
        <v>56</v>
      </c>
      <c r="F2953" t="s">
        <v>41</v>
      </c>
      <c r="G2953" t="s">
        <v>63</v>
      </c>
      <c r="H2953" t="s">
        <v>34</v>
      </c>
      <c r="I2953" t="s">
        <v>69</v>
      </c>
      <c r="J2953" s="4">
        <v>27.07</v>
      </c>
      <c r="K2953" s="4">
        <v>12.13</v>
      </c>
      <c r="L2953">
        <v>0</v>
      </c>
      <c r="M2953" s="4">
        <v>0</v>
      </c>
      <c r="N2953" s="4">
        <v>328.36</v>
      </c>
      <c r="O2953" s="4">
        <v>172.77</v>
      </c>
      <c r="P2953" s="4">
        <v>3.23</v>
      </c>
      <c r="Q2953" s="4">
        <v>1.31</v>
      </c>
      <c r="R2953" s="4">
        <v>5.24</v>
      </c>
      <c r="S2953" s="4">
        <v>0</v>
      </c>
      <c r="T2953" s="4">
        <v>0</v>
      </c>
      <c r="U2953" s="4">
        <v>182.55</v>
      </c>
      <c r="V2953" s="4">
        <v>145.81</v>
      </c>
      <c r="W2953" t="s">
        <v>21</v>
      </c>
      <c r="X2953" t="s">
        <v>36</v>
      </c>
      <c r="Y2953" s="4">
        <v>13</v>
      </c>
      <c r="Z2953" s="4">
        <v>21</v>
      </c>
      <c r="AA2953" t="s">
        <v>37</v>
      </c>
      <c r="AB2953" t="s">
        <v>44</v>
      </c>
      <c r="AC2953" s="7">
        <v>3</v>
      </c>
      <c r="AD2953" t="s">
        <v>45</v>
      </c>
      <c r="AE2953">
        <f t="shared" si="46"/>
        <v>1</v>
      </c>
    </row>
    <row r="2954" spans="1:31" x14ac:dyDescent="0.35">
      <c r="A2954">
        <v>102953</v>
      </c>
      <c r="B2954" s="3">
        <v>45987</v>
      </c>
      <c r="C2954">
        <v>1105</v>
      </c>
      <c r="D2954" t="s">
        <v>47</v>
      </c>
      <c r="E2954" t="s">
        <v>74</v>
      </c>
      <c r="F2954" t="s">
        <v>71</v>
      </c>
      <c r="G2954" t="s">
        <v>46</v>
      </c>
      <c r="H2954" t="s">
        <v>34</v>
      </c>
      <c r="I2954" t="s">
        <v>35</v>
      </c>
      <c r="J2954" s="4">
        <v>27.19</v>
      </c>
      <c r="K2954" s="4">
        <v>17.45</v>
      </c>
      <c r="L2954">
        <v>10</v>
      </c>
      <c r="M2954" s="4">
        <v>47.45</v>
      </c>
      <c r="N2954" s="4">
        <v>427.02</v>
      </c>
      <c r="O2954" s="4">
        <v>174.49</v>
      </c>
      <c r="P2954" s="4">
        <v>11.93</v>
      </c>
      <c r="Q2954" s="4">
        <v>3.32</v>
      </c>
      <c r="R2954" s="4">
        <v>9.56</v>
      </c>
      <c r="S2954" s="4">
        <v>0</v>
      </c>
      <c r="T2954" s="4">
        <v>0</v>
      </c>
      <c r="U2954" s="4">
        <v>199.3</v>
      </c>
      <c r="V2954" s="4">
        <v>227.72</v>
      </c>
      <c r="W2954" t="s">
        <v>21</v>
      </c>
      <c r="X2954" t="s">
        <v>36</v>
      </c>
      <c r="Y2954" s="4">
        <v>35</v>
      </c>
      <c r="Z2954" s="4">
        <v>4</v>
      </c>
      <c r="AA2954" t="s">
        <v>43</v>
      </c>
      <c r="AB2954" t="s">
        <v>44</v>
      </c>
      <c r="AC2954" s="7">
        <v>2</v>
      </c>
      <c r="AD2954" t="s">
        <v>45</v>
      </c>
      <c r="AE2954">
        <f t="shared" si="46"/>
        <v>1</v>
      </c>
    </row>
    <row r="2955" spans="1:31" x14ac:dyDescent="0.35">
      <c r="A2955">
        <v>102954</v>
      </c>
      <c r="B2955" s="3">
        <v>45933</v>
      </c>
      <c r="C2955">
        <v>1108</v>
      </c>
      <c r="D2955" t="s">
        <v>30</v>
      </c>
      <c r="E2955" t="s">
        <v>31</v>
      </c>
      <c r="F2955" t="s">
        <v>61</v>
      </c>
      <c r="G2955" t="s">
        <v>33</v>
      </c>
      <c r="H2955" t="s">
        <v>34</v>
      </c>
      <c r="I2955" t="s">
        <v>35</v>
      </c>
      <c r="J2955" s="4">
        <v>20.63</v>
      </c>
      <c r="K2955" s="4">
        <v>19.100000000000001</v>
      </c>
      <c r="L2955">
        <v>5</v>
      </c>
      <c r="M2955" s="4">
        <v>19.7</v>
      </c>
      <c r="N2955" s="4">
        <v>374.33</v>
      </c>
      <c r="O2955" s="4">
        <v>130.28</v>
      </c>
      <c r="P2955" s="4">
        <v>10.84</v>
      </c>
      <c r="Q2955" s="4">
        <v>2.76</v>
      </c>
      <c r="R2955" s="4">
        <v>3.06</v>
      </c>
      <c r="S2955" s="4">
        <v>390.27</v>
      </c>
      <c r="T2955" s="4">
        <v>0</v>
      </c>
      <c r="U2955" s="4">
        <v>537.21</v>
      </c>
      <c r="V2955" s="4">
        <v>-162.88</v>
      </c>
      <c r="W2955" t="s">
        <v>58</v>
      </c>
      <c r="X2955" t="s">
        <v>55</v>
      </c>
      <c r="Y2955" s="4">
        <v>28</v>
      </c>
      <c r="Z2955" s="4">
        <v>1</v>
      </c>
      <c r="AA2955" t="s">
        <v>52</v>
      </c>
      <c r="AB2955" t="s">
        <v>44</v>
      </c>
      <c r="AC2955" s="7">
        <v>2</v>
      </c>
      <c r="AD2955" t="s">
        <v>45</v>
      </c>
      <c r="AE2955">
        <f t="shared" si="46"/>
        <v>1</v>
      </c>
    </row>
    <row r="2956" spans="1:31" x14ac:dyDescent="0.35">
      <c r="A2956">
        <v>102955</v>
      </c>
      <c r="B2956" s="3">
        <v>46000</v>
      </c>
      <c r="C2956">
        <v>1140</v>
      </c>
      <c r="D2956" t="s">
        <v>47</v>
      </c>
      <c r="E2956" t="s">
        <v>48</v>
      </c>
      <c r="F2956" t="s">
        <v>41</v>
      </c>
      <c r="G2956" t="s">
        <v>63</v>
      </c>
      <c r="H2956" t="s">
        <v>34</v>
      </c>
      <c r="I2956" t="s">
        <v>69</v>
      </c>
      <c r="J2956" s="4">
        <v>25.65</v>
      </c>
      <c r="K2956" s="4">
        <v>13.43</v>
      </c>
      <c r="L2956">
        <v>5</v>
      </c>
      <c r="M2956" s="4">
        <v>17.22</v>
      </c>
      <c r="N2956" s="4">
        <v>327.26</v>
      </c>
      <c r="O2956" s="4">
        <v>207.3</v>
      </c>
      <c r="P2956" s="4">
        <v>6.92</v>
      </c>
      <c r="Q2956" s="4">
        <v>1.38</v>
      </c>
      <c r="R2956" s="4">
        <v>6.07</v>
      </c>
      <c r="S2956" s="4">
        <v>0</v>
      </c>
      <c r="T2956" s="4">
        <v>0</v>
      </c>
      <c r="U2956" s="4">
        <v>221.67</v>
      </c>
      <c r="V2956" s="4">
        <v>105.59</v>
      </c>
      <c r="W2956" t="s">
        <v>21</v>
      </c>
      <c r="X2956" t="s">
        <v>36</v>
      </c>
      <c r="Y2956" s="4">
        <v>14</v>
      </c>
      <c r="Z2956" s="4">
        <v>13</v>
      </c>
      <c r="AA2956" t="s">
        <v>37</v>
      </c>
      <c r="AB2956" t="s">
        <v>38</v>
      </c>
      <c r="AC2956" s="7">
        <v>0</v>
      </c>
      <c r="AD2956" t="s">
        <v>39</v>
      </c>
      <c r="AE2956">
        <f t="shared" si="46"/>
        <v>0</v>
      </c>
    </row>
    <row r="2957" spans="1:31" x14ac:dyDescent="0.35">
      <c r="A2957">
        <v>102956</v>
      </c>
      <c r="B2957" s="3">
        <v>45996</v>
      </c>
      <c r="C2957">
        <v>1108</v>
      </c>
      <c r="D2957" t="s">
        <v>47</v>
      </c>
      <c r="E2957" t="s">
        <v>56</v>
      </c>
      <c r="F2957" t="s">
        <v>61</v>
      </c>
      <c r="G2957" t="s">
        <v>46</v>
      </c>
      <c r="H2957" t="s">
        <v>57</v>
      </c>
      <c r="I2957" t="s">
        <v>54</v>
      </c>
      <c r="J2957" s="4">
        <v>25.29</v>
      </c>
      <c r="K2957" s="4">
        <v>15.68</v>
      </c>
      <c r="L2957">
        <v>10</v>
      </c>
      <c r="M2957" s="4">
        <v>39.659999999999997</v>
      </c>
      <c r="N2957" s="4">
        <v>356.89</v>
      </c>
      <c r="O2957" s="4">
        <v>207.42</v>
      </c>
      <c r="P2957" s="4">
        <v>10.43</v>
      </c>
      <c r="Q2957" s="4">
        <v>4.76</v>
      </c>
      <c r="R2957" s="4">
        <v>0.21</v>
      </c>
      <c r="S2957" s="4">
        <v>0</v>
      </c>
      <c r="T2957" s="4">
        <v>0</v>
      </c>
      <c r="U2957" s="4">
        <v>222.82</v>
      </c>
      <c r="V2957" s="4">
        <v>134.07</v>
      </c>
      <c r="W2957" t="s">
        <v>21</v>
      </c>
      <c r="X2957" t="s">
        <v>36</v>
      </c>
      <c r="Y2957" s="4">
        <v>29</v>
      </c>
      <c r="Z2957" s="4">
        <v>0</v>
      </c>
      <c r="AA2957" t="s">
        <v>52</v>
      </c>
      <c r="AB2957" t="s">
        <v>44</v>
      </c>
      <c r="AC2957" s="7">
        <v>2</v>
      </c>
      <c r="AD2957" t="s">
        <v>45</v>
      </c>
      <c r="AE2957">
        <f t="shared" si="46"/>
        <v>1</v>
      </c>
    </row>
    <row r="2958" spans="1:31" x14ac:dyDescent="0.35">
      <c r="A2958">
        <v>102957</v>
      </c>
      <c r="B2958" s="3">
        <v>45986</v>
      </c>
      <c r="C2958">
        <v>1028</v>
      </c>
      <c r="D2958" t="s">
        <v>64</v>
      </c>
      <c r="E2958" t="s">
        <v>75</v>
      </c>
      <c r="F2958" t="s">
        <v>32</v>
      </c>
      <c r="G2958" t="s">
        <v>63</v>
      </c>
      <c r="H2958" t="s">
        <v>34</v>
      </c>
      <c r="I2958" t="s">
        <v>35</v>
      </c>
      <c r="J2958" s="4">
        <v>14.62</v>
      </c>
      <c r="K2958" s="4">
        <v>12.31</v>
      </c>
      <c r="L2958">
        <v>0</v>
      </c>
      <c r="M2958" s="4">
        <v>0</v>
      </c>
      <c r="N2958" s="4">
        <v>179.97</v>
      </c>
      <c r="O2958" s="4">
        <v>113.71</v>
      </c>
      <c r="P2958" s="4">
        <v>9.1</v>
      </c>
      <c r="Q2958" s="4">
        <v>1.26</v>
      </c>
      <c r="R2958" s="4">
        <v>9.83</v>
      </c>
      <c r="S2958" s="4">
        <v>0</v>
      </c>
      <c r="T2958" s="4">
        <v>0</v>
      </c>
      <c r="U2958" s="4">
        <v>133.9</v>
      </c>
      <c r="V2958" s="4">
        <v>46.07</v>
      </c>
      <c r="W2958" t="s">
        <v>21</v>
      </c>
      <c r="X2958" t="s">
        <v>36</v>
      </c>
      <c r="Y2958" s="4">
        <v>8</v>
      </c>
      <c r="Z2958" s="4">
        <v>14</v>
      </c>
      <c r="AA2958" t="s">
        <v>37</v>
      </c>
      <c r="AB2958" t="s">
        <v>38</v>
      </c>
      <c r="AC2958" s="7">
        <v>0</v>
      </c>
      <c r="AD2958" t="s">
        <v>39</v>
      </c>
      <c r="AE2958">
        <f t="shared" si="46"/>
        <v>0</v>
      </c>
    </row>
    <row r="2959" spans="1:31" x14ac:dyDescent="0.35">
      <c r="A2959">
        <v>102958</v>
      </c>
      <c r="B2959" s="3">
        <v>46000</v>
      </c>
      <c r="C2959">
        <v>1072</v>
      </c>
      <c r="D2959" t="s">
        <v>30</v>
      </c>
      <c r="E2959" t="s">
        <v>72</v>
      </c>
      <c r="F2959" t="s">
        <v>61</v>
      </c>
      <c r="G2959" t="s">
        <v>63</v>
      </c>
      <c r="H2959" t="s">
        <v>57</v>
      </c>
      <c r="I2959" t="s">
        <v>54</v>
      </c>
      <c r="J2959" s="4">
        <v>15.04</v>
      </c>
      <c r="K2959" s="4">
        <v>15.25</v>
      </c>
      <c r="L2959">
        <v>15</v>
      </c>
      <c r="M2959" s="4">
        <v>34.4</v>
      </c>
      <c r="N2959" s="4">
        <v>194.96</v>
      </c>
      <c r="O2959" s="4">
        <v>90.14</v>
      </c>
      <c r="P2959" s="4">
        <v>9.65</v>
      </c>
      <c r="Q2959" s="4">
        <v>2.75</v>
      </c>
      <c r="R2959" s="4">
        <v>4.79</v>
      </c>
      <c r="S2959" s="4">
        <v>0</v>
      </c>
      <c r="T2959" s="4">
        <v>0</v>
      </c>
      <c r="U2959" s="4">
        <v>107.33</v>
      </c>
      <c r="V2959" s="4">
        <v>87.63</v>
      </c>
      <c r="W2959" t="s">
        <v>21</v>
      </c>
      <c r="X2959" t="s">
        <v>36</v>
      </c>
      <c r="Y2959" s="4">
        <v>10</v>
      </c>
      <c r="Z2959" s="4">
        <v>5</v>
      </c>
      <c r="AA2959" t="s">
        <v>37</v>
      </c>
      <c r="AB2959" t="s">
        <v>38</v>
      </c>
      <c r="AC2959" s="7">
        <v>1</v>
      </c>
      <c r="AD2959" t="s">
        <v>39</v>
      </c>
      <c r="AE2959">
        <f t="shared" si="46"/>
        <v>0</v>
      </c>
    </row>
    <row r="2960" spans="1:31" x14ac:dyDescent="0.35">
      <c r="A2960">
        <v>102959</v>
      </c>
      <c r="B2960" s="3">
        <v>45962</v>
      </c>
      <c r="C2960">
        <v>1079</v>
      </c>
      <c r="D2960" t="s">
        <v>64</v>
      </c>
      <c r="E2960" t="s">
        <v>65</v>
      </c>
      <c r="F2960" t="s">
        <v>61</v>
      </c>
      <c r="G2960" t="s">
        <v>46</v>
      </c>
      <c r="H2960" t="s">
        <v>34</v>
      </c>
      <c r="I2960" t="s">
        <v>69</v>
      </c>
      <c r="J2960" s="4">
        <v>21.81</v>
      </c>
      <c r="K2960" s="4">
        <v>15.47</v>
      </c>
      <c r="L2960">
        <v>0</v>
      </c>
      <c r="M2960" s="4">
        <v>0</v>
      </c>
      <c r="N2960" s="4">
        <v>337.4</v>
      </c>
      <c r="O2960" s="4">
        <v>160.34</v>
      </c>
      <c r="P2960" s="4">
        <v>10.31</v>
      </c>
      <c r="Q2960" s="4">
        <v>1.35</v>
      </c>
      <c r="R2960" s="4">
        <v>2.04</v>
      </c>
      <c r="S2960" s="4">
        <v>0</v>
      </c>
      <c r="T2960" s="4">
        <v>0</v>
      </c>
      <c r="U2960" s="4">
        <v>174.04</v>
      </c>
      <c r="V2960" s="4">
        <v>163.36000000000001</v>
      </c>
      <c r="W2960" t="s">
        <v>21</v>
      </c>
      <c r="X2960" t="s">
        <v>36</v>
      </c>
      <c r="Y2960" s="4">
        <v>3</v>
      </c>
      <c r="Z2960" s="4">
        <v>1</v>
      </c>
      <c r="AA2960" t="s">
        <v>37</v>
      </c>
      <c r="AB2960" t="s">
        <v>38</v>
      </c>
      <c r="AC2960" s="7">
        <v>0</v>
      </c>
      <c r="AD2960" t="s">
        <v>39</v>
      </c>
      <c r="AE2960">
        <f t="shared" si="46"/>
        <v>0</v>
      </c>
    </row>
    <row r="2961" spans="1:31" x14ac:dyDescent="0.35">
      <c r="A2961">
        <v>102960</v>
      </c>
      <c r="B2961" s="3">
        <v>46010</v>
      </c>
      <c r="C2961">
        <v>1121</v>
      </c>
      <c r="D2961" t="s">
        <v>30</v>
      </c>
      <c r="E2961" t="s">
        <v>40</v>
      </c>
      <c r="F2961" t="s">
        <v>71</v>
      </c>
      <c r="G2961" t="s">
        <v>46</v>
      </c>
      <c r="H2961" t="s">
        <v>34</v>
      </c>
      <c r="I2961" t="s">
        <v>69</v>
      </c>
      <c r="J2961" s="4">
        <v>8.7200000000000006</v>
      </c>
      <c r="K2961" s="4">
        <v>15.84</v>
      </c>
      <c r="L2961">
        <v>0</v>
      </c>
      <c r="M2961" s="4">
        <v>0</v>
      </c>
      <c r="N2961" s="4">
        <v>138.12</v>
      </c>
      <c r="O2961" s="4">
        <v>44.15</v>
      </c>
      <c r="P2961" s="4">
        <v>8.49</v>
      </c>
      <c r="Q2961" s="4">
        <v>0.55000000000000004</v>
      </c>
      <c r="R2961" s="4">
        <v>0</v>
      </c>
      <c r="S2961" s="4">
        <v>0</v>
      </c>
      <c r="T2961" s="4">
        <v>0</v>
      </c>
      <c r="U2961" s="4">
        <v>53.19</v>
      </c>
      <c r="V2961" s="4">
        <v>84.93</v>
      </c>
      <c r="W2961" t="s">
        <v>21</v>
      </c>
      <c r="X2961" t="s">
        <v>36</v>
      </c>
      <c r="Y2961" s="4">
        <v>63</v>
      </c>
      <c r="Z2961" s="4">
        <v>4</v>
      </c>
      <c r="AA2961" t="s">
        <v>43</v>
      </c>
      <c r="AB2961" t="s">
        <v>44</v>
      </c>
      <c r="AC2961" s="7">
        <v>1</v>
      </c>
      <c r="AD2961" t="s">
        <v>45</v>
      </c>
      <c r="AE2961">
        <f t="shared" si="46"/>
        <v>1</v>
      </c>
    </row>
    <row r="2962" spans="1:31" x14ac:dyDescent="0.35">
      <c r="A2962">
        <v>102961</v>
      </c>
      <c r="B2962" s="3">
        <v>45953</v>
      </c>
      <c r="C2962">
        <v>1106</v>
      </c>
      <c r="D2962" t="s">
        <v>59</v>
      </c>
      <c r="E2962" t="s">
        <v>60</v>
      </c>
      <c r="F2962" t="s">
        <v>41</v>
      </c>
      <c r="G2962" t="s">
        <v>33</v>
      </c>
      <c r="H2962" t="s">
        <v>34</v>
      </c>
      <c r="I2962" t="s">
        <v>54</v>
      </c>
      <c r="J2962" s="4">
        <v>41.61</v>
      </c>
      <c r="K2962" s="4">
        <v>19.32</v>
      </c>
      <c r="L2962">
        <v>5</v>
      </c>
      <c r="M2962" s="4">
        <v>40.200000000000003</v>
      </c>
      <c r="N2962" s="4">
        <v>763.71</v>
      </c>
      <c r="O2962" s="4">
        <v>259</v>
      </c>
      <c r="P2962" s="4">
        <v>9.8800000000000008</v>
      </c>
      <c r="Q2962" s="4">
        <v>9.65</v>
      </c>
      <c r="R2962" s="4">
        <v>2.54</v>
      </c>
      <c r="S2962" s="4">
        <v>0</v>
      </c>
      <c r="T2962" s="4">
        <v>0</v>
      </c>
      <c r="U2962" s="4">
        <v>281.07</v>
      </c>
      <c r="V2962" s="4">
        <v>482.64</v>
      </c>
      <c r="W2962" t="s">
        <v>21</v>
      </c>
      <c r="X2962" t="s">
        <v>36</v>
      </c>
      <c r="Y2962" s="4">
        <v>10</v>
      </c>
      <c r="Z2962" s="4">
        <v>19</v>
      </c>
      <c r="AA2962" t="s">
        <v>37</v>
      </c>
      <c r="AB2962" t="s">
        <v>44</v>
      </c>
      <c r="AC2962" s="7">
        <v>1</v>
      </c>
      <c r="AD2962" t="s">
        <v>45</v>
      </c>
      <c r="AE2962">
        <f t="shared" si="46"/>
        <v>1</v>
      </c>
    </row>
    <row r="2963" spans="1:31" x14ac:dyDescent="0.35">
      <c r="A2963">
        <v>102962</v>
      </c>
      <c r="B2963" s="3">
        <v>46015</v>
      </c>
      <c r="C2963">
        <v>1060</v>
      </c>
      <c r="D2963" t="s">
        <v>59</v>
      </c>
      <c r="E2963" t="s">
        <v>73</v>
      </c>
      <c r="F2963" t="s">
        <v>71</v>
      </c>
      <c r="G2963" t="s">
        <v>46</v>
      </c>
      <c r="H2963" t="s">
        <v>34</v>
      </c>
      <c r="I2963" t="s">
        <v>42</v>
      </c>
      <c r="J2963" s="4">
        <v>23.15</v>
      </c>
      <c r="K2963" s="4">
        <v>15.73</v>
      </c>
      <c r="L2963">
        <v>0</v>
      </c>
      <c r="M2963" s="4">
        <v>0</v>
      </c>
      <c r="N2963" s="4">
        <v>364.15</v>
      </c>
      <c r="O2963" s="4">
        <v>164.67</v>
      </c>
      <c r="P2963" s="4">
        <v>4.57</v>
      </c>
      <c r="Q2963" s="4">
        <v>5.46</v>
      </c>
      <c r="R2963" s="4">
        <v>11.4</v>
      </c>
      <c r="S2963" s="4">
        <v>0</v>
      </c>
      <c r="T2963" s="4">
        <v>0</v>
      </c>
      <c r="U2963" s="4">
        <v>186.1</v>
      </c>
      <c r="V2963" s="4">
        <v>178.05</v>
      </c>
      <c r="W2963" t="s">
        <v>21</v>
      </c>
      <c r="X2963" t="s">
        <v>36</v>
      </c>
      <c r="Y2963" s="4">
        <v>9</v>
      </c>
      <c r="Z2963" s="4">
        <v>1</v>
      </c>
      <c r="AA2963" t="s">
        <v>37</v>
      </c>
      <c r="AB2963" t="s">
        <v>38</v>
      </c>
      <c r="AC2963" s="7">
        <v>0</v>
      </c>
      <c r="AD2963" t="s">
        <v>39</v>
      </c>
      <c r="AE2963">
        <f t="shared" si="46"/>
        <v>0</v>
      </c>
    </row>
    <row r="2964" spans="1:31" x14ac:dyDescent="0.35">
      <c r="A2964">
        <v>102963</v>
      </c>
      <c r="B2964" s="3">
        <v>46007</v>
      </c>
      <c r="C2964">
        <v>1029</v>
      </c>
      <c r="D2964" t="s">
        <v>64</v>
      </c>
      <c r="E2964" t="s">
        <v>65</v>
      </c>
      <c r="F2964" t="s">
        <v>41</v>
      </c>
      <c r="G2964" t="s">
        <v>50</v>
      </c>
      <c r="H2964" t="s">
        <v>34</v>
      </c>
      <c r="I2964" t="s">
        <v>35</v>
      </c>
      <c r="J2964" s="4">
        <v>39.08</v>
      </c>
      <c r="K2964" s="4">
        <v>15.99</v>
      </c>
      <c r="L2964">
        <v>5</v>
      </c>
      <c r="M2964" s="4">
        <v>31.24</v>
      </c>
      <c r="N2964" s="4">
        <v>593.65</v>
      </c>
      <c r="O2964" s="4">
        <v>294.95</v>
      </c>
      <c r="P2964" s="4">
        <v>6.65</v>
      </c>
      <c r="Q2964" s="4">
        <v>4.37</v>
      </c>
      <c r="R2964" s="4">
        <v>3.75</v>
      </c>
      <c r="S2964" s="4">
        <v>315.63</v>
      </c>
      <c r="T2964" s="4">
        <v>0</v>
      </c>
      <c r="U2964" s="4">
        <v>625.35</v>
      </c>
      <c r="V2964" s="4">
        <v>-31.7</v>
      </c>
      <c r="W2964" t="s">
        <v>58</v>
      </c>
      <c r="X2964" t="s">
        <v>66</v>
      </c>
      <c r="Y2964" s="4">
        <v>1</v>
      </c>
      <c r="Z2964" s="4">
        <v>1</v>
      </c>
      <c r="AA2964" t="s">
        <v>37</v>
      </c>
      <c r="AB2964" t="s">
        <v>38</v>
      </c>
      <c r="AC2964" s="7">
        <v>1</v>
      </c>
      <c r="AD2964" t="s">
        <v>45</v>
      </c>
      <c r="AE2964">
        <f t="shared" si="46"/>
        <v>0</v>
      </c>
    </row>
    <row r="2965" spans="1:31" x14ac:dyDescent="0.35">
      <c r="A2965">
        <v>102964</v>
      </c>
      <c r="B2965" s="3">
        <v>45946</v>
      </c>
      <c r="C2965">
        <v>1056</v>
      </c>
      <c r="D2965" t="s">
        <v>30</v>
      </c>
      <c r="E2965" t="s">
        <v>72</v>
      </c>
      <c r="F2965" t="s">
        <v>32</v>
      </c>
      <c r="G2965" t="s">
        <v>46</v>
      </c>
      <c r="H2965" t="s">
        <v>34</v>
      </c>
      <c r="I2965" t="s">
        <v>69</v>
      </c>
      <c r="J2965" s="4">
        <v>34.46</v>
      </c>
      <c r="K2965" s="4">
        <v>16.170000000000002</v>
      </c>
      <c r="L2965">
        <v>0</v>
      </c>
      <c r="M2965" s="4">
        <v>0</v>
      </c>
      <c r="N2965" s="4">
        <v>557.22</v>
      </c>
      <c r="O2965" s="4">
        <v>286.73</v>
      </c>
      <c r="P2965" s="4">
        <v>9.39</v>
      </c>
      <c r="Q2965" s="4">
        <v>2.23</v>
      </c>
      <c r="R2965" s="4">
        <v>4.72</v>
      </c>
      <c r="S2965" s="4">
        <v>0</v>
      </c>
      <c r="T2965" s="4">
        <v>0</v>
      </c>
      <c r="U2965" s="4">
        <v>303.07</v>
      </c>
      <c r="V2965" s="4">
        <v>254.15</v>
      </c>
      <c r="W2965" t="s">
        <v>21</v>
      </c>
      <c r="X2965" t="s">
        <v>36</v>
      </c>
      <c r="Y2965" s="4">
        <v>6</v>
      </c>
      <c r="Z2965" s="4">
        <v>43</v>
      </c>
      <c r="AA2965" t="s">
        <v>37</v>
      </c>
      <c r="AB2965" t="s">
        <v>44</v>
      </c>
      <c r="AC2965" s="7">
        <v>1</v>
      </c>
      <c r="AD2965" t="s">
        <v>45</v>
      </c>
      <c r="AE2965">
        <f t="shared" si="46"/>
        <v>1</v>
      </c>
    </row>
    <row r="2966" spans="1:31" x14ac:dyDescent="0.35">
      <c r="A2966">
        <v>102965</v>
      </c>
      <c r="B2966" s="3">
        <v>45951</v>
      </c>
      <c r="C2966">
        <v>1091</v>
      </c>
      <c r="D2966" t="s">
        <v>59</v>
      </c>
      <c r="E2966" t="s">
        <v>70</v>
      </c>
      <c r="F2966" t="s">
        <v>49</v>
      </c>
      <c r="G2966" t="s">
        <v>63</v>
      </c>
      <c r="H2966" t="s">
        <v>57</v>
      </c>
      <c r="I2966" t="s">
        <v>35</v>
      </c>
      <c r="J2966" s="4">
        <v>35.86</v>
      </c>
      <c r="K2966" s="4">
        <v>12.12</v>
      </c>
      <c r="L2966">
        <v>0</v>
      </c>
      <c r="M2966" s="4">
        <v>0</v>
      </c>
      <c r="N2966" s="4">
        <v>434.62</v>
      </c>
      <c r="O2966" s="4">
        <v>214.96</v>
      </c>
      <c r="P2966" s="4">
        <v>9.1</v>
      </c>
      <c r="Q2966" s="4">
        <v>3.04</v>
      </c>
      <c r="R2966" s="4">
        <v>11.5</v>
      </c>
      <c r="S2966" s="4">
        <v>0</v>
      </c>
      <c r="T2966" s="4">
        <v>0</v>
      </c>
      <c r="U2966" s="4">
        <v>238.6</v>
      </c>
      <c r="V2966" s="4">
        <v>196.02</v>
      </c>
      <c r="W2966" t="s">
        <v>21</v>
      </c>
      <c r="X2966" t="s">
        <v>36</v>
      </c>
      <c r="Y2966" s="4">
        <v>0</v>
      </c>
      <c r="Z2966" s="4">
        <v>15</v>
      </c>
      <c r="AA2966" t="s">
        <v>37</v>
      </c>
      <c r="AB2966" t="s">
        <v>38</v>
      </c>
      <c r="AC2966" s="7">
        <v>0</v>
      </c>
      <c r="AD2966" t="s">
        <v>39</v>
      </c>
      <c r="AE2966">
        <f t="shared" si="46"/>
        <v>0</v>
      </c>
    </row>
    <row r="2967" spans="1:31" x14ac:dyDescent="0.35">
      <c r="A2967">
        <v>102966</v>
      </c>
      <c r="B2967" s="3">
        <v>46012</v>
      </c>
      <c r="C2967">
        <v>1032</v>
      </c>
      <c r="D2967" t="s">
        <v>30</v>
      </c>
      <c r="E2967" t="s">
        <v>31</v>
      </c>
      <c r="F2967" t="s">
        <v>71</v>
      </c>
      <c r="G2967" t="s">
        <v>46</v>
      </c>
      <c r="H2967" t="s">
        <v>34</v>
      </c>
      <c r="I2967" t="s">
        <v>54</v>
      </c>
      <c r="J2967" s="4">
        <v>27.42</v>
      </c>
      <c r="K2967" s="4">
        <v>17.920000000000002</v>
      </c>
      <c r="L2967">
        <v>0</v>
      </c>
      <c r="M2967" s="4">
        <v>0</v>
      </c>
      <c r="N2967" s="4">
        <v>491.37</v>
      </c>
      <c r="O2967" s="4">
        <v>249.04</v>
      </c>
      <c r="P2967" s="4">
        <v>2.48</v>
      </c>
      <c r="Q2967" s="4">
        <v>5.9</v>
      </c>
      <c r="R2967" s="4">
        <v>5.98</v>
      </c>
      <c r="S2967" s="4">
        <v>0</v>
      </c>
      <c r="T2967" s="4">
        <v>0</v>
      </c>
      <c r="U2967" s="4">
        <v>263.39999999999998</v>
      </c>
      <c r="V2967" s="4">
        <v>227.97</v>
      </c>
      <c r="W2967" t="s">
        <v>21</v>
      </c>
      <c r="X2967" t="s">
        <v>36</v>
      </c>
      <c r="Y2967" s="4">
        <v>10</v>
      </c>
      <c r="Z2967" s="4">
        <v>2</v>
      </c>
      <c r="AA2967" t="s">
        <v>37</v>
      </c>
      <c r="AB2967" t="s">
        <v>38</v>
      </c>
      <c r="AC2967" s="7">
        <v>0</v>
      </c>
      <c r="AD2967" t="s">
        <v>39</v>
      </c>
      <c r="AE2967">
        <f t="shared" si="46"/>
        <v>0</v>
      </c>
    </row>
    <row r="2968" spans="1:31" x14ac:dyDescent="0.35">
      <c r="A2968">
        <v>102967</v>
      </c>
      <c r="B2968" s="3">
        <v>45947</v>
      </c>
      <c r="C2968">
        <v>1027</v>
      </c>
      <c r="D2968" t="s">
        <v>64</v>
      </c>
      <c r="E2968" t="s">
        <v>67</v>
      </c>
      <c r="F2968" t="s">
        <v>32</v>
      </c>
      <c r="G2968" t="s">
        <v>63</v>
      </c>
      <c r="H2968" t="s">
        <v>34</v>
      </c>
      <c r="I2968" t="s">
        <v>35</v>
      </c>
      <c r="J2968" s="4">
        <v>8.49</v>
      </c>
      <c r="K2968" s="4">
        <v>13.05</v>
      </c>
      <c r="L2968">
        <v>5</v>
      </c>
      <c r="M2968" s="4">
        <v>5.54</v>
      </c>
      <c r="N2968" s="4">
        <v>105.25</v>
      </c>
      <c r="O2968" s="4">
        <v>60.14</v>
      </c>
      <c r="P2968" s="4">
        <v>7.06</v>
      </c>
      <c r="Q2968" s="4">
        <v>0.78</v>
      </c>
      <c r="R2968" s="4">
        <v>11.92</v>
      </c>
      <c r="S2968" s="4">
        <v>0</v>
      </c>
      <c r="T2968" s="4">
        <v>0</v>
      </c>
      <c r="U2968" s="4">
        <v>79.900000000000006</v>
      </c>
      <c r="V2968" s="4">
        <v>25.35</v>
      </c>
      <c r="W2968" t="s">
        <v>21</v>
      </c>
      <c r="X2968" t="s">
        <v>36</v>
      </c>
      <c r="Y2968" s="4">
        <v>3</v>
      </c>
      <c r="Z2968" s="4">
        <v>3</v>
      </c>
      <c r="AA2968" t="s">
        <v>37</v>
      </c>
      <c r="AB2968" t="s">
        <v>38</v>
      </c>
      <c r="AC2968" s="7">
        <v>0</v>
      </c>
      <c r="AD2968" t="s">
        <v>39</v>
      </c>
      <c r="AE2968">
        <f t="shared" si="46"/>
        <v>0</v>
      </c>
    </row>
    <row r="2969" spans="1:31" x14ac:dyDescent="0.35">
      <c r="A2969">
        <v>102968</v>
      </c>
      <c r="B2969" s="3">
        <v>45947</v>
      </c>
      <c r="C2969">
        <v>1018</v>
      </c>
      <c r="D2969" t="s">
        <v>30</v>
      </c>
      <c r="E2969" t="s">
        <v>72</v>
      </c>
      <c r="F2969" t="s">
        <v>41</v>
      </c>
      <c r="G2969" t="s">
        <v>46</v>
      </c>
      <c r="H2969" t="s">
        <v>57</v>
      </c>
      <c r="I2969" t="s">
        <v>35</v>
      </c>
      <c r="J2969" s="4">
        <v>41.21</v>
      </c>
      <c r="K2969" s="4">
        <v>15.2</v>
      </c>
      <c r="L2969">
        <v>0</v>
      </c>
      <c r="M2969" s="4">
        <v>0</v>
      </c>
      <c r="N2969" s="4">
        <v>626.39</v>
      </c>
      <c r="O2969" s="4">
        <v>292.64999999999998</v>
      </c>
      <c r="P2969" s="4">
        <v>7.63</v>
      </c>
      <c r="Q2969" s="4">
        <v>4.38</v>
      </c>
      <c r="R2969" s="4">
        <v>5.7</v>
      </c>
      <c r="S2969" s="4">
        <v>0</v>
      </c>
      <c r="T2969" s="4">
        <v>0</v>
      </c>
      <c r="U2969" s="4">
        <v>310.36</v>
      </c>
      <c r="V2969" s="4">
        <v>316.02999999999997</v>
      </c>
      <c r="W2969" t="s">
        <v>21</v>
      </c>
      <c r="X2969" t="s">
        <v>36</v>
      </c>
      <c r="Y2969" s="4">
        <v>5</v>
      </c>
      <c r="Z2969" s="4">
        <v>3</v>
      </c>
      <c r="AA2969" t="s">
        <v>37</v>
      </c>
      <c r="AB2969" t="s">
        <v>38</v>
      </c>
      <c r="AC2969" s="7">
        <v>0</v>
      </c>
      <c r="AD2969" t="s">
        <v>39</v>
      </c>
      <c r="AE2969">
        <f t="shared" si="46"/>
        <v>0</v>
      </c>
    </row>
    <row r="2970" spans="1:31" x14ac:dyDescent="0.35">
      <c r="A2970">
        <v>102969</v>
      </c>
      <c r="B2970" s="3">
        <v>46015</v>
      </c>
      <c r="C2970">
        <v>1143</v>
      </c>
      <c r="D2970" t="s">
        <v>59</v>
      </c>
      <c r="E2970" t="s">
        <v>70</v>
      </c>
      <c r="F2970" t="s">
        <v>71</v>
      </c>
      <c r="G2970" t="s">
        <v>63</v>
      </c>
      <c r="H2970" t="s">
        <v>34</v>
      </c>
      <c r="I2970" t="s">
        <v>35</v>
      </c>
      <c r="J2970" s="4">
        <v>41.01</v>
      </c>
      <c r="K2970" s="4">
        <v>11.49</v>
      </c>
      <c r="L2970">
        <v>20</v>
      </c>
      <c r="M2970" s="4">
        <v>94.24</v>
      </c>
      <c r="N2970" s="4">
        <v>376.96</v>
      </c>
      <c r="O2970" s="4">
        <v>289.12</v>
      </c>
      <c r="P2970" s="4">
        <v>10.26</v>
      </c>
      <c r="Q2970" s="4">
        <v>3.3</v>
      </c>
      <c r="R2970" s="4">
        <v>4.4000000000000004</v>
      </c>
      <c r="S2970" s="4">
        <v>266.99</v>
      </c>
      <c r="T2970" s="4">
        <v>0</v>
      </c>
      <c r="U2970" s="4">
        <v>574.07000000000005</v>
      </c>
      <c r="V2970" s="4">
        <v>-197.11</v>
      </c>
      <c r="W2970" t="s">
        <v>58</v>
      </c>
      <c r="X2970" t="s">
        <v>66</v>
      </c>
      <c r="Y2970" s="4">
        <v>27</v>
      </c>
      <c r="Z2970" s="4">
        <v>41</v>
      </c>
      <c r="AA2970" t="s">
        <v>52</v>
      </c>
      <c r="AB2970" t="s">
        <v>44</v>
      </c>
      <c r="AC2970" s="7">
        <v>1</v>
      </c>
      <c r="AD2970" t="s">
        <v>45</v>
      </c>
      <c r="AE2970">
        <f t="shared" si="46"/>
        <v>1</v>
      </c>
    </row>
    <row r="2971" spans="1:31" x14ac:dyDescent="0.35">
      <c r="A2971">
        <v>102970</v>
      </c>
      <c r="B2971" s="3">
        <v>45952</v>
      </c>
      <c r="C2971">
        <v>1089</v>
      </c>
      <c r="D2971" t="s">
        <v>47</v>
      </c>
      <c r="E2971" t="s">
        <v>56</v>
      </c>
      <c r="F2971" t="s">
        <v>61</v>
      </c>
      <c r="G2971" t="s">
        <v>63</v>
      </c>
      <c r="H2971" t="s">
        <v>34</v>
      </c>
      <c r="I2971" t="s">
        <v>42</v>
      </c>
      <c r="J2971" s="4">
        <v>17.84</v>
      </c>
      <c r="K2971" s="4">
        <v>13.61</v>
      </c>
      <c r="L2971">
        <v>15</v>
      </c>
      <c r="M2971" s="4">
        <v>36.42</v>
      </c>
      <c r="N2971" s="4">
        <v>206.38</v>
      </c>
      <c r="O2971" s="4">
        <v>115.32</v>
      </c>
      <c r="P2971" s="4">
        <v>8.82</v>
      </c>
      <c r="Q2971" s="4">
        <v>3.64</v>
      </c>
      <c r="R2971" s="4">
        <v>0</v>
      </c>
      <c r="S2971" s="4">
        <v>0</v>
      </c>
      <c r="T2971" s="4">
        <v>0</v>
      </c>
      <c r="U2971" s="4">
        <v>127.78</v>
      </c>
      <c r="V2971" s="4">
        <v>78.599999999999994</v>
      </c>
      <c r="W2971" t="s">
        <v>21</v>
      </c>
      <c r="X2971" t="s">
        <v>36</v>
      </c>
      <c r="Y2971" s="4">
        <v>5</v>
      </c>
      <c r="Z2971" s="4">
        <v>7</v>
      </c>
      <c r="AA2971" t="s">
        <v>37</v>
      </c>
      <c r="AB2971" t="s">
        <v>38</v>
      </c>
      <c r="AC2971" s="7">
        <v>0</v>
      </c>
      <c r="AD2971" t="s">
        <v>39</v>
      </c>
      <c r="AE2971">
        <f t="shared" si="46"/>
        <v>0</v>
      </c>
    </row>
    <row r="2972" spans="1:31" x14ac:dyDescent="0.35">
      <c r="A2972">
        <v>102971</v>
      </c>
      <c r="B2972" s="3">
        <v>46011</v>
      </c>
      <c r="C2972">
        <v>1022</v>
      </c>
      <c r="D2972" t="s">
        <v>30</v>
      </c>
      <c r="E2972" t="s">
        <v>62</v>
      </c>
      <c r="F2972" t="s">
        <v>41</v>
      </c>
      <c r="G2972" t="s">
        <v>50</v>
      </c>
      <c r="H2972" t="s">
        <v>34</v>
      </c>
      <c r="I2972" t="s">
        <v>54</v>
      </c>
      <c r="J2972" s="4">
        <v>25.88</v>
      </c>
      <c r="K2972" s="4">
        <v>16.98</v>
      </c>
      <c r="L2972">
        <v>0</v>
      </c>
      <c r="M2972" s="4">
        <v>0</v>
      </c>
      <c r="N2972" s="4">
        <v>439.44</v>
      </c>
      <c r="O2972" s="4">
        <v>166.39</v>
      </c>
      <c r="P2972" s="4">
        <v>8.6999999999999993</v>
      </c>
      <c r="Q2972" s="4">
        <v>5.27</v>
      </c>
      <c r="R2972" s="4">
        <v>0</v>
      </c>
      <c r="S2972" s="4">
        <v>0</v>
      </c>
      <c r="T2972" s="4">
        <v>0</v>
      </c>
      <c r="U2972" s="4">
        <v>180.36</v>
      </c>
      <c r="V2972" s="4">
        <v>259.08</v>
      </c>
      <c r="W2972" t="s">
        <v>21</v>
      </c>
      <c r="X2972" t="s">
        <v>36</v>
      </c>
      <c r="Y2972" s="4">
        <v>44</v>
      </c>
      <c r="Z2972" s="4">
        <v>3</v>
      </c>
      <c r="AA2972" t="s">
        <v>43</v>
      </c>
      <c r="AB2972" t="s">
        <v>44</v>
      </c>
      <c r="AC2972" s="7">
        <v>2</v>
      </c>
      <c r="AD2972" t="s">
        <v>45</v>
      </c>
      <c r="AE2972">
        <f t="shared" si="46"/>
        <v>1</v>
      </c>
    </row>
    <row r="2973" spans="1:31" x14ac:dyDescent="0.35">
      <c r="A2973">
        <v>102972</v>
      </c>
      <c r="B2973" s="3">
        <v>45998</v>
      </c>
      <c r="C2973">
        <v>1057</v>
      </c>
      <c r="D2973" t="s">
        <v>47</v>
      </c>
      <c r="E2973" t="s">
        <v>53</v>
      </c>
      <c r="F2973" t="s">
        <v>41</v>
      </c>
      <c r="G2973" t="s">
        <v>50</v>
      </c>
      <c r="H2973" t="s">
        <v>34</v>
      </c>
      <c r="I2973" t="s">
        <v>35</v>
      </c>
      <c r="J2973" s="4">
        <v>16.84</v>
      </c>
      <c r="K2973" s="4">
        <v>16.72</v>
      </c>
      <c r="L2973">
        <v>10</v>
      </c>
      <c r="M2973" s="4">
        <v>28.16</v>
      </c>
      <c r="N2973" s="4">
        <v>253.4</v>
      </c>
      <c r="O2973" s="4">
        <v>115.49</v>
      </c>
      <c r="P2973" s="4">
        <v>13</v>
      </c>
      <c r="Q2973" s="4">
        <v>1.97</v>
      </c>
      <c r="R2973" s="4">
        <v>7.56</v>
      </c>
      <c r="S2973" s="4">
        <v>0</v>
      </c>
      <c r="T2973" s="4">
        <v>0</v>
      </c>
      <c r="U2973" s="4">
        <v>138.02000000000001</v>
      </c>
      <c r="V2973" s="4">
        <v>115.38</v>
      </c>
      <c r="W2973" t="s">
        <v>21</v>
      </c>
      <c r="X2973" t="s">
        <v>36</v>
      </c>
      <c r="Y2973" s="4">
        <v>5</v>
      </c>
      <c r="Z2973" s="4">
        <v>3</v>
      </c>
      <c r="AA2973" t="s">
        <v>37</v>
      </c>
      <c r="AB2973" t="s">
        <v>38</v>
      </c>
      <c r="AC2973" s="7">
        <v>0</v>
      </c>
      <c r="AD2973" t="s">
        <v>39</v>
      </c>
      <c r="AE2973">
        <f t="shared" si="46"/>
        <v>0</v>
      </c>
    </row>
    <row r="2974" spans="1:31" x14ac:dyDescent="0.35">
      <c r="A2974">
        <v>102973</v>
      </c>
      <c r="B2974" s="3">
        <v>45952</v>
      </c>
      <c r="C2974">
        <v>1137</v>
      </c>
      <c r="D2974" t="s">
        <v>64</v>
      </c>
      <c r="E2974" t="s">
        <v>67</v>
      </c>
      <c r="F2974" t="s">
        <v>61</v>
      </c>
      <c r="G2974" t="s">
        <v>46</v>
      </c>
      <c r="H2974" t="s">
        <v>34</v>
      </c>
      <c r="I2974" t="s">
        <v>69</v>
      </c>
      <c r="J2974" s="4">
        <v>28.93</v>
      </c>
      <c r="K2974" s="4">
        <v>15.81</v>
      </c>
      <c r="L2974">
        <v>0</v>
      </c>
      <c r="M2974" s="4">
        <v>0</v>
      </c>
      <c r="N2974" s="4">
        <v>457.38</v>
      </c>
      <c r="O2974" s="4">
        <v>236.65</v>
      </c>
      <c r="P2974" s="4">
        <v>9.5500000000000007</v>
      </c>
      <c r="Q2974" s="4">
        <v>1.83</v>
      </c>
      <c r="R2974" s="4">
        <v>3.79</v>
      </c>
      <c r="S2974" s="4">
        <v>0</v>
      </c>
      <c r="T2974" s="4">
        <v>0</v>
      </c>
      <c r="U2974" s="4">
        <v>251.82</v>
      </c>
      <c r="V2974" s="4">
        <v>205.56</v>
      </c>
      <c r="W2974" t="s">
        <v>21</v>
      </c>
      <c r="X2974" t="s">
        <v>36</v>
      </c>
      <c r="Y2974" s="4">
        <v>1</v>
      </c>
      <c r="Z2974" s="4">
        <v>3</v>
      </c>
      <c r="AA2974" t="s">
        <v>37</v>
      </c>
      <c r="AB2974" t="s">
        <v>38</v>
      </c>
      <c r="AC2974" s="7">
        <v>0</v>
      </c>
      <c r="AD2974" t="s">
        <v>39</v>
      </c>
      <c r="AE2974">
        <f t="shared" si="46"/>
        <v>0</v>
      </c>
    </row>
    <row r="2975" spans="1:31" x14ac:dyDescent="0.35">
      <c r="A2975">
        <v>102974</v>
      </c>
      <c r="B2975" s="3">
        <v>45993</v>
      </c>
      <c r="C2975">
        <v>1047</v>
      </c>
      <c r="D2975" t="s">
        <v>47</v>
      </c>
      <c r="E2975" t="s">
        <v>56</v>
      </c>
      <c r="F2975" t="s">
        <v>32</v>
      </c>
      <c r="G2975" t="s">
        <v>50</v>
      </c>
      <c r="H2975" t="s">
        <v>57</v>
      </c>
      <c r="I2975" t="s">
        <v>35</v>
      </c>
      <c r="J2975" s="4">
        <v>19.55</v>
      </c>
      <c r="K2975" s="4">
        <v>17.72</v>
      </c>
      <c r="L2975">
        <v>15</v>
      </c>
      <c r="M2975" s="4">
        <v>51.96</v>
      </c>
      <c r="N2975" s="4">
        <v>294.47000000000003</v>
      </c>
      <c r="O2975" s="4">
        <v>109.58</v>
      </c>
      <c r="P2975" s="4">
        <v>8.6199999999999992</v>
      </c>
      <c r="Q2975" s="4">
        <v>2.4300000000000002</v>
      </c>
      <c r="R2975" s="4">
        <v>10.69</v>
      </c>
      <c r="S2975" s="4">
        <v>0</v>
      </c>
      <c r="T2975" s="4">
        <v>0</v>
      </c>
      <c r="U2975" s="4">
        <v>131.32</v>
      </c>
      <c r="V2975" s="4">
        <v>163.15</v>
      </c>
      <c r="W2975" t="s">
        <v>21</v>
      </c>
      <c r="X2975" t="s">
        <v>36</v>
      </c>
      <c r="Y2975" s="4">
        <v>0</v>
      </c>
      <c r="Z2975" s="4">
        <v>26</v>
      </c>
      <c r="AA2975" t="s">
        <v>37</v>
      </c>
      <c r="AB2975" t="s">
        <v>44</v>
      </c>
      <c r="AC2975" s="7">
        <v>1</v>
      </c>
      <c r="AD2975" t="s">
        <v>45</v>
      </c>
      <c r="AE2975">
        <f t="shared" si="46"/>
        <v>1</v>
      </c>
    </row>
    <row r="2976" spans="1:31" x14ac:dyDescent="0.35">
      <c r="A2976">
        <v>102975</v>
      </c>
      <c r="B2976" s="3">
        <v>46011</v>
      </c>
      <c r="C2976">
        <v>1038</v>
      </c>
      <c r="D2976" t="s">
        <v>64</v>
      </c>
      <c r="E2976" t="s">
        <v>75</v>
      </c>
      <c r="F2976" t="s">
        <v>71</v>
      </c>
      <c r="G2976" t="s">
        <v>63</v>
      </c>
      <c r="H2976" t="s">
        <v>57</v>
      </c>
      <c r="I2976" t="s">
        <v>54</v>
      </c>
      <c r="J2976" s="4">
        <v>18.14</v>
      </c>
      <c r="K2976" s="4">
        <v>12.65</v>
      </c>
      <c r="L2976">
        <v>0</v>
      </c>
      <c r="M2976" s="4">
        <v>0</v>
      </c>
      <c r="N2976" s="4">
        <v>229.47</v>
      </c>
      <c r="O2976" s="4">
        <v>132.97999999999999</v>
      </c>
      <c r="P2976" s="4">
        <v>13.69</v>
      </c>
      <c r="Q2976" s="4">
        <v>2.75</v>
      </c>
      <c r="R2976" s="4">
        <v>8.89</v>
      </c>
      <c r="S2976" s="4">
        <v>0</v>
      </c>
      <c r="T2976" s="4">
        <v>0</v>
      </c>
      <c r="U2976" s="4">
        <v>158.31</v>
      </c>
      <c r="V2976" s="4">
        <v>71.16</v>
      </c>
      <c r="W2976" t="s">
        <v>21</v>
      </c>
      <c r="X2976" t="s">
        <v>36</v>
      </c>
      <c r="Y2976" s="4">
        <v>3</v>
      </c>
      <c r="Z2976" s="4">
        <v>10</v>
      </c>
      <c r="AA2976" t="s">
        <v>37</v>
      </c>
      <c r="AB2976" t="s">
        <v>38</v>
      </c>
      <c r="AC2976" s="7">
        <v>0</v>
      </c>
      <c r="AD2976" t="s">
        <v>39</v>
      </c>
      <c r="AE2976">
        <f t="shared" si="46"/>
        <v>0</v>
      </c>
    </row>
    <row r="2977" spans="1:31" x14ac:dyDescent="0.35">
      <c r="A2977">
        <v>102976</v>
      </c>
      <c r="B2977" s="3">
        <v>45949</v>
      </c>
      <c r="C2977">
        <v>1119</v>
      </c>
      <c r="D2977" t="s">
        <v>64</v>
      </c>
      <c r="E2977" t="s">
        <v>67</v>
      </c>
      <c r="F2977" t="s">
        <v>61</v>
      </c>
      <c r="G2977" t="s">
        <v>46</v>
      </c>
      <c r="H2977" t="s">
        <v>34</v>
      </c>
      <c r="I2977" t="s">
        <v>35</v>
      </c>
      <c r="J2977" s="4">
        <v>26.11</v>
      </c>
      <c r="K2977" s="4">
        <v>15.78</v>
      </c>
      <c r="L2977">
        <v>0</v>
      </c>
      <c r="M2977" s="4">
        <v>0</v>
      </c>
      <c r="N2977" s="4">
        <v>412.02</v>
      </c>
      <c r="O2977" s="4">
        <v>180.54</v>
      </c>
      <c r="P2977" s="4">
        <v>10.32</v>
      </c>
      <c r="Q2977" s="4">
        <v>2.88</v>
      </c>
      <c r="R2977" s="4">
        <v>5.66</v>
      </c>
      <c r="S2977" s="4">
        <v>0</v>
      </c>
      <c r="T2977" s="4">
        <v>0</v>
      </c>
      <c r="U2977" s="4">
        <v>199.4</v>
      </c>
      <c r="V2977" s="4">
        <v>212.62</v>
      </c>
      <c r="W2977" t="s">
        <v>21</v>
      </c>
      <c r="X2977" t="s">
        <v>36</v>
      </c>
      <c r="Y2977" s="4">
        <v>2</v>
      </c>
      <c r="Z2977" s="4">
        <v>0</v>
      </c>
      <c r="AA2977" t="s">
        <v>37</v>
      </c>
      <c r="AB2977" t="s">
        <v>38</v>
      </c>
      <c r="AC2977" s="7">
        <v>0</v>
      </c>
      <c r="AD2977" t="s">
        <v>39</v>
      </c>
      <c r="AE2977">
        <f t="shared" si="46"/>
        <v>0</v>
      </c>
    </row>
    <row r="2978" spans="1:31" x14ac:dyDescent="0.35">
      <c r="A2978">
        <v>102977</v>
      </c>
      <c r="B2978" s="3">
        <v>45944</v>
      </c>
      <c r="C2978">
        <v>1128</v>
      </c>
      <c r="D2978" t="s">
        <v>47</v>
      </c>
      <c r="E2978" t="s">
        <v>53</v>
      </c>
      <c r="F2978" t="s">
        <v>41</v>
      </c>
      <c r="G2978" t="s">
        <v>63</v>
      </c>
      <c r="H2978" t="s">
        <v>34</v>
      </c>
      <c r="I2978" t="s">
        <v>35</v>
      </c>
      <c r="J2978" s="4">
        <v>7.79</v>
      </c>
      <c r="K2978" s="4">
        <v>12.1</v>
      </c>
      <c r="L2978">
        <v>0</v>
      </c>
      <c r="M2978" s="4">
        <v>0</v>
      </c>
      <c r="N2978" s="4">
        <v>94.26</v>
      </c>
      <c r="O2978" s="4">
        <v>60.5</v>
      </c>
      <c r="P2978" s="4">
        <v>11.26</v>
      </c>
      <c r="Q2978" s="4">
        <v>0.66</v>
      </c>
      <c r="R2978" s="4">
        <v>6.68</v>
      </c>
      <c r="S2978" s="4">
        <v>0</v>
      </c>
      <c r="T2978" s="4">
        <v>0</v>
      </c>
      <c r="U2978" s="4">
        <v>79.099999999999994</v>
      </c>
      <c r="V2978" s="4">
        <v>15.16</v>
      </c>
      <c r="W2978" t="s">
        <v>21</v>
      </c>
      <c r="X2978" t="s">
        <v>36</v>
      </c>
      <c r="Y2978" s="4">
        <v>1</v>
      </c>
      <c r="Z2978" s="4">
        <v>3</v>
      </c>
      <c r="AA2978" t="s">
        <v>37</v>
      </c>
      <c r="AB2978" t="s">
        <v>38</v>
      </c>
      <c r="AC2978" s="7">
        <v>0</v>
      </c>
      <c r="AD2978" t="s">
        <v>39</v>
      </c>
      <c r="AE2978">
        <f t="shared" si="46"/>
        <v>0</v>
      </c>
    </row>
    <row r="2979" spans="1:31" x14ac:dyDescent="0.35">
      <c r="A2979">
        <v>102978</v>
      </c>
      <c r="B2979" s="3">
        <v>45952</v>
      </c>
      <c r="C2979">
        <v>1049</v>
      </c>
      <c r="D2979" t="s">
        <v>59</v>
      </c>
      <c r="E2979" t="s">
        <v>68</v>
      </c>
      <c r="F2979" t="s">
        <v>61</v>
      </c>
      <c r="G2979" t="s">
        <v>33</v>
      </c>
      <c r="H2979" t="s">
        <v>51</v>
      </c>
      <c r="I2979" t="s">
        <v>35</v>
      </c>
      <c r="J2979" s="4">
        <v>21.75</v>
      </c>
      <c r="K2979" s="4">
        <v>19.739999999999998</v>
      </c>
      <c r="L2979">
        <v>10</v>
      </c>
      <c r="M2979" s="4">
        <v>42.93</v>
      </c>
      <c r="N2979" s="4">
        <v>386.41</v>
      </c>
      <c r="O2979" s="4">
        <v>160.22</v>
      </c>
      <c r="P2979" s="4">
        <v>10.14</v>
      </c>
      <c r="Q2979" s="4">
        <v>3.01</v>
      </c>
      <c r="R2979" s="4">
        <v>2.4500000000000002</v>
      </c>
      <c r="S2979" s="4">
        <v>200.97</v>
      </c>
      <c r="T2979" s="4">
        <v>11.01</v>
      </c>
      <c r="U2979" s="4">
        <v>387.8</v>
      </c>
      <c r="V2979" s="4">
        <v>-1.39</v>
      </c>
      <c r="W2979" t="s">
        <v>58</v>
      </c>
      <c r="X2979" t="s">
        <v>66</v>
      </c>
      <c r="Y2979" s="4">
        <v>20</v>
      </c>
      <c r="Z2979" s="4">
        <v>8</v>
      </c>
      <c r="AA2979" t="s">
        <v>52</v>
      </c>
      <c r="AB2979" t="s">
        <v>38</v>
      </c>
      <c r="AC2979" s="7">
        <v>3</v>
      </c>
      <c r="AD2979" t="s">
        <v>45</v>
      </c>
      <c r="AE2979">
        <f t="shared" si="46"/>
        <v>0</v>
      </c>
    </row>
    <row r="2980" spans="1:31" x14ac:dyDescent="0.35">
      <c r="A2980">
        <v>102979</v>
      </c>
      <c r="B2980" s="3">
        <v>46002</v>
      </c>
      <c r="C2980">
        <v>1113</v>
      </c>
      <c r="D2980" t="s">
        <v>64</v>
      </c>
      <c r="E2980" t="s">
        <v>76</v>
      </c>
      <c r="F2980" t="s">
        <v>71</v>
      </c>
      <c r="G2980" t="s">
        <v>46</v>
      </c>
      <c r="H2980" t="s">
        <v>34</v>
      </c>
      <c r="I2980" t="s">
        <v>42</v>
      </c>
      <c r="J2980" s="4">
        <v>28.26</v>
      </c>
      <c r="K2980" s="4">
        <v>15.3</v>
      </c>
      <c r="L2980">
        <v>10</v>
      </c>
      <c r="M2980" s="4">
        <v>43.24</v>
      </c>
      <c r="N2980" s="4">
        <v>389.14</v>
      </c>
      <c r="O2980" s="4">
        <v>209.44</v>
      </c>
      <c r="P2980" s="4">
        <v>11.47</v>
      </c>
      <c r="Q2980" s="4">
        <v>6.49</v>
      </c>
      <c r="R2980" s="4">
        <v>1.25</v>
      </c>
      <c r="S2980" s="4">
        <v>0</v>
      </c>
      <c r="T2980" s="4">
        <v>0</v>
      </c>
      <c r="U2980" s="4">
        <v>228.65</v>
      </c>
      <c r="V2980" s="4">
        <v>160.49</v>
      </c>
      <c r="W2980" t="s">
        <v>21</v>
      </c>
      <c r="X2980" t="s">
        <v>36</v>
      </c>
      <c r="Y2980" s="4">
        <v>4</v>
      </c>
      <c r="Z2980" s="4">
        <v>8</v>
      </c>
      <c r="AA2980" t="s">
        <v>37</v>
      </c>
      <c r="AB2980" t="s">
        <v>38</v>
      </c>
      <c r="AC2980" s="7">
        <v>0</v>
      </c>
      <c r="AD2980" t="s">
        <v>39</v>
      </c>
      <c r="AE2980">
        <f t="shared" si="46"/>
        <v>0</v>
      </c>
    </row>
    <row r="2981" spans="1:31" x14ac:dyDescent="0.35">
      <c r="A2981">
        <v>102980</v>
      </c>
      <c r="B2981" s="3">
        <v>45963</v>
      </c>
      <c r="C2981">
        <v>1110</v>
      </c>
      <c r="D2981" t="s">
        <v>64</v>
      </c>
      <c r="E2981" t="s">
        <v>67</v>
      </c>
      <c r="F2981" t="s">
        <v>41</v>
      </c>
      <c r="G2981" t="s">
        <v>50</v>
      </c>
      <c r="H2981" t="s">
        <v>57</v>
      </c>
      <c r="I2981" t="s">
        <v>54</v>
      </c>
      <c r="J2981" s="4">
        <v>25.1</v>
      </c>
      <c r="K2981" s="4">
        <v>16.29</v>
      </c>
      <c r="L2981">
        <v>5</v>
      </c>
      <c r="M2981" s="4">
        <v>20.440000000000001</v>
      </c>
      <c r="N2981" s="4">
        <v>388.44</v>
      </c>
      <c r="O2981" s="4">
        <v>207.98</v>
      </c>
      <c r="P2981" s="4">
        <v>2.5499999999999998</v>
      </c>
      <c r="Q2981" s="4">
        <v>4.91</v>
      </c>
      <c r="R2981" s="4">
        <v>7.64</v>
      </c>
      <c r="S2981" s="4">
        <v>0</v>
      </c>
      <c r="T2981" s="4">
        <v>0</v>
      </c>
      <c r="U2981" s="4">
        <v>223.08</v>
      </c>
      <c r="V2981" s="4">
        <v>165.36</v>
      </c>
      <c r="W2981" t="s">
        <v>21</v>
      </c>
      <c r="X2981" t="s">
        <v>36</v>
      </c>
      <c r="Y2981" s="4">
        <v>30</v>
      </c>
      <c r="Z2981" s="4">
        <v>6</v>
      </c>
      <c r="AA2981" t="s">
        <v>52</v>
      </c>
      <c r="AB2981" t="s">
        <v>44</v>
      </c>
      <c r="AC2981" s="7">
        <v>3</v>
      </c>
      <c r="AD2981" t="s">
        <v>45</v>
      </c>
      <c r="AE2981">
        <f t="shared" si="46"/>
        <v>1</v>
      </c>
    </row>
    <row r="2982" spans="1:31" x14ac:dyDescent="0.35">
      <c r="A2982">
        <v>102981</v>
      </c>
      <c r="B2982" s="3">
        <v>45941</v>
      </c>
      <c r="C2982">
        <v>1064</v>
      </c>
      <c r="D2982" t="s">
        <v>30</v>
      </c>
      <c r="E2982" t="s">
        <v>40</v>
      </c>
      <c r="F2982" t="s">
        <v>41</v>
      </c>
      <c r="G2982" t="s">
        <v>63</v>
      </c>
      <c r="H2982" t="s">
        <v>57</v>
      </c>
      <c r="I2982" t="s">
        <v>35</v>
      </c>
      <c r="J2982" s="4">
        <v>17.43</v>
      </c>
      <c r="K2982" s="4">
        <v>13.61</v>
      </c>
      <c r="L2982">
        <v>15</v>
      </c>
      <c r="M2982" s="4">
        <v>35.58</v>
      </c>
      <c r="N2982" s="4">
        <v>201.64</v>
      </c>
      <c r="O2982" s="4">
        <v>118.19</v>
      </c>
      <c r="P2982" s="4">
        <v>7.77</v>
      </c>
      <c r="Q2982" s="4">
        <v>1.66</v>
      </c>
      <c r="R2982" s="4">
        <v>10.46</v>
      </c>
      <c r="S2982" s="4">
        <v>0</v>
      </c>
      <c r="T2982" s="4">
        <v>0</v>
      </c>
      <c r="U2982" s="4">
        <v>138.08000000000001</v>
      </c>
      <c r="V2982" s="4">
        <v>63.56</v>
      </c>
      <c r="W2982" t="s">
        <v>21</v>
      </c>
      <c r="X2982" t="s">
        <v>36</v>
      </c>
      <c r="Y2982" s="4">
        <v>10</v>
      </c>
      <c r="Z2982" s="4">
        <v>22</v>
      </c>
      <c r="AA2982" t="s">
        <v>37</v>
      </c>
      <c r="AB2982" t="s">
        <v>44</v>
      </c>
      <c r="AC2982" s="7">
        <v>2</v>
      </c>
      <c r="AD2982" t="s">
        <v>45</v>
      </c>
      <c r="AE2982">
        <f t="shared" si="46"/>
        <v>1</v>
      </c>
    </row>
    <row r="2983" spans="1:31" x14ac:dyDescent="0.35">
      <c r="A2983">
        <v>102982</v>
      </c>
      <c r="B2983" s="3">
        <v>46002</v>
      </c>
      <c r="C2983">
        <v>1026</v>
      </c>
      <c r="D2983" t="s">
        <v>64</v>
      </c>
      <c r="E2983" t="s">
        <v>65</v>
      </c>
      <c r="F2983" t="s">
        <v>61</v>
      </c>
      <c r="G2983" t="s">
        <v>46</v>
      </c>
      <c r="H2983" t="s">
        <v>34</v>
      </c>
      <c r="I2983" t="s">
        <v>42</v>
      </c>
      <c r="J2983" s="4">
        <v>34.590000000000003</v>
      </c>
      <c r="K2983" s="4">
        <v>15.62</v>
      </c>
      <c r="L2983">
        <v>15</v>
      </c>
      <c r="M2983" s="4">
        <v>81.040000000000006</v>
      </c>
      <c r="N2983" s="4">
        <v>459.26</v>
      </c>
      <c r="O2983" s="4">
        <v>287.13</v>
      </c>
      <c r="P2983" s="4">
        <v>8.31</v>
      </c>
      <c r="Q2983" s="4">
        <v>8.1</v>
      </c>
      <c r="R2983" s="4">
        <v>8.32</v>
      </c>
      <c r="S2983" s="4">
        <v>0</v>
      </c>
      <c r="T2983" s="4">
        <v>0</v>
      </c>
      <c r="U2983" s="4">
        <v>311.86</v>
      </c>
      <c r="V2983" s="4">
        <v>147.4</v>
      </c>
      <c r="W2983" t="s">
        <v>21</v>
      </c>
      <c r="X2983" t="s">
        <v>36</v>
      </c>
      <c r="Y2983" s="4">
        <v>4</v>
      </c>
      <c r="Z2983" s="4">
        <v>1</v>
      </c>
      <c r="AA2983" t="s">
        <v>37</v>
      </c>
      <c r="AB2983" t="s">
        <v>38</v>
      </c>
      <c r="AC2983" s="7">
        <v>0</v>
      </c>
      <c r="AD2983" t="s">
        <v>39</v>
      </c>
      <c r="AE2983">
        <f t="shared" si="46"/>
        <v>0</v>
      </c>
    </row>
    <row r="2984" spans="1:31" x14ac:dyDescent="0.35">
      <c r="A2984">
        <v>102983</v>
      </c>
      <c r="B2984" s="3">
        <v>45987</v>
      </c>
      <c r="C2984">
        <v>1015</v>
      </c>
      <c r="D2984" t="s">
        <v>64</v>
      </c>
      <c r="E2984" t="s">
        <v>76</v>
      </c>
      <c r="F2984" t="s">
        <v>71</v>
      </c>
      <c r="G2984" t="s">
        <v>33</v>
      </c>
      <c r="H2984" t="s">
        <v>57</v>
      </c>
      <c r="I2984" t="s">
        <v>35</v>
      </c>
      <c r="J2984" s="4">
        <v>38.340000000000003</v>
      </c>
      <c r="K2984" s="4">
        <v>19.309999999999999</v>
      </c>
      <c r="L2984">
        <v>10</v>
      </c>
      <c r="M2984" s="4">
        <v>74.040000000000006</v>
      </c>
      <c r="N2984" s="4">
        <v>666.31</v>
      </c>
      <c r="O2984" s="4">
        <v>245.4</v>
      </c>
      <c r="P2984" s="4">
        <v>8.9700000000000006</v>
      </c>
      <c r="Q2984" s="4">
        <v>5.18</v>
      </c>
      <c r="R2984" s="4">
        <v>8.99</v>
      </c>
      <c r="S2984" s="4">
        <v>0</v>
      </c>
      <c r="T2984" s="4">
        <v>0</v>
      </c>
      <c r="U2984" s="4">
        <v>268.54000000000002</v>
      </c>
      <c r="V2984" s="4">
        <v>397.77</v>
      </c>
      <c r="W2984" t="s">
        <v>21</v>
      </c>
      <c r="X2984" t="s">
        <v>36</v>
      </c>
      <c r="Y2984" s="4">
        <v>20</v>
      </c>
      <c r="Z2984" s="4">
        <v>2</v>
      </c>
      <c r="AA2984" t="s">
        <v>52</v>
      </c>
      <c r="AB2984" t="s">
        <v>38</v>
      </c>
      <c r="AC2984" s="7">
        <v>0</v>
      </c>
      <c r="AD2984" t="s">
        <v>39</v>
      </c>
      <c r="AE2984">
        <f t="shared" si="46"/>
        <v>0</v>
      </c>
    </row>
    <row r="2985" spans="1:31" x14ac:dyDescent="0.35">
      <c r="A2985">
        <v>102984</v>
      </c>
      <c r="B2985" s="3">
        <v>45936</v>
      </c>
      <c r="C2985">
        <v>1105</v>
      </c>
      <c r="D2985" t="s">
        <v>59</v>
      </c>
      <c r="E2985" t="s">
        <v>60</v>
      </c>
      <c r="F2985" t="s">
        <v>61</v>
      </c>
      <c r="G2985" t="s">
        <v>63</v>
      </c>
      <c r="H2985" t="s">
        <v>34</v>
      </c>
      <c r="I2985" t="s">
        <v>69</v>
      </c>
      <c r="J2985" s="4">
        <v>25.68</v>
      </c>
      <c r="K2985" s="4">
        <v>11.07</v>
      </c>
      <c r="L2985">
        <v>0</v>
      </c>
      <c r="M2985" s="4">
        <v>0</v>
      </c>
      <c r="N2985" s="4">
        <v>284.27999999999997</v>
      </c>
      <c r="O2985" s="4">
        <v>178.34</v>
      </c>
      <c r="P2985" s="4">
        <v>5.97</v>
      </c>
      <c r="Q2985" s="4">
        <v>1.1399999999999999</v>
      </c>
      <c r="R2985" s="4">
        <v>0</v>
      </c>
      <c r="S2985" s="4">
        <v>0</v>
      </c>
      <c r="T2985" s="4">
        <v>0</v>
      </c>
      <c r="U2985" s="4">
        <v>185.45</v>
      </c>
      <c r="V2985" s="4">
        <v>98.83</v>
      </c>
      <c r="W2985" t="s">
        <v>21</v>
      </c>
      <c r="X2985" t="s">
        <v>36</v>
      </c>
      <c r="Y2985" s="4">
        <v>31</v>
      </c>
      <c r="Z2985" s="4">
        <v>1</v>
      </c>
      <c r="AA2985" t="s">
        <v>43</v>
      </c>
      <c r="AB2985" t="s">
        <v>44</v>
      </c>
      <c r="AC2985" s="7">
        <v>1</v>
      </c>
      <c r="AD2985" t="s">
        <v>45</v>
      </c>
      <c r="AE2985">
        <f t="shared" si="46"/>
        <v>1</v>
      </c>
    </row>
    <row r="2986" spans="1:31" x14ac:dyDescent="0.35">
      <c r="A2986">
        <v>102985</v>
      </c>
      <c r="B2986" s="3">
        <v>46014</v>
      </c>
      <c r="C2986">
        <v>1121</v>
      </c>
      <c r="D2986" t="s">
        <v>47</v>
      </c>
      <c r="E2986" t="s">
        <v>48</v>
      </c>
      <c r="F2986" t="s">
        <v>49</v>
      </c>
      <c r="G2986" t="s">
        <v>50</v>
      </c>
      <c r="H2986" t="s">
        <v>34</v>
      </c>
      <c r="I2986" t="s">
        <v>42</v>
      </c>
      <c r="J2986" s="4">
        <v>20.68</v>
      </c>
      <c r="K2986" s="4">
        <v>17.22</v>
      </c>
      <c r="L2986">
        <v>0</v>
      </c>
      <c r="M2986" s="4">
        <v>0</v>
      </c>
      <c r="N2986" s="4">
        <v>356.11</v>
      </c>
      <c r="O2986" s="4">
        <v>155.97999999999999</v>
      </c>
      <c r="P2986" s="4">
        <v>9.1999999999999993</v>
      </c>
      <c r="Q2986" s="4">
        <v>5.34</v>
      </c>
      <c r="R2986" s="4">
        <v>10.28</v>
      </c>
      <c r="S2986" s="4">
        <v>182.01</v>
      </c>
      <c r="T2986" s="4">
        <v>0</v>
      </c>
      <c r="U2986" s="4">
        <v>362.81</v>
      </c>
      <c r="V2986" s="4">
        <v>-6.7</v>
      </c>
      <c r="W2986" t="s">
        <v>58</v>
      </c>
      <c r="X2986" t="s">
        <v>66</v>
      </c>
      <c r="Y2986" s="4">
        <v>5</v>
      </c>
      <c r="Z2986" s="4">
        <v>19</v>
      </c>
      <c r="AA2986" t="s">
        <v>37</v>
      </c>
      <c r="AB2986" t="s">
        <v>44</v>
      </c>
      <c r="AC2986" s="7">
        <v>1</v>
      </c>
      <c r="AD2986" t="s">
        <v>45</v>
      </c>
      <c r="AE2986">
        <f t="shared" si="46"/>
        <v>1</v>
      </c>
    </row>
    <row r="2987" spans="1:31" x14ac:dyDescent="0.35">
      <c r="A2987">
        <v>102986</v>
      </c>
      <c r="B2987" s="3">
        <v>46015</v>
      </c>
      <c r="C2987">
        <v>1137</v>
      </c>
      <c r="D2987" t="s">
        <v>64</v>
      </c>
      <c r="E2987" t="s">
        <v>76</v>
      </c>
      <c r="F2987" t="s">
        <v>41</v>
      </c>
      <c r="G2987" t="s">
        <v>50</v>
      </c>
      <c r="H2987" t="s">
        <v>57</v>
      </c>
      <c r="I2987" t="s">
        <v>42</v>
      </c>
      <c r="J2987" s="4">
        <v>15.76</v>
      </c>
      <c r="K2987" s="4">
        <v>17.11</v>
      </c>
      <c r="L2987">
        <v>15</v>
      </c>
      <c r="M2987" s="4">
        <v>40.450000000000003</v>
      </c>
      <c r="N2987" s="4">
        <v>229.2</v>
      </c>
      <c r="O2987" s="4">
        <v>104.29</v>
      </c>
      <c r="P2987" s="4">
        <v>6.55</v>
      </c>
      <c r="Q2987" s="4">
        <v>4.04</v>
      </c>
      <c r="R2987" s="4">
        <v>10.75</v>
      </c>
      <c r="S2987" s="4">
        <v>0</v>
      </c>
      <c r="T2987" s="4">
        <v>0</v>
      </c>
      <c r="U2987" s="4">
        <v>125.63</v>
      </c>
      <c r="V2987" s="4">
        <v>103.57</v>
      </c>
      <c r="W2987" t="s">
        <v>21</v>
      </c>
      <c r="X2987" t="s">
        <v>36</v>
      </c>
      <c r="Y2987" s="4">
        <v>3</v>
      </c>
      <c r="Z2987" s="4">
        <v>14</v>
      </c>
      <c r="AA2987" t="s">
        <v>37</v>
      </c>
      <c r="AB2987" t="s">
        <v>38</v>
      </c>
      <c r="AC2987" s="7">
        <v>0</v>
      </c>
      <c r="AD2987" t="s">
        <v>39</v>
      </c>
      <c r="AE2987">
        <f t="shared" si="46"/>
        <v>0</v>
      </c>
    </row>
    <row r="2988" spans="1:31" x14ac:dyDescent="0.35">
      <c r="A2988">
        <v>102987</v>
      </c>
      <c r="B2988" s="3">
        <v>46013</v>
      </c>
      <c r="C2988">
        <v>1037</v>
      </c>
      <c r="D2988" t="s">
        <v>30</v>
      </c>
      <c r="E2988" t="s">
        <v>40</v>
      </c>
      <c r="F2988" t="s">
        <v>49</v>
      </c>
      <c r="G2988" t="s">
        <v>63</v>
      </c>
      <c r="H2988" t="s">
        <v>51</v>
      </c>
      <c r="I2988" t="s">
        <v>54</v>
      </c>
      <c r="J2988" s="4">
        <v>24.8</v>
      </c>
      <c r="K2988" s="4">
        <v>12.6</v>
      </c>
      <c r="L2988">
        <v>0</v>
      </c>
      <c r="M2988" s="4">
        <v>0</v>
      </c>
      <c r="N2988" s="4">
        <v>312.48</v>
      </c>
      <c r="O2988" s="4">
        <v>153.99</v>
      </c>
      <c r="P2988" s="4">
        <v>6.92</v>
      </c>
      <c r="Q2988" s="4">
        <v>3.75</v>
      </c>
      <c r="R2988" s="4">
        <v>5.25</v>
      </c>
      <c r="S2988" s="4">
        <v>0</v>
      </c>
      <c r="T2988" s="4">
        <v>0</v>
      </c>
      <c r="U2988" s="4">
        <v>169.91</v>
      </c>
      <c r="V2988" s="4">
        <v>142.57</v>
      </c>
      <c r="W2988" t="s">
        <v>21</v>
      </c>
      <c r="X2988" t="s">
        <v>36</v>
      </c>
      <c r="Y2988" s="4">
        <v>4</v>
      </c>
      <c r="Z2988" s="4">
        <v>7</v>
      </c>
      <c r="AA2988" t="s">
        <v>37</v>
      </c>
      <c r="AB2988" t="s">
        <v>38</v>
      </c>
      <c r="AC2988" s="7">
        <v>0</v>
      </c>
      <c r="AD2988" t="s">
        <v>39</v>
      </c>
      <c r="AE2988">
        <f t="shared" si="46"/>
        <v>0</v>
      </c>
    </row>
    <row r="2989" spans="1:31" x14ac:dyDescent="0.35">
      <c r="A2989">
        <v>102988</v>
      </c>
      <c r="B2989" s="3">
        <v>45993</v>
      </c>
      <c r="C2989">
        <v>1051</v>
      </c>
      <c r="D2989" t="s">
        <v>47</v>
      </c>
      <c r="E2989" t="s">
        <v>56</v>
      </c>
      <c r="F2989" t="s">
        <v>49</v>
      </c>
      <c r="G2989" t="s">
        <v>33</v>
      </c>
      <c r="H2989" t="s">
        <v>34</v>
      </c>
      <c r="I2989" t="s">
        <v>54</v>
      </c>
      <c r="J2989" s="4">
        <v>29.1</v>
      </c>
      <c r="K2989" s="4">
        <v>18.73</v>
      </c>
      <c r="L2989">
        <v>5</v>
      </c>
      <c r="M2989" s="4">
        <v>27.25</v>
      </c>
      <c r="N2989" s="4">
        <v>517.79</v>
      </c>
      <c r="O2989" s="4">
        <v>228.4</v>
      </c>
      <c r="P2989" s="4">
        <v>3.11</v>
      </c>
      <c r="Q2989" s="4">
        <v>6.54</v>
      </c>
      <c r="R2989" s="4">
        <v>5.64</v>
      </c>
      <c r="S2989" s="4">
        <v>0</v>
      </c>
      <c r="T2989" s="4">
        <v>0</v>
      </c>
      <c r="U2989" s="4">
        <v>243.69</v>
      </c>
      <c r="V2989" s="4">
        <v>274.10000000000002</v>
      </c>
      <c r="W2989" t="s">
        <v>21</v>
      </c>
      <c r="X2989" t="s">
        <v>36</v>
      </c>
      <c r="Y2989" s="4">
        <v>2</v>
      </c>
      <c r="Z2989" s="4">
        <v>9</v>
      </c>
      <c r="AA2989" t="s">
        <v>37</v>
      </c>
      <c r="AB2989" t="s">
        <v>38</v>
      </c>
      <c r="AC2989" s="7">
        <v>0</v>
      </c>
      <c r="AD2989" t="s">
        <v>39</v>
      </c>
      <c r="AE2989">
        <f t="shared" si="46"/>
        <v>0</v>
      </c>
    </row>
    <row r="2990" spans="1:31" x14ac:dyDescent="0.35">
      <c r="A2990">
        <v>102989</v>
      </c>
      <c r="B2990" s="3">
        <v>45939</v>
      </c>
      <c r="C2990">
        <v>1142</v>
      </c>
      <c r="D2990" t="s">
        <v>30</v>
      </c>
      <c r="E2990" t="s">
        <v>72</v>
      </c>
      <c r="F2990" t="s">
        <v>71</v>
      </c>
      <c r="G2990" t="s">
        <v>63</v>
      </c>
      <c r="H2990" t="s">
        <v>34</v>
      </c>
      <c r="I2990" t="s">
        <v>35</v>
      </c>
      <c r="J2990" s="4">
        <v>8.8699999999999992</v>
      </c>
      <c r="K2990" s="4">
        <v>12.14</v>
      </c>
      <c r="L2990">
        <v>5</v>
      </c>
      <c r="M2990" s="4">
        <v>5.38</v>
      </c>
      <c r="N2990" s="4">
        <v>102.3</v>
      </c>
      <c r="O2990" s="4">
        <v>58.14</v>
      </c>
      <c r="P2990" s="4">
        <v>5.99</v>
      </c>
      <c r="Q2990" s="4">
        <v>0.75</v>
      </c>
      <c r="R2990" s="4">
        <v>10.83</v>
      </c>
      <c r="S2990" s="4">
        <v>0</v>
      </c>
      <c r="T2990" s="4">
        <v>0</v>
      </c>
      <c r="U2990" s="4">
        <v>75.709999999999994</v>
      </c>
      <c r="V2990" s="4">
        <v>26.59</v>
      </c>
      <c r="W2990" t="s">
        <v>21</v>
      </c>
      <c r="X2990" t="s">
        <v>36</v>
      </c>
      <c r="Y2990" s="4">
        <v>28</v>
      </c>
      <c r="Z2990" s="4">
        <v>5</v>
      </c>
      <c r="AA2990" t="s">
        <v>52</v>
      </c>
      <c r="AB2990" t="s">
        <v>44</v>
      </c>
      <c r="AC2990" s="7">
        <v>1</v>
      </c>
      <c r="AD2990" t="s">
        <v>45</v>
      </c>
      <c r="AE2990">
        <f t="shared" si="46"/>
        <v>1</v>
      </c>
    </row>
    <row r="2991" spans="1:31" x14ac:dyDescent="0.35">
      <c r="A2991">
        <v>102990</v>
      </c>
      <c r="B2991" s="3">
        <v>45978</v>
      </c>
      <c r="C2991">
        <v>1078</v>
      </c>
      <c r="D2991" t="s">
        <v>30</v>
      </c>
      <c r="E2991" t="s">
        <v>72</v>
      </c>
      <c r="F2991" t="s">
        <v>61</v>
      </c>
      <c r="G2991" t="s">
        <v>33</v>
      </c>
      <c r="H2991" t="s">
        <v>57</v>
      </c>
      <c r="I2991" t="s">
        <v>54</v>
      </c>
      <c r="J2991" s="4">
        <v>27.76</v>
      </c>
      <c r="K2991" s="4">
        <v>18.93</v>
      </c>
      <c r="L2991">
        <v>5</v>
      </c>
      <c r="M2991" s="4">
        <v>26.28</v>
      </c>
      <c r="N2991" s="4">
        <v>499.22</v>
      </c>
      <c r="O2991" s="4">
        <v>211.26</v>
      </c>
      <c r="P2991" s="4">
        <v>6.43</v>
      </c>
      <c r="Q2991" s="4">
        <v>6.31</v>
      </c>
      <c r="R2991" s="4">
        <v>3.69</v>
      </c>
      <c r="S2991" s="4">
        <v>0</v>
      </c>
      <c r="T2991" s="4">
        <v>0</v>
      </c>
      <c r="U2991" s="4">
        <v>227.69</v>
      </c>
      <c r="V2991" s="4">
        <v>271.52999999999997</v>
      </c>
      <c r="W2991" t="s">
        <v>21</v>
      </c>
      <c r="X2991" t="s">
        <v>36</v>
      </c>
      <c r="Y2991" s="4">
        <v>17</v>
      </c>
      <c r="Z2991" s="4">
        <v>6</v>
      </c>
      <c r="AA2991" t="s">
        <v>52</v>
      </c>
      <c r="AB2991" t="s">
        <v>38</v>
      </c>
      <c r="AC2991" s="7">
        <v>0</v>
      </c>
      <c r="AD2991" t="s">
        <v>39</v>
      </c>
      <c r="AE2991">
        <f t="shared" si="46"/>
        <v>0</v>
      </c>
    </row>
    <row r="2992" spans="1:31" x14ac:dyDescent="0.35">
      <c r="A2992">
        <v>102991</v>
      </c>
      <c r="B2992" s="3">
        <v>45986</v>
      </c>
      <c r="C2992">
        <v>1078</v>
      </c>
      <c r="D2992" t="s">
        <v>64</v>
      </c>
      <c r="E2992" t="s">
        <v>67</v>
      </c>
      <c r="F2992" t="s">
        <v>41</v>
      </c>
      <c r="G2992" t="s">
        <v>63</v>
      </c>
      <c r="H2992" t="s">
        <v>34</v>
      </c>
      <c r="I2992" t="s">
        <v>42</v>
      </c>
      <c r="J2992" s="4">
        <v>29.23</v>
      </c>
      <c r="K2992" s="4">
        <v>12.57</v>
      </c>
      <c r="L2992">
        <v>15</v>
      </c>
      <c r="M2992" s="4">
        <v>55.11</v>
      </c>
      <c r="N2992" s="4">
        <v>312.31</v>
      </c>
      <c r="O2992" s="4">
        <v>209.13</v>
      </c>
      <c r="P2992" s="4">
        <v>10.77</v>
      </c>
      <c r="Q2992" s="4">
        <v>5.51</v>
      </c>
      <c r="R2992" s="4">
        <v>7.16</v>
      </c>
      <c r="S2992" s="4">
        <v>0</v>
      </c>
      <c r="T2992" s="4">
        <v>0</v>
      </c>
      <c r="U2992" s="4">
        <v>232.57</v>
      </c>
      <c r="V2992" s="4">
        <v>79.739999999999995</v>
      </c>
      <c r="W2992" t="s">
        <v>21</v>
      </c>
      <c r="X2992" t="s">
        <v>36</v>
      </c>
      <c r="Y2992" s="4">
        <v>35</v>
      </c>
      <c r="Z2992" s="4">
        <v>22</v>
      </c>
      <c r="AA2992" t="s">
        <v>43</v>
      </c>
      <c r="AB2992" t="s">
        <v>44</v>
      </c>
      <c r="AC2992" s="7">
        <v>1</v>
      </c>
      <c r="AD2992" t="s">
        <v>45</v>
      </c>
      <c r="AE2992">
        <f t="shared" si="46"/>
        <v>1</v>
      </c>
    </row>
    <row r="2993" spans="1:31" x14ac:dyDescent="0.35">
      <c r="A2993">
        <v>102992</v>
      </c>
      <c r="B2993" s="3">
        <v>45998</v>
      </c>
      <c r="C2993">
        <v>1023</v>
      </c>
      <c r="D2993" t="s">
        <v>64</v>
      </c>
      <c r="E2993" t="s">
        <v>67</v>
      </c>
      <c r="F2993" t="s">
        <v>61</v>
      </c>
      <c r="G2993" t="s">
        <v>46</v>
      </c>
      <c r="H2993" t="s">
        <v>51</v>
      </c>
      <c r="I2993" t="s">
        <v>35</v>
      </c>
      <c r="J2993" s="4">
        <v>27.48</v>
      </c>
      <c r="K2993" s="4">
        <v>15.4</v>
      </c>
      <c r="L2993">
        <v>0</v>
      </c>
      <c r="M2993" s="4">
        <v>0</v>
      </c>
      <c r="N2993" s="4">
        <v>423.19</v>
      </c>
      <c r="O2993" s="4">
        <v>179.42</v>
      </c>
      <c r="P2993" s="4">
        <v>5.14</v>
      </c>
      <c r="Q2993" s="4">
        <v>2.96</v>
      </c>
      <c r="R2993" s="4">
        <v>6.17</v>
      </c>
      <c r="S2993" s="4">
        <v>0</v>
      </c>
      <c r="T2993" s="4">
        <v>0</v>
      </c>
      <c r="U2993" s="4">
        <v>193.69</v>
      </c>
      <c r="V2993" s="4">
        <v>229.5</v>
      </c>
      <c r="W2993" t="s">
        <v>21</v>
      </c>
      <c r="X2993" t="s">
        <v>36</v>
      </c>
      <c r="Y2993" s="4">
        <v>1</v>
      </c>
      <c r="Z2993" s="4">
        <v>28</v>
      </c>
      <c r="AA2993" t="s">
        <v>37</v>
      </c>
      <c r="AB2993" t="s">
        <v>44</v>
      </c>
      <c r="AC2993" s="7">
        <v>1</v>
      </c>
      <c r="AD2993" t="s">
        <v>45</v>
      </c>
      <c r="AE2993">
        <f t="shared" si="46"/>
        <v>1</v>
      </c>
    </row>
    <row r="2994" spans="1:31" x14ac:dyDescent="0.35">
      <c r="A2994">
        <v>102993</v>
      </c>
      <c r="B2994" s="3">
        <v>46005</v>
      </c>
      <c r="C2994">
        <v>1019</v>
      </c>
      <c r="D2994" t="s">
        <v>59</v>
      </c>
      <c r="E2994" t="s">
        <v>60</v>
      </c>
      <c r="F2994" t="s">
        <v>32</v>
      </c>
      <c r="G2994" t="s">
        <v>63</v>
      </c>
      <c r="H2994" t="s">
        <v>57</v>
      </c>
      <c r="I2994" t="s">
        <v>69</v>
      </c>
      <c r="J2994" s="4">
        <v>3</v>
      </c>
      <c r="K2994" s="4">
        <v>12.8</v>
      </c>
      <c r="L2994">
        <v>0</v>
      </c>
      <c r="M2994" s="4">
        <v>0</v>
      </c>
      <c r="N2994" s="4">
        <v>38.4</v>
      </c>
      <c r="O2994" s="4">
        <v>19.72</v>
      </c>
      <c r="P2994" s="4">
        <v>8.0399999999999991</v>
      </c>
      <c r="Q2994" s="4">
        <v>0.15</v>
      </c>
      <c r="R2994" s="4">
        <v>9.39</v>
      </c>
      <c r="S2994" s="4">
        <v>0</v>
      </c>
      <c r="T2994" s="4">
        <v>0</v>
      </c>
      <c r="U2994" s="4">
        <v>37.299999999999997</v>
      </c>
      <c r="V2994" s="4">
        <v>1.1000000000000001</v>
      </c>
      <c r="W2994" t="s">
        <v>21</v>
      </c>
      <c r="X2994" t="s">
        <v>36</v>
      </c>
      <c r="Y2994" s="4">
        <v>0</v>
      </c>
      <c r="Z2994" s="4">
        <v>11</v>
      </c>
      <c r="AA2994" t="s">
        <v>37</v>
      </c>
      <c r="AB2994" t="s">
        <v>38</v>
      </c>
      <c r="AC2994" s="7">
        <v>0</v>
      </c>
      <c r="AD2994" t="s">
        <v>39</v>
      </c>
      <c r="AE2994">
        <f t="shared" si="46"/>
        <v>0</v>
      </c>
    </row>
    <row r="2995" spans="1:31" x14ac:dyDescent="0.35">
      <c r="A2995">
        <v>102994</v>
      </c>
      <c r="B2995" s="3">
        <v>46000</v>
      </c>
      <c r="C2995">
        <v>1101</v>
      </c>
      <c r="D2995" t="s">
        <v>30</v>
      </c>
      <c r="E2995" t="s">
        <v>72</v>
      </c>
      <c r="F2995" t="s">
        <v>71</v>
      </c>
      <c r="G2995" t="s">
        <v>50</v>
      </c>
      <c r="H2995" t="s">
        <v>57</v>
      </c>
      <c r="I2995" t="s">
        <v>35</v>
      </c>
      <c r="J2995" s="4">
        <v>35.56</v>
      </c>
      <c r="K2995" s="4">
        <v>16.32</v>
      </c>
      <c r="L2995">
        <v>15</v>
      </c>
      <c r="M2995" s="4">
        <v>87.05</v>
      </c>
      <c r="N2995" s="4">
        <v>493.29</v>
      </c>
      <c r="O2995" s="4">
        <v>278.81</v>
      </c>
      <c r="P2995" s="4">
        <v>7.44</v>
      </c>
      <c r="Q2995" s="4">
        <v>4.0599999999999996</v>
      </c>
      <c r="R2995" s="4">
        <v>11.19</v>
      </c>
      <c r="S2995" s="4">
        <v>0</v>
      </c>
      <c r="T2995" s="4">
        <v>0</v>
      </c>
      <c r="U2995" s="4">
        <v>301.5</v>
      </c>
      <c r="V2995" s="4">
        <v>191.79</v>
      </c>
      <c r="W2995" t="s">
        <v>21</v>
      </c>
      <c r="X2995" t="s">
        <v>36</v>
      </c>
      <c r="Y2995" s="4">
        <v>15</v>
      </c>
      <c r="Z2995" s="4">
        <v>10</v>
      </c>
      <c r="AA2995" t="s">
        <v>37</v>
      </c>
      <c r="AB2995" t="s">
        <v>38</v>
      </c>
      <c r="AC2995" s="7">
        <v>0</v>
      </c>
      <c r="AD2995" t="s">
        <v>39</v>
      </c>
      <c r="AE2995">
        <f t="shared" si="46"/>
        <v>0</v>
      </c>
    </row>
    <row r="2996" spans="1:31" x14ac:dyDescent="0.35">
      <c r="A2996">
        <v>102995</v>
      </c>
      <c r="B2996" s="3">
        <v>45963</v>
      </c>
      <c r="C2996">
        <v>1092</v>
      </c>
      <c r="D2996" t="s">
        <v>59</v>
      </c>
      <c r="E2996" t="s">
        <v>73</v>
      </c>
      <c r="F2996" t="s">
        <v>71</v>
      </c>
      <c r="G2996" t="s">
        <v>63</v>
      </c>
      <c r="H2996" t="s">
        <v>34</v>
      </c>
      <c r="I2996" t="s">
        <v>35</v>
      </c>
      <c r="J2996" s="4">
        <v>15.84</v>
      </c>
      <c r="K2996" s="4">
        <v>11.6</v>
      </c>
      <c r="L2996">
        <v>10</v>
      </c>
      <c r="M2996" s="4">
        <v>18.37</v>
      </c>
      <c r="N2996" s="4">
        <v>165.37</v>
      </c>
      <c r="O2996" s="4">
        <v>107.39</v>
      </c>
      <c r="P2996" s="4">
        <v>3.94</v>
      </c>
      <c r="Q2996" s="4">
        <v>1.29</v>
      </c>
      <c r="R2996" s="4">
        <v>2.5299999999999998</v>
      </c>
      <c r="S2996" s="4">
        <v>0</v>
      </c>
      <c r="T2996" s="4">
        <v>0</v>
      </c>
      <c r="U2996" s="4">
        <v>115.15</v>
      </c>
      <c r="V2996" s="4">
        <v>50.22</v>
      </c>
      <c r="W2996" t="s">
        <v>21</v>
      </c>
      <c r="X2996" t="s">
        <v>36</v>
      </c>
      <c r="Y2996" s="4">
        <v>15</v>
      </c>
      <c r="Z2996" s="4">
        <v>2</v>
      </c>
      <c r="AA2996" t="s">
        <v>37</v>
      </c>
      <c r="AB2996" t="s">
        <v>38</v>
      </c>
      <c r="AC2996" s="7">
        <v>0</v>
      </c>
      <c r="AD2996" t="s">
        <v>39</v>
      </c>
      <c r="AE2996">
        <f t="shared" si="46"/>
        <v>0</v>
      </c>
    </row>
    <row r="2997" spans="1:31" x14ac:dyDescent="0.35">
      <c r="A2997">
        <v>102996</v>
      </c>
      <c r="B2997" s="3">
        <v>46005</v>
      </c>
      <c r="C2997">
        <v>1086</v>
      </c>
      <c r="D2997" t="s">
        <v>30</v>
      </c>
      <c r="E2997" t="s">
        <v>40</v>
      </c>
      <c r="F2997" t="s">
        <v>32</v>
      </c>
      <c r="G2997" t="s">
        <v>63</v>
      </c>
      <c r="H2997" t="s">
        <v>34</v>
      </c>
      <c r="I2997" t="s">
        <v>54</v>
      </c>
      <c r="J2997" s="4">
        <v>24.58</v>
      </c>
      <c r="K2997" s="4">
        <v>11.52</v>
      </c>
      <c r="L2997">
        <v>0</v>
      </c>
      <c r="M2997" s="4">
        <v>0</v>
      </c>
      <c r="N2997" s="4">
        <v>283.16000000000003</v>
      </c>
      <c r="O2997" s="4">
        <v>177.96</v>
      </c>
      <c r="P2997" s="4">
        <v>6.36</v>
      </c>
      <c r="Q2997" s="4">
        <v>3.4</v>
      </c>
      <c r="R2997" s="4">
        <v>10.17</v>
      </c>
      <c r="S2997" s="4">
        <v>0</v>
      </c>
      <c r="T2997" s="4">
        <v>0</v>
      </c>
      <c r="U2997" s="4">
        <v>197.89</v>
      </c>
      <c r="V2997" s="4">
        <v>85.27</v>
      </c>
      <c r="W2997" t="s">
        <v>21</v>
      </c>
      <c r="X2997" t="s">
        <v>36</v>
      </c>
      <c r="Y2997" s="4">
        <v>7</v>
      </c>
      <c r="Z2997" s="4">
        <v>2</v>
      </c>
      <c r="AA2997" t="s">
        <v>37</v>
      </c>
      <c r="AB2997" t="s">
        <v>38</v>
      </c>
      <c r="AC2997" s="7">
        <v>0</v>
      </c>
      <c r="AD2997" t="s">
        <v>39</v>
      </c>
      <c r="AE2997">
        <f t="shared" si="46"/>
        <v>0</v>
      </c>
    </row>
    <row r="2998" spans="1:31" x14ac:dyDescent="0.35">
      <c r="A2998">
        <v>102997</v>
      </c>
      <c r="B2998" s="3">
        <v>45965</v>
      </c>
      <c r="C2998">
        <v>1070</v>
      </c>
      <c r="D2998" t="s">
        <v>64</v>
      </c>
      <c r="E2998" t="s">
        <v>65</v>
      </c>
      <c r="F2998" t="s">
        <v>61</v>
      </c>
      <c r="G2998" t="s">
        <v>63</v>
      </c>
      <c r="H2998" t="s">
        <v>57</v>
      </c>
      <c r="I2998" t="s">
        <v>35</v>
      </c>
      <c r="J2998" s="4">
        <v>19.22</v>
      </c>
      <c r="K2998" s="4">
        <v>13.88</v>
      </c>
      <c r="L2998">
        <v>15</v>
      </c>
      <c r="M2998" s="4">
        <v>40.020000000000003</v>
      </c>
      <c r="N2998" s="4">
        <v>226.75</v>
      </c>
      <c r="O2998" s="4">
        <v>155.12</v>
      </c>
      <c r="P2998" s="4">
        <v>8.6999999999999993</v>
      </c>
      <c r="Q2998" s="4">
        <v>1.87</v>
      </c>
      <c r="R2998" s="4">
        <v>6.89</v>
      </c>
      <c r="S2998" s="4">
        <v>0</v>
      </c>
      <c r="T2998" s="4">
        <v>0</v>
      </c>
      <c r="U2998" s="4">
        <v>172.58</v>
      </c>
      <c r="V2998" s="4">
        <v>54.17</v>
      </c>
      <c r="W2998" t="s">
        <v>21</v>
      </c>
      <c r="X2998" t="s">
        <v>36</v>
      </c>
      <c r="Y2998" s="4">
        <v>6</v>
      </c>
      <c r="Z2998" s="4">
        <v>16</v>
      </c>
      <c r="AA2998" t="s">
        <v>37</v>
      </c>
      <c r="AB2998" t="s">
        <v>44</v>
      </c>
      <c r="AC2998" s="7">
        <v>1</v>
      </c>
      <c r="AD2998" t="s">
        <v>45</v>
      </c>
      <c r="AE2998">
        <f t="shared" si="46"/>
        <v>1</v>
      </c>
    </row>
    <row r="2999" spans="1:31" x14ac:dyDescent="0.35">
      <c r="A2999">
        <v>102998</v>
      </c>
      <c r="B2999" s="3">
        <v>45993</v>
      </c>
      <c r="C2999">
        <v>1123</v>
      </c>
      <c r="D2999" t="s">
        <v>64</v>
      </c>
      <c r="E2999" t="s">
        <v>76</v>
      </c>
      <c r="F2999" t="s">
        <v>41</v>
      </c>
      <c r="G2999" t="s">
        <v>33</v>
      </c>
      <c r="H2999" t="s">
        <v>34</v>
      </c>
      <c r="I2999" t="s">
        <v>35</v>
      </c>
      <c r="J2999" s="4">
        <v>29.98</v>
      </c>
      <c r="K2999" s="4">
        <v>20.23</v>
      </c>
      <c r="L2999">
        <v>5</v>
      </c>
      <c r="M2999" s="4">
        <v>30.33</v>
      </c>
      <c r="N2999" s="4">
        <v>576.16999999999996</v>
      </c>
      <c r="O2999" s="4">
        <v>213.38</v>
      </c>
      <c r="P2999" s="4">
        <v>2.29</v>
      </c>
      <c r="Q2999" s="4">
        <v>4.25</v>
      </c>
      <c r="R2999" s="4">
        <v>2.19</v>
      </c>
      <c r="S2999" s="4">
        <v>0</v>
      </c>
      <c r="T2999" s="4">
        <v>0</v>
      </c>
      <c r="U2999" s="4">
        <v>222.11</v>
      </c>
      <c r="V2999" s="4">
        <v>354.06</v>
      </c>
      <c r="W2999" t="s">
        <v>21</v>
      </c>
      <c r="X2999" t="s">
        <v>36</v>
      </c>
      <c r="Y2999" s="4">
        <v>20</v>
      </c>
      <c r="Z2999" s="4">
        <v>12</v>
      </c>
      <c r="AA2999" t="s">
        <v>52</v>
      </c>
      <c r="AB2999" t="s">
        <v>38</v>
      </c>
      <c r="AC2999" s="7">
        <v>0</v>
      </c>
      <c r="AD2999" t="s">
        <v>39</v>
      </c>
      <c r="AE2999">
        <f t="shared" si="46"/>
        <v>0</v>
      </c>
    </row>
    <row r="3000" spans="1:31" x14ac:dyDescent="0.35">
      <c r="A3000">
        <v>102999</v>
      </c>
      <c r="B3000" s="3">
        <v>45988</v>
      </c>
      <c r="C3000">
        <v>1041</v>
      </c>
      <c r="D3000" t="s">
        <v>47</v>
      </c>
      <c r="E3000" t="s">
        <v>56</v>
      </c>
      <c r="F3000" t="s">
        <v>41</v>
      </c>
      <c r="G3000" t="s">
        <v>63</v>
      </c>
      <c r="H3000" t="s">
        <v>34</v>
      </c>
      <c r="I3000" t="s">
        <v>42</v>
      </c>
      <c r="J3000" s="4">
        <v>17.68</v>
      </c>
      <c r="K3000" s="4">
        <v>14.08</v>
      </c>
      <c r="L3000">
        <v>0</v>
      </c>
      <c r="M3000" s="4">
        <v>0</v>
      </c>
      <c r="N3000" s="4">
        <v>248.93</v>
      </c>
      <c r="O3000" s="4">
        <v>116.1</v>
      </c>
      <c r="P3000" s="4">
        <v>5.44</v>
      </c>
      <c r="Q3000" s="4">
        <v>3.73</v>
      </c>
      <c r="R3000" s="4">
        <v>6.69</v>
      </c>
      <c r="S3000" s="4">
        <v>0</v>
      </c>
      <c r="T3000" s="4">
        <v>0</v>
      </c>
      <c r="U3000" s="4">
        <v>131.96</v>
      </c>
      <c r="V3000" s="4">
        <v>116.97</v>
      </c>
      <c r="W3000" t="s">
        <v>21</v>
      </c>
      <c r="X3000" t="s">
        <v>36</v>
      </c>
      <c r="Y3000" s="4">
        <v>4</v>
      </c>
      <c r="Z3000" s="4">
        <v>7</v>
      </c>
      <c r="AA3000" t="s">
        <v>37</v>
      </c>
      <c r="AB3000" t="s">
        <v>38</v>
      </c>
      <c r="AC3000" s="7">
        <v>0</v>
      </c>
      <c r="AD3000" t="s">
        <v>39</v>
      </c>
      <c r="AE3000">
        <f t="shared" si="46"/>
        <v>0</v>
      </c>
    </row>
    <row r="3001" spans="1:31" x14ac:dyDescent="0.35">
      <c r="A3001">
        <v>103000</v>
      </c>
      <c r="B3001" s="3">
        <v>45960</v>
      </c>
      <c r="C3001">
        <v>1082</v>
      </c>
      <c r="D3001" t="s">
        <v>64</v>
      </c>
      <c r="E3001" t="s">
        <v>75</v>
      </c>
      <c r="F3001" t="s">
        <v>61</v>
      </c>
      <c r="G3001" t="s">
        <v>33</v>
      </c>
      <c r="H3001" t="s">
        <v>57</v>
      </c>
      <c r="I3001" t="s">
        <v>35</v>
      </c>
      <c r="J3001" s="4">
        <v>26.4</v>
      </c>
      <c r="K3001" s="4">
        <v>18.670000000000002</v>
      </c>
      <c r="L3001">
        <v>0</v>
      </c>
      <c r="M3001" s="4">
        <v>0</v>
      </c>
      <c r="N3001" s="4">
        <v>492.89</v>
      </c>
      <c r="O3001" s="4">
        <v>210.95</v>
      </c>
      <c r="P3001" s="4">
        <v>4.93</v>
      </c>
      <c r="Q3001" s="4">
        <v>3.45</v>
      </c>
      <c r="R3001" s="4">
        <v>7.1</v>
      </c>
      <c r="S3001" s="4">
        <v>0</v>
      </c>
      <c r="T3001" s="4">
        <v>0</v>
      </c>
      <c r="U3001" s="4">
        <v>226.43</v>
      </c>
      <c r="V3001" s="4">
        <v>266.45999999999998</v>
      </c>
      <c r="W3001" t="s">
        <v>21</v>
      </c>
      <c r="X3001" t="s">
        <v>36</v>
      </c>
      <c r="Y3001" s="4">
        <v>1</v>
      </c>
      <c r="Z3001" s="4">
        <v>1</v>
      </c>
      <c r="AA3001" t="s">
        <v>37</v>
      </c>
      <c r="AB3001" t="s">
        <v>38</v>
      </c>
      <c r="AC3001" s="7">
        <v>0</v>
      </c>
      <c r="AD3001" t="s">
        <v>39</v>
      </c>
      <c r="AE3001">
        <f t="shared" si="4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0"/>
  <sheetViews>
    <sheetView workbookViewId="0">
      <selection activeCell="B17" sqref="B17"/>
    </sheetView>
  </sheetViews>
  <sheetFormatPr defaultRowHeight="14.5" x14ac:dyDescent="0.35"/>
  <cols>
    <col min="1" max="1" width="13.6328125" bestFit="1" customWidth="1"/>
    <col min="2" max="2" width="39.54296875" bestFit="1" customWidth="1"/>
    <col min="3" max="3" width="39.1796875" bestFit="1" customWidth="1"/>
  </cols>
  <sheetData>
    <row r="1" spans="1:3" x14ac:dyDescent="0.35">
      <c r="A1" s="1" t="s">
        <v>77</v>
      </c>
      <c r="B1" s="1" t="s">
        <v>78</v>
      </c>
      <c r="C1" s="1" t="s">
        <v>79</v>
      </c>
    </row>
    <row r="2" spans="1:3" x14ac:dyDescent="0.35">
      <c r="A2" t="s">
        <v>80</v>
      </c>
      <c r="B2" t="s">
        <v>81</v>
      </c>
      <c r="C2" t="s">
        <v>82</v>
      </c>
    </row>
    <row r="3" spans="1:3" x14ac:dyDescent="0.35">
      <c r="A3" t="s">
        <v>80</v>
      </c>
      <c r="B3" t="s">
        <v>83</v>
      </c>
      <c r="C3" t="s">
        <v>84</v>
      </c>
    </row>
    <row r="4" spans="1:3" x14ac:dyDescent="0.35">
      <c r="A4" t="s">
        <v>80</v>
      </c>
      <c r="B4" t="s">
        <v>85</v>
      </c>
      <c r="C4" t="s">
        <v>86</v>
      </c>
    </row>
    <row r="5" spans="1:3" x14ac:dyDescent="0.35">
      <c r="A5" t="s">
        <v>87</v>
      </c>
      <c r="B5" t="s">
        <v>88</v>
      </c>
      <c r="C5" t="s">
        <v>89</v>
      </c>
    </row>
    <row r="6" spans="1:3" x14ac:dyDescent="0.35">
      <c r="A6" t="s">
        <v>87</v>
      </c>
      <c r="B6" t="s">
        <v>90</v>
      </c>
      <c r="C6" t="s">
        <v>91</v>
      </c>
    </row>
    <row r="7" spans="1:3" x14ac:dyDescent="0.35">
      <c r="A7" t="s">
        <v>87</v>
      </c>
      <c r="B7" t="s">
        <v>92</v>
      </c>
      <c r="C7" t="s">
        <v>93</v>
      </c>
    </row>
    <row r="8" spans="1:3" x14ac:dyDescent="0.35">
      <c r="A8" t="s">
        <v>87</v>
      </c>
      <c r="B8" t="s">
        <v>94</v>
      </c>
      <c r="C8" t="s">
        <v>95</v>
      </c>
    </row>
    <row r="9" spans="1:3" x14ac:dyDescent="0.35">
      <c r="A9" t="s">
        <v>87</v>
      </c>
      <c r="B9" t="s">
        <v>96</v>
      </c>
      <c r="C9" t="s">
        <v>97</v>
      </c>
    </row>
    <row r="10" spans="1:3" x14ac:dyDescent="0.35">
      <c r="A10" t="s">
        <v>87</v>
      </c>
      <c r="B10" t="s">
        <v>98</v>
      </c>
      <c r="C10" t="s">
        <v>99</v>
      </c>
    </row>
    <row r="11" spans="1:3" x14ac:dyDescent="0.35">
      <c r="A11" t="s">
        <v>100</v>
      </c>
      <c r="B11" t="s">
        <v>3</v>
      </c>
      <c r="C11" t="s">
        <v>101</v>
      </c>
    </row>
    <row r="12" spans="1:3" x14ac:dyDescent="0.35">
      <c r="A12" t="s">
        <v>100</v>
      </c>
      <c r="B12" t="s">
        <v>4</v>
      </c>
      <c r="C12" t="s">
        <v>101</v>
      </c>
    </row>
    <row r="13" spans="1:3" x14ac:dyDescent="0.35">
      <c r="A13" t="s">
        <v>100</v>
      </c>
      <c r="B13" t="s">
        <v>102</v>
      </c>
      <c r="C13" t="s">
        <v>101</v>
      </c>
    </row>
    <row r="14" spans="1:3" x14ac:dyDescent="0.35">
      <c r="A14" t="s">
        <v>100</v>
      </c>
      <c r="B14" t="s">
        <v>103</v>
      </c>
      <c r="C14" t="s">
        <v>101</v>
      </c>
    </row>
    <row r="15" spans="1:3" x14ac:dyDescent="0.35">
      <c r="A15" t="s">
        <v>100</v>
      </c>
      <c r="B15" t="s">
        <v>104</v>
      </c>
      <c r="C15" t="s">
        <v>101</v>
      </c>
    </row>
    <row r="16" spans="1:3" x14ac:dyDescent="0.35">
      <c r="A16" t="s">
        <v>105</v>
      </c>
      <c r="B16" t="s">
        <v>106</v>
      </c>
      <c r="C16" t="s">
        <v>107</v>
      </c>
    </row>
    <row r="17" spans="1:3" x14ac:dyDescent="0.35">
      <c r="A17" t="s">
        <v>105</v>
      </c>
      <c r="B17" t="s">
        <v>108</v>
      </c>
      <c r="C17" t="s">
        <v>109</v>
      </c>
    </row>
    <row r="18" spans="1:3" x14ac:dyDescent="0.35">
      <c r="A18" t="s">
        <v>105</v>
      </c>
      <c r="B18" t="s">
        <v>110</v>
      </c>
      <c r="C18" t="s">
        <v>111</v>
      </c>
    </row>
    <row r="19" spans="1:3" x14ac:dyDescent="0.35">
      <c r="A19" t="s">
        <v>105</v>
      </c>
      <c r="B19" t="s">
        <v>112</v>
      </c>
      <c r="C19" t="s">
        <v>113</v>
      </c>
    </row>
    <row r="20" spans="1:3" x14ac:dyDescent="0.35">
      <c r="A20" t="s">
        <v>105</v>
      </c>
      <c r="B20" t="s">
        <v>114</v>
      </c>
      <c r="C20" t="s">
        <v>115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08B4C-AEE7-4C57-9011-8B71A980FB56}">
  <dimension ref="B2:U43"/>
  <sheetViews>
    <sheetView topLeftCell="B1" zoomScale="62" zoomScaleNormal="40" workbookViewId="0">
      <selection activeCell="T16" sqref="T16"/>
    </sheetView>
  </sheetViews>
  <sheetFormatPr defaultRowHeight="14.5" x14ac:dyDescent="0.35"/>
  <cols>
    <col min="2" max="2" width="11" bestFit="1" customWidth="1"/>
    <col min="3" max="3" width="12.36328125" bestFit="1" customWidth="1"/>
    <col min="4" max="4" width="16.81640625" bestFit="1" customWidth="1"/>
    <col min="5" max="5" width="12.36328125" bestFit="1" customWidth="1"/>
    <col min="6" max="6" width="14.90625" bestFit="1" customWidth="1"/>
    <col min="7" max="7" width="22.1796875" bestFit="1" customWidth="1"/>
    <col min="8" max="8" width="12" customWidth="1"/>
    <col min="9" max="9" width="15.1796875" bestFit="1" customWidth="1"/>
    <col min="10" max="10" width="22.1796875" bestFit="1" customWidth="1"/>
    <col min="11" max="11" width="3.81640625" customWidth="1"/>
    <col min="12" max="12" width="13.26953125" bestFit="1" customWidth="1"/>
    <col min="13" max="13" width="18.36328125" bestFit="1" customWidth="1"/>
    <col min="14" max="14" width="12.36328125" bestFit="1" customWidth="1"/>
    <col min="15" max="15" width="4.08984375" customWidth="1"/>
    <col min="16" max="16" width="12.26953125" bestFit="1" customWidth="1"/>
    <col min="17" max="17" width="22.1796875" bestFit="1" customWidth="1"/>
    <col min="18" max="18" width="12.36328125" bestFit="1" customWidth="1"/>
    <col min="19" max="19" width="8.6328125" customWidth="1"/>
    <col min="20" max="20" width="16.453125" bestFit="1" customWidth="1"/>
    <col min="21" max="21" width="15.1796875" bestFit="1" customWidth="1"/>
    <col min="22" max="22" width="16" bestFit="1" customWidth="1"/>
  </cols>
  <sheetData>
    <row r="2" spans="2:21" x14ac:dyDescent="0.35">
      <c r="B2" t="s">
        <v>95</v>
      </c>
      <c r="C2" t="s">
        <v>116</v>
      </c>
      <c r="D2" t="s">
        <v>117</v>
      </c>
      <c r="E2" t="s">
        <v>118</v>
      </c>
      <c r="F2" t="s">
        <v>122</v>
      </c>
      <c r="G2" t="s">
        <v>119</v>
      </c>
    </row>
    <row r="3" spans="2:21" x14ac:dyDescent="0.35">
      <c r="B3" s="19">
        <v>3000</v>
      </c>
      <c r="C3" s="9">
        <v>1089159.2999999977</v>
      </c>
      <c r="D3" s="9">
        <v>688035.32999999961</v>
      </c>
      <c r="E3" s="9">
        <v>401123.97000000137</v>
      </c>
      <c r="F3" s="13">
        <v>0.36828769675841011</v>
      </c>
      <c r="G3" s="13">
        <v>0.36166666666666669</v>
      </c>
    </row>
    <row r="4" spans="2:21" x14ac:dyDescent="0.35">
      <c r="C4" s="9"/>
      <c r="D4" s="9"/>
      <c r="E4" s="9"/>
      <c r="F4" s="13"/>
      <c r="G4" s="13"/>
    </row>
    <row r="5" spans="2:21" ht="18.5" x14ac:dyDescent="0.45">
      <c r="B5" s="20" t="s">
        <v>128</v>
      </c>
      <c r="C5" s="20"/>
      <c r="D5" s="16"/>
      <c r="E5" s="9"/>
      <c r="F5" s="21" t="s">
        <v>129</v>
      </c>
      <c r="G5" s="21"/>
      <c r="I5" s="20" t="s">
        <v>130</v>
      </c>
      <c r="J5" s="20"/>
      <c r="L5" s="20" t="s">
        <v>131</v>
      </c>
      <c r="M5" s="20"/>
      <c r="N5" s="20"/>
      <c r="P5" s="20" t="s">
        <v>4</v>
      </c>
      <c r="Q5" s="20"/>
      <c r="R5" s="20"/>
    </row>
    <row r="7" spans="2:21" x14ac:dyDescent="0.35">
      <c r="B7" s="10" t="s">
        <v>3</v>
      </c>
      <c r="C7" t="s">
        <v>118</v>
      </c>
      <c r="F7" s="10" t="s">
        <v>123</v>
      </c>
      <c r="G7" t="s">
        <v>118</v>
      </c>
      <c r="I7" s="10" t="s">
        <v>124</v>
      </c>
      <c r="J7" t="s">
        <v>118</v>
      </c>
      <c r="L7" s="10" t="s">
        <v>126</v>
      </c>
      <c r="M7" t="s">
        <v>95</v>
      </c>
      <c r="P7" s="10" t="s">
        <v>4</v>
      </c>
      <c r="Q7" t="s">
        <v>116</v>
      </c>
      <c r="R7" t="s">
        <v>118</v>
      </c>
      <c r="T7" s="10" t="s">
        <v>139</v>
      </c>
      <c r="U7" t="s">
        <v>116</v>
      </c>
    </row>
    <row r="8" spans="2:21" x14ac:dyDescent="0.35">
      <c r="B8" s="11" t="s">
        <v>64</v>
      </c>
      <c r="C8" s="9">
        <v>77356.240000000063</v>
      </c>
      <c r="F8" s="11" t="s">
        <v>71</v>
      </c>
      <c r="G8" s="9">
        <v>78680.479999999967</v>
      </c>
      <c r="I8" s="11" t="s">
        <v>63</v>
      </c>
      <c r="J8" s="9">
        <v>57301.060000000012</v>
      </c>
      <c r="L8" s="11">
        <v>0</v>
      </c>
      <c r="M8" s="9">
        <v>1257</v>
      </c>
      <c r="O8" s="9"/>
      <c r="P8" s="11" t="s">
        <v>60</v>
      </c>
      <c r="Q8" s="9">
        <v>76959.960000000036</v>
      </c>
      <c r="R8" s="9">
        <v>29562.96999999999</v>
      </c>
      <c r="S8" s="9"/>
      <c r="T8" s="11" t="s">
        <v>66</v>
      </c>
      <c r="U8" s="9">
        <v>67580.070000000007</v>
      </c>
    </row>
    <row r="9" spans="2:21" x14ac:dyDescent="0.35">
      <c r="B9" s="11" t="s">
        <v>30</v>
      </c>
      <c r="C9" s="9">
        <v>109143.89999999989</v>
      </c>
      <c r="F9" s="11" t="s">
        <v>61</v>
      </c>
      <c r="G9" s="9">
        <v>94189.170000000056</v>
      </c>
      <c r="I9" s="11" t="s">
        <v>33</v>
      </c>
      <c r="J9" s="9">
        <v>112145.84999999999</v>
      </c>
      <c r="L9" s="11">
        <v>5</v>
      </c>
      <c r="M9" s="9">
        <v>629</v>
      </c>
      <c r="O9" s="9"/>
      <c r="P9" s="11" t="s">
        <v>53</v>
      </c>
      <c r="Q9" s="9">
        <v>71920.509999999966</v>
      </c>
      <c r="R9" s="9">
        <v>24686.750000000004</v>
      </c>
      <c r="S9" s="9"/>
      <c r="T9" s="11" t="s">
        <v>36</v>
      </c>
      <c r="U9" s="9">
        <v>934264.03999999911</v>
      </c>
    </row>
    <row r="10" spans="2:21" x14ac:dyDescent="0.35">
      <c r="B10" s="11" t="s">
        <v>47</v>
      </c>
      <c r="C10" s="9">
        <v>104354.0999999999</v>
      </c>
      <c r="F10" s="11" t="s">
        <v>32</v>
      </c>
      <c r="G10" s="9">
        <v>64530.020000000062</v>
      </c>
      <c r="I10" s="11" t="s">
        <v>46</v>
      </c>
      <c r="J10" s="9">
        <v>122058.19999999982</v>
      </c>
      <c r="L10" s="11">
        <v>10</v>
      </c>
      <c r="M10" s="9">
        <v>566</v>
      </c>
      <c r="O10" s="9"/>
      <c r="P10" s="11" t="s">
        <v>65</v>
      </c>
      <c r="Q10" s="9">
        <v>51538.580000000024</v>
      </c>
      <c r="R10" s="9">
        <v>19902.499999999985</v>
      </c>
      <c r="S10" s="9"/>
      <c r="T10" s="11" t="s">
        <v>55</v>
      </c>
      <c r="U10" s="9">
        <v>87315.190000000046</v>
      </c>
    </row>
    <row r="11" spans="2:21" x14ac:dyDescent="0.35">
      <c r="B11" s="11" t="s">
        <v>59</v>
      </c>
      <c r="C11" s="9">
        <v>110269.73000000004</v>
      </c>
      <c r="F11" s="11" t="s">
        <v>49</v>
      </c>
      <c r="G11" s="9">
        <v>69516.090000000026</v>
      </c>
      <c r="I11" s="11" t="s">
        <v>50</v>
      </c>
      <c r="J11" s="9">
        <v>109618.85999999999</v>
      </c>
      <c r="L11" s="11">
        <v>15</v>
      </c>
      <c r="M11" s="9">
        <v>373</v>
      </c>
      <c r="O11" s="9"/>
      <c r="P11" s="11" t="s">
        <v>62</v>
      </c>
      <c r="Q11" s="9">
        <v>70909.540000000023</v>
      </c>
      <c r="R11" s="9">
        <v>25514.959999999999</v>
      </c>
      <c r="S11" s="9"/>
      <c r="T11" s="11" t="s">
        <v>120</v>
      </c>
      <c r="U11" s="9">
        <v>1089159.2999999991</v>
      </c>
    </row>
    <row r="12" spans="2:21" x14ac:dyDescent="0.35">
      <c r="B12" s="11" t="s">
        <v>120</v>
      </c>
      <c r="C12" s="9">
        <v>401123.96999999991</v>
      </c>
      <c r="F12" s="11" t="s">
        <v>41</v>
      </c>
      <c r="G12" s="9">
        <v>94208.20999999989</v>
      </c>
      <c r="I12" s="11" t="s">
        <v>120</v>
      </c>
      <c r="J12" s="9">
        <v>401123.9699999998</v>
      </c>
      <c r="L12" s="11">
        <v>20</v>
      </c>
      <c r="M12" s="9">
        <v>175</v>
      </c>
      <c r="O12" s="9"/>
      <c r="P12" s="11" t="s">
        <v>74</v>
      </c>
      <c r="Q12" s="9">
        <v>74661.070000000036</v>
      </c>
      <c r="R12" s="9">
        <v>27109.85</v>
      </c>
    </row>
    <row r="13" spans="2:21" x14ac:dyDescent="0.35">
      <c r="F13" s="11" t="s">
        <v>120</v>
      </c>
      <c r="G13" s="9">
        <v>401123.97000000003</v>
      </c>
      <c r="L13" s="11" t="s">
        <v>120</v>
      </c>
      <c r="M13" s="9">
        <v>3000</v>
      </c>
      <c r="O13" s="9"/>
      <c r="P13" s="11" t="s">
        <v>40</v>
      </c>
      <c r="Q13" s="9">
        <v>72204.829999999987</v>
      </c>
      <c r="R13" s="9">
        <v>26066.520000000011</v>
      </c>
      <c r="T13">
        <f>GETPIVOTDATA("Sum of Revenue",$T$7,"Session_status",$T$8)</f>
        <v>67580.070000000007</v>
      </c>
      <c r="U13">
        <f>GETPIVOTDATA("Sum of Revenue",$T$7,"Session_status",$T$10)</f>
        <v>87315.190000000046</v>
      </c>
    </row>
    <row r="14" spans="2:21" x14ac:dyDescent="0.35">
      <c r="B14" s="10" t="s">
        <v>3</v>
      </c>
      <c r="C14" t="s">
        <v>119</v>
      </c>
      <c r="I14" s="10" t="s">
        <v>127</v>
      </c>
      <c r="J14" t="s">
        <v>119</v>
      </c>
      <c r="P14" s="11" t="s">
        <v>72</v>
      </c>
      <c r="Q14" s="9">
        <v>78917.75</v>
      </c>
      <c r="R14" s="9">
        <v>29531.350000000002</v>
      </c>
    </row>
    <row r="15" spans="2:21" x14ac:dyDescent="0.35">
      <c r="B15" s="11" t="s">
        <v>64</v>
      </c>
      <c r="C15" s="13">
        <v>7.0666666666666669E-2</v>
      </c>
      <c r="F15" s="10" t="s">
        <v>123</v>
      </c>
      <c r="G15" t="s">
        <v>119</v>
      </c>
      <c r="I15" s="11" t="s">
        <v>63</v>
      </c>
      <c r="J15" s="13">
        <v>0.13700000000000001</v>
      </c>
      <c r="L15" s="10" t="s">
        <v>125</v>
      </c>
      <c r="M15" t="s">
        <v>116</v>
      </c>
      <c r="N15" t="s">
        <v>118</v>
      </c>
      <c r="P15" s="11" t="s">
        <v>67</v>
      </c>
      <c r="Q15" s="9">
        <v>48297.72</v>
      </c>
      <c r="R15" s="9">
        <v>17787.37</v>
      </c>
      <c r="T15">
        <f>GETPIVOTDATA("Sum of Revenue",T7,"Session_status",T8)+GETPIVOTDATA("Sum of Revenue",T7,"Session_status",T10)</f>
        <v>154895.26000000007</v>
      </c>
    </row>
    <row r="16" spans="2:21" x14ac:dyDescent="0.35">
      <c r="B16" s="11" t="s">
        <v>30</v>
      </c>
      <c r="C16" s="13">
        <v>0.10100000000000001</v>
      </c>
      <c r="F16" s="11" t="s">
        <v>71</v>
      </c>
      <c r="G16" s="13">
        <v>7.3666666666666672E-2</v>
      </c>
      <c r="I16" s="11" t="s">
        <v>33</v>
      </c>
      <c r="J16" s="13">
        <v>5.1999999999999998E-2</v>
      </c>
      <c r="L16" s="11" t="s">
        <v>57</v>
      </c>
      <c r="M16" s="9">
        <v>273925.62999999954</v>
      </c>
      <c r="N16" s="9">
        <v>100130.23000000007</v>
      </c>
      <c r="P16" s="11" t="s">
        <v>48</v>
      </c>
      <c r="Q16" s="9">
        <v>70566.819999999963</v>
      </c>
      <c r="R16" s="9">
        <v>24261.220000000016</v>
      </c>
    </row>
    <row r="17" spans="2:18" x14ac:dyDescent="0.35">
      <c r="B17" s="11" t="s">
        <v>47</v>
      </c>
      <c r="C17" s="13">
        <v>9.5333333333333339E-2</v>
      </c>
      <c r="F17" s="11" t="s">
        <v>61</v>
      </c>
      <c r="G17" s="13">
        <v>7.9000000000000001E-2</v>
      </c>
      <c r="I17" s="11" t="s">
        <v>46</v>
      </c>
      <c r="J17" s="13">
        <v>0.10299999999999999</v>
      </c>
      <c r="L17" s="11" t="s">
        <v>34</v>
      </c>
      <c r="M17" s="9">
        <v>675040.20999999845</v>
      </c>
      <c r="N17" s="9">
        <v>250931.81999999983</v>
      </c>
      <c r="P17" s="11" t="s">
        <v>68</v>
      </c>
      <c r="Q17" s="9">
        <v>65557.760000000009</v>
      </c>
      <c r="R17" s="9">
        <v>26053.790000000019</v>
      </c>
    </row>
    <row r="18" spans="2:18" x14ac:dyDescent="0.35">
      <c r="B18" s="11" t="s">
        <v>59</v>
      </c>
      <c r="C18" s="13">
        <v>9.4666666666666663E-2</v>
      </c>
      <c r="F18" s="11" t="s">
        <v>32</v>
      </c>
      <c r="G18" s="13">
        <v>6.4666666666666664E-2</v>
      </c>
      <c r="I18" s="11" t="s">
        <v>50</v>
      </c>
      <c r="J18" s="13">
        <v>6.9666666666666668E-2</v>
      </c>
      <c r="L18" s="11" t="s">
        <v>51</v>
      </c>
      <c r="M18" s="9">
        <v>140193.45999999985</v>
      </c>
      <c r="N18" s="9">
        <v>50061.920000000056</v>
      </c>
      <c r="P18" s="11" t="s">
        <v>56</v>
      </c>
      <c r="Q18" s="9">
        <v>78931.28</v>
      </c>
      <c r="R18" s="9">
        <v>28296.279999999984</v>
      </c>
    </row>
    <row r="19" spans="2:18" x14ac:dyDescent="0.35">
      <c r="B19" s="11" t="s">
        <v>120</v>
      </c>
      <c r="C19" s="13">
        <v>0.36166666666666669</v>
      </c>
      <c r="F19" s="11" t="s">
        <v>49</v>
      </c>
      <c r="G19" s="13">
        <v>6.2E-2</v>
      </c>
      <c r="I19" s="11" t="s">
        <v>120</v>
      </c>
      <c r="J19" s="13">
        <v>0.36166666666666669</v>
      </c>
      <c r="L19" s="11" t="s">
        <v>120</v>
      </c>
      <c r="M19" s="9">
        <v>1089159.299999998</v>
      </c>
      <c r="N19" s="9">
        <v>401123.97</v>
      </c>
      <c r="P19" s="11" t="s">
        <v>75</v>
      </c>
      <c r="Q19" s="9">
        <v>49538.37999999999</v>
      </c>
      <c r="R19" s="9">
        <v>18463.149999999991</v>
      </c>
    </row>
    <row r="20" spans="2:18" x14ac:dyDescent="0.35">
      <c r="F20" s="11" t="s">
        <v>41</v>
      </c>
      <c r="G20" s="13">
        <v>8.2333333333333328E-2</v>
      </c>
      <c r="P20" s="11" t="s">
        <v>70</v>
      </c>
      <c r="Q20" s="9">
        <v>77575.290000000008</v>
      </c>
      <c r="R20" s="9">
        <v>28432.709999999992</v>
      </c>
    </row>
    <row r="21" spans="2:18" x14ac:dyDescent="0.35">
      <c r="F21" s="11" t="s">
        <v>120</v>
      </c>
      <c r="G21" s="13">
        <v>0.36166666666666669</v>
      </c>
      <c r="I21" s="14" t="s">
        <v>127</v>
      </c>
      <c r="J21" s="9" t="s">
        <v>132</v>
      </c>
      <c r="L21" s="10" t="s">
        <v>126</v>
      </c>
      <c r="M21" t="s">
        <v>118</v>
      </c>
      <c r="P21" s="11" t="s">
        <v>31</v>
      </c>
      <c r="Q21" s="9">
        <v>71991.450000000026</v>
      </c>
      <c r="R21" s="9">
        <v>28031.069999999985</v>
      </c>
    </row>
    <row r="22" spans="2:18" x14ac:dyDescent="0.35">
      <c r="I22" s="15" t="s">
        <v>63</v>
      </c>
      <c r="J22" s="9">
        <v>12819</v>
      </c>
      <c r="L22" s="11">
        <v>0</v>
      </c>
      <c r="M22" s="9">
        <v>196091.42999999985</v>
      </c>
      <c r="P22" s="11" t="s">
        <v>76</v>
      </c>
      <c r="Q22" s="9">
        <v>55746.789999999986</v>
      </c>
      <c r="R22" s="9">
        <v>21203.219999999998</v>
      </c>
    </row>
    <row r="23" spans="2:18" x14ac:dyDescent="0.35">
      <c r="F23" s="10" t="s">
        <v>123</v>
      </c>
      <c r="G23" t="s">
        <v>132</v>
      </c>
      <c r="I23" s="15" t="s">
        <v>33</v>
      </c>
      <c r="J23" s="9">
        <v>5163</v>
      </c>
      <c r="L23" s="11">
        <v>5</v>
      </c>
      <c r="M23" s="9">
        <v>83359.100000000006</v>
      </c>
      <c r="P23" s="11" t="s">
        <v>73</v>
      </c>
      <c r="Q23" s="9">
        <v>73841.570000000007</v>
      </c>
      <c r="R23" s="9">
        <v>26220.259999999995</v>
      </c>
    </row>
    <row r="24" spans="2:18" x14ac:dyDescent="0.35">
      <c r="E24" s="8"/>
      <c r="F24" s="11" t="s">
        <v>71</v>
      </c>
      <c r="G24" s="9">
        <v>6842</v>
      </c>
      <c r="I24" s="15" t="s">
        <v>46</v>
      </c>
      <c r="J24" s="9">
        <v>9670</v>
      </c>
      <c r="L24" s="11">
        <v>10</v>
      </c>
      <c r="M24" s="9">
        <v>68047.72000000003</v>
      </c>
      <c r="P24" s="11" t="s">
        <v>120</v>
      </c>
      <c r="Q24" s="9">
        <v>1089159.3</v>
      </c>
      <c r="R24" s="9">
        <v>401123.96999999991</v>
      </c>
    </row>
    <row r="25" spans="2:18" x14ac:dyDescent="0.35">
      <c r="F25" s="11" t="s">
        <v>61</v>
      </c>
      <c r="G25" s="9">
        <v>7593</v>
      </c>
      <c r="I25" s="15" t="s">
        <v>50</v>
      </c>
      <c r="J25" s="9">
        <v>6296</v>
      </c>
      <c r="L25" s="11">
        <v>15</v>
      </c>
      <c r="M25" s="9">
        <v>37879.229999999989</v>
      </c>
    </row>
    <row r="26" spans="2:18" x14ac:dyDescent="0.35">
      <c r="F26" s="11" t="s">
        <v>32</v>
      </c>
      <c r="G26" s="9">
        <v>5879</v>
      </c>
      <c r="I26" s="15" t="s">
        <v>120</v>
      </c>
      <c r="J26" s="9">
        <v>33948</v>
      </c>
      <c r="L26" s="11">
        <v>20</v>
      </c>
      <c r="M26" s="9">
        <v>15746.489999999998</v>
      </c>
      <c r="P26" s="10" t="s">
        <v>4</v>
      </c>
      <c r="Q26" t="s">
        <v>119</v>
      </c>
    </row>
    <row r="27" spans="2:18" x14ac:dyDescent="0.35">
      <c r="F27" s="11" t="s">
        <v>49</v>
      </c>
      <c r="G27" s="9">
        <v>5731</v>
      </c>
      <c r="L27" s="11" t="s">
        <v>120</v>
      </c>
      <c r="M27" s="9">
        <v>401123.96999999986</v>
      </c>
      <c r="P27" s="11" t="s">
        <v>60</v>
      </c>
      <c r="Q27" s="13">
        <v>2.2333333333333334E-2</v>
      </c>
    </row>
    <row r="28" spans="2:18" x14ac:dyDescent="0.35">
      <c r="F28" s="11" t="s">
        <v>41</v>
      </c>
      <c r="G28" s="9">
        <v>7903</v>
      </c>
      <c r="P28" s="11" t="s">
        <v>53</v>
      </c>
      <c r="Q28" s="13">
        <v>2.5000000000000001E-2</v>
      </c>
    </row>
    <row r="29" spans="2:18" x14ac:dyDescent="0.35">
      <c r="F29" s="11" t="s">
        <v>120</v>
      </c>
      <c r="G29" s="9">
        <v>33948</v>
      </c>
      <c r="P29" s="11" t="s">
        <v>65</v>
      </c>
      <c r="Q29" s="13">
        <v>1.8333333333333333E-2</v>
      </c>
    </row>
    <row r="30" spans="2:18" x14ac:dyDescent="0.35">
      <c r="P30" s="11" t="s">
        <v>62</v>
      </c>
      <c r="Q30" s="13">
        <v>2.0333333333333332E-2</v>
      </c>
    </row>
    <row r="31" spans="2:18" x14ac:dyDescent="0.35">
      <c r="P31" s="11" t="s">
        <v>74</v>
      </c>
      <c r="Q31" s="13">
        <v>2.2666666666666668E-2</v>
      </c>
    </row>
    <row r="32" spans="2:18" x14ac:dyDescent="0.35">
      <c r="P32" s="11" t="s">
        <v>40</v>
      </c>
      <c r="Q32" s="13">
        <v>2.8666666666666667E-2</v>
      </c>
    </row>
    <row r="33" spans="16:17" x14ac:dyDescent="0.35">
      <c r="P33" s="11" t="s">
        <v>72</v>
      </c>
      <c r="Q33" s="13">
        <v>2.9000000000000001E-2</v>
      </c>
    </row>
    <row r="34" spans="16:17" x14ac:dyDescent="0.35">
      <c r="P34" s="11" t="s">
        <v>67</v>
      </c>
      <c r="Q34" s="13">
        <v>1.6E-2</v>
      </c>
    </row>
    <row r="35" spans="16:17" x14ac:dyDescent="0.35">
      <c r="P35" s="11" t="s">
        <v>48</v>
      </c>
      <c r="Q35" s="13">
        <v>2.2333333333333334E-2</v>
      </c>
    </row>
    <row r="36" spans="16:17" x14ac:dyDescent="0.35">
      <c r="P36" s="11" t="s">
        <v>68</v>
      </c>
      <c r="Q36" s="13">
        <v>1.9666666666666666E-2</v>
      </c>
    </row>
    <row r="37" spans="16:17" x14ac:dyDescent="0.35">
      <c r="P37" s="11" t="s">
        <v>56</v>
      </c>
      <c r="Q37" s="13">
        <v>2.5333333333333333E-2</v>
      </c>
    </row>
    <row r="38" spans="16:17" x14ac:dyDescent="0.35">
      <c r="P38" s="11" t="s">
        <v>75</v>
      </c>
      <c r="Q38" s="13">
        <v>1.4333333333333333E-2</v>
      </c>
    </row>
    <row r="39" spans="16:17" x14ac:dyDescent="0.35">
      <c r="P39" s="11" t="s">
        <v>70</v>
      </c>
      <c r="Q39" s="13">
        <v>2.9000000000000001E-2</v>
      </c>
    </row>
    <row r="40" spans="16:17" x14ac:dyDescent="0.35">
      <c r="P40" s="11" t="s">
        <v>31</v>
      </c>
      <c r="Q40" s="13">
        <v>2.3E-2</v>
      </c>
    </row>
    <row r="41" spans="16:17" x14ac:dyDescent="0.35">
      <c r="P41" s="11" t="s">
        <v>76</v>
      </c>
      <c r="Q41" s="13">
        <v>2.1999999999999999E-2</v>
      </c>
    </row>
    <row r="42" spans="16:17" x14ac:dyDescent="0.35">
      <c r="P42" s="11" t="s">
        <v>73</v>
      </c>
      <c r="Q42" s="13">
        <v>2.3666666666666666E-2</v>
      </c>
    </row>
    <row r="43" spans="16:17" x14ac:dyDescent="0.35">
      <c r="P43" s="11" t="s">
        <v>120</v>
      </c>
      <c r="Q43" s="13">
        <v>0.36166666666666669</v>
      </c>
    </row>
  </sheetData>
  <mergeCells count="5">
    <mergeCell ref="P5:R5"/>
    <mergeCell ref="L5:N5"/>
    <mergeCell ref="F5:G5"/>
    <mergeCell ref="I5:J5"/>
    <mergeCell ref="B5:C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8390E-F7A4-4766-BBDA-4B688FA83C52}">
  <dimension ref="A1:Y7"/>
  <sheetViews>
    <sheetView showGridLines="0" zoomScale="52" workbookViewId="0">
      <selection activeCell="AH17" sqref="AH17"/>
    </sheetView>
  </sheetViews>
  <sheetFormatPr defaultRowHeight="14.5" x14ac:dyDescent="0.35"/>
  <cols>
    <col min="1" max="1" width="10.6328125" customWidth="1"/>
    <col min="2" max="2" width="11.08984375" customWidth="1"/>
    <col min="3" max="3" width="6" customWidth="1"/>
    <col min="4" max="4" width="6.90625" customWidth="1"/>
    <col min="5" max="5" width="9.81640625" customWidth="1"/>
    <col min="6" max="6" width="11.6328125" customWidth="1"/>
    <col min="7" max="7" width="8.54296875" customWidth="1"/>
    <col min="8" max="8" width="6.90625" customWidth="1"/>
    <col min="9" max="9" width="6.6328125" customWidth="1"/>
    <col min="10" max="10" width="12" customWidth="1"/>
    <col min="11" max="11" width="3.26953125" customWidth="1"/>
    <col min="12" max="12" width="4.54296875" customWidth="1"/>
    <col min="14" max="14" width="10.81640625" customWidth="1"/>
    <col min="15" max="15" width="7" customWidth="1"/>
    <col min="16" max="16" width="7.54296875" customWidth="1"/>
    <col min="17" max="17" width="10.81640625" customWidth="1"/>
    <col min="18" max="18" width="11" customWidth="1"/>
    <col min="20" max="20" width="7.453125" customWidth="1"/>
    <col min="21" max="21" width="10.26953125" customWidth="1"/>
    <col min="22" max="22" width="10.453125" customWidth="1"/>
  </cols>
  <sheetData>
    <row r="1" spans="1:25" ht="14.5" customHeight="1" x14ac:dyDescent="0.35">
      <c r="A1" s="24" t="s">
        <v>133</v>
      </c>
      <c r="B1" s="25"/>
      <c r="C1" s="25"/>
      <c r="D1" s="25"/>
      <c r="E1" s="25"/>
      <c r="F1" s="25"/>
      <c r="G1" s="25"/>
      <c r="H1" s="25"/>
      <c r="I1" s="25"/>
      <c r="J1" s="25"/>
      <c r="K1" s="25"/>
      <c r="L1" s="25"/>
      <c r="M1" s="25"/>
      <c r="N1" s="25"/>
      <c r="O1" s="25"/>
      <c r="P1" s="25"/>
      <c r="Q1" s="25"/>
      <c r="R1" s="25"/>
      <c r="S1" s="25"/>
      <c r="T1" s="25"/>
      <c r="U1" s="25"/>
      <c r="V1" s="25"/>
    </row>
    <row r="2" spans="1:25" ht="15" customHeight="1" x14ac:dyDescent="0.35">
      <c r="A2" s="24"/>
      <c r="B2" s="25"/>
      <c r="C2" s="25"/>
      <c r="D2" s="25"/>
      <c r="E2" s="25"/>
      <c r="F2" s="25"/>
      <c r="G2" s="25"/>
      <c r="H2" s="25"/>
      <c r="I2" s="25"/>
      <c r="J2" s="25"/>
      <c r="K2" s="25"/>
      <c r="L2" s="25"/>
      <c r="M2" s="25"/>
      <c r="N2" s="25"/>
      <c r="O2" s="25"/>
      <c r="P2" s="25"/>
      <c r="Q2" s="25"/>
      <c r="R2" s="25"/>
      <c r="S2" s="25"/>
      <c r="T2" s="25"/>
      <c r="U2" s="25"/>
      <c r="V2" s="25"/>
    </row>
    <row r="3" spans="1:25" ht="15" thickBot="1" x14ac:dyDescent="0.4"/>
    <row r="4" spans="1:25" ht="18.5" x14ac:dyDescent="0.45">
      <c r="A4" s="22" t="s">
        <v>88</v>
      </c>
      <c r="B4" s="23"/>
      <c r="E4" s="22" t="s">
        <v>134</v>
      </c>
      <c r="F4" s="23"/>
      <c r="I4" s="22" t="s">
        <v>90</v>
      </c>
      <c r="J4" s="23"/>
      <c r="M4" s="22" t="s">
        <v>92</v>
      </c>
      <c r="N4" s="23"/>
      <c r="Q4" s="22" t="s">
        <v>96</v>
      </c>
      <c r="R4" s="23"/>
      <c r="U4" s="22" t="s">
        <v>138</v>
      </c>
      <c r="V4" s="23"/>
    </row>
    <row r="5" spans="1:25" ht="18.5" customHeight="1" x14ac:dyDescent="0.7">
      <c r="A5" s="26">
        <f>Pivot_Calculations!C3</f>
        <v>1089159.2999999977</v>
      </c>
      <c r="B5" s="27"/>
      <c r="E5" s="26">
        <f>Pivot_Calculations!D3</f>
        <v>688035.32999999961</v>
      </c>
      <c r="F5" s="27"/>
      <c r="I5" s="26">
        <f>Pivot_Calculations!E3</f>
        <v>401123.97000000137</v>
      </c>
      <c r="J5" s="27"/>
      <c r="M5" s="38">
        <f>I5/A5</f>
        <v>0.36828769675841011</v>
      </c>
      <c r="N5" s="39"/>
      <c r="Q5" s="34">
        <f>Pivot_Calculations!G3</f>
        <v>0.36166666666666669</v>
      </c>
      <c r="R5" s="35"/>
      <c r="U5" s="30">
        <f>GETPIVOTDATA("Sum of Revenue",Pivot_Calculations!T7,"Session_status",Pivot_Calculations!T8)+GETPIVOTDATA("Sum of Revenue",Pivot_Calculations!T7,"Session_status",Pivot_Calculations!T10)</f>
        <v>154895.26000000007</v>
      </c>
      <c r="V5" s="31"/>
      <c r="X5" s="18"/>
      <c r="Y5" s="18"/>
    </row>
    <row r="6" spans="1:25" ht="15" customHeight="1" thickBot="1" x14ac:dyDescent="0.75">
      <c r="A6" s="28"/>
      <c r="B6" s="29"/>
      <c r="E6" s="28"/>
      <c r="F6" s="29"/>
      <c r="I6" s="28"/>
      <c r="J6" s="29"/>
      <c r="M6" s="40"/>
      <c r="N6" s="41"/>
      <c r="Q6" s="36"/>
      <c r="R6" s="37"/>
      <c r="U6" s="32"/>
      <c r="V6" s="33"/>
      <c r="X6" s="18"/>
      <c r="Y6" s="18"/>
    </row>
    <row r="7" spans="1:25" ht="14.5" customHeight="1" x14ac:dyDescent="0.7">
      <c r="Q7" s="13"/>
      <c r="X7" s="18"/>
      <c r="Y7" s="18"/>
    </row>
  </sheetData>
  <mergeCells count="13">
    <mergeCell ref="Q4:R4"/>
    <mergeCell ref="A1:V2"/>
    <mergeCell ref="U4:V4"/>
    <mergeCell ref="A5:B6"/>
    <mergeCell ref="A4:B4"/>
    <mergeCell ref="E4:F4"/>
    <mergeCell ref="I4:J4"/>
    <mergeCell ref="M4:N4"/>
    <mergeCell ref="U5:V6"/>
    <mergeCell ref="Q5:R6"/>
    <mergeCell ref="M5:N6"/>
    <mergeCell ref="I5:J6"/>
    <mergeCell ref="E5:F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CFBF5-E5D7-46C7-9D3E-FB60C905FAE3}">
  <dimension ref="A2:K20"/>
  <sheetViews>
    <sheetView tabSelected="1" workbookViewId="0">
      <selection activeCell="I12" sqref="I12"/>
    </sheetView>
  </sheetViews>
  <sheetFormatPr defaultRowHeight="14.5" x14ac:dyDescent="0.35"/>
  <sheetData>
    <row r="2" spans="1:11" ht="18.5" x14ac:dyDescent="0.45">
      <c r="A2" s="42" t="s">
        <v>143</v>
      </c>
      <c r="B2" s="42"/>
      <c r="C2" s="42"/>
      <c r="D2" s="42"/>
      <c r="E2" s="42"/>
      <c r="F2" s="42"/>
      <c r="G2" s="42"/>
    </row>
    <row r="3" spans="1:11" x14ac:dyDescent="0.35">
      <c r="A3" t="s">
        <v>140</v>
      </c>
    </row>
    <row r="4" spans="1:11" x14ac:dyDescent="0.35">
      <c r="A4" t="s">
        <v>142</v>
      </c>
    </row>
    <row r="5" spans="1:11" x14ac:dyDescent="0.35">
      <c r="A5" t="s">
        <v>141</v>
      </c>
    </row>
    <row r="6" spans="1:11" x14ac:dyDescent="0.35">
      <c r="A6" t="s">
        <v>152</v>
      </c>
    </row>
    <row r="8" spans="1:11" ht="18.5" x14ac:dyDescent="0.45">
      <c r="A8" s="42" t="s">
        <v>135</v>
      </c>
      <c r="B8" s="42"/>
      <c r="C8" s="42"/>
      <c r="D8" s="42"/>
      <c r="E8" s="42"/>
      <c r="F8" s="42"/>
      <c r="G8" s="42"/>
      <c r="H8" s="42"/>
      <c r="I8" s="42"/>
      <c r="J8" s="42"/>
      <c r="K8" s="42"/>
    </row>
    <row r="9" spans="1:11" x14ac:dyDescent="0.35">
      <c r="A9" t="s">
        <v>151</v>
      </c>
    </row>
    <row r="10" spans="1:11" x14ac:dyDescent="0.35">
      <c r="A10" t="s">
        <v>149</v>
      </c>
    </row>
    <row r="11" spans="1:11" x14ac:dyDescent="0.35">
      <c r="A11" t="s">
        <v>150</v>
      </c>
    </row>
    <row r="12" spans="1:11" x14ac:dyDescent="0.35">
      <c r="A12" t="s">
        <v>144</v>
      </c>
    </row>
    <row r="15" spans="1:11" ht="18.5" x14ac:dyDescent="0.45">
      <c r="A15" s="42" t="s">
        <v>136</v>
      </c>
      <c r="B15" s="42"/>
      <c r="C15" s="42"/>
      <c r="D15" s="42"/>
      <c r="E15" s="42"/>
      <c r="F15" s="42"/>
      <c r="G15" s="42"/>
      <c r="H15" s="42"/>
      <c r="I15" s="42"/>
      <c r="J15" s="42"/>
      <c r="K15" s="42"/>
    </row>
    <row r="16" spans="1:11" x14ac:dyDescent="0.35">
      <c r="A16" s="43" t="s">
        <v>137</v>
      </c>
      <c r="B16" s="43"/>
      <c r="C16" s="43"/>
      <c r="D16" s="43"/>
      <c r="E16" s="43"/>
      <c r="F16" s="43"/>
      <c r="G16" s="43"/>
      <c r="H16" s="43"/>
      <c r="I16" s="43"/>
      <c r="J16" s="43"/>
      <c r="K16" s="43"/>
    </row>
    <row r="17" spans="1:1" x14ac:dyDescent="0.35">
      <c r="A17" s="17" t="s">
        <v>145</v>
      </c>
    </row>
    <row r="18" spans="1:1" x14ac:dyDescent="0.35">
      <c r="A18" t="s">
        <v>146</v>
      </c>
    </row>
    <row r="19" spans="1:1" x14ac:dyDescent="0.35">
      <c r="A19" t="s">
        <v>148</v>
      </c>
    </row>
    <row r="20" spans="1:1" x14ac:dyDescent="0.35">
      <c r="A20" t="s">
        <v>147</v>
      </c>
    </row>
  </sheetData>
  <mergeCells count="4">
    <mergeCell ref="A15:K15"/>
    <mergeCell ref="A2:G2"/>
    <mergeCell ref="A16:K16"/>
    <mergeCell ref="A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Project_Blueprint</vt:lpstr>
      <vt:lpstr>Pivot_Calculations</vt:lpstr>
      <vt:lpstr>Dashboard</vt:lpstr>
      <vt:lpstr>Insights_Notes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soumya das</cp:lastModifiedBy>
  <dcterms:created xsi:type="dcterms:W3CDTF">2026-01-22T02:58:36Z</dcterms:created>
  <dcterms:modified xsi:type="dcterms:W3CDTF">2026-02-16T08:35:01Z</dcterms:modified>
</cp:coreProperties>
</file>